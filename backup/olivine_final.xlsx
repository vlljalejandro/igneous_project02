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lejad\Desktop\"/>
    </mc:Choice>
  </mc:AlternateContent>
  <xr:revisionPtr revIDLastSave="0" documentId="13_ncr:1_{8A2E7C43-1AA3-4B81-9E88-3F0720F18F65}" xr6:coauthVersionLast="47" xr6:coauthVersionMax="47" xr10:uidLastSave="{00000000-0000-0000-0000-000000000000}"/>
  <bookViews>
    <workbookView xWindow="20544" yWindow="0" windowWidth="20832" windowHeight="16656" activeTab="1" xr2:uid="{18FDC0D8-3CDB-3641-AAED-6D69E972A582}"/>
  </bookViews>
  <sheets>
    <sheet name="Oxides" sheetId="1" r:id="rId1"/>
    <sheet name="Oxides Corr" sheetId="10" r:id="rId2"/>
    <sheet name="StdCalc" sheetId="11" r:id="rId3"/>
    <sheet name="Fa-Fo Ratios" sheetId="2" r:id="rId4"/>
    <sheet name="Elements" sheetId="3" r:id="rId5"/>
    <sheet name="Standard Conditions" sheetId="5" r:id="rId6"/>
    <sheet name="AllData" sheetId="9" r:id="rId7"/>
    <sheet name="Bgls_std-cnd" sheetId="6" r:id="rId8"/>
    <sheet name="Bgls_oxides" sheetId="7" r:id="rId9"/>
    <sheet name="Bgls_all" sheetId="8" r:id="rId10"/>
  </sheets>
  <definedNames>
    <definedName name="_xlnm._FilterDatabase" localSheetId="0" hidden="1">Oxides!$A$4:$K$138</definedName>
    <definedName name="_xlnm._FilterDatabase" localSheetId="1" hidden="1">'Oxides Corr'!$A$4:$K$132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0" l="1"/>
  <c r="C26" i="11"/>
  <c r="B26" i="11"/>
  <c r="B5" i="10"/>
  <c r="I22" i="11"/>
  <c r="I23" i="11" s="1"/>
  <c r="I25" i="11" s="1"/>
  <c r="H22" i="11"/>
  <c r="H23" i="11" s="1"/>
  <c r="H25" i="11" s="1"/>
  <c r="G22" i="11"/>
  <c r="G23" i="11" s="1"/>
  <c r="G25" i="11" s="1"/>
  <c r="B22" i="11"/>
  <c r="B23" i="11" s="1"/>
  <c r="B25" i="11" s="1"/>
  <c r="C22" i="11"/>
  <c r="C23" i="11" s="1"/>
  <c r="C25" i="11" s="1"/>
  <c r="D22" i="11"/>
  <c r="D23" i="11" s="1"/>
  <c r="D25" i="11" s="1"/>
  <c r="E22" i="11"/>
  <c r="E23" i="11" s="1"/>
  <c r="E25" i="11" s="1"/>
  <c r="F22" i="11"/>
  <c r="F23" i="11" s="1"/>
  <c r="F25" i="11" s="1"/>
  <c r="I21" i="11"/>
  <c r="I26" i="11" s="1"/>
  <c r="I75" i="10" s="1"/>
  <c r="H21" i="11"/>
  <c r="H26" i="11" s="1"/>
  <c r="H91" i="10" s="1"/>
  <c r="G21" i="11"/>
  <c r="C21" i="11"/>
  <c r="C76" i="10" s="1"/>
  <c r="B21" i="11"/>
  <c r="B21" i="10" s="1"/>
  <c r="E15" i="10"/>
  <c r="F15" i="10"/>
  <c r="F18" i="10"/>
  <c r="D20" i="10"/>
  <c r="F29" i="10"/>
  <c r="E30" i="10"/>
  <c r="E33" i="10"/>
  <c r="F33" i="10"/>
  <c r="E37" i="10"/>
  <c r="E54" i="10"/>
  <c r="F54" i="10"/>
  <c r="E56" i="10"/>
  <c r="F56" i="10"/>
  <c r="E57" i="10"/>
  <c r="F57" i="10"/>
  <c r="H59" i="10"/>
  <c r="C60" i="10"/>
  <c r="E63" i="10"/>
  <c r="F63" i="10"/>
  <c r="D64" i="10"/>
  <c r="F69" i="10"/>
  <c r="F73" i="10"/>
  <c r="C91" i="10"/>
  <c r="E93" i="10"/>
  <c r="E94" i="10"/>
  <c r="E97" i="10"/>
  <c r="F97" i="10"/>
  <c r="F100" i="10"/>
  <c r="C101" i="10"/>
  <c r="D101" i="10"/>
  <c r="E101" i="10"/>
  <c r="F101" i="10"/>
  <c r="D121" i="10"/>
  <c r="E121" i="10"/>
  <c r="F121" i="10"/>
  <c r="D122" i="10"/>
  <c r="E129" i="10"/>
  <c r="F129" i="10"/>
  <c r="E130" i="10"/>
  <c r="F130" i="10"/>
  <c r="B45" i="10"/>
  <c r="B46" i="10"/>
  <c r="B47" i="10"/>
  <c r="B48" i="10"/>
  <c r="B56" i="10"/>
  <c r="B57" i="10"/>
  <c r="B75" i="10"/>
  <c r="Z21" i="11"/>
  <c r="Z26" i="11" s="1"/>
  <c r="AL15" i="11" s="1"/>
  <c r="AG21" i="11"/>
  <c r="AG26" i="11" s="1"/>
  <c r="AS13" i="11" s="1"/>
  <c r="AF21" i="11"/>
  <c r="AF26" i="11" s="1"/>
  <c r="AR16" i="11" s="1"/>
  <c r="AE21" i="11"/>
  <c r="AE26" i="11" s="1"/>
  <c r="AQ10" i="11" s="1"/>
  <c r="AD21" i="11"/>
  <c r="AD26" i="11" s="1"/>
  <c r="AC21" i="11"/>
  <c r="AC26" i="11" s="1"/>
  <c r="AO14" i="11" s="1"/>
  <c r="AB21" i="11"/>
  <c r="AB26" i="11" s="1"/>
  <c r="AN13" i="11" s="1"/>
  <c r="AA21" i="11"/>
  <c r="AA26" i="11" s="1"/>
  <c r="AG22" i="11"/>
  <c r="AF22" i="11"/>
  <c r="AE22" i="11"/>
  <c r="AD22" i="11"/>
  <c r="AC22" i="11"/>
  <c r="AB22" i="11"/>
  <c r="AA22" i="11"/>
  <c r="Z22" i="11"/>
  <c r="N5" i="1"/>
  <c r="M5" i="1"/>
  <c r="D21" i="11"/>
  <c r="D26" i="11" s="1"/>
  <c r="D25" i="10" s="1"/>
  <c r="E21" i="11"/>
  <c r="E26" i="11" s="1"/>
  <c r="E75" i="10" s="1"/>
  <c r="F21" i="11"/>
  <c r="F26" i="11" s="1"/>
  <c r="F37" i="10" s="1"/>
  <c r="B139" i="1"/>
  <c r="B145" i="1" s="1"/>
  <c r="D139" i="1"/>
  <c r="D145" i="1" s="1"/>
  <c r="F139" i="1"/>
  <c r="G140" i="1"/>
  <c r="G144" i="1" s="1"/>
  <c r="G139" i="1"/>
  <c r="G145" i="1" s="1"/>
  <c r="F140" i="1"/>
  <c r="F144" i="1" s="1"/>
  <c r="E139" i="1"/>
  <c r="E145" i="1" s="1"/>
  <c r="D140" i="1"/>
  <c r="D144" i="1" s="1"/>
  <c r="C139" i="1"/>
  <c r="C145" i="1" s="1"/>
  <c r="B140" i="1"/>
  <c r="B144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6" i="1"/>
  <c r="E140" i="1"/>
  <c r="E144" i="1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5" i="2"/>
  <c r="I140" i="1"/>
  <c r="I144" i="1" s="1"/>
  <c r="I139" i="1"/>
  <c r="I145" i="1" s="1"/>
  <c r="H140" i="1"/>
  <c r="H144" i="1" s="1"/>
  <c r="H139" i="1"/>
  <c r="H145" i="1" s="1"/>
  <c r="C140" i="1"/>
  <c r="C144" i="1" s="1"/>
  <c r="F93" i="10" l="1"/>
  <c r="F20" i="10"/>
  <c r="E20" i="10"/>
  <c r="AL16" i="11"/>
  <c r="F91" i="10"/>
  <c r="E91" i="10"/>
  <c r="F19" i="10"/>
  <c r="E19" i="10"/>
  <c r="E89" i="10"/>
  <c r="D19" i="10"/>
  <c r="C53" i="10"/>
  <c r="E10" i="10"/>
  <c r="E84" i="10"/>
  <c r="E11" i="10"/>
  <c r="F120" i="10"/>
  <c r="F81" i="10"/>
  <c r="B117" i="10"/>
  <c r="E117" i="10"/>
  <c r="D80" i="10"/>
  <c r="C43" i="10"/>
  <c r="B121" i="10"/>
  <c r="D84" i="10"/>
  <c r="E48" i="10"/>
  <c r="D119" i="10"/>
  <c r="B118" i="10"/>
  <c r="B116" i="10"/>
  <c r="E113" i="10"/>
  <c r="F79" i="10"/>
  <c r="E40" i="10"/>
  <c r="F52" i="10"/>
  <c r="C11" i="10"/>
  <c r="E119" i="10"/>
  <c r="H81" i="10"/>
  <c r="F117" i="10"/>
  <c r="B115" i="10"/>
  <c r="F111" i="10"/>
  <c r="D40" i="10"/>
  <c r="E52" i="10"/>
  <c r="B120" i="10"/>
  <c r="B119" i="10"/>
  <c r="N119" i="10" s="1"/>
  <c r="O119" i="10" s="1"/>
  <c r="P119" i="10" s="1"/>
  <c r="F9" i="10"/>
  <c r="D43" i="10"/>
  <c r="B90" i="10"/>
  <c r="F75" i="10"/>
  <c r="E38" i="10"/>
  <c r="F83" i="10"/>
  <c r="E46" i="10"/>
  <c r="Q6" i="11"/>
  <c r="E6" i="10"/>
  <c r="E111" i="10"/>
  <c r="B89" i="10"/>
  <c r="H101" i="10"/>
  <c r="AP13" i="11"/>
  <c r="AP10" i="11"/>
  <c r="H37" i="10"/>
  <c r="H75" i="10"/>
  <c r="AR6" i="11"/>
  <c r="AR10" i="11"/>
  <c r="AR9" i="11"/>
  <c r="AR17" i="11"/>
  <c r="D132" i="10"/>
  <c r="D56" i="10"/>
  <c r="N56" i="10" s="1"/>
  <c r="O56" i="10" s="1"/>
  <c r="P56" i="10" s="1"/>
  <c r="D37" i="10"/>
  <c r="N37" i="10" s="1"/>
  <c r="O37" i="10" s="1"/>
  <c r="P37" i="10" s="1"/>
  <c r="H10" i="10"/>
  <c r="D38" i="10"/>
  <c r="D57" i="10"/>
  <c r="N57" i="10" s="1"/>
  <c r="O57" i="10" s="1"/>
  <c r="P57" i="10" s="1"/>
  <c r="D117" i="10"/>
  <c r="D94" i="10"/>
  <c r="D11" i="10"/>
  <c r="AS6" i="11"/>
  <c r="AS9" i="11"/>
  <c r="AS16" i="11"/>
  <c r="AS17" i="11"/>
  <c r="D113" i="10"/>
  <c r="D75" i="10"/>
  <c r="N75" i="10" s="1"/>
  <c r="O75" i="10" s="1"/>
  <c r="P75" i="10" s="1"/>
  <c r="F38" i="10"/>
  <c r="F11" i="10"/>
  <c r="F40" i="10"/>
  <c r="F48" i="10"/>
  <c r="F94" i="10"/>
  <c r="F113" i="10"/>
  <c r="F115" i="10"/>
  <c r="F32" i="10"/>
  <c r="F68" i="10"/>
  <c r="F51" i="10"/>
  <c r="F96" i="10"/>
  <c r="F124" i="10"/>
  <c r="F5" i="10"/>
  <c r="F59" i="10"/>
  <c r="F21" i="10"/>
  <c r="F132" i="10"/>
  <c r="F41" i="10"/>
  <c r="F49" i="10"/>
  <c r="F95" i="10"/>
  <c r="F105" i="10"/>
  <c r="F86" i="10"/>
  <c r="F22" i="10"/>
  <c r="F78" i="10"/>
  <c r="F14" i="10"/>
  <c r="F116" i="10"/>
  <c r="F31" i="10"/>
  <c r="F58" i="10"/>
  <c r="F67" i="10"/>
  <c r="F123" i="10"/>
  <c r="F13" i="10"/>
  <c r="F42" i="10"/>
  <c r="F106" i="10"/>
  <c r="F6" i="10"/>
  <c r="F25" i="10"/>
  <c r="F43" i="10"/>
  <c r="F70" i="10"/>
  <c r="F80" i="10"/>
  <c r="R18" i="11"/>
  <c r="F35" i="10"/>
  <c r="F72" i="10"/>
  <c r="F90" i="10"/>
  <c r="F99" i="10"/>
  <c r="F127" i="10"/>
  <c r="R4" i="11"/>
  <c r="F8" i="10"/>
  <c r="F16" i="10"/>
  <c r="F62" i="10"/>
  <c r="F108" i="10"/>
  <c r="F118" i="10"/>
  <c r="F26" i="10"/>
  <c r="F45" i="10"/>
  <c r="F53" i="10"/>
  <c r="F36" i="10"/>
  <c r="F112" i="10"/>
  <c r="D92" i="10"/>
  <c r="F74" i="10"/>
  <c r="Q10" i="11"/>
  <c r="E21" i="10"/>
  <c r="E132" i="10"/>
  <c r="E68" i="10"/>
  <c r="E14" i="10"/>
  <c r="E42" i="10"/>
  <c r="E106" i="10"/>
  <c r="E124" i="10"/>
  <c r="E5" i="10"/>
  <c r="E24" i="10"/>
  <c r="E79" i="10"/>
  <c r="E31" i="10"/>
  <c r="E58" i="10"/>
  <c r="E67" i="10"/>
  <c r="E123" i="10"/>
  <c r="E86" i="10"/>
  <c r="E116" i="10"/>
  <c r="E59" i="10"/>
  <c r="E87" i="10"/>
  <c r="E13" i="10"/>
  <c r="E41" i="10"/>
  <c r="E49" i="10"/>
  <c r="E76" i="10"/>
  <c r="E95" i="10"/>
  <c r="E105" i="10"/>
  <c r="E114" i="10"/>
  <c r="E22" i="10"/>
  <c r="E32" i="10"/>
  <c r="E78" i="10"/>
  <c r="E51" i="10"/>
  <c r="E96" i="10"/>
  <c r="E69" i="10"/>
  <c r="E25" i="10"/>
  <c r="E43" i="10"/>
  <c r="E70" i="10"/>
  <c r="E80" i="10"/>
  <c r="E35" i="10"/>
  <c r="E90" i="10"/>
  <c r="E99" i="10"/>
  <c r="E127" i="10"/>
  <c r="E8" i="10"/>
  <c r="E16" i="10"/>
  <c r="E62" i="10"/>
  <c r="E108" i="10"/>
  <c r="E118" i="10"/>
  <c r="E26" i="10"/>
  <c r="E53" i="10"/>
  <c r="Q18" i="11"/>
  <c r="E36" i="10"/>
  <c r="E73" i="10"/>
  <c r="E81" i="10"/>
  <c r="E100" i="10"/>
  <c r="E110" i="10"/>
  <c r="E128" i="10"/>
  <c r="Q5" i="11"/>
  <c r="E9" i="10"/>
  <c r="D130" i="10"/>
  <c r="E112" i="10"/>
  <c r="E74" i="10"/>
  <c r="D54" i="10"/>
  <c r="F30" i="10"/>
  <c r="F10" i="10"/>
  <c r="AR13" i="11"/>
  <c r="D6" i="10"/>
  <c r="H65" i="10"/>
  <c r="H85" i="10"/>
  <c r="H102" i="10"/>
  <c r="H58" i="10"/>
  <c r="H32" i="10"/>
  <c r="H21" i="10"/>
  <c r="H123" i="10"/>
  <c r="H42" i="10"/>
  <c r="H15" i="10"/>
  <c r="H52" i="10"/>
  <c r="H107" i="10"/>
  <c r="H117" i="10"/>
  <c r="H43" i="10"/>
  <c r="H80" i="10"/>
  <c r="H90" i="10"/>
  <c r="H16" i="10"/>
  <c r="H118" i="10"/>
  <c r="H26" i="10"/>
  <c r="D10" i="10"/>
  <c r="H128" i="10"/>
  <c r="E27" i="10"/>
  <c r="D91" i="10"/>
  <c r="D111" i="10"/>
  <c r="F110" i="10"/>
  <c r="F107" i="10"/>
  <c r="D27" i="10"/>
  <c r="H124" i="10"/>
  <c r="F102" i="10"/>
  <c r="E85" i="10"/>
  <c r="H64" i="10"/>
  <c r="E47" i="10"/>
  <c r="D66" i="10"/>
  <c r="D31" i="10"/>
  <c r="D58" i="10"/>
  <c r="D123" i="10"/>
  <c r="D14" i="10"/>
  <c r="D116" i="10"/>
  <c r="D59" i="10"/>
  <c r="D87" i="10"/>
  <c r="D24" i="10"/>
  <c r="D79" i="10"/>
  <c r="D33" i="10"/>
  <c r="D89" i="10"/>
  <c r="D107" i="10"/>
  <c r="D13" i="10"/>
  <c r="D41" i="10"/>
  <c r="D49" i="10"/>
  <c r="D76" i="10"/>
  <c r="D95" i="10"/>
  <c r="D105" i="10"/>
  <c r="D114" i="10"/>
  <c r="D22" i="10"/>
  <c r="D32" i="10"/>
  <c r="D68" i="10"/>
  <c r="N68" i="10" s="1"/>
  <c r="O68" i="10" s="1"/>
  <c r="P68" i="10" s="1"/>
  <c r="D42" i="10"/>
  <c r="D69" i="10"/>
  <c r="D52" i="10"/>
  <c r="D86" i="10"/>
  <c r="D78" i="10"/>
  <c r="D51" i="10"/>
  <c r="D96" i="10"/>
  <c r="D106" i="10"/>
  <c r="D124" i="10"/>
  <c r="D5" i="10"/>
  <c r="D15" i="10"/>
  <c r="D97" i="10"/>
  <c r="D35" i="10"/>
  <c r="D60" i="10"/>
  <c r="D90" i="10"/>
  <c r="D99" i="10"/>
  <c r="D127" i="10"/>
  <c r="D8" i="10"/>
  <c r="D16" i="10"/>
  <c r="D62" i="10"/>
  <c r="D108" i="10"/>
  <c r="D118" i="10"/>
  <c r="N118" i="10" s="1"/>
  <c r="O118" i="10" s="1"/>
  <c r="P118" i="10" s="1"/>
  <c r="D26" i="10"/>
  <c r="D53" i="10"/>
  <c r="D36" i="10"/>
  <c r="D44" i="10"/>
  <c r="D73" i="10"/>
  <c r="D81" i="10"/>
  <c r="D100" i="10"/>
  <c r="D128" i="10"/>
  <c r="D9" i="10"/>
  <c r="D63" i="10"/>
  <c r="D17" i="10"/>
  <c r="N17" i="10" s="1"/>
  <c r="O17" i="10" s="1"/>
  <c r="P17" i="10" s="1"/>
  <c r="D46" i="10"/>
  <c r="N46" i="10" s="1"/>
  <c r="O46" i="10" s="1"/>
  <c r="P46" i="10" s="1"/>
  <c r="D112" i="10"/>
  <c r="D70" i="10"/>
  <c r="D28" i="10"/>
  <c r="F128" i="10"/>
  <c r="F89" i="10"/>
  <c r="F65" i="10"/>
  <c r="F27" i="10"/>
  <c r="H47" i="10"/>
  <c r="E126" i="10"/>
  <c r="F85" i="10"/>
  <c r="F47" i="10"/>
  <c r="F122" i="10"/>
  <c r="D85" i="10"/>
  <c r="F64" i="10"/>
  <c r="D47" i="10"/>
  <c r="N47" i="10" s="1"/>
  <c r="O47" i="10" s="1"/>
  <c r="P47" i="10" s="1"/>
  <c r="F24" i="10"/>
  <c r="D74" i="10"/>
  <c r="D30" i="10"/>
  <c r="D129" i="10"/>
  <c r="D48" i="10"/>
  <c r="N48" i="10" s="1"/>
  <c r="O48" i="10" s="1"/>
  <c r="P48" i="10" s="1"/>
  <c r="F126" i="10"/>
  <c r="E65" i="10"/>
  <c r="E107" i="10"/>
  <c r="D65" i="10"/>
  <c r="E102" i="10"/>
  <c r="E122" i="10"/>
  <c r="D102" i="10"/>
  <c r="F84" i="10"/>
  <c r="E64" i="10"/>
  <c r="F46" i="10"/>
  <c r="D21" i="10"/>
  <c r="N21" i="10" s="1"/>
  <c r="O21" i="10" s="1"/>
  <c r="P21" i="10" s="1"/>
  <c r="B51" i="10"/>
  <c r="B49" i="10"/>
  <c r="N49" i="10" s="1"/>
  <c r="O49" i="10" s="1"/>
  <c r="P49" i="10" s="1"/>
  <c r="B44" i="10"/>
  <c r="C59" i="10"/>
  <c r="B17" i="10"/>
  <c r="B43" i="10"/>
  <c r="C86" i="10"/>
  <c r="AM18" i="11"/>
  <c r="AM8" i="11"/>
  <c r="AM15" i="11"/>
  <c r="AM12" i="11"/>
  <c r="AM5" i="11"/>
  <c r="AM9" i="11"/>
  <c r="AM16" i="11"/>
  <c r="AM6" i="11"/>
  <c r="AM13" i="11"/>
  <c r="AO10" i="11"/>
  <c r="AQ14" i="11"/>
  <c r="AQ8" i="11"/>
  <c r="AQ5" i="11"/>
  <c r="AQ4" i="11"/>
  <c r="AQ11" i="11"/>
  <c r="AQ18" i="11"/>
  <c r="AQ15" i="11"/>
  <c r="AQ12" i="11"/>
  <c r="AQ9" i="11"/>
  <c r="AQ17" i="11"/>
  <c r="AL6" i="11"/>
  <c r="AL5" i="11"/>
  <c r="AL9" i="11"/>
  <c r="AL10" i="11"/>
  <c r="AL11" i="11"/>
  <c r="AL12" i="11"/>
  <c r="AL13" i="11"/>
  <c r="AL14" i="11"/>
  <c r="AP17" i="11"/>
  <c r="AM10" i="11"/>
  <c r="AQ7" i="11"/>
  <c r="AP7" i="11"/>
  <c r="AO7" i="11"/>
  <c r="AQ16" i="11"/>
  <c r="AN7" i="11"/>
  <c r="B26" i="10"/>
  <c r="B22" i="10"/>
  <c r="B60" i="10"/>
  <c r="B91" i="10"/>
  <c r="B123" i="10"/>
  <c r="B33" i="10"/>
  <c r="B67" i="10"/>
  <c r="B99" i="10"/>
  <c r="B37" i="10"/>
  <c r="B68" i="10"/>
  <c r="B104" i="10"/>
  <c r="B38" i="10"/>
  <c r="B105" i="10"/>
  <c r="B23" i="10"/>
  <c r="B61" i="10"/>
  <c r="B92" i="10"/>
  <c r="B128" i="10"/>
  <c r="B69" i="10"/>
  <c r="N69" i="10" s="1"/>
  <c r="O69" i="10" s="1"/>
  <c r="P69" i="10" s="1"/>
  <c r="B24" i="10"/>
  <c r="N24" i="10" s="1"/>
  <c r="O24" i="10" s="1"/>
  <c r="P24" i="10" s="1"/>
  <c r="B62" i="10"/>
  <c r="B93" i="10"/>
  <c r="B129" i="10"/>
  <c r="B25" i="10"/>
  <c r="N25" i="10" s="1"/>
  <c r="O25" i="10" s="1"/>
  <c r="P25" i="10" s="1"/>
  <c r="B63" i="10"/>
  <c r="B94" i="10"/>
  <c r="B132" i="10"/>
  <c r="N132" i="10" s="1"/>
  <c r="O132" i="10" s="1"/>
  <c r="P132" i="10" s="1"/>
  <c r="B27" i="10"/>
  <c r="N27" i="10" s="1"/>
  <c r="O27" i="10" s="1"/>
  <c r="P27" i="10" s="1"/>
  <c r="B64" i="10"/>
  <c r="N64" i="10" s="1"/>
  <c r="O64" i="10" s="1"/>
  <c r="P64" i="10" s="1"/>
  <c r="B95" i="10"/>
  <c r="N95" i="10" s="1"/>
  <c r="O95" i="10" s="1"/>
  <c r="P95" i="10" s="1"/>
  <c r="B66" i="10"/>
  <c r="B36" i="10"/>
  <c r="B32" i="10"/>
  <c r="B65" i="10"/>
  <c r="B96" i="10"/>
  <c r="B97" i="10"/>
  <c r="B39" i="10"/>
  <c r="B70" i="10"/>
  <c r="B108" i="10"/>
  <c r="B40" i="10"/>
  <c r="N40" i="10" s="1"/>
  <c r="O40" i="10" s="1"/>
  <c r="P40" i="10" s="1"/>
  <c r="B71" i="10"/>
  <c r="B109" i="10"/>
  <c r="B8" i="10"/>
  <c r="N8" i="10" s="1"/>
  <c r="O8" i="10" s="1"/>
  <c r="P8" i="10" s="1"/>
  <c r="B41" i="10"/>
  <c r="B72" i="10"/>
  <c r="N72" i="10" s="1"/>
  <c r="O72" i="10" s="1"/>
  <c r="P72" i="10" s="1"/>
  <c r="B110" i="10"/>
  <c r="B9" i="10"/>
  <c r="B42" i="10"/>
  <c r="B73" i="10"/>
  <c r="B111" i="10"/>
  <c r="B12" i="10"/>
  <c r="AP14" i="11"/>
  <c r="AM7" i="11"/>
  <c r="B114" i="10"/>
  <c r="N114" i="10" s="1"/>
  <c r="O114" i="10" s="1"/>
  <c r="P114" i="10" s="1"/>
  <c r="B20" i="10"/>
  <c r="N20" i="10" s="1"/>
  <c r="O20" i="10" s="1"/>
  <c r="P20" i="10" s="1"/>
  <c r="O5" i="11"/>
  <c r="C12" i="10"/>
  <c r="C19" i="10"/>
  <c r="C84" i="10"/>
  <c r="C125" i="10"/>
  <c r="C132" i="10"/>
  <c r="C77" i="10"/>
  <c r="C131" i="10"/>
  <c r="C29" i="10"/>
  <c r="C45" i="10"/>
  <c r="C83" i="10"/>
  <c r="C115" i="10"/>
  <c r="C67" i="10"/>
  <c r="C93" i="10"/>
  <c r="C110" i="10"/>
  <c r="C62" i="10"/>
  <c r="C14" i="10"/>
  <c r="C100" i="10"/>
  <c r="C35" i="10"/>
  <c r="C52" i="10"/>
  <c r="C36" i="10"/>
  <c r="C117" i="10"/>
  <c r="C69" i="10"/>
  <c r="C107" i="10"/>
  <c r="B113" i="10"/>
  <c r="B19" i="10"/>
  <c r="G26" i="11"/>
  <c r="G42" i="10" s="1"/>
  <c r="AN14" i="11"/>
  <c r="B112" i="10"/>
  <c r="N112" i="10" s="1"/>
  <c r="O112" i="10" s="1"/>
  <c r="P112" i="10" s="1"/>
  <c r="B18" i="10"/>
  <c r="C108" i="10"/>
  <c r="T12" i="11"/>
  <c r="H6" i="10"/>
  <c r="H22" i="10"/>
  <c r="H33" i="10"/>
  <c r="H97" i="10"/>
  <c r="H77" i="10"/>
  <c r="H88" i="10"/>
  <c r="H45" i="10"/>
  <c r="H67" i="10"/>
  <c r="H72" i="10"/>
  <c r="H93" i="10"/>
  <c r="H24" i="10"/>
  <c r="H105" i="10"/>
  <c r="H126" i="10"/>
  <c r="H38" i="10"/>
  <c r="H49" i="10"/>
  <c r="H54" i="10"/>
  <c r="H76" i="10"/>
  <c r="H130" i="10"/>
  <c r="H17" i="10"/>
  <c r="H28" i="10"/>
  <c r="H60" i="10"/>
  <c r="H87" i="10"/>
  <c r="H114" i="10"/>
  <c r="H119" i="10"/>
  <c r="H29" i="10"/>
  <c r="H40" i="10"/>
  <c r="H66" i="10"/>
  <c r="H71" i="10"/>
  <c r="H92" i="10"/>
  <c r="H109" i="10"/>
  <c r="H131" i="10"/>
  <c r="H83" i="10"/>
  <c r="H115" i="10"/>
  <c r="H7" i="10"/>
  <c r="H12" i="10"/>
  <c r="H23" i="10"/>
  <c r="H34" i="10"/>
  <c r="H39" i="10"/>
  <c r="H55" i="10"/>
  <c r="H98" i="10"/>
  <c r="H50" i="10"/>
  <c r="H110" i="10"/>
  <c r="H8" i="10"/>
  <c r="H51" i="10"/>
  <c r="H62" i="10"/>
  <c r="H19" i="10"/>
  <c r="H132" i="10"/>
  <c r="H30" i="10"/>
  <c r="H89" i="10"/>
  <c r="H94" i="10"/>
  <c r="H116" i="10"/>
  <c r="H14" i="10"/>
  <c r="H25" i="10"/>
  <c r="H41" i="10"/>
  <c r="H46" i="10"/>
  <c r="H68" i="10"/>
  <c r="H84" i="10"/>
  <c r="H106" i="10"/>
  <c r="H122" i="10"/>
  <c r="H127" i="10"/>
  <c r="H63" i="10"/>
  <c r="H79" i="10"/>
  <c r="H100" i="10"/>
  <c r="H111" i="10"/>
  <c r="AO4" i="11"/>
  <c r="AO5" i="11"/>
  <c r="AO12" i="11"/>
  <c r="AO11" i="11"/>
  <c r="AO18" i="11"/>
  <c r="AO8" i="11"/>
  <c r="AO15" i="11"/>
  <c r="AO9" i="11"/>
  <c r="AO16" i="11"/>
  <c r="AN10" i="11"/>
  <c r="AN17" i="11"/>
  <c r="AM14" i="11"/>
  <c r="AP6" i="11"/>
  <c r="B16" i="10"/>
  <c r="B15" i="10"/>
  <c r="AR7" i="11"/>
  <c r="AR14" i="11"/>
  <c r="AR8" i="11"/>
  <c r="AR4" i="11"/>
  <c r="AR11" i="11"/>
  <c r="AR18" i="11"/>
  <c r="AR15" i="11"/>
  <c r="AR5" i="11"/>
  <c r="AR12" i="11"/>
  <c r="C124" i="10"/>
  <c r="C5" i="10"/>
  <c r="H11" i="10"/>
  <c r="B84" i="10"/>
  <c r="H53" i="10"/>
  <c r="C28" i="10"/>
  <c r="AQ6" i="11"/>
  <c r="B88" i="10"/>
  <c r="C38" i="10"/>
  <c r="AQ13" i="11"/>
  <c r="B87" i="10"/>
  <c r="AS7" i="11"/>
  <c r="AS15" i="11"/>
  <c r="AS14" i="11"/>
  <c r="AS4" i="11"/>
  <c r="AS18" i="11"/>
  <c r="AS8" i="11"/>
  <c r="AS11" i="11"/>
  <c r="AS5" i="11"/>
  <c r="AS12" i="11"/>
  <c r="AM4" i="11"/>
  <c r="B13" i="10"/>
  <c r="H70" i="10"/>
  <c r="C21" i="10"/>
  <c r="B85" i="10"/>
  <c r="H96" i="10"/>
  <c r="H20" i="10"/>
  <c r="AL18" i="11"/>
  <c r="AM11" i="11"/>
  <c r="B81" i="10"/>
  <c r="N81" i="10" s="1"/>
  <c r="O81" i="10" s="1"/>
  <c r="P81" i="10" s="1"/>
  <c r="H36" i="10"/>
  <c r="AN11" i="11"/>
  <c r="AN18" i="11"/>
  <c r="AN5" i="11"/>
  <c r="AN8" i="11"/>
  <c r="AN12" i="11"/>
  <c r="AN15" i="11"/>
  <c r="AN9" i="11"/>
  <c r="AN16" i="11"/>
  <c r="AN6" i="11"/>
  <c r="AP12" i="11"/>
  <c r="AP4" i="11"/>
  <c r="AP5" i="11"/>
  <c r="AP11" i="11"/>
  <c r="AP18" i="11"/>
  <c r="AP8" i="11"/>
  <c r="AP15" i="11"/>
  <c r="AP9" i="11"/>
  <c r="AP16" i="11"/>
  <c r="AO17" i="11"/>
  <c r="AM17" i="11"/>
  <c r="I13" i="10"/>
  <c r="I124" i="10"/>
  <c r="I88" i="10"/>
  <c r="I97" i="10"/>
  <c r="I44" i="10"/>
  <c r="I17" i="10"/>
  <c r="I119" i="10"/>
  <c r="I35" i="10"/>
  <c r="AO6" i="11"/>
  <c r="AN4" i="11"/>
  <c r="B14" i="10"/>
  <c r="B86" i="10"/>
  <c r="N86" i="10" s="1"/>
  <c r="O86" i="10" s="1"/>
  <c r="P86" i="10" s="1"/>
  <c r="AO13" i="11"/>
  <c r="AL4" i="11"/>
  <c r="AL17" i="11"/>
  <c r="AS10" i="11"/>
  <c r="B80" i="10"/>
  <c r="H113" i="10"/>
  <c r="H69" i="10"/>
  <c r="F131" i="10"/>
  <c r="D126" i="10"/>
  <c r="E120" i="10"/>
  <c r="E115" i="10"/>
  <c r="D110" i="10"/>
  <c r="F104" i="10"/>
  <c r="D93" i="10"/>
  <c r="F88" i="10"/>
  <c r="E83" i="10"/>
  <c r="F77" i="10"/>
  <c r="E72" i="10"/>
  <c r="D67" i="10"/>
  <c r="F61" i="10"/>
  <c r="E45" i="10"/>
  <c r="E29" i="10"/>
  <c r="E18" i="10"/>
  <c r="E131" i="10"/>
  <c r="F125" i="10"/>
  <c r="D120" i="10"/>
  <c r="D115" i="10"/>
  <c r="N115" i="10" s="1"/>
  <c r="O115" i="10" s="1"/>
  <c r="P115" i="10" s="1"/>
  <c r="E104" i="10"/>
  <c r="F98" i="10"/>
  <c r="E88" i="10"/>
  <c r="D83" i="10"/>
  <c r="E77" i="10"/>
  <c r="D72" i="10"/>
  <c r="E61" i="10"/>
  <c r="F55" i="10"/>
  <c r="F50" i="10"/>
  <c r="D45" i="10"/>
  <c r="F39" i="10"/>
  <c r="D29" i="10"/>
  <c r="D18" i="10"/>
  <c r="D131" i="10"/>
  <c r="E125" i="10"/>
  <c r="D104" i="10"/>
  <c r="E98" i="10"/>
  <c r="D88" i="10"/>
  <c r="D77" i="10"/>
  <c r="D61" i="10"/>
  <c r="E55" i="10"/>
  <c r="E50" i="10"/>
  <c r="E39" i="10"/>
  <c r="F34" i="10"/>
  <c r="F23" i="10"/>
  <c r="F12" i="10"/>
  <c r="F7" i="10"/>
  <c r="D125" i="10"/>
  <c r="F109" i="10"/>
  <c r="F103" i="10"/>
  <c r="D98" i="10"/>
  <c r="F82" i="10"/>
  <c r="F71" i="10"/>
  <c r="F66" i="10"/>
  <c r="D55" i="10"/>
  <c r="D50" i="10"/>
  <c r="D39" i="10"/>
  <c r="E34" i="10"/>
  <c r="E23" i="10"/>
  <c r="E12" i="10"/>
  <c r="E7" i="10"/>
  <c r="E109" i="10"/>
  <c r="E103" i="10"/>
  <c r="F92" i="10"/>
  <c r="E82" i="10"/>
  <c r="E71" i="10"/>
  <c r="E66" i="10"/>
  <c r="F60" i="10"/>
  <c r="F44" i="10"/>
  <c r="D34" i="10"/>
  <c r="F28" i="10"/>
  <c r="D23" i="10"/>
  <c r="F17" i="10"/>
  <c r="D12" i="10"/>
  <c r="D7" i="10"/>
  <c r="Q7" i="11"/>
  <c r="F119" i="10"/>
  <c r="F114" i="10"/>
  <c r="D109" i="10"/>
  <c r="D103" i="10"/>
  <c r="E92" i="10"/>
  <c r="F87" i="10"/>
  <c r="D82" i="10"/>
  <c r="F76" i="10"/>
  <c r="D71" i="10"/>
  <c r="E60" i="10"/>
  <c r="E44" i="10"/>
  <c r="E28" i="10"/>
  <c r="E17" i="10"/>
  <c r="I92" i="10"/>
  <c r="I39" i="10"/>
  <c r="I110" i="10"/>
  <c r="I21" i="10"/>
  <c r="I96" i="10"/>
  <c r="I65" i="10"/>
  <c r="I28" i="10"/>
  <c r="I81" i="10"/>
  <c r="I54" i="10"/>
  <c r="I41" i="10"/>
  <c r="I32" i="10"/>
  <c r="I23" i="10"/>
  <c r="I14" i="10"/>
  <c r="I10" i="10"/>
  <c r="I101" i="10"/>
  <c r="I66" i="10"/>
  <c r="I26" i="10"/>
  <c r="I128" i="10"/>
  <c r="I74" i="10"/>
  <c r="I78" i="10"/>
  <c r="I60" i="10"/>
  <c r="I20" i="10"/>
  <c r="I55" i="10"/>
  <c r="I24" i="10"/>
  <c r="I64" i="10"/>
  <c r="I90" i="10"/>
  <c r="I72" i="10"/>
  <c r="I112" i="10"/>
  <c r="I116" i="10"/>
  <c r="I85" i="10"/>
  <c r="I63" i="10"/>
  <c r="I45" i="10"/>
  <c r="I36" i="10"/>
  <c r="I79" i="10"/>
  <c r="I12" i="10"/>
  <c r="I114" i="10"/>
  <c r="I38" i="10"/>
  <c r="I105" i="10"/>
  <c r="I7" i="10"/>
  <c r="I95" i="10"/>
  <c r="I46" i="10"/>
  <c r="I6" i="10"/>
  <c r="I121" i="10"/>
  <c r="I125" i="10"/>
  <c r="I98" i="10"/>
  <c r="I76" i="10"/>
  <c r="I5" i="10"/>
  <c r="I57" i="10"/>
  <c r="I132" i="10"/>
  <c r="I87" i="10"/>
  <c r="I56" i="10"/>
  <c r="I100" i="10"/>
  <c r="I29" i="10"/>
  <c r="I73" i="10"/>
  <c r="I15" i="10"/>
  <c r="I86" i="10"/>
  <c r="I99" i="10"/>
  <c r="I130" i="10"/>
  <c r="I107" i="10"/>
  <c r="I93" i="10"/>
  <c r="I89" i="10"/>
  <c r="I67" i="10"/>
  <c r="I8" i="10"/>
  <c r="I123" i="10"/>
  <c r="I83" i="10"/>
  <c r="I69" i="10"/>
  <c r="I127" i="10"/>
  <c r="I109" i="10"/>
  <c r="I51" i="10"/>
  <c r="I131" i="10"/>
  <c r="I113" i="10"/>
  <c r="I33" i="10"/>
  <c r="I126" i="10"/>
  <c r="I108" i="10"/>
  <c r="I50" i="10"/>
  <c r="I103" i="10"/>
  <c r="I120" i="10"/>
  <c r="I111" i="10"/>
  <c r="I102" i="10"/>
  <c r="I71" i="10"/>
  <c r="I58" i="10"/>
  <c r="I49" i="10"/>
  <c r="I40" i="10"/>
  <c r="I27" i="10"/>
  <c r="I18" i="10"/>
  <c r="I70" i="10"/>
  <c r="I106" i="10"/>
  <c r="I48" i="10"/>
  <c r="I52" i="10"/>
  <c r="I43" i="10"/>
  <c r="I16" i="10"/>
  <c r="I47" i="10"/>
  <c r="I11" i="10"/>
  <c r="I117" i="10"/>
  <c r="I77" i="10"/>
  <c r="I37" i="10"/>
  <c r="I68" i="10"/>
  <c r="I59" i="10"/>
  <c r="I19" i="10"/>
  <c r="I80" i="10"/>
  <c r="I53" i="10"/>
  <c r="I31" i="10"/>
  <c r="I9" i="10"/>
  <c r="I30" i="10"/>
  <c r="I61" i="10"/>
  <c r="I34" i="10"/>
  <c r="I118" i="10"/>
  <c r="I25" i="10"/>
  <c r="I91" i="10"/>
  <c r="I42" i="10"/>
  <c r="I122" i="10"/>
  <c r="I82" i="10"/>
  <c r="I104" i="10"/>
  <c r="I94" i="10"/>
  <c r="I129" i="10"/>
  <c r="I115" i="10"/>
  <c r="I84" i="10"/>
  <c r="I62" i="10"/>
  <c r="I22" i="10"/>
  <c r="H121" i="10"/>
  <c r="H74" i="10"/>
  <c r="H31" i="10"/>
  <c r="H125" i="10"/>
  <c r="H108" i="10"/>
  <c r="H95" i="10"/>
  <c r="H78" i="10"/>
  <c r="H61" i="10"/>
  <c r="H44" i="10"/>
  <c r="H35" i="10"/>
  <c r="H18" i="10"/>
  <c r="H104" i="10"/>
  <c r="H57" i="10"/>
  <c r="H27" i="10"/>
  <c r="H112" i="10"/>
  <c r="H48" i="10"/>
  <c r="H5" i="10"/>
  <c r="H129" i="10"/>
  <c r="H99" i="10"/>
  <c r="H86" i="10"/>
  <c r="H82" i="10"/>
  <c r="H13" i="10"/>
  <c r="H9" i="10"/>
  <c r="H120" i="10"/>
  <c r="H103" i="10"/>
  <c r="H73" i="10"/>
  <c r="H56" i="10"/>
  <c r="G103" i="10"/>
  <c r="G61" i="10"/>
  <c r="G122" i="10"/>
  <c r="G118" i="10"/>
  <c r="G80" i="10"/>
  <c r="G33" i="10"/>
  <c r="G109" i="10"/>
  <c r="G67" i="10"/>
  <c r="G48" i="10"/>
  <c r="G10" i="10"/>
  <c r="G6" i="10"/>
  <c r="G98" i="10"/>
  <c r="G128" i="10"/>
  <c r="G21" i="10"/>
  <c r="G40" i="10"/>
  <c r="G129" i="10"/>
  <c r="G94" i="10"/>
  <c r="G105" i="10"/>
  <c r="G131" i="10"/>
  <c r="G108" i="10"/>
  <c r="G89" i="10"/>
  <c r="G120" i="10"/>
  <c r="G127" i="10"/>
  <c r="G41" i="10"/>
  <c r="G117" i="10"/>
  <c r="G63" i="10"/>
  <c r="G44" i="10"/>
  <c r="G124" i="10"/>
  <c r="G82" i="10"/>
  <c r="C118" i="10"/>
  <c r="C94" i="10"/>
  <c r="C70" i="10"/>
  <c r="C46" i="10"/>
  <c r="C22" i="10"/>
  <c r="C111" i="10"/>
  <c r="C87" i="10"/>
  <c r="C63" i="10"/>
  <c r="C39" i="10"/>
  <c r="C15" i="10"/>
  <c r="C128" i="10"/>
  <c r="C104" i="10"/>
  <c r="C80" i="10"/>
  <c r="C56" i="10"/>
  <c r="C32" i="10"/>
  <c r="C8" i="10"/>
  <c r="C121" i="10"/>
  <c r="C97" i="10"/>
  <c r="C73" i="10"/>
  <c r="C49" i="10"/>
  <c r="C25" i="10"/>
  <c r="C114" i="10"/>
  <c r="C90" i="10"/>
  <c r="C66" i="10"/>
  <c r="C42" i="10"/>
  <c r="C18" i="10"/>
  <c r="C58" i="10"/>
  <c r="C10" i="10"/>
  <c r="C123" i="10"/>
  <c r="C99" i="10"/>
  <c r="C75" i="10"/>
  <c r="C51" i="10"/>
  <c r="C27" i="10"/>
  <c r="C116" i="10"/>
  <c r="C92" i="10"/>
  <c r="C68" i="10"/>
  <c r="C44" i="10"/>
  <c r="C20" i="10"/>
  <c r="C109" i="10"/>
  <c r="C85" i="10"/>
  <c r="C61" i="10"/>
  <c r="C37" i="10"/>
  <c r="C13" i="10"/>
  <c r="C7" i="10"/>
  <c r="C96" i="10"/>
  <c r="C48" i="10"/>
  <c r="C65" i="10"/>
  <c r="C130" i="10"/>
  <c r="C102" i="10"/>
  <c r="C30" i="10"/>
  <c r="C6" i="10"/>
  <c r="C119" i="10"/>
  <c r="C95" i="10"/>
  <c r="C71" i="10"/>
  <c r="C47" i="10"/>
  <c r="C23" i="10"/>
  <c r="C112" i="10"/>
  <c r="C88" i="10"/>
  <c r="C64" i="10"/>
  <c r="C40" i="10"/>
  <c r="C16" i="10"/>
  <c r="C127" i="10"/>
  <c r="C103" i="10"/>
  <c r="C79" i="10"/>
  <c r="C55" i="10"/>
  <c r="C31" i="10"/>
  <c r="C120" i="10"/>
  <c r="C72" i="10"/>
  <c r="C24" i="10"/>
  <c r="C113" i="10"/>
  <c r="C89" i="10"/>
  <c r="C41" i="10"/>
  <c r="C17" i="10"/>
  <c r="C106" i="10"/>
  <c r="C82" i="10"/>
  <c r="C34" i="10"/>
  <c r="C126" i="10"/>
  <c r="C78" i="10"/>
  <c r="C54" i="10"/>
  <c r="C129" i="10"/>
  <c r="C105" i="10"/>
  <c r="C81" i="10"/>
  <c r="C57" i="10"/>
  <c r="C33" i="10"/>
  <c r="C9" i="10"/>
  <c r="C122" i="10"/>
  <c r="C98" i="10"/>
  <c r="C74" i="10"/>
  <c r="C50" i="10"/>
  <c r="C26" i="10"/>
  <c r="N121" i="10"/>
  <c r="O121" i="10" s="1"/>
  <c r="P121" i="10" s="1"/>
  <c r="B131" i="10"/>
  <c r="B107" i="10"/>
  <c r="B83" i="10"/>
  <c r="N83" i="10" s="1"/>
  <c r="O83" i="10" s="1"/>
  <c r="P83" i="10" s="1"/>
  <c r="B59" i="10"/>
  <c r="B35" i="10"/>
  <c r="B11" i="10"/>
  <c r="N11" i="10" s="1"/>
  <c r="O11" i="10" s="1"/>
  <c r="P11" i="10" s="1"/>
  <c r="B130" i="10"/>
  <c r="N130" i="10" s="1"/>
  <c r="O130" i="10" s="1"/>
  <c r="P130" i="10" s="1"/>
  <c r="B106" i="10"/>
  <c r="B82" i="10"/>
  <c r="B58" i="10"/>
  <c r="B34" i="10"/>
  <c r="B10" i="10"/>
  <c r="N58" i="10"/>
  <c r="O58" i="10" s="1"/>
  <c r="P58" i="10" s="1"/>
  <c r="B127" i="10"/>
  <c r="B103" i="10"/>
  <c r="B79" i="10"/>
  <c r="N79" i="10" s="1"/>
  <c r="O79" i="10" s="1"/>
  <c r="P79" i="10" s="1"/>
  <c r="B55" i="10"/>
  <c r="B31" i="10"/>
  <c r="B7" i="10"/>
  <c r="B126" i="10"/>
  <c r="B102" i="10"/>
  <c r="B78" i="10"/>
  <c r="B54" i="10"/>
  <c r="B30" i="10"/>
  <c r="N30" i="10" s="1"/>
  <c r="O30" i="10" s="1"/>
  <c r="P30" i="10" s="1"/>
  <c r="B6" i="10"/>
  <c r="N126" i="10"/>
  <c r="O126" i="10" s="1"/>
  <c r="P126" i="10" s="1"/>
  <c r="N102" i="10"/>
  <c r="O102" i="10" s="1"/>
  <c r="P102" i="10" s="1"/>
  <c r="N78" i="10"/>
  <c r="O78" i="10" s="1"/>
  <c r="P78" i="10" s="1"/>
  <c r="B125" i="10"/>
  <c r="B101" i="10"/>
  <c r="N101" i="10" s="1"/>
  <c r="O101" i="10" s="1"/>
  <c r="P101" i="10" s="1"/>
  <c r="B77" i="10"/>
  <c r="B53" i="10"/>
  <c r="B29" i="10"/>
  <c r="B124" i="10"/>
  <c r="B100" i="10"/>
  <c r="B76" i="10"/>
  <c r="B52" i="10"/>
  <c r="B28" i="10"/>
  <c r="B122" i="10"/>
  <c r="N122" i="10" s="1"/>
  <c r="O122" i="10" s="1"/>
  <c r="P122" i="10" s="1"/>
  <c r="B98" i="10"/>
  <c r="B74" i="10"/>
  <c r="B50" i="10"/>
  <c r="AL8" i="11"/>
  <c r="AL7" i="11"/>
  <c r="T11" i="11"/>
  <c r="T10" i="11"/>
  <c r="O6" i="11"/>
  <c r="Q9" i="11"/>
  <c r="Q8" i="11"/>
  <c r="U15" i="11"/>
  <c r="U18" i="11"/>
  <c r="U14" i="11"/>
  <c r="U16" i="11"/>
  <c r="U17" i="11"/>
  <c r="N17" i="11"/>
  <c r="N4" i="11"/>
  <c r="N13" i="11"/>
  <c r="N9" i="11"/>
  <c r="N10" i="11"/>
  <c r="N6" i="11"/>
  <c r="N11" i="11"/>
  <c r="N16" i="11"/>
  <c r="N7" i="11"/>
  <c r="N15" i="11"/>
  <c r="N8" i="11"/>
  <c r="N12" i="11"/>
  <c r="N14" i="11"/>
  <c r="S16" i="11"/>
  <c r="S11" i="11"/>
  <c r="S7" i="11"/>
  <c r="T6" i="11"/>
  <c r="S17" i="11"/>
  <c r="S15" i="11"/>
  <c r="S14" i="11"/>
  <c r="T9" i="11"/>
  <c r="T8" i="11"/>
  <c r="T7" i="11"/>
  <c r="T5" i="11"/>
  <c r="T4" i="11"/>
  <c r="U11" i="11"/>
  <c r="U13" i="11"/>
  <c r="U5" i="11"/>
  <c r="U6" i="11"/>
  <c r="U7" i="11"/>
  <c r="U8" i="11"/>
  <c r="U9" i="11"/>
  <c r="U10" i="11"/>
  <c r="U12" i="11"/>
  <c r="R5" i="11"/>
  <c r="R6" i="11"/>
  <c r="R14" i="11"/>
  <c r="R7" i="11"/>
  <c r="R15" i="11"/>
  <c r="R8" i="11"/>
  <c r="R9" i="11"/>
  <c r="R10" i="11"/>
  <c r="R11" i="11"/>
  <c r="R12" i="11"/>
  <c r="R13" i="11"/>
  <c r="R16" i="11"/>
  <c r="R17" i="11"/>
  <c r="Q11" i="11"/>
  <c r="Q12" i="11"/>
  <c r="Q13" i="11"/>
  <c r="Q14" i="11"/>
  <c r="Q15" i="11"/>
  <c r="Q16" i="11"/>
  <c r="Q17" i="11"/>
  <c r="P5" i="11"/>
  <c r="P6" i="11"/>
  <c r="P7" i="11"/>
  <c r="P8" i="11"/>
  <c r="P9" i="11"/>
  <c r="P10" i="11"/>
  <c r="P11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4" i="11"/>
  <c r="P4" i="11"/>
  <c r="P18" i="11"/>
  <c r="P17" i="11"/>
  <c r="P16" i="11"/>
  <c r="P15" i="11"/>
  <c r="P14" i="11"/>
  <c r="P13" i="11"/>
  <c r="P12" i="11"/>
  <c r="T18" i="11"/>
  <c r="T17" i="11"/>
  <c r="T16" i="11"/>
  <c r="T15" i="11"/>
  <c r="T14" i="11"/>
  <c r="T13" i="11"/>
  <c r="N5" i="11"/>
  <c r="N18" i="11"/>
  <c r="Q4" i="11"/>
  <c r="U4" i="11"/>
  <c r="F145" i="1"/>
  <c r="F142" i="1"/>
  <c r="N52" i="10" l="1"/>
  <c r="O52" i="10" s="1"/>
  <c r="P52" i="10" s="1"/>
  <c r="G14" i="10"/>
  <c r="N120" i="10"/>
  <c r="O120" i="10" s="1"/>
  <c r="P120" i="10" s="1"/>
  <c r="S6" i="11"/>
  <c r="G79" i="10"/>
  <c r="AN22" i="11"/>
  <c r="AN24" i="11" s="1"/>
  <c r="N117" i="10"/>
  <c r="O117" i="10" s="1"/>
  <c r="P117" i="10" s="1"/>
  <c r="S8" i="11"/>
  <c r="N106" i="10"/>
  <c r="O106" i="10" s="1"/>
  <c r="P106" i="10" s="1"/>
  <c r="G55" i="10"/>
  <c r="N61" i="10"/>
  <c r="O61" i="10" s="1"/>
  <c r="P61" i="10" s="1"/>
  <c r="AM22" i="11"/>
  <c r="AM24" i="11" s="1"/>
  <c r="N39" i="10"/>
  <c r="O39" i="10" s="1"/>
  <c r="P39" i="10" s="1"/>
  <c r="N23" i="10"/>
  <c r="O23" i="10" s="1"/>
  <c r="P23" i="10" s="1"/>
  <c r="G59" i="10"/>
  <c r="J59" i="10" s="1"/>
  <c r="G29" i="10"/>
  <c r="N110" i="10"/>
  <c r="O110" i="10" s="1"/>
  <c r="P110" i="10" s="1"/>
  <c r="N19" i="10"/>
  <c r="O19" i="10" s="1"/>
  <c r="P19" i="10" s="1"/>
  <c r="N44" i="10"/>
  <c r="O44" i="10" s="1"/>
  <c r="P44" i="10" s="1"/>
  <c r="S4" i="11"/>
  <c r="V4" i="11" s="1"/>
  <c r="N66" i="10"/>
  <c r="O66" i="10" s="1"/>
  <c r="P66" i="10" s="1"/>
  <c r="N51" i="10"/>
  <c r="O51" i="10" s="1"/>
  <c r="P51" i="10" s="1"/>
  <c r="S18" i="11"/>
  <c r="V18" i="11" s="1"/>
  <c r="G25" i="10"/>
  <c r="J25" i="10" s="1"/>
  <c r="G52" i="10"/>
  <c r="N74" i="10"/>
  <c r="O74" i="10" s="1"/>
  <c r="P74" i="10" s="1"/>
  <c r="G37" i="10"/>
  <c r="G71" i="10"/>
  <c r="N31" i="10"/>
  <c r="O31" i="10" s="1"/>
  <c r="P31" i="10" s="1"/>
  <c r="G47" i="10"/>
  <c r="G99" i="10"/>
  <c r="G51" i="10"/>
  <c r="G15" i="10"/>
  <c r="J15" i="10" s="1"/>
  <c r="N5" i="10"/>
  <c r="O5" i="10" s="1"/>
  <c r="P5" i="10" s="1"/>
  <c r="N33" i="10"/>
  <c r="O33" i="10" s="1"/>
  <c r="P33" i="10" s="1"/>
  <c r="N89" i="10"/>
  <c r="O89" i="10" s="1"/>
  <c r="P89" i="10" s="1"/>
  <c r="N59" i="10"/>
  <c r="O59" i="10" s="1"/>
  <c r="P59" i="10" s="1"/>
  <c r="N116" i="10"/>
  <c r="O116" i="10" s="1"/>
  <c r="P116" i="10" s="1"/>
  <c r="N22" i="10"/>
  <c r="O22" i="10" s="1"/>
  <c r="P22" i="10" s="1"/>
  <c r="N88" i="10"/>
  <c r="O88" i="10" s="1"/>
  <c r="P88" i="10" s="1"/>
  <c r="N54" i="10"/>
  <c r="O54" i="10" s="1"/>
  <c r="P54" i="10" s="1"/>
  <c r="N87" i="10"/>
  <c r="O87" i="10" s="1"/>
  <c r="P87" i="10" s="1"/>
  <c r="N98" i="10"/>
  <c r="O98" i="10" s="1"/>
  <c r="P98" i="10" s="1"/>
  <c r="N16" i="10"/>
  <c r="O16" i="10" s="1"/>
  <c r="P16" i="10" s="1"/>
  <c r="N90" i="10"/>
  <c r="O90" i="10" s="1"/>
  <c r="P90" i="10" s="1"/>
  <c r="N76" i="10"/>
  <c r="O76" i="10" s="1"/>
  <c r="P76" i="10" s="1"/>
  <c r="N71" i="10"/>
  <c r="O71" i="10" s="1"/>
  <c r="P71" i="10" s="1"/>
  <c r="N128" i="10"/>
  <c r="O128" i="10" s="1"/>
  <c r="P128" i="10" s="1"/>
  <c r="N124" i="10"/>
  <c r="O124" i="10" s="1"/>
  <c r="P124" i="10" s="1"/>
  <c r="N108" i="10"/>
  <c r="O108" i="10" s="1"/>
  <c r="P108" i="10" s="1"/>
  <c r="N84" i="10"/>
  <c r="O84" i="10" s="1"/>
  <c r="P84" i="10" s="1"/>
  <c r="N38" i="10"/>
  <c r="O38" i="10" s="1"/>
  <c r="P38" i="10" s="1"/>
  <c r="N10" i="10"/>
  <c r="O10" i="10" s="1"/>
  <c r="P10" i="10" s="1"/>
  <c r="J108" i="10"/>
  <c r="N96" i="10"/>
  <c r="O96" i="10" s="1"/>
  <c r="P96" i="10" s="1"/>
  <c r="J118" i="10"/>
  <c r="N65" i="10"/>
  <c r="O65" i="10" s="1"/>
  <c r="P65" i="10" s="1"/>
  <c r="N43" i="10"/>
  <c r="O43" i="10" s="1"/>
  <c r="P43" i="10" s="1"/>
  <c r="N105" i="10"/>
  <c r="O105" i="10" s="1"/>
  <c r="P105" i="10" s="1"/>
  <c r="N53" i="10"/>
  <c r="O53" i="10" s="1"/>
  <c r="P53" i="10" s="1"/>
  <c r="N32" i="10"/>
  <c r="O32" i="10" s="1"/>
  <c r="P32" i="10" s="1"/>
  <c r="N82" i="10"/>
  <c r="O82" i="10" s="1"/>
  <c r="P82" i="10" s="1"/>
  <c r="J80" i="10"/>
  <c r="AS22" i="11"/>
  <c r="AS24" i="11" s="1"/>
  <c r="N99" i="10"/>
  <c r="O99" i="10" s="1"/>
  <c r="P99" i="10" s="1"/>
  <c r="N70" i="10"/>
  <c r="O70" i="10" s="1"/>
  <c r="P70" i="10" s="1"/>
  <c r="N6" i="10"/>
  <c r="O6" i="10" s="1"/>
  <c r="P6" i="10" s="1"/>
  <c r="N35" i="10"/>
  <c r="O35" i="10" s="1"/>
  <c r="P35" i="10" s="1"/>
  <c r="G121" i="10"/>
  <c r="J121" i="10" s="1"/>
  <c r="G60" i="10"/>
  <c r="J60" i="10" s="1"/>
  <c r="G19" i="10"/>
  <c r="J19" i="10" s="1"/>
  <c r="N85" i="10"/>
  <c r="O85" i="10" s="1"/>
  <c r="P85" i="10" s="1"/>
  <c r="S13" i="11"/>
  <c r="G28" i="10"/>
  <c r="J28" i="10" s="1"/>
  <c r="G26" i="10"/>
  <c r="J26" i="10" s="1"/>
  <c r="G38" i="10"/>
  <c r="J38" i="10" s="1"/>
  <c r="J21" i="10"/>
  <c r="N80" i="10"/>
  <c r="O80" i="10" s="1"/>
  <c r="P80" i="10" s="1"/>
  <c r="N97" i="10"/>
  <c r="O97" i="10" s="1"/>
  <c r="P97" i="10" s="1"/>
  <c r="N28" i="10"/>
  <c r="O28" i="10" s="1"/>
  <c r="P28" i="10" s="1"/>
  <c r="N107" i="10"/>
  <c r="O107" i="10" s="1"/>
  <c r="P107" i="10" s="1"/>
  <c r="N13" i="10"/>
  <c r="O13" i="10" s="1"/>
  <c r="P13" i="10" s="1"/>
  <c r="AO21" i="11"/>
  <c r="J89" i="10"/>
  <c r="AR22" i="11"/>
  <c r="AR24" i="11" s="1"/>
  <c r="N113" i="10"/>
  <c r="O113" i="10" s="1"/>
  <c r="P113" i="10" s="1"/>
  <c r="N36" i="10"/>
  <c r="O36" i="10" s="1"/>
  <c r="P36" i="10" s="1"/>
  <c r="G101" i="10"/>
  <c r="J101" i="10" s="1"/>
  <c r="G17" i="10"/>
  <c r="G90" i="10"/>
  <c r="J90" i="10" s="1"/>
  <c r="AL22" i="11"/>
  <c r="AL24" i="11" s="1"/>
  <c r="J124" i="10"/>
  <c r="AN21" i="11"/>
  <c r="AR23" i="11"/>
  <c r="N12" i="10"/>
  <c r="O12" i="10" s="1"/>
  <c r="P12" i="10" s="1"/>
  <c r="N60" i="10"/>
  <c r="O60" i="10" s="1"/>
  <c r="P60" i="10" s="1"/>
  <c r="J61" i="10"/>
  <c r="G83" i="10"/>
  <c r="J83" i="10" s="1"/>
  <c r="G32" i="10"/>
  <c r="J32" i="10" s="1"/>
  <c r="G75" i="10"/>
  <c r="J75" i="10" s="1"/>
  <c r="AO22" i="11"/>
  <c r="AO24" i="11" s="1"/>
  <c r="N73" i="10"/>
  <c r="O73" i="10" s="1"/>
  <c r="P73" i="10" s="1"/>
  <c r="N94" i="10"/>
  <c r="O94" i="10" s="1"/>
  <c r="P94" i="10" s="1"/>
  <c r="N26" i="10"/>
  <c r="O26" i="10" s="1"/>
  <c r="P26" i="10" s="1"/>
  <c r="N91" i="10"/>
  <c r="O91" i="10" s="1"/>
  <c r="P91" i="10" s="1"/>
  <c r="N111" i="10"/>
  <c r="O111" i="10" s="1"/>
  <c r="P111" i="10" s="1"/>
  <c r="G64" i="10"/>
  <c r="J64" i="10" s="1"/>
  <c r="G70" i="10"/>
  <c r="J70" i="10" s="1"/>
  <c r="G113" i="10"/>
  <c r="J113" i="10" s="1"/>
  <c r="J67" i="10"/>
  <c r="N42" i="10"/>
  <c r="O42" i="10" s="1"/>
  <c r="P42" i="10" s="1"/>
  <c r="N63" i="10"/>
  <c r="O63" i="10" s="1"/>
  <c r="P63" i="10" s="1"/>
  <c r="N14" i="10"/>
  <c r="O14" i="10" s="1"/>
  <c r="P14" i="10" s="1"/>
  <c r="N77" i="10"/>
  <c r="O77" i="10" s="1"/>
  <c r="P77" i="10" s="1"/>
  <c r="G24" i="10"/>
  <c r="J24" i="10" s="1"/>
  <c r="G74" i="10"/>
  <c r="J74" i="10" s="1"/>
  <c r="G53" i="10"/>
  <c r="J53" i="10" s="1"/>
  <c r="N15" i="10"/>
  <c r="O15" i="10" s="1"/>
  <c r="P15" i="10" s="1"/>
  <c r="N9" i="10"/>
  <c r="O9" i="10" s="1"/>
  <c r="P9" i="10" s="1"/>
  <c r="G43" i="10"/>
  <c r="J43" i="10" s="1"/>
  <c r="G112" i="10"/>
  <c r="J112" i="10" s="1"/>
  <c r="G57" i="10"/>
  <c r="J57" i="10" s="1"/>
  <c r="N129" i="10"/>
  <c r="O129" i="10" s="1"/>
  <c r="P129" i="10" s="1"/>
  <c r="N34" i="10"/>
  <c r="O34" i="10" s="1"/>
  <c r="P34" i="10" s="1"/>
  <c r="G66" i="10"/>
  <c r="J66" i="10" s="1"/>
  <c r="G78" i="10"/>
  <c r="J78" i="10" s="1"/>
  <c r="G76" i="10"/>
  <c r="J76" i="10" s="1"/>
  <c r="AP22" i="11"/>
  <c r="AP24" i="11" s="1"/>
  <c r="S10" i="11"/>
  <c r="V10" i="11" s="1"/>
  <c r="G85" i="10"/>
  <c r="J85" i="10" s="1"/>
  <c r="G13" i="10"/>
  <c r="J13" i="10" s="1"/>
  <c r="G95" i="10"/>
  <c r="J95" i="10" s="1"/>
  <c r="N41" i="10"/>
  <c r="O41" i="10" s="1"/>
  <c r="P41" i="10" s="1"/>
  <c r="N62" i="10"/>
  <c r="O62" i="10" s="1"/>
  <c r="P62" i="10" s="1"/>
  <c r="J63" i="10"/>
  <c r="AS23" i="11"/>
  <c r="AS21" i="11"/>
  <c r="J41" i="10"/>
  <c r="AN23" i="11"/>
  <c r="AQ21" i="11"/>
  <c r="AQ23" i="11"/>
  <c r="N93" i="10"/>
  <c r="O93" i="10" s="1"/>
  <c r="P93" i="10" s="1"/>
  <c r="AL21" i="11"/>
  <c r="G62" i="10"/>
  <c r="J62" i="10" s="1"/>
  <c r="G102" i="10"/>
  <c r="J102" i="10" s="1"/>
  <c r="G86" i="10"/>
  <c r="J86" i="10" s="1"/>
  <c r="N109" i="10"/>
  <c r="O109" i="10" s="1"/>
  <c r="P109" i="10" s="1"/>
  <c r="N45" i="10"/>
  <c r="O45" i="10" s="1"/>
  <c r="P45" i="10" s="1"/>
  <c r="N18" i="10"/>
  <c r="O18" i="10" s="1"/>
  <c r="P18" i="10" s="1"/>
  <c r="N55" i="10"/>
  <c r="O55" i="10" s="1"/>
  <c r="P55" i="10" s="1"/>
  <c r="AM23" i="11"/>
  <c r="N131" i="10"/>
  <c r="O131" i="10" s="1"/>
  <c r="P131" i="10" s="1"/>
  <c r="AM21" i="11"/>
  <c r="S9" i="11"/>
  <c r="V9" i="11" s="1"/>
  <c r="G49" i="10"/>
  <c r="J49" i="10" s="1"/>
  <c r="G54" i="10"/>
  <c r="J54" i="10" s="1"/>
  <c r="G130" i="10"/>
  <c r="J130" i="10" s="1"/>
  <c r="G77" i="10"/>
  <c r="J77" i="10" s="1"/>
  <c r="G45" i="10"/>
  <c r="J45" i="10" s="1"/>
  <c r="G72" i="10"/>
  <c r="J72" i="10" s="1"/>
  <c r="G110" i="10"/>
  <c r="J110" i="10" s="1"/>
  <c r="G126" i="10"/>
  <c r="J126" i="10" s="1"/>
  <c r="G87" i="10"/>
  <c r="J87" i="10" s="1"/>
  <c r="G114" i="10"/>
  <c r="J114" i="10" s="1"/>
  <c r="G119" i="10"/>
  <c r="J119" i="10" s="1"/>
  <c r="G92" i="10"/>
  <c r="J92" i="10" s="1"/>
  <c r="G88" i="10"/>
  <c r="J88" i="10" s="1"/>
  <c r="G7" i="10"/>
  <c r="J7" i="10" s="1"/>
  <c r="G12" i="10"/>
  <c r="J12" i="10" s="1"/>
  <c r="G23" i="10"/>
  <c r="J23" i="10" s="1"/>
  <c r="G34" i="10"/>
  <c r="J34" i="10" s="1"/>
  <c r="G50" i="10"/>
  <c r="J50" i="10" s="1"/>
  <c r="G115" i="10"/>
  <c r="G8" i="10"/>
  <c r="J8" i="10" s="1"/>
  <c r="G35" i="10"/>
  <c r="J35" i="10" s="1"/>
  <c r="G30" i="10"/>
  <c r="J30" i="10" s="1"/>
  <c r="G46" i="10"/>
  <c r="J46" i="10" s="1"/>
  <c r="G68" i="10"/>
  <c r="J68" i="10" s="1"/>
  <c r="G73" i="10"/>
  <c r="J73" i="10" s="1"/>
  <c r="G84" i="10"/>
  <c r="J84" i="10" s="1"/>
  <c r="G100" i="10"/>
  <c r="J100" i="10" s="1"/>
  <c r="G111" i="10"/>
  <c r="J111" i="10" s="1"/>
  <c r="G107" i="10"/>
  <c r="J107" i="10" s="1"/>
  <c r="G27" i="10"/>
  <c r="J27" i="10" s="1"/>
  <c r="G123" i="10"/>
  <c r="J123" i="10" s="1"/>
  <c r="G11" i="10"/>
  <c r="J11" i="10" s="1"/>
  <c r="G96" i="10"/>
  <c r="G16" i="10"/>
  <c r="J16" i="10" s="1"/>
  <c r="G81" i="10"/>
  <c r="J81" i="10" s="1"/>
  <c r="G31" i="10"/>
  <c r="G91" i="10"/>
  <c r="J91" i="10" s="1"/>
  <c r="G65" i="10"/>
  <c r="J65" i="10" s="1"/>
  <c r="G58" i="10"/>
  <c r="J58" i="10" s="1"/>
  <c r="G69" i="10"/>
  <c r="J69" i="10" s="1"/>
  <c r="N92" i="10"/>
  <c r="O92" i="10" s="1"/>
  <c r="P92" i="10" s="1"/>
  <c r="G106" i="10"/>
  <c r="J106" i="10" s="1"/>
  <c r="G93" i="10"/>
  <c r="J93" i="10" s="1"/>
  <c r="G132" i="10"/>
  <c r="J132" i="10" s="1"/>
  <c r="J115" i="10"/>
  <c r="J47" i="10"/>
  <c r="AP23" i="11"/>
  <c r="AR21" i="11"/>
  <c r="AQ22" i="11"/>
  <c r="AQ24" i="11" s="1"/>
  <c r="N7" i="10"/>
  <c r="O7" i="10" s="1"/>
  <c r="P7" i="10" s="1"/>
  <c r="N123" i="10"/>
  <c r="O123" i="10" s="1"/>
  <c r="P123" i="10" s="1"/>
  <c r="AP21" i="11"/>
  <c r="N29" i="10"/>
  <c r="O29" i="10" s="1"/>
  <c r="P29" i="10" s="1"/>
  <c r="J17" i="10"/>
  <c r="J51" i="10"/>
  <c r="AO23" i="11"/>
  <c r="S5" i="11"/>
  <c r="V5" i="11" s="1"/>
  <c r="J14" i="10"/>
  <c r="G20" i="10"/>
  <c r="J20" i="10" s="1"/>
  <c r="G125" i="10"/>
  <c r="J125" i="10" s="1"/>
  <c r="G97" i="10"/>
  <c r="J97" i="10" s="1"/>
  <c r="G56" i="10"/>
  <c r="J56" i="10" s="1"/>
  <c r="J42" i="10"/>
  <c r="J71" i="10"/>
  <c r="J6" i="10"/>
  <c r="S12" i="11"/>
  <c r="V12" i="11" s="1"/>
  <c r="N50" i="10"/>
  <c r="O50" i="10" s="1"/>
  <c r="P50" i="10" s="1"/>
  <c r="J48" i="10"/>
  <c r="G39" i="10"/>
  <c r="J39" i="10" s="1"/>
  <c r="G5" i="10"/>
  <c r="G116" i="10"/>
  <c r="J116" i="10" s="1"/>
  <c r="G18" i="10"/>
  <c r="J18" i="10" s="1"/>
  <c r="J99" i="10"/>
  <c r="J94" i="10"/>
  <c r="AL23" i="11"/>
  <c r="J105" i="10"/>
  <c r="N103" i="10"/>
  <c r="O103" i="10" s="1"/>
  <c r="P103" i="10" s="1"/>
  <c r="J10" i="10"/>
  <c r="N100" i="10"/>
  <c r="O100" i="10" s="1"/>
  <c r="P100" i="10" s="1"/>
  <c r="J96" i="10"/>
  <c r="G104" i="10"/>
  <c r="J104" i="10" s="1"/>
  <c r="G9" i="10"/>
  <c r="J9" i="10" s="1"/>
  <c r="G36" i="10"/>
  <c r="J36" i="10" s="1"/>
  <c r="G22" i="10"/>
  <c r="J22" i="10" s="1"/>
  <c r="J52" i="10"/>
  <c r="N104" i="10"/>
  <c r="O104" i="10" s="1"/>
  <c r="P104" i="10" s="1"/>
  <c r="N67" i="10"/>
  <c r="O67" i="10" s="1"/>
  <c r="P67" i="10" s="1"/>
  <c r="J128" i="10"/>
  <c r="J122" i="10"/>
  <c r="J129" i="10"/>
  <c r="J109" i="10"/>
  <c r="J117" i="10"/>
  <c r="J33" i="10"/>
  <c r="J131" i="10"/>
  <c r="J40" i="10"/>
  <c r="J120" i="10"/>
  <c r="J37" i="10"/>
  <c r="J44" i="10"/>
  <c r="J55" i="10"/>
  <c r="J82" i="10"/>
  <c r="J29" i="10"/>
  <c r="J127" i="10"/>
  <c r="N127" i="10"/>
  <c r="O127" i="10" s="1"/>
  <c r="P127" i="10" s="1"/>
  <c r="N125" i="10"/>
  <c r="O125" i="10" s="1"/>
  <c r="P125" i="10" s="1"/>
  <c r="J103" i="10"/>
  <c r="J31" i="10"/>
  <c r="J79" i="10"/>
  <c r="J98" i="10"/>
  <c r="V17" i="11"/>
  <c r="V16" i="11"/>
  <c r="V15" i="11"/>
  <c r="V14" i="11"/>
  <c r="V6" i="11"/>
  <c r="V13" i="11"/>
  <c r="V8" i="11"/>
  <c r="V11" i="11"/>
  <c r="V7" i="11"/>
</calcChain>
</file>

<file path=xl/sharedStrings.xml><?xml version="1.0" encoding="utf-8"?>
<sst xmlns="http://schemas.openxmlformats.org/spreadsheetml/2006/main" count="11865" uniqueCount="8748">
  <si>
    <t xml:space="preserve"> </t>
  </si>
  <si>
    <t xml:space="preserve">Mass percent  </t>
  </si>
  <si>
    <t xml:space="preserve">      Group : Olivine       </t>
  </si>
  <si>
    <t xml:space="preserve">  Sample : 010317Fr        </t>
  </si>
  <si>
    <t xml:space="preserve"> Page </t>
  </si>
  <si>
    <t xml:space="preserve">   No. </t>
  </si>
  <si>
    <t xml:space="preserve">   MgO   </t>
  </si>
  <si>
    <t xml:space="preserve">   MnO   </t>
  </si>
  <si>
    <t xml:space="preserve">   FeO   </t>
  </si>
  <si>
    <t xml:space="preserve">   SiO2  </t>
  </si>
  <si>
    <t xml:space="preserve">   CaO   </t>
  </si>
  <si>
    <t xml:space="preserve">   Cr2O3 </t>
  </si>
  <si>
    <t xml:space="preserve">   NiO   </t>
  </si>
  <si>
    <t xml:space="preserve">   Al2O3 </t>
  </si>
  <si>
    <t xml:space="preserve">  Total  </t>
  </si>
  <si>
    <t xml:space="preserve">Comment  </t>
  </si>
  <si>
    <t xml:space="preserve">SC-Olivine </t>
  </si>
  <si>
    <t xml:space="preserve">UnkA-C20-S2-1MI_1_1 </t>
  </si>
  <si>
    <t xml:space="preserve">UnkA-C20-S2-1MI_1_2 </t>
  </si>
  <si>
    <t xml:space="preserve">UnkA-C20-S2-1MI_1_3 </t>
  </si>
  <si>
    <t xml:space="preserve">UnkA-C20-S2-1MI_2_1 </t>
  </si>
  <si>
    <t xml:space="preserve">UnkA-C20-S2-1MI_2_2 </t>
  </si>
  <si>
    <t xml:space="preserve">UnkA-C20-S2-1MI_2_3 </t>
  </si>
  <si>
    <t xml:space="preserve">UnkA-C20-S2-1MI_3_1 </t>
  </si>
  <si>
    <t xml:space="preserve">UnkA-C20-S2-1MI_3_2 </t>
  </si>
  <si>
    <t xml:space="preserve">UnkA-C20-S2-1MI_3_3 </t>
  </si>
  <si>
    <t xml:space="preserve">UnkA-C20-S2-1MI_4_1 </t>
  </si>
  <si>
    <t xml:space="preserve">UnkA-C20-S2-1MI_4_2 </t>
  </si>
  <si>
    <t xml:space="preserve">UnkA-C20-S2-1MI_4_3 </t>
  </si>
  <si>
    <t xml:space="preserve">UnkA-C20-S2-1MI_5_1 </t>
  </si>
  <si>
    <t xml:space="preserve">UnkA-C20-S2-1MI_5_2 </t>
  </si>
  <si>
    <t xml:space="preserve">UnkA-C20-S2-1MI_5_3 </t>
  </si>
  <si>
    <t xml:space="preserve">UnkA-C20-S2-1MI_6_1 </t>
  </si>
  <si>
    <t xml:space="preserve">UnkA-C20-S2-1MI_6_2 </t>
  </si>
  <si>
    <t xml:space="preserve">UnkA-C20-S2-1MI_6_3 </t>
  </si>
  <si>
    <t xml:space="preserve">UnkA-C20-S2-1MI_7_1 </t>
  </si>
  <si>
    <t xml:space="preserve">UnkA-C20-S2-1MI_7_2 </t>
  </si>
  <si>
    <t xml:space="preserve">UnkA-C20-S2-1MI_7_3 </t>
  </si>
  <si>
    <t xml:space="preserve">UnkA-C20-S2-3MI_1_1 </t>
  </si>
  <si>
    <t xml:space="preserve">UnkA-C20-S2-3MI_1_2 </t>
  </si>
  <si>
    <t xml:space="preserve">UnkA-C20-S2-3MI_1_3 </t>
  </si>
  <si>
    <t xml:space="preserve">UnkA-C20-S2-3MI_2_1 </t>
  </si>
  <si>
    <t xml:space="preserve">UnkA-C20-S2-3MI_2_2 </t>
  </si>
  <si>
    <t xml:space="preserve">UnkA-C20-S2-3MI_2_3 </t>
  </si>
  <si>
    <t xml:space="preserve">UnkA-C20-S2-3MI_3_1 </t>
  </si>
  <si>
    <t xml:space="preserve">UnkA-C20-S2-3MI_3_2 </t>
  </si>
  <si>
    <t xml:space="preserve">UnkA-C20-S2-3MI_3_3 </t>
  </si>
  <si>
    <t xml:space="preserve">UnkA-C20-S2-3MI_4_1 </t>
  </si>
  <si>
    <t xml:space="preserve">UnkA-C20-S2-3MI_4_2 </t>
  </si>
  <si>
    <t xml:space="preserve">UnkA-C20-S2-3MI_4_3 </t>
  </si>
  <si>
    <t xml:space="preserve">UnkA-C21MI_1_1 </t>
  </si>
  <si>
    <t xml:space="preserve">UnkA-C21MI_1_2 </t>
  </si>
  <si>
    <t xml:space="preserve">UnkA-C21MI_1_3 </t>
  </si>
  <si>
    <t xml:space="preserve">UnkA-C21MI_2_1 </t>
  </si>
  <si>
    <t xml:space="preserve">UnkA-C21MI_2_2 </t>
  </si>
  <si>
    <t xml:space="preserve">UnkA-C21MI_2_3 </t>
  </si>
  <si>
    <t xml:space="preserve">UnkA-C21MI_3_1 </t>
  </si>
  <si>
    <t xml:space="preserve">UnkA-C21MI_3_2 </t>
  </si>
  <si>
    <t xml:space="preserve">UnkA-C21MI_3_3 </t>
  </si>
  <si>
    <t xml:space="preserve">UnkA-C21MI_4_1 </t>
  </si>
  <si>
    <t xml:space="preserve">UnkA-C21MI_4_2 </t>
  </si>
  <si>
    <t xml:space="preserve">UnkA-C21MI_4_3 </t>
  </si>
  <si>
    <t xml:space="preserve">UnkA-C21MI_4_4 </t>
  </si>
  <si>
    <t xml:space="preserve">UnkA-C21MI_5_1 </t>
  </si>
  <si>
    <t xml:space="preserve">UnkA-C21MI_5_2 </t>
  </si>
  <si>
    <t xml:space="preserve">UnkA-C21MI_5_3 </t>
  </si>
  <si>
    <t xml:space="preserve">UnkA-C21MI_6_1 </t>
  </si>
  <si>
    <t xml:space="preserve">UnkA-C21MI_6_2 </t>
  </si>
  <si>
    <t xml:space="preserve">UnkA-C21MI_6_3 </t>
  </si>
  <si>
    <t xml:space="preserve">UnkA-C21MI_7_1 </t>
  </si>
  <si>
    <t xml:space="preserve">UnkA-C21MI_7_2 </t>
  </si>
  <si>
    <t xml:space="preserve">UnkA-C21MI_7_3 </t>
  </si>
  <si>
    <t xml:space="preserve">UnkA-C21MI_8_1 </t>
  </si>
  <si>
    <t xml:space="preserve">UnkA-C21MI_8_2 </t>
  </si>
  <si>
    <t xml:space="preserve">UnkA-C21MI_8_3 </t>
  </si>
  <si>
    <t xml:space="preserve">UnkA-C21MI_9_1 </t>
  </si>
  <si>
    <t xml:space="preserve">UnkA-C21MI_9_2 </t>
  </si>
  <si>
    <t xml:space="preserve">UnkA-C21MI_9_3 </t>
  </si>
  <si>
    <t xml:space="preserve">UnkA-C21MI_10_1 </t>
  </si>
  <si>
    <t xml:space="preserve">UnkA-C21MI_10_2 </t>
  </si>
  <si>
    <t xml:space="preserve">UnkA-C21MI_10_3 </t>
  </si>
  <si>
    <t xml:space="preserve">UnkA-C21MI_11_1 </t>
  </si>
  <si>
    <t xml:space="preserve">UnkA-C21MI_11_2 </t>
  </si>
  <si>
    <t xml:space="preserve">UnkA-C21MI_11_3 </t>
  </si>
  <si>
    <t xml:space="preserve">UnkA-C21MI_12_1 </t>
  </si>
  <si>
    <t xml:space="preserve">UnkA-C21MI_12_2 </t>
  </si>
  <si>
    <t xml:space="preserve">UnkA-C21MI_12_3 </t>
  </si>
  <si>
    <t xml:space="preserve">UnkA-C21MI_13_1 </t>
  </si>
  <si>
    <t xml:space="preserve">UnkA-C21MI_13_2 </t>
  </si>
  <si>
    <t xml:space="preserve">UnkA-C21MI_13_3 </t>
  </si>
  <si>
    <t xml:space="preserve">UnkA-C21MI_14_1 </t>
  </si>
  <si>
    <t xml:space="preserve">UnkA-C21MI_14_2 </t>
  </si>
  <si>
    <t xml:space="preserve">UnkA-C21MI_14_3 </t>
  </si>
  <si>
    <t xml:space="preserve">UnkA-C21MI_15_1 </t>
  </si>
  <si>
    <t xml:space="preserve">UnkA-C21MI_15_2 </t>
  </si>
  <si>
    <t xml:space="preserve">UnkA-C21MI_15_3 </t>
  </si>
  <si>
    <t xml:space="preserve">UnkA-C21MI_16_1 </t>
  </si>
  <si>
    <t xml:space="preserve">UnkA-C21MI_16_2 </t>
  </si>
  <si>
    <t xml:space="preserve">UnkA-C21MI_16_3 </t>
  </si>
  <si>
    <t xml:space="preserve">UnkA-C21MI_17_1 </t>
  </si>
  <si>
    <t xml:space="preserve">UnkA-C21MI_17_2 </t>
  </si>
  <si>
    <t xml:space="preserve">UnkA-C21MI_17_3 </t>
  </si>
  <si>
    <t xml:space="preserve">UnkA-C21MI_18_1 </t>
  </si>
  <si>
    <t xml:space="preserve">UnkA-C21MI_18_2 </t>
  </si>
  <si>
    <t xml:space="preserve">UnkA-C21MI_18_3 </t>
  </si>
  <si>
    <t xml:space="preserve">UnkA-C21MI_19_1 </t>
  </si>
  <si>
    <t xml:space="preserve">UnkA-C21MI_19_2 </t>
  </si>
  <si>
    <t xml:space="preserve">UnkA-C21MI_19_3 </t>
  </si>
  <si>
    <t xml:space="preserve">UnkA-C21MI_20_1 </t>
  </si>
  <si>
    <t xml:space="preserve">UnkA-C21MI_20_2 </t>
  </si>
  <si>
    <t xml:space="preserve">UnkA-C21MI_20_3 </t>
  </si>
  <si>
    <t xml:space="preserve">UnkA-C21MI_21_1 </t>
  </si>
  <si>
    <t xml:space="preserve">UnkA-C21MI_21_2 </t>
  </si>
  <si>
    <t xml:space="preserve">UnkA-C21MI_21_3 </t>
  </si>
  <si>
    <t xml:space="preserve">UnkA-C21MI_22_1 </t>
  </si>
  <si>
    <t xml:space="preserve">UnkA-C21MI_22_2 </t>
  </si>
  <si>
    <t xml:space="preserve">UnkA-C21MI_22_3 </t>
  </si>
  <si>
    <t xml:space="preserve">UnkA-C21MI_23_1 </t>
  </si>
  <si>
    <t xml:space="preserve">UnkA-C21MI_23_2 </t>
  </si>
  <si>
    <t xml:space="preserve">UnkA-C21MI_23_3 </t>
  </si>
  <si>
    <t xml:space="preserve">UnkA-C21MI_24_1 </t>
  </si>
  <si>
    <t xml:space="preserve">UnkA-C21MI_24_2 </t>
  </si>
  <si>
    <t xml:space="preserve">UnkA-C21MI_24_3 </t>
  </si>
  <si>
    <t xml:space="preserve">UnkA-C21MI_24_4 </t>
  </si>
  <si>
    <t xml:space="preserve">UnkA-C21MI_25_1 </t>
  </si>
  <si>
    <t xml:space="preserve">UnkA-C21MI_25_2 </t>
  </si>
  <si>
    <t xml:space="preserve">UnkA-C21MI_25_3 </t>
  </si>
  <si>
    <t xml:space="preserve">UnkA-C21MI_26_1 </t>
  </si>
  <si>
    <t xml:space="preserve">UnkA-C21MI_26_2 </t>
  </si>
  <si>
    <t xml:space="preserve">UnkA-C21MI_26_3 </t>
  </si>
  <si>
    <t>Minimum</t>
  </si>
  <si>
    <t>Maximum</t>
  </si>
  <si>
    <t>Average</t>
  </si>
  <si>
    <t xml:space="preserve">Sigma  </t>
  </si>
  <si>
    <t xml:space="preserve">No. of data   128 </t>
  </si>
  <si>
    <t xml:space="preserve">Ratios  </t>
  </si>
  <si>
    <t xml:space="preserve">    Fo+M </t>
  </si>
  <si>
    <t xml:space="preserve">    Fa+M </t>
  </si>
  <si>
    <t xml:space="preserve">Mole%  </t>
  </si>
  <si>
    <t xml:space="preserve">      Mg </t>
  </si>
  <si>
    <t xml:space="preserve">      Mn </t>
  </si>
  <si>
    <t xml:space="preserve">      Fe </t>
  </si>
  <si>
    <t xml:space="preserve">      Si </t>
  </si>
  <si>
    <t xml:space="preserve">      Ca </t>
  </si>
  <si>
    <t xml:space="preserve">      Cr </t>
  </si>
  <si>
    <t xml:space="preserve">      Ni </t>
  </si>
  <si>
    <t xml:space="preserve">      Al </t>
  </si>
  <si>
    <t>==============================================================================</t>
  </si>
  <si>
    <t>|</t>
  </si>
  <si>
    <t>CITZAF</t>
  </si>
  <si>
    <t>Copyright,</t>
  </si>
  <si>
    <t>John</t>
  </si>
  <si>
    <t>T.</t>
  </si>
  <si>
    <t>Armstrong,</t>
  </si>
  <si>
    <t>California</t>
  </si>
  <si>
    <t>Institute</t>
  </si>
  <si>
    <t>of</t>
  </si>
  <si>
    <t>Technology</t>
  </si>
  <si>
    <t>JEOL</t>
  </si>
  <si>
    <t>On-line</t>
  </si>
  <si>
    <t>type</t>
  </si>
  <si>
    <t>Implemented</t>
  </si>
  <si>
    <t>by</t>
  </si>
  <si>
    <t>Paul</t>
  </si>
  <si>
    <t>Carpenter</t>
  </si>
  <si>
    <t>Caltech</t>
  </si>
  <si>
    <t>License</t>
  </si>
  <si>
    <t>Version:</t>
  </si>
  <si>
    <t>Measurement</t>
  </si>
  <si>
    <t>Condition</t>
  </si>
  <si>
    <t>WDS elements</t>
  </si>
  <si>
    <t>Element</t>
  </si>
  <si>
    <t>X-ray</t>
  </si>
  <si>
    <t>Crystal</t>
  </si>
  <si>
    <t>CH</t>
  </si>
  <si>
    <t>Acc.v</t>
  </si>
  <si>
    <t>Peak</t>
  </si>
  <si>
    <t>Pos.</t>
  </si>
  <si>
    <t>(nm)</t>
  </si>
  <si>
    <t>BG_L</t>
  </si>
  <si>
    <t>BG_U</t>
  </si>
  <si>
    <t>(mm)</t>
  </si>
  <si>
    <t>Na</t>
  </si>
  <si>
    <t>Ka</t>
  </si>
  <si>
    <t>TAPH</t>
  </si>
  <si>
    <t>(</t>
  </si>
  <si>
    <t>1)</t>
  </si>
  <si>
    <t>S</t>
  </si>
  <si>
    <t>PETH</t>
  </si>
  <si>
    <t>2)</t>
  </si>
  <si>
    <t>Fe</t>
  </si>
  <si>
    <t>LIF</t>
  </si>
  <si>
    <t>3)</t>
  </si>
  <si>
    <t>Si</t>
  </si>
  <si>
    <t>TAP</t>
  </si>
  <si>
    <t>4)</t>
  </si>
  <si>
    <t>Cl</t>
  </si>
  <si>
    <t>5)</t>
  </si>
  <si>
    <t>F</t>
  </si>
  <si>
    <t>K</t>
  </si>
  <si>
    <t>Mn</t>
  </si>
  <si>
    <t>Al</t>
  </si>
  <si>
    <t>P</t>
  </si>
  <si>
    <t>Mg</t>
  </si>
  <si>
    <t>Ca</t>
  </si>
  <si>
    <t>Ti</t>
  </si>
  <si>
    <t>Back</t>
  </si>
  <si>
    <t>Pksk</t>
  </si>
  <si>
    <t>Gain</t>
  </si>
  <si>
    <t>High.V</t>
  </si>
  <si>
    <t>Base.L</t>
  </si>
  <si>
    <t>Window.W</t>
  </si>
  <si>
    <t>Mode</t>
  </si>
  <si>
    <t>(s)</t>
  </si>
  <si>
    <t>(V)</t>
  </si>
  <si>
    <t>Int</t>
  </si>
  <si>
    <t>Order</t>
  </si>
  <si>
    <t xml:space="preserve">WDS  </t>
  </si>
  <si>
    <t>Channel</t>
  </si>
  <si>
    <t>Na1TH</t>
  </si>
  <si>
    <t>S2PH</t>
  </si>
  <si>
    <t>Fe3L</t>
  </si>
  <si>
    <t>Si4T</t>
  </si>
  <si>
    <t>Cl5PH</t>
  </si>
  <si>
    <t>F1T</t>
  </si>
  <si>
    <t>K2PH</t>
  </si>
  <si>
    <t>Mn3L</t>
  </si>
  <si>
    <t>Al4T</t>
  </si>
  <si>
    <t>P5PH</t>
  </si>
  <si>
    <t>Mg1TH</t>
  </si>
  <si>
    <t>Ca2PH</t>
  </si>
  <si>
    <t>Ti5PH</t>
  </si>
  <si>
    <t>Calc.</t>
  </si>
  <si>
    <t>Elements</t>
  </si>
  <si>
    <t>:</t>
  </si>
  <si>
    <t>O</t>
  </si>
  <si>
    <t>(Anion)</t>
  </si>
  <si>
    <t>Standard Data</t>
  </si>
  <si>
    <t>Standard name</t>
  </si>
  <si>
    <t>Mass(%)</t>
  </si>
  <si>
    <t>Na2O</t>
  </si>
  <si>
    <t>VGA99-15KV</t>
  </si>
  <si>
    <t>SO3</t>
  </si>
  <si>
    <t>Scapolite_bgls</t>
  </si>
  <si>
    <t>FeO</t>
  </si>
  <si>
    <t>SiO2</t>
  </si>
  <si>
    <t>KE3</t>
  </si>
  <si>
    <t>K2O</t>
  </si>
  <si>
    <t>MnO</t>
  </si>
  <si>
    <t>Rhodonite</t>
  </si>
  <si>
    <t>Al2O3</t>
  </si>
  <si>
    <t>P2O5</t>
  </si>
  <si>
    <t>MgO</t>
  </si>
  <si>
    <t>CaO</t>
  </si>
  <si>
    <t>TiO2</t>
  </si>
  <si>
    <t xml:space="preserve">Standard Intensity of WDS  </t>
  </si>
  <si>
    <t>Curr.(A)</t>
  </si>
  <si>
    <t>Net(cps)</t>
  </si>
  <si>
    <t>Bg-(cps)</t>
  </si>
  <si>
    <t>Bg+(cps)</t>
  </si>
  <si>
    <t>S.D.(%)</t>
  </si>
  <si>
    <t>Date</t>
  </si>
  <si>
    <t>Standard Factors</t>
  </si>
  <si>
    <t>f(chi)</t>
  </si>
  <si>
    <t>If/Ip</t>
  </si>
  <si>
    <t>abs-el</t>
  </si>
  <si>
    <t>1/s-el</t>
  </si>
  <si>
    <t>r-el</t>
  </si>
  <si>
    <t>c/k-el</t>
  </si>
  <si>
    <t xml:space="preserve">UNK No. :     1    2      3      4      5      6      7      8      9  </t>
  </si>
  <si>
    <t xml:space="preserve">           10     11     12     13     14     15     16     17  </t>
  </si>
  <si>
    <t xml:space="preserve">           18     19     20     21     22     23     24     25  </t>
  </si>
  <si>
    <t xml:space="preserve">           26     27     28     29     30     31     32     33  </t>
  </si>
  <si>
    <t xml:space="preserve">           34     35     36     37     38     39     40     41  </t>
  </si>
  <si>
    <t xml:space="preserve">           42     43     44     45     46     47     48     49  </t>
  </si>
  <si>
    <t xml:space="preserve">           50     51     52     53     54     55     56     57  </t>
  </si>
  <si>
    <t xml:space="preserve">           58     59     60     61     62     63     64     65  </t>
  </si>
  <si>
    <t xml:space="preserve">           66     67     68     69     70     71     72     73  </t>
  </si>
  <si>
    <t xml:space="preserve">           74     75     76     77     78     79     80     81  </t>
  </si>
  <si>
    <t xml:space="preserve">           82     83     84     85     86     87     88     89  </t>
  </si>
  <si>
    <t xml:space="preserve">           90     91     92     93     94     95     96     97  </t>
  </si>
  <si>
    <t xml:space="preserve">           98     99    100    101    102    103    104    105  </t>
  </si>
  <si>
    <t xml:space="preserve">        </t>
  </si>
  <si>
    <t xml:space="preserve">      Group : bas-Glas      </t>
  </si>
  <si>
    <t xml:space="preserve">  Sample : 201216_Fr       </t>
  </si>
  <si>
    <t xml:space="preserve">   Na2O  </t>
  </si>
  <si>
    <t xml:space="preserve">   SO3   </t>
  </si>
  <si>
    <t xml:space="preserve">   Cl    </t>
  </si>
  <si>
    <t xml:space="preserve">   F     </t>
  </si>
  <si>
    <t xml:space="preserve">   K2O   </t>
  </si>
  <si>
    <t xml:space="preserve">   P2O5  </t>
  </si>
  <si>
    <t xml:space="preserve">   TiO2  </t>
  </si>
  <si>
    <t xml:space="preserve">VGA99_ </t>
  </si>
  <si>
    <t xml:space="preserve">VG-2_ </t>
  </si>
  <si>
    <t xml:space="preserve">KE3_ </t>
  </si>
  <si>
    <t xml:space="preserve">Scap </t>
  </si>
  <si>
    <t xml:space="preserve">1982-CS2-L3A_1 </t>
  </si>
  <si>
    <t xml:space="preserve">1982-CS2-L3A_2 </t>
  </si>
  <si>
    <t xml:space="preserve">1982-CS2-L3A_3 </t>
  </si>
  <si>
    <t xml:space="preserve">1982-CS2-L3A_4 </t>
  </si>
  <si>
    <t xml:space="preserve">1982-CS2-L3A_5 </t>
  </si>
  <si>
    <t xml:space="preserve">1982-CS2-L3A_6 </t>
  </si>
  <si>
    <t xml:space="preserve">1982-CS2-L3A_7 </t>
  </si>
  <si>
    <t xml:space="preserve">1982-CS2-L3A_8 </t>
  </si>
  <si>
    <t xml:space="preserve">1982-CS2-L3A_9 </t>
  </si>
  <si>
    <t xml:space="preserve">1982-CS2-L5B_1 </t>
  </si>
  <si>
    <t xml:space="preserve">1982-CS2-L5B_2 </t>
  </si>
  <si>
    <t xml:space="preserve">1982-CS2-L5B_3 </t>
  </si>
  <si>
    <t xml:space="preserve">1982-CS2-L5B_4 </t>
  </si>
  <si>
    <t xml:space="preserve">1982-CS2-L5B_5 </t>
  </si>
  <si>
    <t xml:space="preserve">1982-CS2-L5B_6 </t>
  </si>
  <si>
    <t xml:space="preserve">1982-CS2-L5B_7 </t>
  </si>
  <si>
    <t xml:space="preserve">1982-CS2-L5B_8 </t>
  </si>
  <si>
    <t xml:space="preserve">1982-CS2-L5B_9 </t>
  </si>
  <si>
    <t xml:space="preserve">UnknA-C21_1 </t>
  </si>
  <si>
    <t xml:space="preserve">UnknA-C21_2 </t>
  </si>
  <si>
    <t xml:space="preserve">UnknA-C21_3 </t>
  </si>
  <si>
    <t xml:space="preserve">UnknA-C21_4 </t>
  </si>
  <si>
    <t xml:space="preserve">UnknA-C21_5 </t>
  </si>
  <si>
    <t xml:space="preserve">UnknA-C21_6 </t>
  </si>
  <si>
    <t xml:space="preserve">UnknA-C21_7 </t>
  </si>
  <si>
    <t xml:space="preserve">UnknA-C21_8 </t>
  </si>
  <si>
    <t xml:space="preserve">UnknA-C21_9 </t>
  </si>
  <si>
    <t xml:space="preserve">UnknA-C22-PS1-L2_1 </t>
  </si>
  <si>
    <t xml:space="preserve">UnknA-C22-PS1-L2_2 </t>
  </si>
  <si>
    <t xml:space="preserve">UnknA-C22-PS1-L2_3 </t>
  </si>
  <si>
    <t xml:space="preserve">UnknA-C22-PS1-L2_4 </t>
  </si>
  <si>
    <t xml:space="preserve">UnknA-C22-PS1-L2_5 </t>
  </si>
  <si>
    <t xml:space="preserve">UnknA-C22-PS1-L2_6 </t>
  </si>
  <si>
    <t xml:space="preserve">UnknA-C22-PS1-L2_7 </t>
  </si>
  <si>
    <t xml:space="preserve">UnknA-C22-PS1-L2_8 </t>
  </si>
  <si>
    <t xml:space="preserve">UnknA-C22-PS1-L2_9 </t>
  </si>
  <si>
    <t xml:space="preserve">UnknA-C22-PS1-L3_1 </t>
  </si>
  <si>
    <t xml:space="preserve">UnknA-C22-PS1-L3_2 </t>
  </si>
  <si>
    <t xml:space="preserve">UnknA-C22-PS1-L3_3 </t>
  </si>
  <si>
    <t xml:space="preserve">UnknA-C22-PS1-L3_4 </t>
  </si>
  <si>
    <t xml:space="preserve">UnknA-C22-PS1-L3_5 </t>
  </si>
  <si>
    <t xml:space="preserve">UnknA-C22-PS1-L3_6 </t>
  </si>
  <si>
    <t xml:space="preserve">UnknA-C22-PS1-L3_7 </t>
  </si>
  <si>
    <t xml:space="preserve">UnknA-C22-PS1-L3_8 </t>
  </si>
  <si>
    <t xml:space="preserve">UnknA-C22-PS1-L3_9 </t>
  </si>
  <si>
    <t xml:space="preserve">UnknA-BatokeCS1-3_1 </t>
  </si>
  <si>
    <t xml:space="preserve">UnknA-BatokeCS1-3_2 </t>
  </si>
  <si>
    <t xml:space="preserve">UnknA-BatokeCS1-3_3 </t>
  </si>
  <si>
    <t xml:space="preserve">UnknA-BatokeCS1-3_4 </t>
  </si>
  <si>
    <t xml:space="preserve">UnknA-BatokeCS1-3_5 </t>
  </si>
  <si>
    <t xml:space="preserve">UnknA-BatokeCS1-3_6 </t>
  </si>
  <si>
    <t xml:space="preserve">UnknA-BatokeCS1-3_7 </t>
  </si>
  <si>
    <t xml:space="preserve">UnknA-BatokeCS1-3_8 </t>
  </si>
  <si>
    <t xml:space="preserve">UnknA-BatokeCS1-3_9 </t>
  </si>
  <si>
    <t xml:space="preserve">UnknA-Flow1-1_1 </t>
  </si>
  <si>
    <t xml:space="preserve">UnknA-Flow1-1_2 </t>
  </si>
  <si>
    <t xml:space="preserve">UnknA-Flow1-1_3 </t>
  </si>
  <si>
    <t xml:space="preserve">UnknA-Flow1-1_4 </t>
  </si>
  <si>
    <t xml:space="preserve">UnknA-Flow1-1_5 </t>
  </si>
  <si>
    <t xml:space="preserve">UnknA-Flow1-1_6 </t>
  </si>
  <si>
    <t xml:space="preserve">UnknA-Flow1-1_7 </t>
  </si>
  <si>
    <t xml:space="preserve">UnknA-Flow1-1_8 </t>
  </si>
  <si>
    <t xml:space="preserve">UnknA-Flow1-1_9 </t>
  </si>
  <si>
    <t xml:space="preserve">UnknA-Flow1-2_1 </t>
  </si>
  <si>
    <t xml:space="preserve">UnknA-Flow1-2_2 </t>
  </si>
  <si>
    <t xml:space="preserve">UnknA-Flow1-2_3 </t>
  </si>
  <si>
    <t xml:space="preserve">UnknA-Flow1-2_4 </t>
  </si>
  <si>
    <t xml:space="preserve">UnknA-Flow1-2_5 </t>
  </si>
  <si>
    <t xml:space="preserve">UnknA-Flow1-2_6 </t>
  </si>
  <si>
    <t xml:space="preserve">UnknA-Flow1-2_7 </t>
  </si>
  <si>
    <t xml:space="preserve">UnknA-Flow1-2_8 </t>
  </si>
  <si>
    <t xml:space="preserve">UnknA-Flow1-2_9 </t>
  </si>
  <si>
    <t xml:space="preserve">No. of data   105 </t>
  </si>
  <si>
    <t xml:space="preserve">Intensity &amp; Mass%      Group : bas-Glas        Sample : 201216_Fr        Page 1 </t>
  </si>
  <si>
    <t xml:space="preserve">Unknown Specimen No. 1 </t>
  </si>
  <si>
    <t xml:space="preserve"> Group        : bas-Glas        Sample  : 201216_Fr      </t>
  </si>
  <si>
    <t xml:space="preserve"> UNK No.      :    1            Comment : VGA99_                                   </t>
  </si>
  <si>
    <t xml:space="preserve"> Stage        :    X=   42.5705  Y=   29.7320  Z=   11.4010 </t>
  </si>
  <si>
    <t xml:space="preserve"> Acc. Voltage :    15.0 (kV)    Probe Dia. : 5    Scan : Off </t>
  </si>
  <si>
    <t xml:space="preserve"> Dated on Dec 20 16:18 2016 </t>
  </si>
  <si>
    <t xml:space="preserve"> WDS only       No. of accumulation : 1 </t>
  </si>
  <si>
    <t xml:space="preserve">Curr.(A) : 1.002E-08 </t>
  </si>
  <si>
    <t xml:space="preserve">Element Peak(mm) Net(cps)   Bg-   Bg+  S.D.(%)   D.L.(ppm)  </t>
  </si>
  <si>
    <t xml:space="preserve"> 1 Na   129.476    231.6    0.0   14.5    2.14      145 </t>
  </si>
  <si>
    <t xml:space="preserve"> 2 S    171.948      2.1    5.9    4.9   30.75      113 </t>
  </si>
  <si>
    <t xml:space="preserve"> 3 Fe   134.739    186.3    3.5    4.1    1.67      453 </t>
  </si>
  <si>
    <t xml:space="preserve"> 4 Si    77.822   3625.9   31.4   18.5    0.37      226 </t>
  </si>
  <si>
    <t xml:space="preserve"> 5 Cl   151.478      3.8    8.7    7.8   21.47       46 </t>
  </si>
  <si>
    <t xml:space="preserve"> 6 F    199.140      0.2    4.5    3.5  345.94 ?    412 </t>
  </si>
  <si>
    <t xml:space="preserve"> 7 K    119.485    180.9   27.6   21.4    1.54       58 </t>
  </si>
  <si>
    <t xml:space="preserve"> 8 Mn   146.243      2.2    1.9    1.5   19.96      268 </t>
  </si>
  <si>
    <t xml:space="preserve"> 9 Al    90.995    857.0   15.2    9.5    0.78      160 </t>
  </si>
  <si>
    <t xml:space="preserve">10 P    197.118     13.6    2.7    2.8    7.21      149 </t>
  </si>
  <si>
    <t xml:space="preserve">11 Mg   107.534    584.1   42.3    0.0    0.96      179 </t>
  </si>
  <si>
    <t xml:space="preserve">12 Ca   107.121   1925.2   31.9   35.9    0.52       89 </t>
  </si>
  <si>
    <t xml:space="preserve">13 Ti    88.305    686.7    0.0   45.5    0.88      126 </t>
  </si>
  <si>
    <t>Element  f(chi)    If/Ip     abs-el    1/s-el      r-el      c/k-el    c/k-std</t>
  </si>
  <si>
    <t xml:space="preserve"> Na      0.3978    0.0040    0.4747    0.9905     0.9878     2.1443     1.0019</t>
  </si>
  <si>
    <t xml:space="preserve"> S       0.7652    0.0030    0.8170    0.9599     1.0246     1.2408     0.9963</t>
  </si>
  <si>
    <t xml:space="preserve"> Fe      0.9816    0.0000    0.9976    0.8085     1.0561     1.1739     0.9996</t>
  </si>
  <si>
    <t xml:space="preserve"> Si      0.7128    0.0010    0.7822    0.9849     1.0102     1.2836     1.0000</t>
  </si>
  <si>
    <t xml:space="preserve"> Cl      0.8286    0.0057    0.8779    0.9109     1.0311     1.2059     0.9911</t>
  </si>
  <si>
    <t xml:space="preserve"> F       0.1901    0.0014    0.2496    1.0160     0.9753     4.0368     1.0173</t>
  </si>
  <si>
    <t xml:space="preserve"> K       0.9081    0.0158    0.9470    0.9018     1.0420     1.1063     0.9999</t>
  </si>
  <si>
    <t xml:space="preserve"> Mn      0.9762    0.0000    0.9949    0.7969     1.0566     1.1939     1.0412</t>
  </si>
  <si>
    <t xml:space="preserve"> Al      0.6495    0.0109    0.7285    0.9663     1.0026     1.4017     1.0017</t>
  </si>
  <si>
    <t xml:space="preserve"> P       0.6806    0.0016    0.7374    0.9439     1.0176     1.4095     0.9999</t>
  </si>
  <si>
    <t xml:space="preserve"> Mg      0.5392    0.0072    0.6181    1.0053     0.9950     1.6057     1.0024</t>
  </si>
  <si>
    <t xml:space="preserve"> Ca      0.9305    0.0073    0.9638    0.9161     1.0464     1.0746     0.9997</t>
  </si>
  <si>
    <t xml:space="preserve"> Ti      0.9513    0.0116    0.9788    0.8263     1.0529     1.1609     0.9994</t>
  </si>
  <si>
    <t xml:space="preserve">Element  El. mass% Ox mass% Norm El%  Norm ox%  At prop  c/k-std   k-value   k-(std) </t>
  </si>
  <si>
    <t xml:space="preserve"> Na       2.08      2.80      2.08      2.81     0.798   1.0019   0.02074   1.04657  </t>
  </si>
  <si>
    <t xml:space="preserve"> S        0.0163    0.0408    0.0164    0.0409   0.0045  0.9963   0.000164  0.030480  </t>
  </si>
  <si>
    <t xml:space="preserve"> Fe      10.57     13.60     10.59     13.63     1.670   0.9996   0.10573   1.01636  </t>
  </si>
  <si>
    <t xml:space="preserve"> Si      23.91     51.16     23.96     51.26     7.512   1.0000   0.23911   0.99812  </t>
  </si>
  <si>
    <t xml:space="preserve"> Cl       0.0237    0.0237    0.0238    0.0238   0.0059  0.9911   0.000239  0.016497  </t>
  </si>
  <si>
    <t xml:space="preserve"> F        0.0126    0.0126    0.0127    0.0127   0.0059  1.0173   0.000124  0.026071 ?</t>
  </si>
  <si>
    <t xml:space="preserve"> K        0.6756    0.8138    0.6769    0.8155   0.1524  0.9999   0.006756  0.987782  </t>
  </si>
  <si>
    <t xml:space="preserve"> Mn       0.1383    0.1786    0.1386    0.1790   0.0222  1.0412   0.001328  0.003944  </t>
  </si>
  <si>
    <t xml:space="preserve"> Al       6.51     12.30      6.52     12.32     2.128   1.0017   0.06497   0.97685  </t>
  </si>
  <si>
    <t xml:space="preserve"> P        0.1693    0.3881    0.1697    0.3889   0.0482  0.9999   0.001694  0.990416  </t>
  </si>
  <si>
    <t xml:space="preserve"> Mg       3.09      5.13      3.10      5.14     1.122   1.0024   0.03084   1.00174  </t>
  </si>
  <si>
    <t xml:space="preserve"> Ca       6.63      9.27      6.64      9.29     1.459   0.9997   0.06629   0.99073  </t>
  </si>
  <si>
    <t xml:space="preserve"> Ti       2.45      4.08      2.45      4.09     0.451   0.9994   0.02450   1.00212  </t>
  </si>
  <si>
    <t xml:space="preserve"> O       43.52       -       43.61       -      24.000      -         -        </t>
  </si>
  <si>
    <t xml:space="preserve"> -----------------------------------------------------------------------------</t>
  </si>
  <si>
    <t>Total:   99.79     99.79    100.00    100.00    15.379</t>
  </si>
  <si>
    <t xml:space="preserve">Unknown Specimen No. 2 </t>
  </si>
  <si>
    <t xml:space="preserve"> UNK No.      :    2            Comment : VGA99_                                   </t>
  </si>
  <si>
    <t xml:space="preserve"> Stage        :    X=   42.5565  Y=   29.7300  Z=   11.4010 </t>
  </si>
  <si>
    <t xml:space="preserve"> Dated on Dec 20 16:21 2016 </t>
  </si>
  <si>
    <t xml:space="preserve"> 1 Na   129.476    223.3    0.0   17.1    2.20      157 </t>
  </si>
  <si>
    <t xml:space="preserve"> 2 S    171.948      1.2    7.3    5.0   54.84 ?    120 </t>
  </si>
  <si>
    <t xml:space="preserve"> 3 Fe   134.739    184.4    2.3    3.1    1.67      387 </t>
  </si>
  <si>
    <t xml:space="preserve"> 4 Si    77.822   3631.5   30.1   20.2    0.37      226 </t>
  </si>
  <si>
    <t xml:space="preserve"> 5 Cl   151.478      4.8    8.1    6.7   16.69       43 </t>
  </si>
  <si>
    <t xml:space="preserve"> 6 F    199.140      1.0    3.5    3.5   53.46 ?    379 </t>
  </si>
  <si>
    <t xml:space="preserve"> 7 K    119.485    181.0   27.1   21.3    1.53       57 </t>
  </si>
  <si>
    <t xml:space="preserve"> 8 Mn   146.243      3.0    1.7    1.5   15.18      258 </t>
  </si>
  <si>
    <t xml:space="preserve"> 9 Al    90.995    870.2   15.0   11.4    0.77      164 </t>
  </si>
  <si>
    <t xml:space="preserve">10 P    197.118     12.5    2.9    2.9    7.71      152 </t>
  </si>
  <si>
    <t xml:space="preserve">11 Mg   107.534    593.3   38.8    0.0    0.95      171 </t>
  </si>
  <si>
    <t xml:space="preserve">12 Ca   107.121   1946.1   31.6   36.3    0.52       89 </t>
  </si>
  <si>
    <t xml:space="preserve">13 Ti    88.305    683.0    0.0   46.2    0.88      127 </t>
  </si>
  <si>
    <t xml:space="preserve"> Na      0.3981    0.0040    0.4752    0.9904     0.9879     2.1426     1.0011</t>
  </si>
  <si>
    <t xml:space="preserve"> S       0.7653    0.0030    0.8171    0.9598     1.0247     1.2407     0.9962</t>
  </si>
  <si>
    <t xml:space="preserve"> Fe      0.9816    0.0000    0.9976    0.8084     1.0561     1.1740     0.9997</t>
  </si>
  <si>
    <t xml:space="preserve"> Si      0.7127    0.0010    0.7821    0.9848     1.0103     1.2839     1.0002</t>
  </si>
  <si>
    <t xml:space="preserve"> Cl      0.8287    0.0057    0.8781    0.9107     1.0312     1.2058     0.9910</t>
  </si>
  <si>
    <t xml:space="preserve"> F       0.1899    0.0014    0.2493    1.0159     0.9754     4.0418     1.0185</t>
  </si>
  <si>
    <t xml:space="preserve"> K       0.9082    0.0159    0.9470    0.9016     1.0421     1.1063     0.9998</t>
  </si>
  <si>
    <t xml:space="preserve"> Mn      0.9762    0.0000    0.9948    0.7968     1.0566     1.1940     1.0413</t>
  </si>
  <si>
    <t xml:space="preserve"> Al      0.6500    0.0109    0.7290    0.9661     1.0026     1.4009     1.0011</t>
  </si>
  <si>
    <t xml:space="preserve"> P       0.6806    0.0016    0.7375    0.9438     1.0177     1.4095     0.9999</t>
  </si>
  <si>
    <t xml:space="preserve"> Mg      0.5401    0.0072    0.6191    1.0052     0.9951     1.6033     1.0009</t>
  </si>
  <si>
    <t xml:space="preserve"> Ca      0.9305    0.0073    0.9638    0.9159     1.0465     1.0747     0.9997</t>
  </si>
  <si>
    <t xml:space="preserve"> Ti      0.9512    0.0115    0.9787    0.8262     1.0529     1.1612     0.9996</t>
  </si>
  <si>
    <t xml:space="preserve"> Na       2.00      2.70      2.00      2.70     0.766   1.0011   0.02000   1.00904  </t>
  </si>
  <si>
    <t xml:space="preserve"> S        0.0093    0.0232    0.0093    0.0232   0.0025  0.9962   0.000093  0.017326 ?</t>
  </si>
  <si>
    <t xml:space="preserve"> Fe      10.46     13.46     10.46     13.45     1.649   0.9997   0.10466   1.00607  </t>
  </si>
  <si>
    <t xml:space="preserve"> Si      23.95     51.24     23.94     51.21     7.505   1.0002   0.23948   0.99965  </t>
  </si>
  <si>
    <t xml:space="preserve"> Cl       0.0300    0.0300    0.0300    0.0300   0.0075  0.9910   0.000303  0.020882  </t>
  </si>
  <si>
    <t xml:space="preserve"> F        0.0791    0.0791    0.0790    0.0790   0.0366  1.0185   0.000776  0.163118  </t>
  </si>
  <si>
    <t xml:space="preserve"> K        0.6759    0.8142    0.6755    0.8137   0.1521  0.9998   0.006760  0.988297  </t>
  </si>
  <si>
    <t xml:space="preserve"> Mn       0.1911    0.2468    0.1910    0.2467   0.0306  1.0413   0.001836  0.005450  </t>
  </si>
  <si>
    <t xml:space="preserve"> Al       6.60     12.48      6.60     12.47     2.155   1.0011   0.06597   0.99191  </t>
  </si>
  <si>
    <t xml:space="preserve"> P        0.1546    0.3543    0.1545    0.3541   0.0439  0.9999   0.001546  0.904174  </t>
  </si>
  <si>
    <t xml:space="preserve"> Mg       3.14      5.20      3.13      5.20     1.135   1.0009   0.03133   1.01745  </t>
  </si>
  <si>
    <t xml:space="preserve"> Ca       6.70      9.37      6.70      9.37     1.471   0.9997   0.06701   1.00148  </t>
  </si>
  <si>
    <t xml:space="preserve"> Ti       2.44      4.06      2.43      4.06     0.448   0.9996   0.02437   0.99679  </t>
  </si>
  <si>
    <t xml:space="preserve"> O       43.63       -       43.60       -      24.000      -         -        </t>
  </si>
  <si>
    <t>Total:  100.06    100.06    100.00    100.00    15.402</t>
  </si>
  <si>
    <t xml:space="preserve">Unknown Specimen No. 3 </t>
  </si>
  <si>
    <t xml:space="preserve"> UNK No.      :    3            Comment : VG-2_                                    </t>
  </si>
  <si>
    <t xml:space="preserve"> Stage        :    X=   60.2415  Y=   33.5530  Z=   11.3695 </t>
  </si>
  <si>
    <t xml:space="preserve"> Dated on Dec 20 16:25 2016 </t>
  </si>
  <si>
    <t xml:space="preserve">Curr.(A) : 1.003E-08 </t>
  </si>
  <si>
    <t xml:space="preserve"> 1 Na   129.476    229.8    0.0   18.2    2.17      162 </t>
  </si>
  <si>
    <t xml:space="preserve"> 2 S    171.948     19.0    5.5    5.9    5.32      118 </t>
  </si>
  <si>
    <t xml:space="preserve"> 3 Fe   134.739    160.8    2.8    3.3    1.80      406 </t>
  </si>
  <si>
    <t xml:space="preserve"> 4 Si    77.822   3649.3   31.4   20.4    0.37      229 </t>
  </si>
  <si>
    <t xml:space="preserve"> 5 Cl   151.478      5.3    8.7    7.9   16.06       46 </t>
  </si>
  <si>
    <t xml:space="preserve"> 6 F    199.140      0.9    3.7    2.7   59.47 ?    369 </t>
  </si>
  <si>
    <t xml:space="preserve"> 7 K    119.485     44.2   23.3   20.5    3.89       54 </t>
  </si>
  <si>
    <t xml:space="preserve"> 8 Mn   146.243      2.9    1.7    1.8   15.99      270 </t>
  </si>
  <si>
    <t xml:space="preserve"> 9 Al    90.995    981.6   13.9    9.3    0.72      154 </t>
  </si>
  <si>
    <t xml:space="preserve">10 P    197.118      6.1    3.8    3.7   13.68      173 </t>
  </si>
  <si>
    <t xml:space="preserve">11 Mg   107.534    820.8   42.7    0.0    0.80      180 </t>
  </si>
  <si>
    <t xml:space="preserve">12 Ca   107.121   2353.9   31.0   35.6    0.47       88 </t>
  </si>
  <si>
    <t xml:space="preserve">13 Ti    88.305    304.3    0.0   44.3    1.37      124 </t>
  </si>
  <si>
    <t xml:space="preserve"> Na      0.4112    0.0043    0.4907    0.9854     0.9896     2.0806     0.9721</t>
  </si>
  <si>
    <t xml:space="preserve"> S       0.7656    0.0030    0.8174    0.9551     1.0264     1.2442     0.9991</t>
  </si>
  <si>
    <t xml:space="preserve"> Fe      0.9821    0.0000    0.9981    0.8047     1.0570     1.1779     1.0030</t>
  </si>
  <si>
    <t xml:space="preserve"> Si      0.7111    0.0010    0.7804    0.9799     1.0121     1.2908     1.0056</t>
  </si>
  <si>
    <t xml:space="preserve"> Cl      0.8284    0.0057    0.8777    0.9063     1.0329     1.2103     0.9947</t>
  </si>
  <si>
    <t xml:space="preserve"> F       0.1908    0.0014    0.2505    1.0108     0.9770     4.0367     1.0173</t>
  </si>
  <si>
    <t xml:space="preserve"> K       0.9080    0.0168    0.9468    0.8973     1.0436     1.1091     1.0024</t>
  </si>
  <si>
    <t xml:space="preserve"> Mn      0.9768    0.0000    0.9955    0.7930     1.0576     1.1977     1.0446</t>
  </si>
  <si>
    <t xml:space="preserve"> Al      0.6534    0.0108    0.7328    0.9614     1.0044     1.3982     0.9992</t>
  </si>
  <si>
    <t xml:space="preserve"> P       0.6804    0.0017    0.7372    0.9392     1.0194     1.4143     1.0034</t>
  </si>
  <si>
    <t xml:space="preserve"> Mg      0.5527    0.0075    0.6335    1.0002     0.9969     1.5714     0.9810</t>
  </si>
  <si>
    <t xml:space="preserve"> Ca      0.9317    0.0050    0.9651    0.9116     1.0479     1.0794     1.0042</t>
  </si>
  <si>
    <t xml:space="preserve"> Ti      0.9498    0.0099    0.9772    0.8223     1.0542     1.1689     1.0062</t>
  </si>
  <si>
    <t xml:space="preserve"> Na       2.00      2.69      1.97      2.65     0.748   0.9721   0.02056   1.03740  </t>
  </si>
  <si>
    <t xml:space="preserve"> S        0.1468    0.3666    0.1447    0.3613   0.0394  0.9991   0.001470  0.273157  </t>
  </si>
  <si>
    <t xml:space="preserve"> Fe       9.14     11.76      9.01     11.59     1.409   1.0030   0.09117   0.87640  </t>
  </si>
  <si>
    <t xml:space="preserve"> Si      24.15     51.66     23.80     50.92     7.401   1.0056   0.24041   1.00357  </t>
  </si>
  <si>
    <t xml:space="preserve"> Cl       0.0331    0.0331    0.0326    0.0326   0.0080  0.9947   0.000333  0.022939  </t>
  </si>
  <si>
    <t xml:space="preserve"> F        0.0693    0.0693    0.0683    0.0683   0.0314  1.0173   0.000681  0.143056  </t>
  </si>
  <si>
    <t xml:space="preserve"> K        0.1655    0.1994    0.1631    0.1965   0.0364  1.0024   0.001651  0.241425  </t>
  </si>
  <si>
    <t xml:space="preserve"> Mn       0.1856    0.2396    0.1829    0.2362   0.0291  1.0446   0.001777  0.005275  </t>
  </si>
  <si>
    <t xml:space="preserve"> Al       7.43     14.03      7.32     13.83     2.369   0.9992   0.07434   1.11776  </t>
  </si>
  <si>
    <t xml:space="preserve"> P        0.0755    0.1729    0.0744    0.1704   0.0210  1.0034   0.000752  0.439847  </t>
  </si>
  <si>
    <t xml:space="preserve"> Mg       4.25      7.04      4.19      6.94     1.504   0.9810   0.04330   1.40624  </t>
  </si>
  <si>
    <t xml:space="preserve"> Ca       8.13     11.38      8.01     11.21     1.746   1.0042   0.08097   1.21014  </t>
  </si>
  <si>
    <t xml:space="preserve"> Ti       1.09      1.82      1.08      1.79     0.196   1.0062   0.01085   0.44369  </t>
  </si>
  <si>
    <t xml:space="preserve"> O       44.61       -       43.96       -      24.000      -         -        </t>
  </si>
  <si>
    <t>Total:  101.47    101.47    100.00    100.00    15.539</t>
  </si>
  <si>
    <t xml:space="preserve">Unknown Specimen No. 4 </t>
  </si>
  <si>
    <t xml:space="preserve"> UNK No.      :    4            Comment : VG-2_                                    </t>
  </si>
  <si>
    <t xml:space="preserve"> Stage        :    X=   60.1845  Y=   33.5905  Z=   11.3700 </t>
  </si>
  <si>
    <t xml:space="preserve"> Dated on Dec 20 16:28 2016 </t>
  </si>
  <si>
    <t xml:space="preserve"> 1 Na   129.476    221.3    0.0   15.9    2.20      151 </t>
  </si>
  <si>
    <t xml:space="preserve"> 2 S    171.948     18.6    5.2    6.3    5.42      118 </t>
  </si>
  <si>
    <t xml:space="preserve"> 3 Fe   134.739    165.4    3.4    2.2    1.77      369 </t>
  </si>
  <si>
    <t xml:space="preserve"> 4 Si    77.822   3642.3   29.1   17.5    0.37      218 </t>
  </si>
  <si>
    <t xml:space="preserve"> 5 Cl   151.478      5.6    8.7    7.7   15.35       45 </t>
  </si>
  <si>
    <t xml:space="preserve"> 6 F    199.140      0.9    3.1    2.5   54.84 ?    343 </t>
  </si>
  <si>
    <t xml:space="preserve"> 7 K    119.485     42.0   21.8   20.0    4.00       53 </t>
  </si>
  <si>
    <t xml:space="preserve"> 8 Mn   146.243      3.0    1.9    1.5   15.53      265 </t>
  </si>
  <si>
    <t xml:space="preserve"> 9 Al    90.995    980.6   16.8    9.2    0.72      164 </t>
  </si>
  <si>
    <t xml:space="preserve">10 P    197.118      5.6    2.8    3.1   13.69      154 </t>
  </si>
  <si>
    <t xml:space="preserve">11 Mg   107.534    834.3   44.1    0.0    0.79      183 </t>
  </si>
  <si>
    <t xml:space="preserve">12 Ca   107.121   2341.4   34.0   34.0    0.47       88 </t>
  </si>
  <si>
    <t xml:space="preserve">13 Ti    88.305    309.9    0.0   43.6    1.36      123 </t>
  </si>
  <si>
    <t xml:space="preserve"> Na      0.4097    0.0043    0.4890    0.9859     0.9894     2.0874     0.9753</t>
  </si>
  <si>
    <t xml:space="preserve"> S       0.7655    0.0030    0.8174    0.9555     1.0262     1.2440     0.9989</t>
  </si>
  <si>
    <t xml:space="preserve"> Fe      0.9821    0.0000    0.9981    0.8050     1.0569     1.1775     1.0026</t>
  </si>
  <si>
    <t xml:space="preserve"> Si      0.7103    0.0010    0.7795    0.9804     1.0119     1.2918     1.0064</t>
  </si>
  <si>
    <t xml:space="preserve"> Cl      0.8283    0.0056    0.8777    0.9067     1.0327     1.2100     0.9944</t>
  </si>
  <si>
    <t xml:space="preserve"> F       0.1911    0.0014    0.2509    1.0112     0.9768     4.0292     1.0154</t>
  </si>
  <si>
    <t xml:space="preserve"> K       0.9080    0.0168    0.9468    0.8977     1.0435     1.1089     1.0022</t>
  </si>
  <si>
    <t xml:space="preserve"> Mn      0.9768    0.0000    0.9955    0.7934     1.0575     1.1973     1.0442</t>
  </si>
  <si>
    <t xml:space="preserve"> Al      0.6522    0.0107    0.7315    0.9618     1.0043     1.4004     1.0007</t>
  </si>
  <si>
    <t xml:space="preserve"> P       0.6803    0.0017    0.7371    0.9396     1.0193     1.4141     1.0032</t>
  </si>
  <si>
    <t xml:space="preserve"> Mg      0.5517    0.0074    0.6324    1.0007     0.9967     1.5737     0.9824</t>
  </si>
  <si>
    <t xml:space="preserve"> Ca      0.9317    0.0051    0.9651    0.9120     1.0477     1.0790     1.0037</t>
  </si>
  <si>
    <t xml:space="preserve"> Ti      0.9499    0.0102    0.9773    0.8227     1.0540     1.1680     1.0055</t>
  </si>
  <si>
    <t xml:space="preserve"> Na       1.93      2.60      1.90      2.56     0.722   0.9753   0.01980   0.99900  </t>
  </si>
  <si>
    <t xml:space="preserve"> S        0.1438    0.3591    0.1414    0.3530   0.0386  0.9989   0.001440  0.267610  </t>
  </si>
  <si>
    <t xml:space="preserve"> Fe       9.40     12.10      9.24     11.89     1.448   1.0026   0.09381   0.90173  </t>
  </si>
  <si>
    <t xml:space="preserve"> Si      24.12     51.60     23.71     50.72     7.383   1.0064   0.23995   1.00164  </t>
  </si>
  <si>
    <t xml:space="preserve"> Cl       0.0346    0.0346    0.0340    0.0340   0.0084  0.9944   0.000348  0.023978  </t>
  </si>
  <si>
    <t xml:space="preserve"> F        0.0702    0.0702    0.0691    0.0691   0.0318  1.0154   0.000692  0.145332  </t>
  </si>
  <si>
    <t xml:space="preserve"> K        0.1571    0.1893    0.1545    0.1861   0.0346  1.0022   0.001568  0.229243  </t>
  </si>
  <si>
    <t xml:space="preserve"> Mn       0.1896    0.2448    0.1864    0.2407   0.0297  1.0442   0.001816  0.005391  </t>
  </si>
  <si>
    <t xml:space="preserve"> Al       7.43     14.04      7.30     13.80     2.368   1.0007   0.07426   1.11659  </t>
  </si>
  <si>
    <t xml:space="preserve"> P        0.0699    0.1601    0.0687    0.1574   0.0194  1.0032   0.000696  0.407198  </t>
  </si>
  <si>
    <t xml:space="preserve"> Mg       4.32      7.17      4.25      7.05     1.529   0.9824   0.04401   1.42942  </t>
  </si>
  <si>
    <t xml:space="preserve"> Ca       8.08     11.31      7.95     11.12     1.734   1.0037   0.08054   1.20372  </t>
  </si>
  <si>
    <t xml:space="preserve"> Ti       1.11      1.85      1.09      1.82     0.199   1.0055   0.01105   0.45178  </t>
  </si>
  <si>
    <t xml:space="preserve"> O       44.66       -       43.90       -      24.000      -         -        </t>
  </si>
  <si>
    <t>Total:  101.72    101.72    100.00    100.00    15.546</t>
  </si>
  <si>
    <t xml:space="preserve">Unknown Specimen No. 5 </t>
  </si>
  <si>
    <t xml:space="preserve"> UNK No.      :    5            Comment : KE3_                                     </t>
  </si>
  <si>
    <t xml:space="preserve"> Stage        :    X=   47.7830  Y=   23.5580  Z=   11.4000 </t>
  </si>
  <si>
    <t xml:space="preserve"> Dated on Dec 20 16:32 2016 </t>
  </si>
  <si>
    <t xml:space="preserve"> 1 Na   129.476    565.1    0.0   24.1    1.36      186 </t>
  </si>
  <si>
    <t xml:space="preserve"> 2 S    171.948      1.3    5.5    4.9   47.13 ?    111 </t>
  </si>
  <si>
    <t xml:space="preserve"> 3 Fe   134.739    106.9    2.8    1.6    2.20      324 </t>
  </si>
  <si>
    <t xml:space="preserve"> 4 Si    77.822   5258.6   41.4   26.2    0.31      262 </t>
  </si>
  <si>
    <t xml:space="preserve"> 5 Cl   151.478     63.0    8.5    6.8    2.56       44 </t>
  </si>
  <si>
    <t xml:space="preserve"> 6 F    199.140      5.8    3.8    3.7   11.66      394 </t>
  </si>
  <si>
    <t xml:space="preserve"> 7 K    119.485    924.8   49.0   21.5    0.62       70 </t>
  </si>
  <si>
    <t xml:space="preserve"> 8 Mn   146.243      2.3    2.0    2.0   19.98      290 </t>
  </si>
  <si>
    <t xml:space="preserve"> 9 Al    90.995    652.1   15.9    9.0    0.89      160 </t>
  </si>
  <si>
    <t xml:space="preserve">10 P    197.118      0.5    3.3    2.1   96.80 ?    143 </t>
  </si>
  <si>
    <t xml:space="preserve">11 Mg   107.534      2.7   20.6    0.0   40.67 ?    125 </t>
  </si>
  <si>
    <t xml:space="preserve">12 Ca   107.121     80.1   29.1   30.4    3.31       83 </t>
  </si>
  <si>
    <t xml:space="preserve">13 Ti    88.305     56.5    0.0   42.2    3.93      121 </t>
  </si>
  <si>
    <t xml:space="preserve"> Na      0.4415    0.0044    0.5270    0.9736     0.9950     1.9502     0.9112</t>
  </si>
  <si>
    <t xml:space="preserve"> S       0.7538    0.0020    0.8048    0.9440     1.0317     1.2733     1.0224</t>
  </si>
  <si>
    <t xml:space="preserve"> Fe      0.9846    0.0000    1.0007    0.7960     1.0597     1.1847     1.0088</t>
  </si>
  <si>
    <t xml:space="preserve"> Si      0.7540    0.0007    0.8275    0.9685     1.0176     1.2255     0.9547</t>
  </si>
  <si>
    <t xml:space="preserve"> Cl      0.8200    0.0032    0.8688    0.8959     1.0380     1.2338     1.0140</t>
  </si>
  <si>
    <t xml:space="preserve"> F       0.1956    0.0014    0.2568    0.9985     0.9819     3.9660     0.9994</t>
  </si>
  <si>
    <t xml:space="preserve"> K       0.9023    0.0021    0.9409    0.8872     1.0483     1.1405     1.0307</t>
  </si>
  <si>
    <t xml:space="preserve"> Mn      0.9800    0.0000    0.9988    0.7844     1.0606     1.2034     1.0496</t>
  </si>
  <si>
    <t xml:space="preserve"> Al      0.6905    0.0169    0.7744    0.9500     1.0100     1.3234     0.9458</t>
  </si>
  <si>
    <t xml:space="preserve"> P       0.6657    0.0011    0.7213    0.9282     1.0249     1.4557     1.0327</t>
  </si>
  <si>
    <t xml:space="preserve"> Mg      0.5631    0.0095    0.6454    0.9883     1.0023     1.5492     0.9672</t>
  </si>
  <si>
    <t xml:space="preserve"> Ca      0.9189    0.0027    0.9518    0.9013     1.0523     1.1048     1.0278</t>
  </si>
  <si>
    <t xml:space="preserve"> Ti      0.9551    0.0077    0.9827    0.8132     1.0580     1.1737     1.0104</t>
  </si>
  <si>
    <t xml:space="preserve"> Na       4.61      6.21      4.62      6.22     1.664   0.9112   0.05057   2.55134  </t>
  </si>
  <si>
    <t xml:space="preserve"> S        0.0105    0.0261    0.0105    0.0262   0.0027  1.0224   0.000102  0.019031 ?</t>
  </si>
  <si>
    <t xml:space="preserve"> Fe       6.11      7.86      6.13      7.88     0.909   1.0088   0.06060   0.58250  </t>
  </si>
  <si>
    <t xml:space="preserve"> Si      33.08     70.77     33.15     70.91     9.778   0.9547   0.34643   1.44613  </t>
  </si>
  <si>
    <t xml:space="preserve"> Cl       0.3989    0.3989    0.3997    0.3997   0.0934  1.0140   0.003934  0.271151  </t>
  </si>
  <si>
    <t xml:space="preserve"> F        0.4579    0.4579    0.4588    0.4588   0.2001  0.9994   0.004582  0.962585  </t>
  </si>
  <si>
    <t xml:space="preserve"> K        3.56      4.29      3.56      4.29     0.755   1.0307   0.03452   5.04614  </t>
  </si>
  <si>
    <t xml:space="preserve"> Mn       0.1484    0.1916    0.1487    0.1919   0.0224  1.0496   0.001414  0.004197  </t>
  </si>
  <si>
    <t xml:space="preserve"> Al       4.67      8.83      4.68      8.84     1.437   0.9458   0.04939   0.74256  </t>
  </si>
  <si>
    <t xml:space="preserve"> P        0.0070    0.0161    0.0071    0.0162   0.0019  1.0327   0.000068  0.039904 ?</t>
  </si>
  <si>
    <t xml:space="preserve"> Mg       0.0135    0.0224    0.0136    0.0225   0.0046  0.9672   0.000140  0.004542  </t>
  </si>
  <si>
    <t xml:space="preserve"> Ca       0.2830    0.3960    0.2836    0.3968   0.0586  1.0278   0.002754  0.041158  </t>
  </si>
  <si>
    <t xml:space="preserve"> Ti       0.2033    0.3392    0.2037    0.3399   0.0352  1.0104   0.002013  0.082312  </t>
  </si>
  <si>
    <t xml:space="preserve"> O       46.25       -       46.34       -      24.000      -         -        </t>
  </si>
  <si>
    <t>Total:   99.80     99.80    100.00    100.00    14.963</t>
  </si>
  <si>
    <t xml:space="preserve">Unknown Specimen No. 6 </t>
  </si>
  <si>
    <t xml:space="preserve"> UNK No.      :    6            Comment : KE3_                                     </t>
  </si>
  <si>
    <t xml:space="preserve"> Stage        :    X=   47.7100  Y=   23.4960  Z=   11.3990 </t>
  </si>
  <si>
    <t xml:space="preserve"> Dated on Dec 20 16:35 2016 </t>
  </si>
  <si>
    <t xml:space="preserve"> 1 Na   129.476    211.9    0.0   16.8    2.26      155 </t>
  </si>
  <si>
    <t xml:space="preserve"> 2 S    171.948      1.8    4.5    4.5   34.25 ?    104 </t>
  </si>
  <si>
    <t xml:space="preserve"> 3 Fe   134.739    108.7    2.5    2.4    2.20      358 </t>
  </si>
  <si>
    <t xml:space="preserve"> 4 Si    77.822   5444.7   43.8   23.7    0.31      263 </t>
  </si>
  <si>
    <t xml:space="preserve"> 5 Cl   151.478     60.6    8.3    7.9    2.64       45 </t>
  </si>
  <si>
    <t xml:space="preserve"> 6 F    199.140      6.4    3.1    2.5   10.10      344 </t>
  </si>
  <si>
    <t xml:space="preserve"> 7 K    119.485    897.6   49.1   21.9    0.64       71 </t>
  </si>
  <si>
    <t xml:space="preserve"> 8 Mn   146.243      3.5    1.3    2.0   13.78      266 </t>
  </si>
  <si>
    <t xml:space="preserve"> 9 Al    90.995    664.4   13.9    9.2    0.88      154 </t>
  </si>
  <si>
    <t xml:space="preserve">10 P    197.118      0.5    2.7    2.7  110.17 ?    147 </t>
  </si>
  <si>
    <t xml:space="preserve">11 Mg   107.534      5.1   20.7    0.0   22.46      125 </t>
  </si>
  <si>
    <t xml:space="preserve">12 Ca   107.121     92.6   26.9   27.6    2.94       79 </t>
  </si>
  <si>
    <t xml:space="preserve">13 Ti    88.305     56.6    0.0   41.1    3.90      120 </t>
  </si>
  <si>
    <t xml:space="preserve"> Na      0.4353    0.0047    0.5195    0.9734     0.9946     1.9790     0.9246</t>
  </si>
  <si>
    <t xml:space="preserve"> S       0.7521    0.0020    0.8030    0.9438     1.0313     1.2769     1.0253</t>
  </si>
  <si>
    <t xml:space="preserve"> Fe      0.9845    0.0000    1.0006    0.7958     1.0595     1.1854     1.0093</t>
  </si>
  <si>
    <t xml:space="preserve"> Si      0.7614    0.0007    0.8355    0.9682     1.0172     1.2144     0.9461</t>
  </si>
  <si>
    <t xml:space="preserve"> Cl      0.8186    0.0032    0.8674    0.8957     1.0376     1.2365     1.0162</t>
  </si>
  <si>
    <t xml:space="preserve"> F       0.1922    0.0013    0.2523    0.9983     0.9815     4.0394     1.0180</t>
  </si>
  <si>
    <t xml:space="preserve"> K       0.9015    0.0022    0.9401    0.8869     1.0480     1.1419     1.0321</t>
  </si>
  <si>
    <t xml:space="preserve"> Mn      0.9799    0.0000    0.9986    0.7842     1.0604     1.2042     1.0502</t>
  </si>
  <si>
    <t xml:space="preserve"> Al      0.7014    0.0182    0.7867    0.9498     1.0096     1.3019     0.9304</t>
  </si>
  <si>
    <t xml:space="preserve"> P       0.6637    0.0011    0.7191    0.9280     1.0245     1.4611     1.0365</t>
  </si>
  <si>
    <t xml:space="preserve"> Mg      0.5764    0.0102    0.6608    0.9881     1.0019     1.5132     0.9447</t>
  </si>
  <si>
    <t xml:space="preserve"> Ca      0.9185    0.0028    0.9514    0.9011     1.0520     1.1058     1.0287</t>
  </si>
  <si>
    <t xml:space="preserve"> Ti      0.9548    0.0080    0.9824    0.8130     1.0578     1.1744     1.0110</t>
  </si>
  <si>
    <t xml:space="preserve"> Na       1.75      2.36      1.79      2.41     0.632   0.9246   0.01896   0.95654  </t>
  </si>
  <si>
    <t xml:space="preserve"> S        0.0139    0.0348    0.0142    0.0355   0.0036  1.0253   0.000136  0.025285  </t>
  </si>
  <si>
    <t xml:space="preserve"> Fe       6.22      8.00      6.34      8.15     0.922   1.0093   0.06162   0.59237  </t>
  </si>
  <si>
    <t xml:space="preserve"> Si      33.99     72.72     34.62     74.07    10.022   0.9461   0.35869   1.49729  </t>
  </si>
  <si>
    <t xml:space="preserve"> Cl       0.3848    0.3848    0.3919    0.3919   0.0899  1.0162   0.003786  0.260931  </t>
  </si>
  <si>
    <t xml:space="preserve"> F        0.5147    0.5147    0.5242    0.5242   0.2243  1.0180   0.005055  1.062076  </t>
  </si>
  <si>
    <t xml:space="preserve"> K        3.46      4.16      3.52      4.24     0.732   1.0321   0.03350   4.89737  </t>
  </si>
  <si>
    <t xml:space="preserve"> Mn       0.2250    0.2905    0.2292    0.2959   0.0339  1.0502   0.002142  0.006361  </t>
  </si>
  <si>
    <t xml:space="preserve"> Al       4.68      8.85      4.77      9.01     1.437   0.9304   0.05032   0.75652  </t>
  </si>
  <si>
    <t xml:space="preserve"> P        0.0064    0.0147    0.0065    0.0150   0.0017  1.0365   0.000062  0.036276 ?</t>
  </si>
  <si>
    <t xml:space="preserve"> Mg       0.0252    0.0417    0.0256    0.0425   0.0086  0.9447   0.000266  0.008653  </t>
  </si>
  <si>
    <t xml:space="preserve"> Ca       0.3277    0.4585    0.3338    0.4670   0.0677  1.0287   0.003186  0.047610  </t>
  </si>
  <si>
    <t xml:space="preserve"> Ti       0.2040    0.3403    0.2078    0.3466   0.0353  1.0110   0.002018  0.082531  </t>
  </si>
  <si>
    <t xml:space="preserve"> O       46.37       -       47.23       -      24.000      -         -        </t>
  </si>
  <si>
    <t>Total:   98.18     98.18    100.00    100.00    14.211</t>
  </si>
  <si>
    <t xml:space="preserve">Unknown Specimen No. 7 </t>
  </si>
  <si>
    <t xml:space="preserve"> UNK No.      :    7            Comment : Scap                                     </t>
  </si>
  <si>
    <t xml:space="preserve"> Stage        :    X=   21.2345  Y=   23.6130  Z=   11.5290 </t>
  </si>
  <si>
    <t xml:space="preserve"> Dated on Dec 20 16:38 2016 </t>
  </si>
  <si>
    <t xml:space="preserve"> 1 Na   129.476    524.0    0.0   20.5    1.41      172 </t>
  </si>
  <si>
    <t xml:space="preserve"> 2 S    171.948     72.1    4.9    3.6    2.27      100 </t>
  </si>
  <si>
    <t xml:space="preserve"> 3 Fe   134.739      2.6    3.2    1.8   22.72      344 </t>
  </si>
  <si>
    <t xml:space="preserve"> 4 Si    77.822   3610.4   29.2   17.4    0.37      218 </t>
  </si>
  <si>
    <t xml:space="preserve"> 5 Cl   151.478    232.1   10.1    8.3    1.24       48 </t>
  </si>
  <si>
    <t xml:space="preserve"> 6 F    199.140      0.1    2.7    2.0  525.83 ?    318 </t>
  </si>
  <si>
    <t xml:space="preserve"> 7 K    119.485    184.9   25.7   19.4    1.50       55 </t>
  </si>
  <si>
    <t xml:space="preserve"> 8 Mn   146.243      0.1    1.5    1.4  442.83 ?    245 </t>
  </si>
  <si>
    <t xml:space="preserve"> 9 Al    90.995   1976.2   19.3   11.0    0.51      177 </t>
  </si>
  <si>
    <t xml:space="preserve">10 P    197.118      0.7    3.1    1.8   72.10 ?    135 </t>
  </si>
  <si>
    <t xml:space="preserve">11 Mg   107.534     -2.6   23.9    0.0  100.00 ?    134 </t>
  </si>
  <si>
    <t xml:space="preserve">12 Ca   107.121   2819.9   30.4   34.7    0.43       87 </t>
  </si>
  <si>
    <t xml:space="preserve">13 Ti    88.305      0.4    0.0   40.4  357.08 ?    119 </t>
  </si>
  <si>
    <t xml:space="preserve"> Na      0.4766    0.0050    0.5688    0.9699     0.9963     1.8102     0.8458</t>
  </si>
  <si>
    <t xml:space="preserve"> S       0.7695    0.0043    0.8216    0.9404     1.0331     1.2474     1.0016</t>
  </si>
  <si>
    <t xml:space="preserve"> Fe      0.9812    0.0000    0.9972    0.7930     1.0604     1.1924     1.0153</t>
  </si>
  <si>
    <t xml:space="preserve"> Si      0.7188    0.0016    0.7888    0.9647     1.0190     1.2876     1.0032</t>
  </si>
  <si>
    <t xml:space="preserve"> Cl      0.8301    0.0062    0.8796    0.8925     1.0393     1.2181     1.0011</t>
  </si>
  <si>
    <t xml:space="preserve"> F       0.1818    0.0011    0.2387    0.9946     0.9832     4.2802     1.0786</t>
  </si>
  <si>
    <t xml:space="preserve"> K       0.9055    0.0166    0.9442    0.8838     1.0495     1.1231     1.0150</t>
  </si>
  <si>
    <t xml:space="preserve"> Al      0.7189    0.0120    0.8063    0.9463     1.0114     1.2805     0.9151</t>
  </si>
  <si>
    <t xml:space="preserve"> P       0.6851    0.0027    0.7424    0.9247     1.0263     1.4157     1.0043</t>
  </si>
  <si>
    <t xml:space="preserve"> Ca      0.9285    0.0001    0.9618    0.8979     1.0535     1.0991     1.0225</t>
  </si>
  <si>
    <t xml:space="preserve"> Na       3.97      5.35      3.96      5.34     1.448   0.8458   0.04689   2.36598  </t>
  </si>
  <si>
    <t xml:space="preserve"> S        0.5574    1.3920    0.5571    1.3912   0.1460  1.0016   0.005565  1.034436  </t>
  </si>
  <si>
    <t xml:space="preserve"> Fe       0.1522    0.1958    0.1521    0.1957   0.0229  1.0153   0.001499  0.014408  </t>
  </si>
  <si>
    <t xml:space="preserve"> Si      23.86     51.04     23.84     51.01     7.131   1.0032   0.23785   0.99287  </t>
  </si>
  <si>
    <t xml:space="preserve"> Cl       1.45      1.45      1.45      1.45     0.344   1.0011   0.01451   0.99971  </t>
  </si>
  <si>
    <t xml:space="preserve"> F        0.0068    0.0068    0.0068    0.0068   0.0030  1.0786   0.000063  0.013245 ?</t>
  </si>
  <si>
    <t xml:space="preserve"> K        0.7004    0.8437    0.6999    0.8431   0.1504  1.0150   0.006900  1.008764  </t>
  </si>
  <si>
    <t xml:space="preserve"> Mn       0.0046    0.0059    0.0046    0.0059   0.0007  1.0574   0.000043  0.000129 ?</t>
  </si>
  <si>
    <t xml:space="preserve"> Al      13.70     25.88     13.69     25.86     4.262   0.9151   0.14967   2.25034  </t>
  </si>
  <si>
    <t xml:space="preserve"> P        0.0089    0.0203    0.0089    0.0203   0.0024  1.0043   0.000088  0.051693 ?</t>
  </si>
  <si>
    <t xml:space="preserve"> Mg       0.00      0.00      0.00      0.00     0.000   0.6243   0.00000   0.00000 ?</t>
  </si>
  <si>
    <t xml:space="preserve"> Ca       9.92     13.88      9.91     13.87     2.078   1.0225   0.09700   1.44973  </t>
  </si>
  <si>
    <t xml:space="preserve"> Ti       0.0015    0.0025    0.0015    0.0025   0.0003  1.0317   0.000014  0.000583 ?</t>
  </si>
  <si>
    <t xml:space="preserve"> O       45.74       -       45.71       -      24.000      -         -        </t>
  </si>
  <si>
    <t>Total:  100.06    100.06    100.00    100.00    15.588</t>
  </si>
  <si>
    <t xml:space="preserve">Unknown Specimen No. 8 </t>
  </si>
  <si>
    <t xml:space="preserve"> UNK No.      :    8            Comment : Scap                                     </t>
  </si>
  <si>
    <t xml:space="preserve"> Stage        :    X=   21.2500  Y=   23.6210  Z=   11.5290 </t>
  </si>
  <si>
    <t xml:space="preserve"> Dated on Dec 20 16:42 2016 </t>
  </si>
  <si>
    <t xml:space="preserve"> 1 Na   129.476    508.4    0.0   25.4    1.44      191 </t>
  </si>
  <si>
    <t xml:space="preserve"> 2 S    171.948     70.4    5.1    5.0    2.33      110 </t>
  </si>
  <si>
    <t xml:space="preserve"> 3 Fe   134.739      1.2    2.6    2.6   50.20 ?    370 </t>
  </si>
  <si>
    <t xml:space="preserve"> 4 Si    77.822   3607.5   28.2   17.3    0.37      215 </t>
  </si>
  <si>
    <t xml:space="preserve"> 5 Cl   151.478    226.4    7.9    7.2    1.25       44 </t>
  </si>
  <si>
    <t xml:space="preserve"> 6 F    199.140     -0.7    3.9    2.6  100.00 ?    373 </t>
  </si>
  <si>
    <t xml:space="preserve"> 7 K    119.485    191.5   25.9   18.1    1.47       55 </t>
  </si>
  <si>
    <t xml:space="preserve"> 8 Mn   146.243      0.4    1.5    1.3   78.18 ?    241 </t>
  </si>
  <si>
    <t xml:space="preserve"> 9 Al    90.995   1945.5   16.7   10.9    0.51      168 </t>
  </si>
  <si>
    <t xml:space="preserve">10 P    197.118      0.0    3.0    3.0 1116.92 ?    155 </t>
  </si>
  <si>
    <t xml:space="preserve">11 Mg   107.534      0.2   22.1    0.0  422.86 ?    129 </t>
  </si>
  <si>
    <t xml:space="preserve">12 Ca   107.121   2847.8   30.2   33.6    0.42       86 </t>
  </si>
  <si>
    <t xml:space="preserve">13 Ti    88.305      2.1    0.0   37.8   67.26 ?    115 </t>
  </si>
  <si>
    <t xml:space="preserve"> Na      0.4765    0.0050    0.5687    0.9698     0.9963     1.8106     0.8460</t>
  </si>
  <si>
    <t xml:space="preserve"> S       0.7697    0.0043    0.8218    0.9404     1.0331     1.2472     1.0014</t>
  </si>
  <si>
    <t xml:space="preserve"> Fe      0.9812    0.0000    0.9971    0.7930     1.0604     1.1926     1.0155</t>
  </si>
  <si>
    <t xml:space="preserve"> Si      0.7198    0.0016    0.7899    0.9647     1.0189     1.2858     1.0017</t>
  </si>
  <si>
    <t xml:space="preserve"> Cl      0.8303    0.0063    0.8798    0.8925     1.0393     1.2178     1.0009</t>
  </si>
  <si>
    <t xml:space="preserve"> K       0.9057    0.0169    0.9444    0.8838     1.0495     1.1226     1.0146</t>
  </si>
  <si>
    <t xml:space="preserve"> Mn      0.9755    0.0000    0.9942    0.7815     1.0613     1.2127     1.0576</t>
  </si>
  <si>
    <t xml:space="preserve"> Al      0.7194    0.0121    0.8068    0.9463     1.0114     1.2796     0.9144</t>
  </si>
  <si>
    <t xml:space="preserve"> Ca      0.9286    0.0000    0.9618    0.8979     1.0534     1.0992     1.0225</t>
  </si>
  <si>
    <t xml:space="preserve"> Ti      0.9448    0.0001    0.9721    0.8101     1.0590     1.1989     1.0321</t>
  </si>
  <si>
    <t xml:space="preserve"> Na       3.85      5.19      3.87      5.22     1.414   0.8460   0.04550   2.29548  </t>
  </si>
  <si>
    <t xml:space="preserve"> S        0.5447    1.3602    0.5480    1.3684   0.1435  1.0014   0.005439  1.010995  </t>
  </si>
  <si>
    <t xml:space="preserve"> Fe       0.0662    0.0852    0.0666    0.0857   0.0100  1.0155   0.000652  0.006268  </t>
  </si>
  <si>
    <t xml:space="preserve"> Si      23.82     50.95     23.96     51.25     7.163   1.0017   0.23766   0.99207  </t>
  </si>
  <si>
    <t xml:space="preserve"> Cl       1.42      1.42      1.42      1.42     0.337   1.0009   0.01415   0.97499  </t>
  </si>
  <si>
    <t xml:space="preserve"> F        0.00      0.00      0.00      0.00     0.000   0.2520   0.00000   0.00000 ?</t>
  </si>
  <si>
    <t xml:space="preserve"> K        0.7250    0.8733    0.7293    0.8785   0.1566  1.0146   0.007145  1.044636  </t>
  </si>
  <si>
    <t xml:space="preserve"> Mn       0.0271    0.0350    0.0273    0.0352   0.0042  1.0576   0.000256  0.000761  </t>
  </si>
  <si>
    <t xml:space="preserve"> Al      13.48     25.46     13.56     25.62     4.220   0.9144   0.14735   2.21539  </t>
  </si>
  <si>
    <t xml:space="preserve"> P        0.0006    0.0014    0.0006    0.0014   0.0002  1.0041   0.000006  0.003628 ?</t>
  </si>
  <si>
    <t xml:space="preserve"> Mg       0.0012    0.0020    0.0012    0.0020   0.0004  0.9119   0.000013  0.000428 ?</t>
  </si>
  <si>
    <t xml:space="preserve"> Ca      10.02     14.02     10.08     14.10     2.111   1.0225   0.09796   1.46405  </t>
  </si>
  <si>
    <t xml:space="preserve"> Ti       0.0077    0.0129    0.0078    0.0130   0.0014  1.0321   0.000075  0.003062 ?</t>
  </si>
  <si>
    <t xml:space="preserve"> O       45.46       -       45.73       -      24.000      -         -        </t>
  </si>
  <si>
    <t>Total:   99.40     99.40    100.00    100.00    15.562</t>
  </si>
  <si>
    <t xml:space="preserve">Unknown Specimen No. 9 </t>
  </si>
  <si>
    <t xml:space="preserve"> UNK No.      :    9            Comment : 1982-CS2-L3A_1                           </t>
  </si>
  <si>
    <t xml:space="preserve"> Stage        :    X=   20.6570  Y=   85.0745  Z=   11.2990 </t>
  </si>
  <si>
    <t xml:space="preserve"> Dated on Dec 20 16:45 2016 </t>
  </si>
  <si>
    <t xml:space="preserve"> 1 Na   129.476    217.7    0.0   18.1    2.23      161 </t>
  </si>
  <si>
    <t xml:space="preserve"> 2 S    171.948      0.9    6.3    6.1   73.17 ?    122 </t>
  </si>
  <si>
    <t xml:space="preserve"> 3 Fe   134.739    189.5    2.3    2.8    1.65      372 </t>
  </si>
  <si>
    <t xml:space="preserve"> 4 Si    77.822   3231.9   30.5   19.5    0.40      225 </t>
  </si>
  <si>
    <t xml:space="preserve"> 5 Cl   151.478     18.6    7.9    7.5    5.73       44 </t>
  </si>
  <si>
    <t xml:space="preserve"> 6 F    199.140      1.4    4.6    3.5   40.59 ?    414 </t>
  </si>
  <si>
    <t xml:space="preserve"> 7 K    119.485    392.5   35.3   21.3    0.99       62 </t>
  </si>
  <si>
    <t xml:space="preserve"> 8 Mn   146.243      2.9    1.9    1.9   16.26      285 </t>
  </si>
  <si>
    <t xml:space="preserve"> 9 Al    90.995   1038.2   15.7    6.7    0.70      153 </t>
  </si>
  <si>
    <t xml:space="preserve">10 P    197.118     22.6    3.4    2.7    5.30      154 </t>
  </si>
  <si>
    <t xml:space="preserve">11 Mg   107.534    576.5   35.9    0.0    0.96      165 </t>
  </si>
  <si>
    <t xml:space="preserve">12 Ca   107.121   2333.8   35.6   34.6    0.47       90 </t>
  </si>
  <si>
    <t xml:space="preserve">13 Ti    88.305    672.8    0.0   44.8    0.89      125 </t>
  </si>
  <si>
    <t xml:space="preserve"> Na      0.3946    0.0039    0.4710    0.9938     0.9866     2.1574     1.0080</t>
  </si>
  <si>
    <t xml:space="preserve"> S       0.7693    0.0038    0.8213    0.9629     1.0234     1.2309     0.9883</t>
  </si>
  <si>
    <t xml:space="preserve"> Fe      0.9808    0.0000    0.9967    0.8109     1.0554     1.1722     0.9981</t>
  </si>
  <si>
    <t xml:space="preserve"> Si      0.7040    0.0013    0.7726    0.9881     1.0089     1.2967     1.0102</t>
  </si>
  <si>
    <t xml:space="preserve"> Cl      0.8317    0.0071    0.8813    0.9137     1.0299     1.1973     0.9840</t>
  </si>
  <si>
    <t xml:space="preserve"> F       0.1887    0.0014    0.2478    1.0194     0.9742     4.0582     1.0227</t>
  </si>
  <si>
    <t xml:space="preserve"> K       0.9097    0.0180    0.9486    0.9046     1.0410     1.0997     0.9939</t>
  </si>
  <si>
    <t xml:space="preserve"> Mn      0.9750    0.0000    0.9937    0.7993     1.0559     1.1925     1.0400</t>
  </si>
  <si>
    <t xml:space="preserve"> Al      0.6480    0.0097    0.7268    0.9694     1.0013     1.4040     1.0033</t>
  </si>
  <si>
    <t xml:space="preserve"> P       0.6862    0.0021    0.7435    0.9470     1.0164     1.3946     0.9894</t>
  </si>
  <si>
    <t xml:space="preserve"> Mg      0.5370    0.0070    0.6155    1.0086     0.9938     1.6096     1.0049</t>
  </si>
  <si>
    <t xml:space="preserve"> Ca      0.9297    0.0071    0.9630    0.9189     1.0454     1.0734     0.9986</t>
  </si>
  <si>
    <t xml:space="preserve"> Ti      0.9487    0.0112    0.9761    0.8289     1.0520     1.1620     1.0003</t>
  </si>
  <si>
    <t xml:space="preserve"> Na       1.96      2.65      1.95      2.63     0.766   1.0080   0.01948   0.98274  </t>
  </si>
  <si>
    <t xml:space="preserve"> S        0.0070    0.0175    0.0070    0.0174   0.0020  0.9883   0.000071  0.013174 ?</t>
  </si>
  <si>
    <t xml:space="preserve"> Fe      10.72     13.79     10.67     13.72     1.722   0.9981   0.10742   1.03262  </t>
  </si>
  <si>
    <t xml:space="preserve"> Si      21.50     46.00     21.39     45.77     6.868   1.0102   0.21292   0.88878  </t>
  </si>
  <si>
    <t xml:space="preserve"> Cl       0.1143    0.1143    0.1137    0.1137   0.0289  0.9840   0.001161  0.080029  </t>
  </si>
  <si>
    <t xml:space="preserve"> F        0.1165    0.1165    0.1159    0.1159   0.0550  1.0227   0.001139  0.239307  </t>
  </si>
  <si>
    <t xml:space="preserve"> K        1.46      1.75      1.45      1.75     0.334   0.9939   0.01465   2.14178  </t>
  </si>
  <si>
    <t xml:space="preserve"> Mn       0.1875    0.2421    0.1866    0.2409   0.0306  1.0400   0.001803  0.005353  </t>
  </si>
  <si>
    <t xml:space="preserve"> Al       7.89     14.90      7.85     14.83     2.623   1.0033   0.07862   1.18215  </t>
  </si>
  <si>
    <t xml:space="preserve"> P        0.2773    0.6354    0.2759    0.6322   0.0803  0.9894   0.002802  1.638841  </t>
  </si>
  <si>
    <t xml:space="preserve"> Mg       3.06      5.07      3.04      5.04     1.128   1.0049   0.03041   0.98761  </t>
  </si>
  <si>
    <t xml:space="preserve"> Ca       8.02     11.22      7.98     11.16     1.795   0.9986   0.08028   1.19983  </t>
  </si>
  <si>
    <t xml:space="preserve"> Ti       2.40      4.00      2.39      3.98     0.449   1.0003   0.02398   0.98090  </t>
  </si>
  <si>
    <t xml:space="preserve"> O       42.80       -       42.59       -      24.000      -         -        </t>
  </si>
  <si>
    <t>Total:  100.51    100.51    100.00    100.00    15.881</t>
  </si>
  <si>
    <t xml:space="preserve">Unknown Specimen No. 10 </t>
  </si>
  <si>
    <t xml:space="preserve"> UNK No.      :   10            Comment : 1982-CS2-L3A_2                           </t>
  </si>
  <si>
    <t xml:space="preserve"> Stage        :    X=   20.7270  Y=   85.3335  Z=   11.2975 </t>
  </si>
  <si>
    <t xml:space="preserve"> Dated on Dec 20 16:49 2016 </t>
  </si>
  <si>
    <t xml:space="preserve">Curr.(A) : 1.004E-08 </t>
  </si>
  <si>
    <t xml:space="preserve"> 1 Na   129.476    213.1    0.0   16.5    2.25      154 </t>
  </si>
  <si>
    <t xml:space="preserve"> 2 S    171.948      0.9    5.5    4.4   68.81 ?    108 </t>
  </si>
  <si>
    <t xml:space="preserve"> 3 Fe   134.739    189.1    2.8    3.3    1.65      406 </t>
  </si>
  <si>
    <t xml:space="preserve"> 4 Si    77.822   3231.6   30.1   19.5    0.40      224 </t>
  </si>
  <si>
    <t xml:space="preserve"> 5 Cl   151.478     17.5    9.1    8.7    6.20       47 </t>
  </si>
  <si>
    <t xml:space="preserve"> 6 F    199.140      2.0    3.7    2.9   27.75      372 </t>
  </si>
  <si>
    <t xml:space="preserve"> 7 K    119.485    397.1   34.8   21.5    0.98       62 </t>
  </si>
  <si>
    <t xml:space="preserve"> 8 Mn   146.243      2.7    2.6    1.5   17.62      289 </t>
  </si>
  <si>
    <t xml:space="preserve"> 9 Al    90.995   1045.6   15.7    9.8    0.70      162 </t>
  </si>
  <si>
    <t xml:space="preserve">10 P    197.118     22.3    2.6    3.5    5.39      159 </t>
  </si>
  <si>
    <t xml:space="preserve">11 Mg   107.534    579.3   36.9    0.0    0.96      167 </t>
  </si>
  <si>
    <t xml:space="preserve">12 Ca   107.121   2314.4   34.0   36.1    0.47       90 </t>
  </si>
  <si>
    <t xml:space="preserve">13 Ti    88.305    657.0    0.0   50.1    0.91      132 </t>
  </si>
  <si>
    <t xml:space="preserve"> Na      0.3949    0.0039    0.4713    0.9936     0.9867     2.1560     1.0073</t>
  </si>
  <si>
    <t xml:space="preserve"> S       0.7691    0.0037    0.8212    0.9628     1.0235     1.2312     0.9886</t>
  </si>
  <si>
    <t xml:space="preserve"> Fe      0.9808    0.0000    0.9968    0.8108     1.0555     1.1723     0.9982</t>
  </si>
  <si>
    <t xml:space="preserve"> Si      0.7039    0.0013    0.7725    0.9879     1.0090     1.2970     1.0105</t>
  </si>
  <si>
    <t xml:space="preserve"> Cl      0.8316    0.0070    0.8812    0.9136     1.0300     1.1976     0.9843</t>
  </si>
  <si>
    <t xml:space="preserve"> F       0.1890    0.0014    0.2481    1.0192     0.9743     4.0533     1.0215</t>
  </si>
  <si>
    <t xml:space="preserve"> K       0.9097    0.0178    0.9486    0.9044     1.0410     1.1001     0.9942</t>
  </si>
  <si>
    <t xml:space="preserve"> Mn      0.9751    0.0000    0.9938    0.7991     1.0559     1.1926     1.0401</t>
  </si>
  <si>
    <t xml:space="preserve"> Al      0.6483    0.0097    0.7271    0.9692     1.0014     1.4034     1.0029</t>
  </si>
  <si>
    <t xml:space="preserve"> P       0.6860    0.0020    0.7433    0.9468     1.0164     1.3952     0.9898</t>
  </si>
  <si>
    <t xml:space="preserve"> Mg      0.5375    0.0070    0.6161    1.0084     0.9938     1.6082     1.0040</t>
  </si>
  <si>
    <t xml:space="preserve"> Ca      0.9296    0.0070    0.9629    0.9187     1.0454     1.0737     0.9989</t>
  </si>
  <si>
    <t xml:space="preserve"> Ti      0.9487    0.0112    0.9761    0.8287     1.0520     1.1621     1.0004</t>
  </si>
  <si>
    <t xml:space="preserve"> Na       1.92      2.59      1.91      2.58     0.750   1.0073   0.01905   0.96100  </t>
  </si>
  <si>
    <t xml:space="preserve"> S        0.0066    0.0165    0.0066    0.0165   0.0019  0.9886   0.000067  0.012422 ?</t>
  </si>
  <si>
    <t xml:space="preserve"> Fe      10.69     13.75     10.66     13.71     1.720   0.9982   0.10709   1.02941  </t>
  </si>
  <si>
    <t xml:space="preserve"> Si      21.49     45.97     21.42     45.83     6.874   1.0105   0.21268   0.88780  </t>
  </si>
  <si>
    <t xml:space="preserve"> Cl       0.1074    0.1074    0.1071    0.1071   0.0272  0.9843   0.001091  0.075216  </t>
  </si>
  <si>
    <t xml:space="preserve"> F        0.1600    0.1600    0.1595    0.1595   0.0757  1.0215   0.001567  0.329101  </t>
  </si>
  <si>
    <t xml:space="preserve"> K        1.47      1.77      1.47      1.77     0.338   0.9942   0.01480   2.16431  </t>
  </si>
  <si>
    <t xml:space="preserve"> Mn       0.1704    0.2200    0.1699    0.2194   0.0279  1.0401   0.001639  0.004865  </t>
  </si>
  <si>
    <t xml:space="preserve"> Al       7.93     14.99      7.91     14.95     2.642   1.0029   0.07911   1.18944  </t>
  </si>
  <si>
    <t xml:space="preserve"> P        0.2734    0.6266    0.2726    0.6247   0.0793  0.9898   0.002762  1.615465  </t>
  </si>
  <si>
    <t xml:space="preserve"> Mg       3.06      5.08      3.06      5.07     1.133   1.0040   0.03053   0.99151  </t>
  </si>
  <si>
    <t xml:space="preserve"> Ca       7.94     11.12      7.92     11.08     1.781   0.9989   0.07953   1.18867  </t>
  </si>
  <si>
    <t xml:space="preserve"> Ti       2.34      3.90      2.33      3.89     0.439   1.0004   0.02340   0.95689  </t>
  </si>
  <si>
    <t xml:space="preserve"> O       42.73       -       42.60       -      24.000      -         -        </t>
  </si>
  <si>
    <t>Total:  100.30    100.30    100.00    100.00    15.890</t>
  </si>
  <si>
    <t xml:space="preserve">Unknown Specimen No. 11 </t>
  </si>
  <si>
    <t xml:space="preserve"> UNK No.      :   11            Comment : 1982-CS2-L3A_3                           </t>
  </si>
  <si>
    <t xml:space="preserve"> Stage        :    X=   20.2410  Y=   84.7885  Z=   11.3050 </t>
  </si>
  <si>
    <t xml:space="preserve"> Dated on Dec 20 16:52 2016 </t>
  </si>
  <si>
    <t xml:space="preserve"> 1 Na   129.476    239.6    0.0   17.9    2.12      160 </t>
  </si>
  <si>
    <t xml:space="preserve"> 2 S    171.948      1.5    4.8    5.2   40.93 ?    110 </t>
  </si>
  <si>
    <t xml:space="preserve"> 3 Fe   134.739    185.5    3.2    3.5    1.67      422 </t>
  </si>
  <si>
    <t xml:space="preserve"> 4 Si    77.822   3206.3   31.2   17.4    0.40      223 </t>
  </si>
  <si>
    <t xml:space="preserve"> 5 Cl   151.478     20.3    8.7    7.1    5.39       44 </t>
  </si>
  <si>
    <t xml:space="preserve"> 6 F    199.140      1.3    3.9    2.7   40.98 ?    376 </t>
  </si>
  <si>
    <t xml:space="preserve"> 7 K    119.485    410.7   35.1   21.2    0.96       62 </t>
  </si>
  <si>
    <t xml:space="preserve"> 8 Mn   146.243      2.7    2.5    1.5   17.22      287 </t>
  </si>
  <si>
    <t xml:space="preserve"> 9 Al    90.995   1046.9   15.2   10.9    0.70      163 </t>
  </si>
  <si>
    <t xml:space="preserve">10 P    197.118     23.1    3.6    3.1    5.28      162 </t>
  </si>
  <si>
    <t xml:space="preserve">11 Mg   107.534    577.1   39.5    0.0    0.96      173 </t>
  </si>
  <si>
    <t xml:space="preserve">12 Ca   107.121   2322.5   36.8   37.2    0.47       92 </t>
  </si>
  <si>
    <t xml:space="preserve">13 Ti    88.305    655.8    0.0   45.4    0.90      126 </t>
  </si>
  <si>
    <t xml:space="preserve"> Na      0.3962    0.0039    0.4729    0.9934     0.9868     2.1490     1.0041</t>
  </si>
  <si>
    <t xml:space="preserve"> S       0.7694    0.0038    0.8215    0.9626     1.0236     1.2309     0.9883</t>
  </si>
  <si>
    <t xml:space="preserve"> Fe      0.9808    0.0000    0.9967    0.8107     1.0555     1.1725     0.9983</t>
  </si>
  <si>
    <t xml:space="preserve"> Si      0.7037    0.0013    0.7722    0.9877     1.0091     1.2975     1.0109</t>
  </si>
  <si>
    <t xml:space="preserve"> Cl      0.8318    0.0071    0.8814    0.9134     1.0301     1.1974     0.9841</t>
  </si>
  <si>
    <t xml:space="preserve"> F       0.1889    0.0014    0.2480    1.0190     0.9744     4.0562     1.0222</t>
  </si>
  <si>
    <t xml:space="preserve"> K       0.9097    0.0179    0.9486    0.9042     1.0411     1.1001     0.9942</t>
  </si>
  <si>
    <t xml:space="preserve"> Mn      0.9751    0.0000    0.9937    0.7990     1.0560     1.1928     1.0402</t>
  </si>
  <si>
    <t xml:space="preserve"> Al      0.6482    0.0097    0.7270    0.9690     1.0015     1.4038     1.0032</t>
  </si>
  <si>
    <t xml:space="preserve"> P       0.6864    0.0021    0.7437    0.9466     1.0165     1.3945     0.9893</t>
  </si>
  <si>
    <t xml:space="preserve"> Mg      0.5373    0.0070    0.6159    1.0082     0.9940     1.6088     1.0044</t>
  </si>
  <si>
    <t xml:space="preserve"> Ca      0.9295    0.0069    0.9628    0.9186     1.0455     1.0740     0.9992</t>
  </si>
  <si>
    <t xml:space="preserve"> Ti      0.9486    0.0110    0.9760    0.8286     1.0521     1.1626     1.0008</t>
  </si>
  <si>
    <t xml:space="preserve"> Na       2.15      2.90      2.15      2.90     0.843   1.0041   0.02142   1.08059  </t>
  </si>
  <si>
    <t xml:space="preserve"> S        0.0117    0.0292    0.0117    0.0291   0.0033  0.9883   0.000118  0.021971  </t>
  </si>
  <si>
    <t xml:space="preserve"> Fe      10.49     13.49     10.48     13.48     1.692   0.9983   0.10507   1.00999  </t>
  </si>
  <si>
    <t xml:space="preserve"> Si      21.33     45.63     21.30     45.57     6.841   1.0109   0.21102   0.88086  </t>
  </si>
  <si>
    <t xml:space="preserve"> Cl       0.1246    0.1246    0.1245    0.1245   0.0317  0.9841   0.001266  0.087274  </t>
  </si>
  <si>
    <t xml:space="preserve"> F        0.1055    0.1055    0.1053    0.1053   0.0500  1.0222   0.001032  0.216755  </t>
  </si>
  <si>
    <t xml:space="preserve"> K        1.52      1.83      1.52      1.83     0.351   0.9942   0.01531   2.23844  </t>
  </si>
  <si>
    <t xml:space="preserve"> Mn       0.1744    0.2252    0.1742    0.2249   0.0286  1.0402   0.001677  0.004978  </t>
  </si>
  <si>
    <t xml:space="preserve"> Al       7.95     15.01      7.94     14.99     2.653   1.0032   0.07921   1.19088  </t>
  </si>
  <si>
    <t xml:space="preserve"> P        0.2834    0.6494    0.2830    0.6486   0.0824  0.9893   0.002865  1.675261  </t>
  </si>
  <si>
    <t xml:space="preserve"> Mg       3.05      5.07      3.05      5.06     1.132   1.0044   0.03041   0.98774  </t>
  </si>
  <si>
    <t xml:space="preserve"> Ca       7.97     11.16      7.96     11.14     1.793   0.9992   0.07981   1.19280  </t>
  </si>
  <si>
    <t xml:space="preserve"> Ti       2.34      3.90      2.33      3.89     0.440   1.0008   0.02335   0.95513  </t>
  </si>
  <si>
    <t xml:space="preserve"> O       42.62       -       42.57       -      24.000      -         -        </t>
  </si>
  <si>
    <t>Total:  100.12    100.12    100.00    100.00    15.941</t>
  </si>
  <si>
    <t xml:space="preserve">Unknown Specimen No. 12 </t>
  </si>
  <si>
    <t xml:space="preserve"> UNK No.      :   12            Comment : 1982-CS2-L3A_4                           </t>
  </si>
  <si>
    <t xml:space="preserve"> Stage        :    X=   19.9485  Y=   84.8465  Z=   11.3085 </t>
  </si>
  <si>
    <t xml:space="preserve"> Dated on Dec 20 16:56 2016 </t>
  </si>
  <si>
    <t xml:space="preserve"> 1 Na   129.476    218.5    0.0   15.1    2.21      147 </t>
  </si>
  <si>
    <t xml:space="preserve"> 2 S    171.948      2.3    5.5    4.2   27.48      107 </t>
  </si>
  <si>
    <t xml:space="preserve"> 3 Fe   134.739    187.3    2.2    3.3    1.66      393 </t>
  </si>
  <si>
    <t xml:space="preserve"> 4 Si    77.822   3248.8   28.9   21.2    0.40      224 </t>
  </si>
  <si>
    <t xml:space="preserve"> 5 Cl   151.478     20.0    7.3    8.1    5.44       44 </t>
  </si>
  <si>
    <t xml:space="preserve"> 6 F    199.140      1.5    3.9    3.6   36.65 ?    395 </t>
  </si>
  <si>
    <t xml:space="preserve"> 7 K    119.485    354.3   37.8   24.2    1.06       65 </t>
  </si>
  <si>
    <t xml:space="preserve"> 8 Mn   146.243      2.7    1.8    1.3   16.28      251 </t>
  </si>
  <si>
    <t xml:space="preserve"> 9 Al    90.995   1041.2   16.8    9.3    0.70      164 </t>
  </si>
  <si>
    <t xml:space="preserve">10 P    197.118     20.1    2.5    3.1    5.69      151 </t>
  </si>
  <si>
    <t xml:space="preserve">11 Mg   107.534    590.2   37.6    0.0    0.95      168 </t>
  </si>
  <si>
    <t xml:space="preserve">12 Ca   107.121   2336.8   35.3   38.5    0.47       92 </t>
  </si>
  <si>
    <t xml:space="preserve">13 Ti    88.305    671.5    0.0   47.6    0.89      129 </t>
  </si>
  <si>
    <t xml:space="preserve"> Na      0.3956    0.0039    0.4722    0.9932     0.9868     2.1525     1.0057</t>
  </si>
  <si>
    <t xml:space="preserve"> S       0.7691    0.0037    0.8212    0.9625     1.0236     1.2315     0.9889</t>
  </si>
  <si>
    <t xml:space="preserve"> Fe      0.9808    0.0000    0.9968    0.8106     1.0555     1.1725     0.9984</t>
  </si>
  <si>
    <t xml:space="preserve"> Si      0.7042    0.0013    0.7728    0.9876     1.0091     1.2968     1.0103</t>
  </si>
  <si>
    <t xml:space="preserve"> Cl      0.8316    0.0069    0.8811    0.9133     1.0301     1.1980     0.9846</t>
  </si>
  <si>
    <t xml:space="preserve"> F       0.1888    0.0014    0.2479    1.0189     0.9744     4.0582     1.0227</t>
  </si>
  <si>
    <t xml:space="preserve"> K       0.9096    0.0180    0.9485    0.9041     1.0411     1.1002     0.9944</t>
  </si>
  <si>
    <t xml:space="preserve"> Mn      0.9751    0.0000    0.9938    0.7989     1.0560     1.1928     1.0403</t>
  </si>
  <si>
    <t xml:space="preserve"> Al      0.6483    0.0097    0.7272    0.9689     1.0015     1.4035     1.0030</t>
  </si>
  <si>
    <t xml:space="preserve"> P       0.6858    0.0020    0.7431    0.9465     1.0166     1.3958     0.9902</t>
  </si>
  <si>
    <t xml:space="preserve"> Mg      0.5379    0.0070    0.6166    1.0081     0.9940     1.6072     1.0034</t>
  </si>
  <si>
    <t xml:space="preserve"> Ca      0.9300    0.0070    0.9633    0.9185     1.0455     1.0735     0.9987</t>
  </si>
  <si>
    <t xml:space="preserve"> Ti      0.9488    0.0111    0.9762    0.8285     1.0521     1.1623     1.0006</t>
  </si>
  <si>
    <t xml:space="preserve"> Na       1.96      2.65      1.96      2.64     0.765   1.0057   0.01953   0.98537  </t>
  </si>
  <si>
    <t xml:space="preserve"> S        0.0174    0.0435    0.0173    0.0433   0.0049  0.9889   0.000176  0.032754  </t>
  </si>
  <si>
    <t xml:space="preserve"> Fe      10.59     13.63     10.54     13.57     1.699   0.9984   0.10610   1.01985  </t>
  </si>
  <si>
    <t xml:space="preserve"> Si      21.60     46.20     21.50     45.99     6.887   1.0103   0.21382   0.89254  </t>
  </si>
  <si>
    <t xml:space="preserve"> Cl       0.1232    0.1232    0.1227    0.1227   0.0311  0.9846   0.001251  0.086237  </t>
  </si>
  <si>
    <t xml:space="preserve"> F        0.1241    0.1241    0.1236    0.1236   0.0585  1.0227   0.001214  0.254973  </t>
  </si>
  <si>
    <t xml:space="preserve"> K        1.31      1.58      1.31      1.58     0.301   0.9944   0.01321   1.93105  </t>
  </si>
  <si>
    <t xml:space="preserve"> Mn       0.1704    0.2200    0.1696    0.2190   0.0278  1.0403   0.001638  0.004863  </t>
  </si>
  <si>
    <t xml:space="preserve"> Al       7.90     14.93      7.87     14.86     2.623   1.0030   0.07878   1.18447  </t>
  </si>
  <si>
    <t xml:space="preserve"> P        0.2464    0.5646    0.2453    0.5621   0.0713  0.9902   0.002488  1.455104  </t>
  </si>
  <si>
    <t xml:space="preserve"> Mg       3.12      5.17      3.11      5.15     1.150   1.0034   0.03110   1.01010  </t>
  </si>
  <si>
    <t xml:space="preserve"> Ca       8.02     11.22      7.98     11.17     1.792   0.9987   0.08030   1.20017  </t>
  </si>
  <si>
    <t xml:space="preserve"> Ti       2.39      3.99      2.38      3.97     0.447   1.0006   0.02391   0.97803  </t>
  </si>
  <si>
    <t xml:space="preserve"> O       42.86       -       42.67       -      24.000      -         -        </t>
  </si>
  <si>
    <t>Total:  100.44    100.44    100.00    100.00    15.860</t>
  </si>
  <si>
    <t xml:space="preserve">Unknown Specimen No. 13 </t>
  </si>
  <si>
    <t xml:space="preserve"> UNK No.      :   13            Comment : 1982-CS2-L3A_5                           </t>
  </si>
  <si>
    <t xml:space="preserve"> Stage        :    X=   19.8710  Y=   84.3265  Z=   11.3085 </t>
  </si>
  <si>
    <t xml:space="preserve"> Dated on Dec 20 16:59 2016 </t>
  </si>
  <si>
    <t xml:space="preserve"> 1 Na   129.476    195.1    0.0   15.8    2.35      151 </t>
  </si>
  <si>
    <t xml:space="preserve"> 2 S    171.948      2.9    5.3    5.1   23.35      111 </t>
  </si>
  <si>
    <t xml:space="preserve"> 3 Fe   134.739    192.3    1.7    3.9    1.64      409 </t>
  </si>
  <si>
    <t xml:space="preserve"> 4 Si    77.822   3232.1   31.3   18.8    0.40      226 </t>
  </si>
  <si>
    <t xml:space="preserve"> 5 Cl   151.478     20.3    8.4    8.1    5.44       46 </t>
  </si>
  <si>
    <t xml:space="preserve"> 6 F    199.140      1.6    3.7    3.3   34.21 ?    381 </t>
  </si>
  <si>
    <t xml:space="preserve"> 7 K    119.485    378.2   33.7   23.2    1.01       62 </t>
  </si>
  <si>
    <t xml:space="preserve"> 8 Mn   146.243      3.2    1.9    1.5   14.60      265 </t>
  </si>
  <si>
    <t xml:space="preserve"> 9 Al    90.995   1051.1   17.8   10.8    0.70      172 </t>
  </si>
  <si>
    <t xml:space="preserve">10 P    197.118     25.0    3.3    3.0    5.01      158 </t>
  </si>
  <si>
    <t xml:space="preserve">11 Mg   107.534    569.3   38.1    0.0    0.97      170 </t>
  </si>
  <si>
    <t xml:space="preserve">12 Ca   107.121   2358.1   31.1   35.8    0.47       88 </t>
  </si>
  <si>
    <t xml:space="preserve">13 Ti    88.305    668.7    0.0   47.3    0.89      128 </t>
  </si>
  <si>
    <t xml:space="preserve"> Na      0.3934    0.0039    0.4696    0.9940     0.9864     2.1634     1.0108</t>
  </si>
  <si>
    <t xml:space="preserve"> S       0.7692    0.0038    0.8213    0.9632     1.0233     1.2307     0.9883</t>
  </si>
  <si>
    <t xml:space="preserve"> Fe      0.9808    0.0000    0.9967    0.8112     1.0554     1.1720     0.9979</t>
  </si>
  <si>
    <t xml:space="preserve"> Si      0.7039    0.0013    0.7724    0.9884     1.0088     1.2968     1.0103</t>
  </si>
  <si>
    <t xml:space="preserve"> Cl      0.8316    0.0071    0.8812    0.9140     1.0298     1.1973     0.9840</t>
  </si>
  <si>
    <t xml:space="preserve"> F       0.1886    0.0014    0.2476    1.0197     0.9741     4.0603     1.0232</t>
  </si>
  <si>
    <t xml:space="preserve"> K       0.9096    0.0181    0.9485    0.9048     1.0408     1.0995     0.9937</t>
  </si>
  <si>
    <t xml:space="preserve"> Mn      0.9750    0.0000    0.9937    0.7995     1.0558     1.1923     1.0398</t>
  </si>
  <si>
    <t xml:space="preserve"> Al      0.6484    0.0097    0.7272    0.9697     1.0012     1.4030     1.0026</t>
  </si>
  <si>
    <t xml:space="preserve"> P       0.6863    0.0021    0.7436    0.9472     1.0162     1.3942     0.9891</t>
  </si>
  <si>
    <t xml:space="preserve"> Mg      0.5371    0.0070    0.6156    1.0089     0.9936     1.6090     1.0045</t>
  </si>
  <si>
    <t xml:space="preserve"> Ca      0.9298    0.0071    0.9631    0.9192     1.0453     1.0731     0.9983</t>
  </si>
  <si>
    <t xml:space="preserve"> Ti      0.9486    0.0114    0.9760    0.8291     1.0518     1.1617     1.0000</t>
  </si>
  <si>
    <t xml:space="preserve"> Na       1.76      2.38      1.75      2.36     0.687   1.0108   0.01745   0.88022  </t>
  </si>
  <si>
    <t xml:space="preserve"> S        0.0217    0.0543    0.0216    0.0539   0.0061  0.9883   0.000220  0.040885  </t>
  </si>
  <si>
    <t xml:space="preserve"> Fe      10.87     13.98     10.80     13.90     1.743   0.9979   0.10893   1.04714  </t>
  </si>
  <si>
    <t xml:space="preserve"> Si      21.48     45.95     21.35     45.67     6.850   1.0103   0.21272   0.88796  </t>
  </si>
  <si>
    <t xml:space="preserve"> Cl       0.1250    0.1250    0.1242    0.1242   0.0316  0.9840   0.001270  0.087536  </t>
  </si>
  <si>
    <t xml:space="preserve"> F        0.1296    0.1296    0.1288    0.1288   0.0611  1.0232   0.001266  0.266058  </t>
  </si>
  <si>
    <t xml:space="preserve"> K        1.40      1.69      1.39      1.68     0.321   0.9937   0.01410   2.06129  </t>
  </si>
  <si>
    <t xml:space="preserve"> Mn       0.2041    0.2635    0.2028    0.2618   0.0333  1.0398   0.001963  0.005827  </t>
  </si>
  <si>
    <t xml:space="preserve"> Al       7.97     15.06      7.92     14.97     2.647   1.0026   0.07952   1.19567  </t>
  </si>
  <si>
    <t xml:space="preserve"> P        0.3069    0.7034    0.3050    0.6990   0.0888  0.9891   0.003103  1.814784  </t>
  </si>
  <si>
    <t xml:space="preserve"> Mg       3.01      5.00      2.99      4.97     1.110   1.0045   0.03000   0.97428  </t>
  </si>
  <si>
    <t xml:space="preserve"> Ca       8.09     11.32      8.04     11.25     1.808   0.9983   0.08104   1.21112  </t>
  </si>
  <si>
    <t xml:space="preserve"> Ti       2.38      3.97      2.37      3.95     0.445   1.0000   0.02381   0.97395  </t>
  </si>
  <si>
    <t xml:space="preserve"> O       42.87       -       42.60       -      24.000      -         -        </t>
  </si>
  <si>
    <t>Total:  100.63    100.63    100.00    100.00    15.832</t>
  </si>
  <si>
    <t xml:space="preserve">Unknown Specimen No. 14 </t>
  </si>
  <si>
    <t xml:space="preserve"> UNK No.      :   14            Comment : 1982-CS2-L3A_6                           </t>
  </si>
  <si>
    <t xml:space="preserve"> Stage        :    X=   20.6795  Y=   84.7765  Z=   11.2970 </t>
  </si>
  <si>
    <t xml:space="preserve"> Dated on Dec 20 17:03 2016 </t>
  </si>
  <si>
    <t xml:space="preserve"> 1 Na   129.476    228.2    0.0   14.8    2.16      146 </t>
  </si>
  <si>
    <t xml:space="preserve"> 2 S    171.948      1.5    5.2    5.9   42.91 ?    116 </t>
  </si>
  <si>
    <t xml:space="preserve"> 3 Fe   134.739    180.8    2.3    2.4    1.69      352 </t>
  </si>
  <si>
    <t xml:space="preserve"> 4 Si    77.822   3251.2   34.4   19.7    0.40      235 </t>
  </si>
  <si>
    <t xml:space="preserve"> 5 Cl   151.478     20.7    9.7    8.3    5.48       48 </t>
  </si>
  <si>
    <t xml:space="preserve"> 6 F    199.140      2.3    3.5    2.1   23.03      350 </t>
  </si>
  <si>
    <t xml:space="preserve"> 7 K    119.485    402.9   35.3   23.7    0.98       63 </t>
  </si>
  <si>
    <t xml:space="preserve"> 8 Mn   146.243      1.8    2.4    2.3   25.31      312 </t>
  </si>
  <si>
    <t xml:space="preserve"> 9 Al    90.995   1052.6   15.5    9.7    0.70      161 </t>
  </si>
  <si>
    <t xml:space="preserve">10 P    197.118     26.4    3.2    2.4    4.78      147 </t>
  </si>
  <si>
    <t xml:space="preserve">11 Mg   107.534    565.7   41.9    0.0    0.97      178 </t>
  </si>
  <si>
    <t xml:space="preserve">12 Ca   107.121   2301.6   31.5   31.3    0.47       85 </t>
  </si>
  <si>
    <t xml:space="preserve">13 Ti    88.305    656.6    0.0   49.6    0.90      131 </t>
  </si>
  <si>
    <t xml:space="preserve"> Na      0.3978    0.0039    0.4748    0.9925     0.9871     2.1416     1.0006</t>
  </si>
  <si>
    <t xml:space="preserve"> S       0.7691    0.0037    0.8211    0.9618     1.0239     1.2320     0.9893</t>
  </si>
  <si>
    <t xml:space="preserve"> Fe      0.9808    0.0000    0.9968    0.8100     1.0557     1.1731     0.9989</t>
  </si>
  <si>
    <t xml:space="preserve"> Si      0.7052    0.0013    0.7739    0.9869     1.0095     1.2953     1.0092</t>
  </si>
  <si>
    <t xml:space="preserve"> Cl      0.8316    0.0070    0.8811    0.9127     1.0304     1.1984     0.9849</t>
  </si>
  <si>
    <t xml:space="preserve"> F       0.1887    0.0014    0.2478    1.0181     0.9747     4.0618     1.0236</t>
  </si>
  <si>
    <t xml:space="preserve"> K       0.9096    0.0177    0.9485    0.9035     1.0414     1.1010     0.9951</t>
  </si>
  <si>
    <t xml:space="preserve"> Mn      0.9751    0.0000    0.9938    0.7984     1.0562     1.1934     1.0408</t>
  </si>
  <si>
    <t xml:space="preserve"> Al      0.6505    0.0098    0.7295    0.9682     1.0018     1.3994     1.0000</t>
  </si>
  <si>
    <t xml:space="preserve"> P       0.6862    0.0020    0.7435    0.9458     1.0169     1.3955     0.9900</t>
  </si>
  <si>
    <t xml:space="preserve"> Mg      0.5395    0.0071    0.6184    1.0074     0.9943     1.6030     1.0008</t>
  </si>
  <si>
    <t xml:space="preserve"> Ca      0.9295    0.0068    0.9628    0.9178     1.0458     1.0748     0.9998</t>
  </si>
  <si>
    <t xml:space="preserve"> Ti      0.9487    0.0107    0.9761    0.8279     1.0523     1.1635     1.0016</t>
  </si>
  <si>
    <t xml:space="preserve"> Na       2.04      2.75      2.04      2.75     0.797   1.0006   0.02040   1.02914  </t>
  </si>
  <si>
    <t xml:space="preserve"> S        0.0117    0.0293    0.0117    0.0292   0.0033  0.9893   0.000119  0.022031  </t>
  </si>
  <si>
    <t xml:space="preserve"> Fe      10.23     13.16     10.22     13.15     1.644   0.9989   0.10243   0.98457  </t>
  </si>
  <si>
    <t xml:space="preserve"> Si      21.59     46.19     21.57     46.14     6.899   1.0092   0.21397   0.89318  </t>
  </si>
  <si>
    <t xml:space="preserve"> Cl       0.1273    0.1273    0.1272    0.1272   0.0322  0.9849   0.001293  0.089106  </t>
  </si>
  <si>
    <t xml:space="preserve"> F        0.1892    0.1892    0.1890    0.1890   0.0894  1.0236   0.001848  0.388336  </t>
  </si>
  <si>
    <t xml:space="preserve"> K        1.49      1.80      1.49      1.80     0.343   0.9951   0.01502   2.19603  </t>
  </si>
  <si>
    <t xml:space="preserve"> Mn       0.1177    0.1520    0.1176    0.1518   0.0192  1.0408   0.001131  0.003358  </t>
  </si>
  <si>
    <t xml:space="preserve"> Al       7.96     15.05      7.96     15.03     2.649   1.0000   0.07964   1.19743  </t>
  </si>
  <si>
    <t xml:space="preserve"> P        0.3240    0.7424    0.3236    0.7415   0.0939  0.9900   0.003272  1.913538  </t>
  </si>
  <si>
    <t xml:space="preserve"> Mg       2.98      4.95      2.98      4.94     1.101   1.0008   0.02981   0.96821  </t>
  </si>
  <si>
    <t xml:space="preserve"> Ca       7.91     11.07      7.90     11.05     1.771   0.9998   0.07909   1.18210  </t>
  </si>
  <si>
    <t xml:space="preserve"> Ti       2.34      3.91      2.34      3.90     0.439   1.0016   0.02338   0.95637  </t>
  </si>
  <si>
    <t xml:space="preserve"> O       42.78       -       42.74       -      24.000      -         -        </t>
  </si>
  <si>
    <t>Total:  100.11    100.11    100.00    100.00    15.882</t>
  </si>
  <si>
    <t xml:space="preserve">Unknown Specimen No. 15 </t>
  </si>
  <si>
    <t xml:space="preserve"> UNK No.      :   15            Comment : 1982-CS2-L3A_7                           </t>
  </si>
  <si>
    <t xml:space="preserve"> Stage        :    X=   19.7690  Y=   85.1930  Z=   11.3090 </t>
  </si>
  <si>
    <t xml:space="preserve"> Dated on Dec 20 17:06 2016 </t>
  </si>
  <si>
    <t xml:space="preserve"> 1 Na   129.476    403.7    0.0   20.2    1.61      170 </t>
  </si>
  <si>
    <t xml:space="preserve"> 2 S    171.948      1.4    5.7    5.8   46.39 ?    118 </t>
  </si>
  <si>
    <t xml:space="preserve"> 3 Fe   134.739    173.8    3.3    2.5    1.72      381 </t>
  </si>
  <si>
    <t xml:space="preserve"> 4 Si    77.822   3248.9   30.2   17.3    0.40      220 </t>
  </si>
  <si>
    <t xml:space="preserve"> 5 Cl   151.478     19.6    8.5    7.9    5.59       45 </t>
  </si>
  <si>
    <t xml:space="preserve"> 6 F    199.140      1.5    4.4    2.7   38.23 ?    392 </t>
  </si>
  <si>
    <t xml:space="preserve"> 7 K    119.485    398.8   32.9   20.4    0.98       60 </t>
  </si>
  <si>
    <t xml:space="preserve"> 8 Mn   146.243      2.0    2.1    2.0   22.86      294 </t>
  </si>
  <si>
    <t xml:space="preserve"> 9 Al    90.995   1050.6   16.2    9.1    0.70      162 </t>
  </si>
  <si>
    <t xml:space="preserve">10 P    197.118     26.0    3.3    2.7    4.86      153 </t>
  </si>
  <si>
    <t xml:space="preserve">11 Mg   107.534    529.3   34.5    0.0    1.00      161 </t>
  </si>
  <si>
    <t xml:space="preserve">12 Ca   107.121   2176.6   31.1   35.4    0.49       88 </t>
  </si>
  <si>
    <t xml:space="preserve">13 Ti    88.305    670.7    0.0   48.2    0.89      130 </t>
  </si>
  <si>
    <t xml:space="preserve"> Na      0.4030    0.0038    0.4811    0.9914     0.9878     2.1145     0.9880</t>
  </si>
  <si>
    <t xml:space="preserve"> S       0.7689    0.0036    0.8209    0.9607     1.0247     1.2330     0.9901</t>
  </si>
  <si>
    <t xml:space="preserve"> Fe      0.9811    0.0000    0.9970    0.8092     1.0561     1.1736     0.9993</t>
  </si>
  <si>
    <t xml:space="preserve"> Si      0.7039    0.0013    0.7725    0.9858     1.0102     1.2983     1.0114</t>
  </si>
  <si>
    <t xml:space="preserve"> Cl      0.8315    0.0067    0.8810    0.9117     1.0311     1.1994     0.9858</t>
  </si>
  <si>
    <t xml:space="preserve"> F       0.1902    0.0014    0.2497    1.0169     0.9754     4.0323     1.0162</t>
  </si>
  <si>
    <t xml:space="preserve"> K       0.9096    0.0168    0.9484    0.9026     1.0421     1.1025     0.9964</t>
  </si>
  <si>
    <t xml:space="preserve"> Mn      0.9754    0.0000    0.9941    0.7976     1.0566     1.1937     1.0411</t>
  </si>
  <si>
    <t xml:space="preserve"> Al      0.6483    0.0097    0.7271    0.9671     1.0026     1.4047     1.0039</t>
  </si>
  <si>
    <t xml:space="preserve"> P       0.6859    0.0020    0.7432    0.9448     1.0176     1.3967     0.9909</t>
  </si>
  <si>
    <t xml:space="preserve"> Mg      0.5353    0.0070    0.6136    1.0062     0.9950     1.6163     1.0091</t>
  </si>
  <si>
    <t xml:space="preserve"> Ca      0.9295    0.0067    0.9628    0.9169     1.0464     1.0753     1.0003</t>
  </si>
  <si>
    <t xml:space="preserve"> Ti      0.9495    0.0103    0.9769    0.8271     1.0529     1.1635     1.0016</t>
  </si>
  <si>
    <t xml:space="preserve"> Na       3.56      4.81      3.54      4.77     1.385   0.9880   0.03609   1.82088  </t>
  </si>
  <si>
    <t xml:space="preserve"> S        0.0109    0.0272    0.0108    0.0270   0.0030  0.9901   0.000110  0.020476 ?</t>
  </si>
  <si>
    <t xml:space="preserve"> Fe       9.84     12.66      9.76     12.55     1.574   0.9993   0.09846   0.94648  </t>
  </si>
  <si>
    <t xml:space="preserve"> Si      21.62     46.24     21.43     45.85     6.874   1.0114   0.21382   0.89255  </t>
  </si>
  <si>
    <t xml:space="preserve"> Cl       0.1203    0.1203    0.1193    0.1193   0.0303  0.9858   0.001221  0.084128  </t>
  </si>
  <si>
    <t xml:space="preserve"> F        0.1179    0.1179    0.1170    0.1170   0.0555  1.0162   0.001161  0.243840  </t>
  </si>
  <si>
    <t xml:space="preserve"> K        1.48      1.78      1.47      1.77     0.338   0.9964   0.01487   2.17384  </t>
  </si>
  <si>
    <t xml:space="preserve"> Mn       0.1262    0.1630    0.1252    0.1616   0.0205  1.0411   0.001212  0.003600  </t>
  </si>
  <si>
    <t xml:space="preserve"> Al       7.98     15.07      7.91     14.95     2.641   1.0039   0.07949   1.19509  </t>
  </si>
  <si>
    <t xml:space="preserve"> P        0.3196    0.7324    0.3169    0.7263   0.0922  0.9909   0.003226  1.886358  </t>
  </si>
  <si>
    <t xml:space="preserve"> Mg       2.81      4.67      2.79      4.63     1.034   1.0091   0.02790   0.90599  </t>
  </si>
  <si>
    <t xml:space="preserve"> Ca       7.48     10.47      7.42     10.38     1.668   1.0003   0.07480   1.11789  </t>
  </si>
  <si>
    <t xml:space="preserve"> Ti       2.39      3.99      2.37      3.96     0.446   1.0016   0.02388   0.97686  </t>
  </si>
  <si>
    <t xml:space="preserve"> O       42.99       -       42.62       -      24.000      -         -        </t>
  </si>
  <si>
    <t>Total:  100.85    100.85    100.00    100.00    16.162</t>
  </si>
  <si>
    <t xml:space="preserve">Unknown Specimen No. 16 </t>
  </si>
  <si>
    <t xml:space="preserve"> UNK No.      :   16            Comment : 1982-CS2-L3A_8                           </t>
  </si>
  <si>
    <t xml:space="preserve"> Stage        :    X=   19.6255  Y=   85.1475  Z=   11.3100 </t>
  </si>
  <si>
    <t xml:space="preserve"> Dated on Dec 20 17:10 2016 </t>
  </si>
  <si>
    <t xml:space="preserve"> 1 Na   129.476    340.5    0.0   22.6    1.77      180 </t>
  </si>
  <si>
    <t xml:space="preserve"> 2 S    171.948      4.1    6.1    3.7   16.14      106 </t>
  </si>
  <si>
    <t xml:space="preserve"> 3 Fe   134.739    187.1    3.0    3.4    1.67      414 </t>
  </si>
  <si>
    <t xml:space="preserve"> 4 Si    77.822   3145.6   26.9   19.3    0.40      215 </t>
  </si>
  <si>
    <t xml:space="preserve"> 5 Cl   151.478     20.6    9.1    8.3    5.46       47 </t>
  </si>
  <si>
    <t xml:space="preserve"> 6 F    199.140      1.7    4.3    2.9   32.58      392 </t>
  </si>
  <si>
    <t xml:space="preserve"> 7 K    119.485    381.9   34.8   21.3    1.00       62 </t>
  </si>
  <si>
    <t xml:space="preserve"> 8 Mn   146.243      2.7    2.6    2.0   18.33      308 </t>
  </si>
  <si>
    <t xml:space="preserve"> 9 Al    90.995   1026.2   16.5    9.8    0.71      165 </t>
  </si>
  <si>
    <t xml:space="preserve">10 P    197.118     24.7    3.4    3.1    5.06      160 </t>
  </si>
  <si>
    <t xml:space="preserve">11 Mg   107.534    553.4   40.6    0.0    0.98      175 </t>
  </si>
  <si>
    <t xml:space="preserve">12 Ca   107.121   2255.8   31.8   36.1    0.48       89 </t>
  </si>
  <si>
    <t xml:space="preserve">13 Ti    88.305    662.7    0.0   50.1    0.90      132 </t>
  </si>
  <si>
    <t xml:space="preserve"> Na      0.3969    0.0038    0.4738    0.9935     0.9869     2.1446     1.0020</t>
  </si>
  <si>
    <t xml:space="preserve"> S       0.7695    0.0037    0.8216    0.9627     1.0237     1.2304     0.9880</t>
  </si>
  <si>
    <t xml:space="preserve"> Fe      0.9809    0.0000    0.9969    0.8108     1.0556     1.1720     0.9979</t>
  </si>
  <si>
    <t xml:space="preserve"> Si      0.7019    0.0013    0.7702    0.9879     1.0092     1.3005     1.0132</t>
  </si>
  <si>
    <t xml:space="preserve"> Cl      0.8318    0.0069    0.8814    0.9135     1.0302     1.1972     0.9840</t>
  </si>
  <si>
    <t xml:space="preserve"> F       0.1903    0.0014    0.2498    1.0191     0.9745     4.0246     1.0142</t>
  </si>
  <si>
    <t xml:space="preserve"> K       0.9097    0.0176    0.9486    0.9044     1.0412     1.1001     0.9942</t>
  </si>
  <si>
    <t xml:space="preserve"> Mn      0.9753    0.0000    0.9939    0.7991     1.0560     1.1922     1.0398</t>
  </si>
  <si>
    <t xml:space="preserve"> Al      0.6449    0.0095    0.7233    0.9692     1.0016     1.4109     1.0083</t>
  </si>
  <si>
    <t xml:space="preserve"> P       0.6866    0.0020    0.7440    0.9467     1.0167     1.3936     0.9887</t>
  </si>
  <si>
    <t xml:space="preserve"> Mg      0.5325    0.0069    0.6104    1.0084     0.9941     1.6232     1.0133</t>
  </si>
  <si>
    <t xml:space="preserve"> Ca      0.9298    0.0070    0.9631    0.9187     1.0456     1.0733     0.9985</t>
  </si>
  <si>
    <t xml:space="preserve"> Ti      0.9491    0.0112    0.9765    0.8287     1.0522     1.1614     0.9998</t>
  </si>
  <si>
    <t xml:space="preserve"> Na       3.05      4.11      3.05      4.11     1.203   1.0020   0.03044   1.53602  </t>
  </si>
  <si>
    <t xml:space="preserve"> S        0.0316    0.0790    0.0316    0.0790   0.0090  0.9880   0.000320  0.059519  </t>
  </si>
  <si>
    <t xml:space="preserve"> Fe      10.57     13.60     10.57     13.60     1.717   0.9979   0.10597   1.01861  </t>
  </si>
  <si>
    <t xml:space="preserve"> Si      20.98     44.87     20.97     44.87     6.772   1.0132   0.20702   0.86417  </t>
  </si>
  <si>
    <t xml:space="preserve"> Cl       0.1267    0.1267    0.1267    0.1267   0.0324  0.9840   0.001288  0.088737  </t>
  </si>
  <si>
    <t xml:space="preserve"> F        0.1397    0.1397    0.1397    0.1397   0.0667  1.0142   0.001378  0.289452  </t>
  </si>
  <si>
    <t xml:space="preserve"> K        1.42      1.71      1.42      1.71     0.328   0.9942   0.01424   2.08164  </t>
  </si>
  <si>
    <t xml:space="preserve"> Mn       0.1705    0.2202    0.1705    0.2201   0.0281  1.0398   0.001640  0.004869  </t>
  </si>
  <si>
    <t xml:space="preserve"> Al       7.83     14.79      7.83     14.79     2.632   1.0083   0.07764   1.16740  </t>
  </si>
  <si>
    <t xml:space="preserve"> P        0.3031    0.6947    0.3031    0.6946   0.0888  0.9887   0.003066  1.793040  </t>
  </si>
  <si>
    <t xml:space="preserve"> Mg       2.96      4.90      2.95      4.90     1.102   1.0133   0.02916   0.94713  </t>
  </si>
  <si>
    <t xml:space="preserve"> Ca       7.74     10.83      7.74     10.83     1.751   0.9985   0.07752   1.15854  </t>
  </si>
  <si>
    <t xml:space="preserve"> Ti       2.36      3.94      2.36      3.94     0.447   0.9998   0.02360   0.96513  </t>
  </si>
  <si>
    <t xml:space="preserve"> O       42.34       -       42.33       -      24.000      -         -        </t>
  </si>
  <si>
    <t>Total:  100.01    100.01    100.00    100.00    16.179</t>
  </si>
  <si>
    <t xml:space="preserve">Unknown Specimen No. 17 </t>
  </si>
  <si>
    <t xml:space="preserve"> UNK No.      :   17            Comment : 1982-CS2-L3A_9                           </t>
  </si>
  <si>
    <t xml:space="preserve"> Stage        :    X=   19.6420  Y=   85.3485  Z=   11.3110 </t>
  </si>
  <si>
    <t xml:space="preserve"> Dated on Dec 20 17:13 2016 </t>
  </si>
  <si>
    <t xml:space="preserve"> 1 Na   129.476    370.0    0.0   20.9    1.69      173 </t>
  </si>
  <si>
    <t xml:space="preserve"> 2 S    171.948      2.1    5.8    4.4   30.36      109 </t>
  </si>
  <si>
    <t xml:space="preserve"> 3 Fe   134.739    179.2    3.3    2.8    1.70      394 </t>
  </si>
  <si>
    <t xml:space="preserve"> 4 Si    77.822   3183.1   32.0   20.2    0.40      230 </t>
  </si>
  <si>
    <t xml:space="preserve"> 5 Cl   151.478     20.1    8.6    6.8    5.40       44 </t>
  </si>
  <si>
    <t xml:space="preserve"> 6 F    199.140      1.5    3.7    3.5   36.86 ?    384 </t>
  </si>
  <si>
    <t xml:space="preserve"> 7 K    119.485    374.6   29.9   20.5    1.01       59 </t>
  </si>
  <si>
    <t xml:space="preserve"> 8 Mn   146.243      2.6    1.8    1.8   17.35      275 </t>
  </si>
  <si>
    <t xml:space="preserve"> 9 Al    90.995   1041.5   16.0    9.4    0.70      162 </t>
  </si>
  <si>
    <t xml:space="preserve">10 P    197.118     24.4    3.9    3.0    5.12      163 </t>
  </si>
  <si>
    <t xml:space="preserve">11 Mg   107.534    543.7   36.9    0.0    0.99      167 </t>
  </si>
  <si>
    <t xml:space="preserve">12 Ca   107.121   2205.2   35.3   33.7    0.48       89 </t>
  </si>
  <si>
    <t xml:space="preserve">13 Ti    88.305    650.4    0.0   46.7    0.91      128 </t>
  </si>
  <si>
    <t xml:space="preserve"> Na      0.4001    0.0038    0.4776    0.9924     0.9874     2.1288     0.9946</t>
  </si>
  <si>
    <t xml:space="preserve"> S       0.7691    0.0036    0.8212    0.9617     1.0242     1.2318     0.9891</t>
  </si>
  <si>
    <t xml:space="preserve"> Fe      0.9810    0.0000    0.9970    0.8100     1.0559     1.1727     0.9986</t>
  </si>
  <si>
    <t xml:space="preserve"> Si      0.7023    0.0013    0.7706    0.9868     1.0098     1.3006     1.0133</t>
  </si>
  <si>
    <t xml:space="preserve"> Cl      0.8316    0.0067    0.8812    0.9126     1.0307     1.1984     0.9849</t>
  </si>
  <si>
    <t xml:space="preserve"> F       0.1904    0.0014    0.2500    1.0180     0.9749     4.0239     1.0140</t>
  </si>
  <si>
    <t xml:space="preserve"> K       0.9096    0.0172    0.9485    0.9035     1.0417     1.1013     0.9953</t>
  </si>
  <si>
    <t xml:space="preserve"> Mn      0.9754    0.0000    0.9941    0.7983     1.0563     1.1929     1.0404</t>
  </si>
  <si>
    <t xml:space="preserve"> Al      0.6461    0.0095    0.7246    0.9681     1.0021     1.4090     1.0069</t>
  </si>
  <si>
    <t xml:space="preserve"> P       0.6862    0.0020    0.7435    0.9457     1.0172     1.3954     0.9899</t>
  </si>
  <si>
    <t xml:space="preserve"> Mg      0.5336    0.0069    0.6116    1.0073     0.9946     1.6208     1.0118</t>
  </si>
  <si>
    <t xml:space="preserve"> Ca      0.9298    0.0069    0.9631    0.9178     1.0460     1.0742     0.9993</t>
  </si>
  <si>
    <t xml:space="preserve"> Ti      0.9493    0.0108    0.9768    0.8279     1.0525     1.1623     1.0006</t>
  </si>
  <si>
    <t xml:space="preserve"> Na       3.29      4.44      3.29      4.44     1.293   0.9946   0.03307   1.66874  </t>
  </si>
  <si>
    <t xml:space="preserve"> S        0.0160    0.0398    0.0160    0.0398   0.0045  0.9891   0.000161  0.029977  </t>
  </si>
  <si>
    <t xml:space="preserve"> Fe      10.14     13.04     10.14     13.04     1.639   0.9986   0.10149   0.97561  </t>
  </si>
  <si>
    <t xml:space="preserve"> Si      21.22     45.40     21.22     45.40     6.825   1.0133   0.20949   0.87448  </t>
  </si>
  <si>
    <t xml:space="preserve"> Cl       0.1237    0.1237    0.1237    0.1237   0.0315  0.9849   0.001256  0.086587  </t>
  </si>
  <si>
    <t xml:space="preserve"> F        0.1190    0.1190    0.1190    0.1190   0.0566  1.0140   0.001173  0.246512  </t>
  </si>
  <si>
    <t xml:space="preserve"> K        1.39      1.67      1.39      1.67     0.321   0.9953   0.01397   2.04206  </t>
  </si>
  <si>
    <t xml:space="preserve"> Mn       0.1682    0.2171    0.1682    0.2171   0.0277  1.0404   0.001616  0.004799  </t>
  </si>
  <si>
    <t xml:space="preserve"> Al       7.93     14.99      7.93     14.99     2.657   1.0069   0.07880   1.18479  </t>
  </si>
  <si>
    <t xml:space="preserve"> P        0.2995    0.6864    0.2996    0.6864   0.0874  0.9899   0.003026  1.769484  </t>
  </si>
  <si>
    <t xml:space="preserve"> Mg       2.90      4.81      2.90      4.81     1.077   1.0118   0.02865   0.93050  </t>
  </si>
  <si>
    <t xml:space="preserve"> Ca       7.57     10.60      7.57     10.60     1.707   0.9993   0.07578   1.13256  </t>
  </si>
  <si>
    <t xml:space="preserve"> Ti       2.32      3.87      2.32      3.87     0.437   1.0006   0.02316   0.94732  </t>
  </si>
  <si>
    <t xml:space="preserve"> O       42.51       -       42.51       -      24.000      -         -        </t>
  </si>
  <si>
    <t>Total:   99.99     99.99    100.00    100.00    16.165</t>
  </si>
  <si>
    <t xml:space="preserve">Unknown Specimen No. 18 </t>
  </si>
  <si>
    <t xml:space="preserve"> UNK No.      :   18            Comment : 1982-CS2-L5B_1                           </t>
  </si>
  <si>
    <t xml:space="preserve"> Stage        :    X=   25.1060  Y=   89.9915  Z=   11.2520 </t>
  </si>
  <si>
    <t xml:space="preserve"> Dated on Dec 20 17:17 2016 </t>
  </si>
  <si>
    <t xml:space="preserve"> 1 Na   129.476    472.6    0.0   23.1    1.49      182 </t>
  </si>
  <si>
    <t xml:space="preserve"> 2 S    171.948      1.2    5.3    5.3   54.34 ?    113 </t>
  </si>
  <si>
    <t xml:space="preserve"> 3 Fe   134.739    178.8    2.3    2.6    1.70      362 </t>
  </si>
  <si>
    <t xml:space="preserve"> 4 Si    77.822   3238.1   30.6   19.7    0.40      226 </t>
  </si>
  <si>
    <t xml:space="preserve"> 5 Cl   151.478     20.5    9.0    7.8    5.43       46 </t>
  </si>
  <si>
    <t xml:space="preserve"> 6 F    199.140      3.2    2.9    3.4   17.53      357 </t>
  </si>
  <si>
    <t xml:space="preserve"> 7 K    119.485    487.9   35.5   22.2    0.88       63 </t>
  </si>
  <si>
    <t xml:space="preserve"> 8 Mn   146.243      3.1    2.1    1.2   14.67      259 </t>
  </si>
  <si>
    <t xml:space="preserve"> 9 Al    90.995   1034.0   17.4    8.9    0.70      165 </t>
  </si>
  <si>
    <t xml:space="preserve">10 P    197.118     24.7    3.6    2.9    5.05      159 </t>
  </si>
  <si>
    <t xml:space="preserve">11 Mg   107.534    483.5   34.3    0.0    1.05      161 </t>
  </si>
  <si>
    <t xml:space="preserve">12 Ca   107.121   1952.1   31.4   34.6    0.51       87 </t>
  </si>
  <si>
    <t xml:space="preserve">13 Ti    88.305    646.2    0.0   47.3    0.91      128 </t>
  </si>
  <si>
    <t xml:space="preserve"> Na      0.4024    0.0038    0.4802    0.9919     0.9878     2.1172     0.9892</t>
  </si>
  <si>
    <t xml:space="preserve"> S       0.7684    0.0035    0.8205    0.9612     1.0247     1.2332     0.9902</t>
  </si>
  <si>
    <t xml:space="preserve"> Fe      0.9813    0.0000    0.9973    0.8096     1.0561     1.1726     0.9985</t>
  </si>
  <si>
    <t xml:space="preserve"> Si      0.7029    0.0012    0.7713    0.9863     1.0102     1.2996     1.0125</t>
  </si>
  <si>
    <t xml:space="preserve"> Cl      0.8311    0.0065    0.8807    0.9121     1.0312     1.1995     0.9859</t>
  </si>
  <si>
    <t xml:space="preserve"> F       0.1920    0.0015    0.2521    1.0174     0.9754     3.9919     1.0060</t>
  </si>
  <si>
    <t xml:space="preserve"> K       0.9094    0.0155    0.9482    0.9030     1.0421     1.1036     0.9974</t>
  </si>
  <si>
    <t xml:space="preserve"> Mn      0.9758    0.0000    0.9945    0.7980     1.0566     1.1927     1.0402</t>
  </si>
  <si>
    <t xml:space="preserve"> Al      0.6461    0.0096    0.7247    0.9676     1.0026     1.4088     1.0068</t>
  </si>
  <si>
    <t xml:space="preserve"> P       0.6853    0.0019    0.7426    0.9452     1.0176     1.3974     0.9913</t>
  </si>
  <si>
    <t xml:space="preserve"> Mg      0.5310    0.0069    0.6086    1.0067     0.9951     1.6288     1.0169</t>
  </si>
  <si>
    <t xml:space="preserve"> Ca      0.9286    0.0068    0.9618    0.9173     1.0464     1.0758     1.0009</t>
  </si>
  <si>
    <t xml:space="preserve"> Ti      0.9501    0.0109    0.9776    0.8275     1.0529     1.1615     0.9999</t>
  </si>
  <si>
    <t xml:space="preserve"> Na       4.18      5.63      4.15      5.59     1.635   0.9892   0.04225   2.13152  </t>
  </si>
  <si>
    <t xml:space="preserve"> S        0.0089    0.0222    0.0088    0.0220   0.0025  0.9902   0.000090  0.016655 ?</t>
  </si>
  <si>
    <t xml:space="preserve"> Fe      10.11     13.01     10.04     12.92     1.629   0.9985   0.10130   0.97376  </t>
  </si>
  <si>
    <t xml:space="preserve"> Si      21.57     46.14     21.41     45.80     6.907   1.0125   0.21311   0.88958  </t>
  </si>
  <si>
    <t xml:space="preserve"> Cl       0.1262    0.1262    0.1253    0.1253   0.0320  0.9859   0.001280  0.088227  </t>
  </si>
  <si>
    <t xml:space="preserve"> F        0.2576    0.2576    0.2558    0.2558   0.1220  1.0060   0.002561  0.538063  </t>
  </si>
  <si>
    <t xml:space="preserve"> K        1.81      2.19      1.80      2.17     0.417   0.9974   0.01819   2.65918  </t>
  </si>
  <si>
    <t xml:space="preserve"> Mn       0.1997    0.2578    0.1982    0.2559   0.0327  1.0402   0.001919  0.005699  </t>
  </si>
  <si>
    <t xml:space="preserve"> Al       7.87     14.88      7.82     14.77     2.626   1.0068   0.07823   1.17621  </t>
  </si>
  <si>
    <t xml:space="preserve"> P        0.3039    0.6965    0.3017    0.6914   0.0883  0.9913   0.003066  1.793040  </t>
  </si>
  <si>
    <t xml:space="preserve"> Mg       2.59      4.30      2.57      4.26     0.959   1.0169   0.02548   0.82759  </t>
  </si>
  <si>
    <t xml:space="preserve"> Ca       6.71      9.39      6.66      9.33     1.507   1.0009   0.06708   1.00259  </t>
  </si>
  <si>
    <t xml:space="preserve"> Ti       2.30      3.84      2.28      3.81     0.432   0.9999   0.02301   0.94120  </t>
  </si>
  <si>
    <t xml:space="preserve"> O       42.68       -       42.37       -      24.000      -         -        </t>
  </si>
  <si>
    <t>Total:  100.73    100.73    100.00    100.00    16.390</t>
  </si>
  <si>
    <t xml:space="preserve">Unknown Specimen No. 19 </t>
  </si>
  <si>
    <t xml:space="preserve"> UNK No.      :   19            Comment : 1982-CS2-L5B_2                           </t>
  </si>
  <si>
    <t xml:space="preserve"> Stage        :    X=   24.8040  Y=   90.4215  Z=   11.2585 </t>
  </si>
  <si>
    <t xml:space="preserve"> Dated on Dec 20 17:20 2016 </t>
  </si>
  <si>
    <t xml:space="preserve"> 1 Na   129.476    358.1    0.0   20.1    1.72      170 </t>
  </si>
  <si>
    <t xml:space="preserve"> 2 S    171.948      2.4    6.0    4.5   27.17      111 </t>
  </si>
  <si>
    <t xml:space="preserve"> 3 Fe   134.739    194.2    3.8    2.8    1.63      405 </t>
  </si>
  <si>
    <t xml:space="preserve"> 4 Si    77.822   3238.8   28.2   20.3    0.40      221 </t>
  </si>
  <si>
    <t xml:space="preserve"> 5 Cl   151.478     23.7    8.5    7.7    4.87       45 </t>
  </si>
  <si>
    <t xml:space="preserve"> 6 F    199.140      2.0    3.5    3.7   27.91      381 </t>
  </si>
  <si>
    <t xml:space="preserve"> 7 K    119.485    413.9   32.7   22.6    0.96       61 </t>
  </si>
  <si>
    <t xml:space="preserve"> 8 Mn   146.243      2.6    2.5    2.5   19.37      323 </t>
  </si>
  <si>
    <t xml:space="preserve"> 9 Al    90.995   1028.2   15.6   10.5    0.71      164 </t>
  </si>
  <si>
    <t xml:space="preserve">10 P    197.118     27.5    3.9    1.9    4.65      145 </t>
  </si>
  <si>
    <t xml:space="preserve">11 Mg   107.534    491.4   37.4    0.0    1.05      168 </t>
  </si>
  <si>
    <t xml:space="preserve">12 Ca   107.121   2069.8   35.5   35.8    0.50       90 </t>
  </si>
  <si>
    <t xml:space="preserve">13 Ti    88.305    660.4    0.0   47.2    0.90      128 </t>
  </si>
  <si>
    <t xml:space="preserve"> Na      0.3959    0.0037    0.4726    0.9936     0.9869     2.1499     1.0045</t>
  </si>
  <si>
    <t xml:space="preserve"> S       0.7683    0.0035    0.8203    0.9628     1.0238     1.2324     0.9896</t>
  </si>
  <si>
    <t xml:space="preserve"> Fe      0.9812    0.0000    0.9972    0.8109     1.0556     1.1715     0.9975</t>
  </si>
  <si>
    <t xml:space="preserve"> Si      0.7028    0.0013    0.7712    0.9880     1.0093     1.2988     1.0118</t>
  </si>
  <si>
    <t xml:space="preserve"> Cl      0.8310    0.0066    0.8805    0.9136     1.0303     1.1987     0.9852</t>
  </si>
  <si>
    <t xml:space="preserve"> F       0.1914    0.0014    0.2512    1.0192     0.9745     4.0014     1.0084</t>
  </si>
  <si>
    <t xml:space="preserve"> K       0.9092    0.0164    0.9481    0.9045     1.0413     1.1019     0.9959</t>
  </si>
  <si>
    <t xml:space="preserve"> Mn      0.9756    0.0000    0.9943    0.7992     1.0561     1.1916     1.0392</t>
  </si>
  <si>
    <t xml:space="preserve"> Al      0.6456    0.0096    0.7241    0.9693     1.0017     1.4088     1.0068</t>
  </si>
  <si>
    <t xml:space="preserve"> P       0.6853    0.0019    0.7426    0.9469     1.0167     1.3962     0.9905</t>
  </si>
  <si>
    <t xml:space="preserve"> Mg      0.5307    0.0069    0.6084    1.0085     0.9941     1.6282     1.0165</t>
  </si>
  <si>
    <t xml:space="preserve"> Ca      0.9291    0.0071    0.9624    0.9188     1.0457     1.0738     0.9990</t>
  </si>
  <si>
    <t xml:space="preserve"> Ti      0.9498    0.0117    0.9773    0.8288     1.0522     1.1598     0.9985</t>
  </si>
  <si>
    <t xml:space="preserve"> Na       3.21      4.33      3.19      4.30     1.256   1.0045   0.03201   1.61502  </t>
  </si>
  <si>
    <t xml:space="preserve"> S        0.0183    0.0457    0.0182    0.0453   0.0051  0.9896   0.000185  0.034357  </t>
  </si>
  <si>
    <t xml:space="preserve"> Fe      10.97     14.12     10.89     14.01     1.765   0.9975   0.11001   1.05752  </t>
  </si>
  <si>
    <t xml:space="preserve"> Si      21.56     46.12     21.39     45.76     6.894   1.0118   0.21315   0.88977  </t>
  </si>
  <si>
    <t xml:space="preserve"> Cl       0.1455    0.1455    0.1444    0.1444   0.0369  0.9852   0.001477  0.101786  </t>
  </si>
  <si>
    <t xml:space="preserve"> F        0.1595    0.1595    0.1583    0.1583   0.0754  1.0084   0.001582  0.332282  </t>
  </si>
  <si>
    <t xml:space="preserve"> K        1.54      1.85      1.52      1.84     0.353   0.9959   0.01543   2.25603  </t>
  </si>
  <si>
    <t xml:space="preserve"> Mn       0.1662    0.2145    0.1649    0.2129   0.0272  1.0392   0.001599  0.004747  </t>
  </si>
  <si>
    <t xml:space="preserve"> Al       7.83     14.80      7.77     14.68     2.607   1.0068   0.07779   1.16964  </t>
  </si>
  <si>
    <t xml:space="preserve"> P        0.3376    0.7736    0.3350    0.7677   0.0979  0.9905   0.003408  1.993266  </t>
  </si>
  <si>
    <t xml:space="preserve"> Mg       2.63      4.36      2.61      4.33     0.972   1.0165   0.02589   0.84096  </t>
  </si>
  <si>
    <t xml:space="preserve"> Ca       7.11      9.94      7.05      9.87     1.592   0.9990   0.07113   1.06303  </t>
  </si>
  <si>
    <t xml:space="preserve"> Ti       2.35      3.92      2.33      3.89     0.440   0.9985   0.02352   0.96184  </t>
  </si>
  <si>
    <t xml:space="preserve"> O       42.75       -       42.42       -      24.000      -         -        </t>
  </si>
  <si>
    <t>Total:  100.77    100.77    100.00    100.00    16.122</t>
  </si>
  <si>
    <t xml:space="preserve">Unknown Specimen No. 20 </t>
  </si>
  <si>
    <t xml:space="preserve"> UNK No.      :   20            Comment : 1982-CS2-L5B_3                           </t>
  </si>
  <si>
    <t xml:space="preserve"> Stage        :    X=   25.6965  Y=   90.9585  Z=   11.2475 </t>
  </si>
  <si>
    <t xml:space="preserve"> Dated on Dec 20 17:24 2016 </t>
  </si>
  <si>
    <t xml:space="preserve"> 1 Na   129.476    375.1    0.0   22.3    1.68      179 </t>
  </si>
  <si>
    <t xml:space="preserve"> 2 S    171.948      2.0    5.3    4.9   31.85      110 </t>
  </si>
  <si>
    <t xml:space="preserve"> 3 Fe   134.739    188.2    2.1    2.7    1.65      362 </t>
  </si>
  <si>
    <t xml:space="preserve"> 4 Si    77.822   3226.7   31.5   23.1    0.40      234 </t>
  </si>
  <si>
    <t xml:space="preserve"> 5 Cl   151.478     21.0   10.4    8.3    5.46       48 </t>
  </si>
  <si>
    <t xml:space="preserve"> 6 F    199.140      2.3    4.6    3.0   25.53      405 </t>
  </si>
  <si>
    <t xml:space="preserve"> 7 K    119.485    491.0   38.7   23.1    0.88       65 </t>
  </si>
  <si>
    <t xml:space="preserve"> 8 Mn   146.243      2.6    2.1    1.7   17.60      281 </t>
  </si>
  <si>
    <t xml:space="preserve"> 9 Al    90.995   1028.9   15.4    9.5    0.71      160 </t>
  </si>
  <si>
    <t xml:space="preserve">10 P    197.118     27.4    2.9    2.4    4.66      144 </t>
  </si>
  <si>
    <t xml:space="preserve">11 Mg   107.534    514.0   33.7    0.0    1.02      159 </t>
  </si>
  <si>
    <t xml:space="preserve">12 Ca   107.121   2041.3   35.4   35.0    0.50       90 </t>
  </si>
  <si>
    <t xml:space="preserve">13 Ti    88.305    636.4    0.0   51.2    0.92      134 </t>
  </si>
  <si>
    <t xml:space="preserve"> Na      0.3982    0.0038    0.4752    0.9931     0.9872     2.1384     0.9991</t>
  </si>
  <si>
    <t xml:space="preserve"> S       0.7686    0.0036    0.8206    0.9623     1.0240     1.2322     0.9895</t>
  </si>
  <si>
    <t xml:space="preserve"> Fe      0.9812    0.0000    0.9972    0.8105     1.0558     1.1720     0.9979</t>
  </si>
  <si>
    <t xml:space="preserve"> Si      0.7029    0.0013    0.7714    0.9874     1.0095     1.2989     1.0119</t>
  </si>
  <si>
    <t xml:space="preserve"> Cl      0.8312    0.0067    0.8807    0.9132     1.0305     1.1986     0.9851</t>
  </si>
  <si>
    <t xml:space="preserve"> F       0.1914    0.0014    0.2513    1.0187     0.9748     4.0025     1.0086</t>
  </si>
  <si>
    <t xml:space="preserve"> K       0.9094    0.0161    0.9482    0.9040     1.0415     1.1024     0.9963</t>
  </si>
  <si>
    <t xml:space="preserve"> Mn      0.9756    0.0000    0.9943    0.7988     1.0562     1.1921     1.0397</t>
  </si>
  <si>
    <t xml:space="preserve"> Al      0.6459    0.0096    0.7245    0.9687     1.0019     1.4086     1.0066</t>
  </si>
  <si>
    <t xml:space="preserve"> P       0.6857    0.0020    0.7429    0.9463     1.0170     1.3959     0.9903</t>
  </si>
  <si>
    <t xml:space="preserve"> Mg      0.5320    0.0069    0.6098    1.0079     0.9944     1.6248     1.0144</t>
  </si>
  <si>
    <t xml:space="preserve"> Ca      0.9285    0.0069    0.9618    0.9183     1.0459     1.0751     1.0002</t>
  </si>
  <si>
    <t xml:space="preserve"> Ti      0.9496    0.0113    0.9770    0.8284     1.0524     1.1609     0.9994</t>
  </si>
  <si>
    <t xml:space="preserve"> Na       3.35      4.52      3.33      4.49     1.312   0.9991   0.03353   1.69177  </t>
  </si>
  <si>
    <t xml:space="preserve"> S        0.0153    0.0382    0.0152    0.0379   0.0043  0.9895   0.000154  0.028702  </t>
  </si>
  <si>
    <t xml:space="preserve"> Fe      10.64     13.69     10.57     13.60     1.715   0.9979   0.10663   1.02495  </t>
  </si>
  <si>
    <t xml:space="preserve"> Si      21.48     45.95     21.34     45.66     6.884   1.0119   0.21236   0.88647  </t>
  </si>
  <si>
    <t xml:space="preserve"> Cl       0.1293    0.1293    0.1285    0.1285   0.0328  0.9851   0.001313  0.090493  </t>
  </si>
  <si>
    <t xml:space="preserve"> F        0.1878    0.1878    0.1866    0.1866   0.0890  1.0086   0.001862  0.391182  </t>
  </si>
  <si>
    <t xml:space="preserve"> K        1.82      2.20      1.81      2.18     0.420   0.9963   0.01831   2.67654  </t>
  </si>
  <si>
    <t xml:space="preserve"> Mn       0.1673    0.2160    0.1662    0.2146   0.0274  1.0397   0.001609  0.004778  </t>
  </si>
  <si>
    <t xml:space="preserve"> Al       7.83     14.80      7.78     14.71     2.614   1.0066   0.07785   1.17046  </t>
  </si>
  <si>
    <t xml:space="preserve"> P        0.3365    0.7710    0.3343    0.7661   0.0978  0.9903   0.003398  1.986924  </t>
  </si>
  <si>
    <t xml:space="preserve"> Mg       2.75      4.56      2.73      4.53     1.017   1.0144   0.02709   0.87968  </t>
  </si>
  <si>
    <t xml:space="preserve"> Ca       7.02      9.82      6.97      9.75     1.576   1.0002   0.07015   1.04840  </t>
  </si>
  <si>
    <t xml:space="preserve"> Ti       2.26      3.78      2.25      3.75     0.426   0.9994   0.02266   0.92691  </t>
  </si>
  <si>
    <t xml:space="preserve"> O       42.65       -       42.38       -      24.000      -         -        </t>
  </si>
  <si>
    <t>Total:  100.65    100.65    100.00    100.00    16.215</t>
  </si>
  <si>
    <t xml:space="preserve">Unknown Specimen No. 21 </t>
  </si>
  <si>
    <t xml:space="preserve"> UNK No.      :   21            Comment : 1982-CS2-L5B_4                           </t>
  </si>
  <si>
    <t xml:space="preserve"> Stage        :    X=   24.6690  Y=   91.6265  Z=   11.2615 </t>
  </si>
  <si>
    <t xml:space="preserve"> Dated on Dec 20 17:27 2016 </t>
  </si>
  <si>
    <t xml:space="preserve"> 1 Na   129.476    423.9    0.0   20.0    1.57      169 </t>
  </si>
  <si>
    <t xml:space="preserve"> 2 S    171.948      2.2    5.7    4.5   29.28      109 </t>
  </si>
  <si>
    <t xml:space="preserve"> 3 Fe   134.739    212.1    3.3    2.4    1.56      376 </t>
  </si>
  <si>
    <t xml:space="preserve"> 4 Si    77.822   3228.2   35.6   17.4    0.40      234 </t>
  </si>
  <si>
    <t xml:space="preserve"> 5 Cl   151.478     26.3    7.7    7.5    4.46       44 </t>
  </si>
  <si>
    <t xml:space="preserve"> 6 F    199.140      2.3    3.7    3.3   24.68      381 </t>
  </si>
  <si>
    <t xml:space="preserve"> 7 K    119.485    498.3   35.3   24.3    0.87       64 </t>
  </si>
  <si>
    <t xml:space="preserve"> 8 Mn   146.243      3.4    1.9    1.9   14.37      280 </t>
  </si>
  <si>
    <t xml:space="preserve"> 9 Al    90.995    998.6   16.2    9.6    0.72      163 </t>
  </si>
  <si>
    <t xml:space="preserve">10 P    197.118     25.4    2.4    2.5    4.86      140 </t>
  </si>
  <si>
    <t xml:space="preserve">11 Mg   107.534    463.0   34.9    0.0    1.08      162 </t>
  </si>
  <si>
    <t xml:space="preserve">12 Ca   107.121   1836.7   34.3   29.7    0.53       85 </t>
  </si>
  <si>
    <t xml:space="preserve">13 Ti    88.305    665.5    0.0   46.3    0.90      127 </t>
  </si>
  <si>
    <t xml:space="preserve"> Na      0.3920    0.0036    0.4679    0.9954     0.9864     2.1689     1.0134</t>
  </si>
  <si>
    <t xml:space="preserve"> S       0.7678    0.0034    0.8198    0.9645     1.0233     1.2317     0.9891</t>
  </si>
  <si>
    <t xml:space="preserve"> Fe      0.9815    0.0000    0.9975    0.8123     1.0554     1.1695     0.9958</t>
  </si>
  <si>
    <t xml:space="preserve"> Si      0.7003    0.0012    0.7685    0.9897     1.0088     1.3017     1.0141</t>
  </si>
  <si>
    <t xml:space="preserve"> Cl      0.8306    0.0063    0.8801    0.9152     1.0298     1.1980     0.9846</t>
  </si>
  <si>
    <t xml:space="preserve"> F       0.1937    0.0015    0.2544    1.0210     0.9741     3.9467     0.9946</t>
  </si>
  <si>
    <t xml:space="preserve"> K       0.9089    0.0151    0.9478    0.9061     1.0408     1.1022     0.9961</t>
  </si>
  <si>
    <t xml:space="preserve"> Mn      0.9760    0.0000    0.9947    0.8006     1.0558     1.1895     1.0374</t>
  </si>
  <si>
    <t xml:space="preserve"> Al      0.6405    0.0094    0.7184    0.9710     1.0011     1.4186     1.0137</t>
  </si>
  <si>
    <t xml:space="preserve"> P       0.6846    0.0019    0.7418    0.9485     1.0162     1.3960     0.9903</t>
  </si>
  <si>
    <t xml:space="preserve"> Mg      0.5236    0.0067    0.6002    1.0102     0.9936     1.6489     1.0294</t>
  </si>
  <si>
    <t xml:space="preserve"> Ca      0.9282    0.0075    0.9614    0.9204     1.0452     1.0731     0.9983</t>
  </si>
  <si>
    <t xml:space="preserve"> Ti      0.9506    0.0128    0.9781    0.8302     1.0518     1.1559     0.9951</t>
  </si>
  <si>
    <t xml:space="preserve"> Na       3.84      5.18      3.78      5.09     1.502   1.0134   0.03790   1.91208  </t>
  </si>
  <si>
    <t xml:space="preserve"> S        0.0166    0.0415    0.0164    0.0409   0.0047  0.9891   0.000168  0.031243  </t>
  </si>
  <si>
    <t xml:space="preserve"> Fe      11.96     15.38     11.77     15.14     1.925   0.9958   0.12012   1.15467  </t>
  </si>
  <si>
    <t xml:space="preserve"> Si      21.52     46.05     21.19     45.32     6.890   1.0141   0.21246   0.88687  </t>
  </si>
  <si>
    <t xml:space="preserve"> Cl       0.1619    0.1619    0.1594    0.1594   0.0411  0.9846   0.001644  0.113332  </t>
  </si>
  <si>
    <t xml:space="preserve"> F        0.1813    0.1813    0.1785    0.1785   0.0858  0.9946   0.001823  0.382952  </t>
  </si>
  <si>
    <t xml:space="preserve"> K        1.85      2.23      1.82      2.19     0.426   0.9961   0.01858   2.71608  </t>
  </si>
  <si>
    <t xml:space="preserve"> Mn       0.2165    0.2796    0.2131    0.2752   0.0354  1.0374   0.002087  0.006197  </t>
  </si>
  <si>
    <t xml:space="preserve"> Al       7.66     14.47      7.54     14.24     2.552   1.0137   0.07555   1.13594  </t>
  </si>
  <si>
    <t xml:space="preserve"> P        0.3122    0.7155    0.3073    0.7043   0.0907  0.9903   0.003153  1.843776  </t>
  </si>
  <si>
    <t xml:space="preserve"> Mg       2.51      4.16      2.47      4.10     0.929   1.0294   0.02440   0.79247  </t>
  </si>
  <si>
    <t xml:space="preserve"> Ca       6.30      8.82      6.20      8.68     1.414   0.9983   0.06312   0.94331  </t>
  </si>
  <si>
    <t xml:space="preserve"> Ti       2.36      3.93      2.32      3.87     0.443   0.9951   0.02370   0.96920  </t>
  </si>
  <si>
    <t xml:space="preserve"> O       42.71       -       42.04       -      24.000      -         -        </t>
  </si>
  <si>
    <t>Total:  101.59    101.59    100.00    100.00    16.337</t>
  </si>
  <si>
    <t xml:space="preserve">Unknown Specimen No. 22 </t>
  </si>
  <si>
    <t xml:space="preserve"> UNK No.      :   22            Comment : 1982-CS2-L5B_5                           </t>
  </si>
  <si>
    <t xml:space="preserve"> Stage        :    X=   24.8295  Y=   92.1605  Z=   11.2615 </t>
  </si>
  <si>
    <t xml:space="preserve"> Dated on Dec 20 17:31 2016 </t>
  </si>
  <si>
    <t xml:space="preserve">Curr.(A) : 1.005E-08 </t>
  </si>
  <si>
    <t xml:space="preserve"> 1 Na   129.476    393.2    0.0   19.3    1.63      166 </t>
  </si>
  <si>
    <t xml:space="preserve"> 2 S    171.948      2.8    6.3    3.7   23.06      107 </t>
  </si>
  <si>
    <t xml:space="preserve"> 3 Fe   134.739    198.5    3.1    2.9    1.61      394 </t>
  </si>
  <si>
    <t xml:space="preserve"> 4 Si    77.822   3205.0   31.2   19.6    0.40      227 </t>
  </si>
  <si>
    <t xml:space="preserve"> 5 Cl   151.478     20.7   10.7    8.1    5.53       48 </t>
  </si>
  <si>
    <t xml:space="preserve"> 6 F    199.140      1.9    3.9    3.1   29.26      382 </t>
  </si>
  <si>
    <t xml:space="preserve"> 7 K    119.485    435.3   36.5   22.9    0.94       64 </t>
  </si>
  <si>
    <t xml:space="preserve"> 8 Mn   146.243      3.5    2.1    1.5   13.96      274 </t>
  </si>
  <si>
    <t xml:space="preserve"> 9 Al    90.995   1007.8   16.6   10.4    0.71      166 </t>
  </si>
  <si>
    <t xml:space="preserve">10 P    197.118     26.4    3.5    2.7    4.83      154 </t>
  </si>
  <si>
    <t xml:space="preserve">11 Mg   107.534    517.0   35.7    0.0    1.02      164 </t>
  </si>
  <si>
    <t xml:space="preserve">12 Ca   107.121   2054.7   34.1   36.7    0.50       90 </t>
  </si>
  <si>
    <t xml:space="preserve">13 Ti    88.305    646.5    0.0   43.4    0.91      123 </t>
  </si>
  <si>
    <t xml:space="preserve"> Na      0.3952    0.0037    0.4716    0.9942     0.9868     2.1533     1.0061</t>
  </si>
  <si>
    <t xml:space="preserve"> S       0.7685    0.0035    0.8205    0.9633     1.0236     1.2316     0.9889</t>
  </si>
  <si>
    <t xml:space="preserve"> Fe      0.9813    0.0000    0.9973    0.8113     1.0555     1.1709     0.9970</t>
  </si>
  <si>
    <t xml:space="preserve"> Si      0.7014    0.0013    0.7696    0.9885     1.0091     1.3009     1.0135</t>
  </si>
  <si>
    <t xml:space="preserve"> Cl      0.8311    0.0066    0.8806    0.9141     1.0301     1.1980     0.9846</t>
  </si>
  <si>
    <t xml:space="preserve"> F       0.1921    0.0015    0.2522    1.0198     0.9744     3.9848     1.0042</t>
  </si>
  <si>
    <t xml:space="preserve"> K       0.9093    0.0163    0.9482    0.9050     1.0411     1.1014     0.9954</t>
  </si>
  <si>
    <t xml:space="preserve"> Mn      0.9757    0.0000    0.9944    0.7996     1.0560     1.1910     1.0387</t>
  </si>
  <si>
    <t xml:space="preserve"> Al      0.6426    0.0095    0.7207    0.9698     1.0015     1.4152     1.0113</t>
  </si>
  <si>
    <t xml:space="preserve"> P       0.6855    0.0019    0.7428    0.9474     1.0165     1.3952     0.9898</t>
  </si>
  <si>
    <t xml:space="preserve"> Mg      0.5282    0.0068    0.6054    1.0090     0.9940     1.6358     1.0212</t>
  </si>
  <si>
    <t xml:space="preserve"> Ca      0.9290    0.0072    0.9623    0.9193     1.0455     1.0735     0.9986</t>
  </si>
  <si>
    <t xml:space="preserve"> Ti      0.9499    0.0120    0.9773    0.8292     1.0521     1.1589     0.9977</t>
  </si>
  <si>
    <t xml:space="preserve"> Na       3.53      4.76      3.50      4.72     1.384   1.0061   0.03512   1.77171  </t>
  </si>
  <si>
    <t xml:space="preserve"> S        0.0211    0.0527    0.0209    0.0522   0.0059  0.9889   0.000213  0.039652  </t>
  </si>
  <si>
    <t xml:space="preserve"> Fe      11.20     14.40     11.09     14.27     1.806   0.9970   0.11232   1.07966  </t>
  </si>
  <si>
    <t xml:space="preserve"> Si      21.34     45.66     21.14     45.22     6.846   1.0135   0.21072   0.87962  </t>
  </si>
  <si>
    <t xml:space="preserve"> Cl       0.1272    0.1272    0.1260    0.1260   0.0323  0.9846   0.001292  0.089032  </t>
  </si>
  <si>
    <t xml:space="preserve"> F        0.1519    0.1519    0.1504    0.1504   0.0720  1.0042   0.001513  0.317763  </t>
  </si>
  <si>
    <t xml:space="preserve"> K        1.61      1.94      1.60      1.93     0.372   0.9954   0.01621   2.37059  </t>
  </si>
  <si>
    <t xml:space="preserve"> Mn       0.2212    0.2856    0.2191    0.2829   0.0363  1.0387   0.002130  0.006323  </t>
  </si>
  <si>
    <t xml:space="preserve"> Al       7.70     14.55      7.63     14.41     2.572   1.0113   0.07617   1.14530  </t>
  </si>
  <si>
    <t xml:space="preserve"> P        0.3236    0.7415    0.3204    0.7343   0.0941  0.9898   0.003269  1.911634  </t>
  </si>
  <si>
    <t xml:space="preserve"> Mg       2.78      4.61      2.75      4.56     1.030   1.0212   0.02722   0.88395  </t>
  </si>
  <si>
    <t xml:space="preserve"> Ca       7.04      9.86      6.98      9.76     1.583   0.9986   0.07054   1.05424  </t>
  </si>
  <si>
    <t xml:space="preserve"> Ti       2.29      3.83      2.27      3.79     0.432   0.9977   0.02300   0.94062  </t>
  </si>
  <si>
    <t xml:space="preserve"> O       42.62       -       42.21       -      24.000      -         -        </t>
  </si>
  <si>
    <t>Total:  100.97    100.97    100.00    100.00    16.266</t>
  </si>
  <si>
    <t xml:space="preserve">Unknown Specimen No. 23 </t>
  </si>
  <si>
    <t xml:space="preserve"> UNK No.      :   23            Comment : 1982-CS2-L5B_6                           </t>
  </si>
  <si>
    <t xml:space="preserve"> Stage        :    X=   23.7880  Y=   92.1365  Z=   11.2770 </t>
  </si>
  <si>
    <t xml:space="preserve"> Dated on Dec 20 17:34 2016 </t>
  </si>
  <si>
    <t xml:space="preserve"> 1 Na   129.476    424.8    0.0   21.2    1.57      174 </t>
  </si>
  <si>
    <t xml:space="preserve"> 2 S    171.948      1.6    5.7    5.0   39.32 ?    113 </t>
  </si>
  <si>
    <t xml:space="preserve"> 3 Fe   134.739    186.3    2.2    4.0    1.67      423 </t>
  </si>
  <si>
    <t xml:space="preserve"> 4 Si    77.822   3281.7   36.6   16.0    0.39      234 </t>
  </si>
  <si>
    <t xml:space="preserve"> 5 Cl   151.478     22.2    7.9    8.2    5.09       45 </t>
  </si>
  <si>
    <t xml:space="preserve"> 6 F    199.140      2.5    3.9    2.9   23.25      380 </t>
  </si>
  <si>
    <t xml:space="preserve"> 7 K    119.485    461.5   37.4   22.3    0.91       64 </t>
  </si>
  <si>
    <t xml:space="preserve"> 8 Mn   146.243      2.8    2.4    1.7   16.73      288 </t>
  </si>
  <si>
    <t xml:space="preserve"> 9 Al    90.995   1069.3   17.6    8.6    0.69      165 </t>
  </si>
  <si>
    <t xml:space="preserve">10 P    197.118     26.1    2.7    2.9    4.84      150 </t>
  </si>
  <si>
    <t xml:space="preserve">11 Mg   107.534    471.9   39.3    0.0    1.07      172 </t>
  </si>
  <si>
    <t xml:space="preserve">12 Ca   107.121   1948.4   33.5   35.7    0.52       89 </t>
  </si>
  <si>
    <t xml:space="preserve">13 Ti    88.305    630.0    0.0   47.6    0.92      129 </t>
  </si>
  <si>
    <t xml:space="preserve"> Na      0.4004    0.0038    0.4779    0.9922     0.9876     2.1273     0.9939</t>
  </si>
  <si>
    <t xml:space="preserve"> S       0.7678    0.0034    0.8197    0.9615     1.0245     1.2342     0.9910</t>
  </si>
  <si>
    <t xml:space="preserve"> Fe      0.9814    0.0000    0.9974    0.8099     1.0560     1.1723     0.9982</t>
  </si>
  <si>
    <t xml:space="preserve"> Si      0.7026    0.0012    0.7710    0.9866     1.0100     1.3000     1.0128</t>
  </si>
  <si>
    <t xml:space="preserve"> Cl      0.8306    0.0064    0.8801    0.9124     1.0310     1.2003     0.9865</t>
  </si>
  <si>
    <t xml:space="preserve"> F       0.1921    0.0015    0.2522    1.0178     0.9752     3.9889     1.0052</t>
  </si>
  <si>
    <t xml:space="preserve"> K       0.9090    0.0154    0.9479    0.9033     1.0419     1.1040     0.9978</t>
  </si>
  <si>
    <t xml:space="preserve"> Mn      0.9759    0.0000    0.9946    0.7982     1.0565     1.1923     1.0399</t>
  </si>
  <si>
    <t xml:space="preserve"> Al      0.6473    0.0097    0.7260    0.9679     1.0024     1.4061     1.0048</t>
  </si>
  <si>
    <t xml:space="preserve"> P       0.6846    0.0019    0.7418    0.9455     1.0174     1.3988     0.9923</t>
  </si>
  <si>
    <t xml:space="preserve"> Mg      0.5317    0.0070    0.6095    1.0070     0.9949     1.6261     1.0152</t>
  </si>
  <si>
    <t xml:space="preserve"> Ca      0.9286    0.0068    0.9618    0.9176     1.0463     1.0756     1.0007</t>
  </si>
  <si>
    <t xml:space="preserve"> Ti      0.9502    0.0113    0.9777    0.8277     1.0527     1.1607     0.9992</t>
  </si>
  <si>
    <t xml:space="preserve"> Na       3.77      5.09      3.72      5.01     1.461   0.9939   0.03798   1.91615  </t>
  </si>
  <si>
    <t xml:space="preserve"> S        0.0125    0.0311    0.0123    0.0307   0.0035  0.9910   0.000126  0.023392  </t>
  </si>
  <si>
    <t xml:space="preserve"> Fe      10.53     13.55     10.38     13.36     1.679   0.9982   0.10554   1.01456  </t>
  </si>
  <si>
    <t xml:space="preserve"> Si      21.85     46.75     21.54     46.08     6.927   1.0128   0.21598   0.90158  </t>
  </si>
  <si>
    <t xml:space="preserve"> Cl       0.1367    0.1367    0.1347    0.1347   0.0343  0.9865   0.001385  0.095475  </t>
  </si>
  <si>
    <t xml:space="preserve"> F        0.1962    0.1962    0.1934    0.1934   0.0920  1.0052   0.001952  0.410100  </t>
  </si>
  <si>
    <t xml:space="preserve"> K        1.72      2.07      1.69      2.04     0.391   0.9978   0.01721   2.51555  </t>
  </si>
  <si>
    <t xml:space="preserve"> Mn       0.1817    0.2347    0.1791    0.2313   0.0295  1.0399   0.001748  0.005189  </t>
  </si>
  <si>
    <t xml:space="preserve"> Al       8.13     15.36      8.01     15.14     2.682   1.0048   0.08091   1.21644  </t>
  </si>
  <si>
    <t xml:space="preserve"> P        0.3213    0.7363    0.3167    0.7258   0.0924  0.9923   0.003238  1.893606  </t>
  </si>
  <si>
    <t xml:space="preserve"> Mg       2.52      4.19      2.49      4.13     0.925   1.0152   0.02487   0.80764  </t>
  </si>
  <si>
    <t xml:space="preserve"> Ca       6.70      9.37      6.60      9.24     1.488   1.0007   0.06696   1.00070  </t>
  </si>
  <si>
    <t xml:space="preserve"> Ti       2.24      3.74      2.21      3.69     0.417   0.9992   0.02243   0.91750  </t>
  </si>
  <si>
    <t xml:space="preserve"> O       43.13       -       42.51       -      24.000      -         -        </t>
  </si>
  <si>
    <t>Total:  101.44    101.44    100.00    100.00    16.222</t>
  </si>
  <si>
    <t xml:space="preserve">Unknown Specimen No. 24 </t>
  </si>
  <si>
    <t xml:space="preserve"> UNK No.      :   24            Comment : 1982-CS2-L5B_7                           </t>
  </si>
  <si>
    <t xml:space="preserve"> Stage        :    X=   25.5760  Y=   91.7775  Z=   11.2515 </t>
  </si>
  <si>
    <t xml:space="preserve"> Dated on Dec 20 17:37 2016 </t>
  </si>
  <si>
    <t xml:space="preserve"> 1 Na   129.476    426.8    0.0   21.2    1.57      174 </t>
  </si>
  <si>
    <t xml:space="preserve"> 2 S    171.948      1.3    6.3    4.9   48.32 ?    114 </t>
  </si>
  <si>
    <t xml:space="preserve"> 3 Fe   134.739    169.6    2.3    3.9    1.75      421 </t>
  </si>
  <si>
    <t xml:space="preserve"> 4 Si    77.822   3234.7   32.4   21.5    0.40      233 </t>
  </si>
  <si>
    <t xml:space="preserve"> 5 Cl   151.478     18.6    8.8    6.3    5.67       43 </t>
  </si>
  <si>
    <t xml:space="preserve"> 6 F    199.140      2.3    3.6    2.7   24.00      366 </t>
  </si>
  <si>
    <t xml:space="preserve"> 7 K    119.485    461.5   35.5   23.1    0.90       63 </t>
  </si>
  <si>
    <t xml:space="preserve"> 8 Mn   146.243      2.6    2.0    1.5   17.02      267 </t>
  </si>
  <si>
    <t xml:space="preserve"> 9 Al    90.995   1043.1   15.5    9.2    0.70      159 </t>
  </si>
  <si>
    <t xml:space="preserve">10 P    197.118     26.1    2.7    2.9    4.85      150 </t>
  </si>
  <si>
    <t xml:space="preserve">11 Mg   107.534    515.6   34.4    0.0    1.02      161 </t>
  </si>
  <si>
    <t xml:space="preserve">12 Ca   107.121   2149.4   34.2   36.0    0.49       90 </t>
  </si>
  <si>
    <t xml:space="preserve">13 Ti    88.305    651.6    0.0   45.0    0.91      125 </t>
  </si>
  <si>
    <t xml:space="preserve"> Na      0.4042    0.0038    0.4824    0.9912     0.9879     2.1086     0.9852</t>
  </si>
  <si>
    <t xml:space="preserve"> S       0.7692    0.0036    0.8212    0.9606     1.0248     1.2325     0.9897</t>
  </si>
  <si>
    <t xml:space="preserve"> Fe      0.9810    0.0000    0.9970    0.8091     1.0562     1.1737     0.9994</t>
  </si>
  <si>
    <t xml:space="preserve"> Si      0.7043    0.0013    0.7729    0.9856     1.0103     1.2976     1.0109</t>
  </si>
  <si>
    <t xml:space="preserve"> Cl      0.8317    0.0068    0.8812    0.9115     1.0313     1.1990     0.9855</t>
  </si>
  <si>
    <t xml:space="preserve"> F       0.1902    0.0014    0.2497    1.0167     0.9755     4.0325     1.0162</t>
  </si>
  <si>
    <t xml:space="preserve"> K       0.9097    0.0166    0.9486    0.9024     1.0422     1.1026     0.9965</t>
  </si>
  <si>
    <t xml:space="preserve"> Mn      0.9754    0.0000    0.9941    0.7974     1.0566     1.1939     1.0412</t>
  </si>
  <si>
    <t xml:space="preserve"> Al      0.6486    0.0097    0.7274    0.9670     1.0027     1.4042     1.0035</t>
  </si>
  <si>
    <t xml:space="preserve"> P       0.6863    0.0020    0.7436    0.9446     1.0177     1.3960     0.9904</t>
  </si>
  <si>
    <t xml:space="preserve"> Mg      0.5351    0.0070    0.6134    1.0061     0.9952     1.6170     1.0095</t>
  </si>
  <si>
    <t xml:space="preserve"> Ca      0.9291    0.0066    0.9623    0.9167     1.0465     1.0761     1.0011</t>
  </si>
  <si>
    <t xml:space="preserve"> Ti      0.9493    0.0102    0.9767    0.8269     1.0530     1.1640     1.0020</t>
  </si>
  <si>
    <t xml:space="preserve"> Na       3.76      5.06      3.74      5.04     1.469   0.9852   0.03812   1.92326  </t>
  </si>
  <si>
    <t xml:space="preserve"> S        0.0101    0.0252    0.0101    0.0251   0.0028  0.9897   0.000102  0.018958 ?</t>
  </si>
  <si>
    <t xml:space="preserve"> Fe       9.59     12.34      9.55     12.29     1.544   0.9994   0.09598   0.92259  </t>
  </si>
  <si>
    <t xml:space="preserve"> Si      21.49     45.98     21.40     45.79     6.880   1.0109   0.21267   0.88776  </t>
  </si>
  <si>
    <t xml:space="preserve"> Cl       0.1146    0.1146    0.1141    0.1141   0.0291  0.9855   0.001163  0.080140  </t>
  </si>
  <si>
    <t xml:space="preserve"> F        0.1854    0.1854    0.1846    0.1846   0.0877  1.0162   0.001824  0.383246  </t>
  </si>
  <si>
    <t xml:space="preserve"> K        1.71      2.06      1.71      2.05     0.394   0.9965   0.01719   2.51279  </t>
  </si>
  <si>
    <t xml:space="preserve"> Mn       0.1682    0.2172    0.1675    0.2163   0.0275  1.0412   0.001615  0.004796  </t>
  </si>
  <si>
    <t xml:space="preserve"> Al       7.91     14.95      7.88     14.89     2.636   1.0035   0.07884   1.18545  </t>
  </si>
  <si>
    <t xml:space="preserve"> P        0.3198    0.7327    0.3184    0.7297   0.0928  0.9904   0.003229  1.888102  </t>
  </si>
  <si>
    <t xml:space="preserve"> Mg       2.74      4.54      2.73      4.52     1.013   1.0095   0.02714   0.88155  </t>
  </si>
  <si>
    <t xml:space="preserve"> Ca       7.39     10.34      7.36     10.29     1.657   1.0011   0.07379   1.10284  </t>
  </si>
  <si>
    <t xml:space="preserve"> Ti       2.32      3.87      2.31      3.86     0.436   1.0020   0.02318   0.94813  </t>
  </si>
  <si>
    <t xml:space="preserve"> O       42.71       -       42.53       -      24.000      -         -        </t>
  </si>
  <si>
    <t>Total:  100.42    100.42    100.00    100.00    16.269</t>
  </si>
  <si>
    <t xml:space="preserve">Unknown Specimen No. 25 </t>
  </si>
  <si>
    <t xml:space="preserve"> UNK No.      :   25            Comment : 1982-CS2-L5B_8                           </t>
  </si>
  <si>
    <t xml:space="preserve"> Stage        :    X=   25.8550  Y=   91.5430  Z=   11.2460 </t>
  </si>
  <si>
    <t xml:space="preserve"> Dated on Dec 20 17:41 2016 </t>
  </si>
  <si>
    <t xml:space="preserve"> 1 Na   129.476    372.6    0.0   20.2    1.68      170 </t>
  </si>
  <si>
    <t xml:space="preserve"> 2 S    171.948      1.7    5.2    4.9   37.28 ?    110 </t>
  </si>
  <si>
    <t xml:space="preserve"> 3 Fe   134.739    190.5    3.0    2.8    1.65      387 </t>
  </si>
  <si>
    <t xml:space="preserve"> 4 Si    77.822   3219.7   34.6   18.7    0.40      234 </t>
  </si>
  <si>
    <t xml:space="preserve"> 5 Cl   151.478     19.8    8.9    8.1    5.60       46 </t>
  </si>
  <si>
    <t xml:space="preserve"> 6 F    199.140      2.0    3.5    3.4   28.28      378 </t>
  </si>
  <si>
    <t xml:space="preserve"> 7 K    119.485    446.0   31.5   21.3    0.92       60 </t>
  </si>
  <si>
    <t xml:space="preserve"> 8 Mn   146.243      3.8    2.1    1.5   13.12      274 </t>
  </si>
  <si>
    <t xml:space="preserve"> 9 Al    90.995   1049.1   14.1    8.4    0.70      152 </t>
  </si>
  <si>
    <t xml:space="preserve">10 P    197.118     27.3    3.5    3.1    4.78      161 </t>
  </si>
  <si>
    <t xml:space="preserve">11 Mg   107.534    520.1   33.8    0.0    1.01      160 </t>
  </si>
  <si>
    <t xml:space="preserve">12 Ca   107.121   2093.1   31.1   38.7    0.50       90 </t>
  </si>
  <si>
    <t xml:space="preserve">13 Ti    88.305    631.5    0.0   50.4    0.92      132 </t>
  </si>
  <si>
    <t xml:space="preserve"> Na      0.3975    0.0038    0.4744    0.9933     0.9871     2.1417     1.0007</t>
  </si>
  <si>
    <t xml:space="preserve"> S       0.7685    0.0036    0.8205    0.9625     1.0239     1.2322     0.9895</t>
  </si>
  <si>
    <t xml:space="preserve"> Fe      0.9812    0.0000    0.9972    0.8106     1.0557     1.1718     0.9977</t>
  </si>
  <si>
    <t xml:space="preserve"> Si      0.7019    0.0013    0.7702    0.9876     1.0095     1.3006     1.0133</t>
  </si>
  <si>
    <t xml:space="preserve"> Cl      0.8312    0.0066    0.8807    0.9133     1.0304     1.1986     0.9851</t>
  </si>
  <si>
    <t xml:space="preserve"> F       0.1913    0.0014    0.2511    1.0189     0.9747     4.0040     1.0090</t>
  </si>
  <si>
    <t xml:space="preserve"> K       0.9094    0.0163    0.9482    0.9042     1.0414     1.1019     0.9959</t>
  </si>
  <si>
    <t xml:space="preserve"> Mn      0.9756    0.0000    0.9943    0.7990     1.0562     1.1919     1.0395</t>
  </si>
  <si>
    <t xml:space="preserve"> Al      0.6455    0.0095    0.7239    0.9689     1.0018     1.4096     1.0073</t>
  </si>
  <si>
    <t xml:space="preserve"> P       0.6856    0.0019    0.7428    0.9465     1.0169     1.3959     0.9903</t>
  </si>
  <si>
    <t xml:space="preserve"> Mg      0.5316    0.0069    0.6094    1.0081     0.9943     1.6260     1.0151</t>
  </si>
  <si>
    <t xml:space="preserve"> Ca      0.9290    0.0069    0.9622    0.9185     1.0458     1.0744     0.9995</t>
  </si>
  <si>
    <t xml:space="preserve"> Ti      0.9496    0.0115    0.9771    0.8285     1.0523     1.1605     0.9990</t>
  </si>
  <si>
    <t xml:space="preserve"> Na       3.33      4.49      3.29      4.44     1.299   1.0007   0.03327   1.67881  </t>
  </si>
  <si>
    <t xml:space="preserve"> S        0.0129    0.0322    0.0128    0.0319   0.0036  0.9895   0.000130  0.024215  </t>
  </si>
  <si>
    <t xml:space="preserve"> Fe      10.75     13.83     10.64     13.69     1.727   0.9977   0.10779   1.03612  </t>
  </si>
  <si>
    <t xml:space="preserve"> Si      21.44     45.86     21.21     45.38     6.844   1.0133   0.21169   0.88366  </t>
  </si>
  <si>
    <t xml:space="preserve"> Cl       0.1214    0.1214    0.1201    0.1201   0.0307  0.9851   0.001232  0.084939  </t>
  </si>
  <si>
    <t xml:space="preserve"> F        0.1563    0.1563    0.1547    0.1547   0.0738  1.0090   0.001549  0.325421  </t>
  </si>
  <si>
    <t xml:space="preserve"> K        1.65      1.99      1.64      1.97     0.379   0.9959   0.01661   2.42836  </t>
  </si>
  <si>
    <t xml:space="preserve"> Mn       0.2405    0.3105    0.2380    0.3073   0.0393  1.0395   0.002313  0.006869  </t>
  </si>
  <si>
    <t xml:space="preserve"> Al       7.99     15.09      7.90     14.93     2.655   1.0073   0.07930   1.19225  </t>
  </si>
  <si>
    <t xml:space="preserve"> P        0.3341    0.7657    0.3307    0.7578   0.0968  0.9903   0.003374  1.973181  </t>
  </si>
  <si>
    <t xml:space="preserve"> Mg       2.78      4.61      2.75      4.56     1.025   1.0151   0.02738   0.88933  </t>
  </si>
  <si>
    <t xml:space="preserve"> Ca       7.18     10.05      7.11      9.95     1.607   0.9995   0.07186   1.07393  </t>
  </si>
  <si>
    <t xml:space="preserve"> Ti       2.24      3.74      2.22      3.70     0.420   0.9990   0.02247   0.91885  </t>
  </si>
  <si>
    <t xml:space="preserve"> O       42.82       -       42.37       -      24.000      -         -        </t>
  </si>
  <si>
    <t>Total:  101.05    101.05    100.00    100.00    16.200</t>
  </si>
  <si>
    <t xml:space="preserve">Unknown Specimen No. 26 </t>
  </si>
  <si>
    <t xml:space="preserve"> UNK No.      :   26            Comment : 1982-CS2-L5B_9                           </t>
  </si>
  <si>
    <t xml:space="preserve"> Stage        :    X=   26.2575  Y=   91.8190  Z=   11.2425 </t>
  </si>
  <si>
    <t xml:space="preserve"> Dated on Dec 20 17:44 2016 </t>
  </si>
  <si>
    <t xml:space="preserve"> 1 Na   129.476    389.9    0.0   19.0    1.64      165 </t>
  </si>
  <si>
    <t xml:space="preserve"> 2 S    171.948      2.0    5.8    4.1   30.78      107 </t>
  </si>
  <si>
    <t xml:space="preserve"> 3 Fe   134.739    193.5    2.9    3.2    1.63      403 </t>
  </si>
  <si>
    <t xml:space="preserve"> 4 Si    77.822   3188.6   29.1   21.5    0.40      225 </t>
  </si>
  <si>
    <t xml:space="preserve"> 5 Cl   151.478     19.5    9.5    8.1    5.70       47 </t>
  </si>
  <si>
    <t xml:space="preserve"> 6 F    199.140      3.2    4.1    3.1   18.71      391 </t>
  </si>
  <si>
    <t xml:space="preserve"> 7 K    119.485    439.1   35.4   22.0    0.93       63 </t>
  </si>
  <si>
    <t xml:space="preserve"> 8 Mn   146.243      2.8    2.2    1.7   16.74      282 </t>
  </si>
  <si>
    <t xml:space="preserve"> 9 Al    90.995   1003.5   17.9    8.9    0.72      167 </t>
  </si>
  <si>
    <t xml:space="preserve">10 P    197.118     26.0    3.1    3.3    4.91      160 </t>
  </si>
  <si>
    <t xml:space="preserve">11 Mg   107.534    521.7   34.3    0.0    1.01      161 </t>
  </si>
  <si>
    <t xml:space="preserve">12 Ca   107.121   2023.3   30.8   36.7    0.51       88 </t>
  </si>
  <si>
    <t xml:space="preserve">13 Ti    88.305    643.7    0.0   46.3    0.91      127 </t>
  </si>
  <si>
    <t xml:space="preserve"> Na      0.3963    0.0037    0.4730    0.9936     0.9870     2.1476     1.0034</t>
  </si>
  <si>
    <t xml:space="preserve"> S       0.7685    0.0035    0.8205    0.9629     1.0238     1.2319     0.9892</t>
  </si>
  <si>
    <t xml:space="preserve"> Fe      0.9813    0.0000    0.9973    0.8109     1.0557     1.1713     0.9974</t>
  </si>
  <si>
    <t xml:space="preserve"> Si      0.7017    0.0012    0.7701    0.9880     1.0094     1.3005     1.0132</t>
  </si>
  <si>
    <t xml:space="preserve"> Cl      0.8312    0.0066    0.8807    0.9137     1.0303     1.1983     0.9849</t>
  </si>
  <si>
    <t xml:space="preserve"> F       0.1922    0.0015    0.2523    1.0193     0.9746     3.9837     1.0039</t>
  </si>
  <si>
    <t xml:space="preserve"> K       0.9094    0.0161    0.9482    0.9045     1.0413     1.1018     0.9958</t>
  </si>
  <si>
    <t xml:space="preserve"> Mn      0.9757    0.0000    0.9944    0.7992     1.0561     1.1914     1.0391</t>
  </si>
  <si>
    <t xml:space="preserve"> Al      0.6433    0.0095    0.7215    0.9693     1.0017     1.4140     1.0105</t>
  </si>
  <si>
    <t xml:space="preserve"> P       0.6855    0.0019    0.7428    0.9469     1.0168     1.3957     0.9901</t>
  </si>
  <si>
    <t xml:space="preserve"> Mg      0.5293    0.0068    0.6068    1.0085     0.9942     1.6326     1.0192</t>
  </si>
  <si>
    <t xml:space="preserve"> Ca      0.9290    0.0071    0.9623    0.9189     1.0457     1.0739     0.9991</t>
  </si>
  <si>
    <t xml:space="preserve"> Ti      0.9499    0.0117    0.9774    0.8288     1.0523     1.1595     0.9982</t>
  </si>
  <si>
    <t xml:space="preserve"> Na       3.49      4.71      3.49      4.70     1.379   1.0034   0.03482   1.75682  </t>
  </si>
  <si>
    <t xml:space="preserve"> S        0.0154    0.0384    0.0154    0.0384   0.0044  0.9892   0.000156  0.028927  </t>
  </si>
  <si>
    <t xml:space="preserve"> Fe      10.92     14.05     10.90     14.03     1.775   0.9974   0.10952   1.05279  </t>
  </si>
  <si>
    <t xml:space="preserve"> Si      21.24     45.43     21.20     45.35     6.861   1.0132   0.20964   0.87511  </t>
  </si>
  <si>
    <t xml:space="preserve"> Cl       0.1196    0.1196    0.1194    0.1194   0.0306  0.9849   0.001215  0.083713  </t>
  </si>
  <si>
    <t xml:space="preserve"> F        0.2583    0.2583    0.2578    0.2578   0.1234  1.0039   0.002573  0.540531  </t>
  </si>
  <si>
    <t xml:space="preserve"> K        1.63      1.96      1.63      1.96     0.378   0.9958   0.01636   2.39122  </t>
  </si>
  <si>
    <t xml:space="preserve"> Mn       0.1785    0.2305    0.1782    0.2300   0.0295  1.0391   0.001718  0.005100  </t>
  </si>
  <si>
    <t xml:space="preserve"> Al       7.66     14.48      7.65     14.46     2.578   1.0105   0.07585   1.14045  </t>
  </si>
  <si>
    <t xml:space="preserve"> P        0.3191    0.7312    0.3185    0.7298   0.0935  0.9901   0.003222  1.884481  </t>
  </si>
  <si>
    <t xml:space="preserve"> Mg       2.80      4.64      2.79      4.63     1.045   1.0192   0.02746   0.89199  </t>
  </si>
  <si>
    <t xml:space="preserve"> Ca       6.94      9.71      6.93      9.69     1.571   0.9991   0.06946   1.03812  </t>
  </si>
  <si>
    <t xml:space="preserve"> Ti       2.29      3.81      2.28      3.81     0.433   0.9982   0.02290   0.93654  </t>
  </si>
  <si>
    <t xml:space="preserve"> O       42.32       -       42.24       -      24.000      -         -        </t>
  </si>
  <si>
    <t>Total:  100.18    100.18    100.00    100.00    16.301</t>
  </si>
  <si>
    <t xml:space="preserve">Unknown Specimen No. 27 </t>
  </si>
  <si>
    <t xml:space="preserve"> UNK No.      :   27            Comment : UnknA-C21_1                              </t>
  </si>
  <si>
    <t xml:space="preserve"> Stage        :    X=    9.4430  Y=   65.5020  Z=   11.5040 </t>
  </si>
  <si>
    <t xml:space="preserve"> Dated on Dec 20 17:48 2016 </t>
  </si>
  <si>
    <t xml:space="preserve"> 1 Na   129.476    401.5    0.0   24.9    1.63      189 </t>
  </si>
  <si>
    <t xml:space="preserve"> 2 S    171.948      4.3    6.1    4.3   16.09      110 </t>
  </si>
  <si>
    <t xml:space="preserve"> 3 Fe   134.739    186.1    2.7    2.6    1.66      371 </t>
  </si>
  <si>
    <t xml:space="preserve"> 4 Si    77.822   3151.7   33.8   20.1    0.40      234 </t>
  </si>
  <si>
    <t xml:space="preserve"> 5 Cl   151.478     11.1    8.2    6.6    8.38       43 </t>
  </si>
  <si>
    <t xml:space="preserve"> 6 F    199.140      1.0    3.3    2.8   48.32 ?    358 </t>
  </si>
  <si>
    <t xml:space="preserve"> 7 K    119.485    476.5   39.9   20.5    0.89       65 </t>
  </si>
  <si>
    <t xml:space="preserve"> 8 Mn   146.243      2.9    2.3    1.2   15.57      266 </t>
  </si>
  <si>
    <t xml:space="preserve"> 9 Al    90.995   1077.0   16.1    9.3    0.69      162 </t>
  </si>
  <si>
    <t xml:space="preserve">10 P    197.118     37.9    2.8    3.0    3.91      153 </t>
  </si>
  <si>
    <t xml:space="preserve">11 Mg   107.534    512.5   35.5    0.0    1.02      163 </t>
  </si>
  <si>
    <t xml:space="preserve">12 Ca   107.121   2199.5   32.2   37.8    0.48       90 </t>
  </si>
  <si>
    <t xml:space="preserve">13 Ti    88.305    639.6    0.0   46.2    0.92      127 </t>
  </si>
  <si>
    <t xml:space="preserve"> Na      0.3991    0.0038    0.4763    0.9932     0.9871     2.1334     0.9968</t>
  </si>
  <si>
    <t xml:space="preserve"> S       0.7693    0.0037    0.8213    0.9624     1.0240     1.2310     0.9884</t>
  </si>
  <si>
    <t xml:space="preserve"> Fe      0.9810    0.0000    0.9970    0.8106     1.0557     1.1721     0.9980</t>
  </si>
  <si>
    <t xml:space="preserve"> Si      0.7011    0.0014    0.7694    0.9875     1.0095     1.3020     1.0144</t>
  </si>
  <si>
    <t xml:space="preserve"> Cl      0.8317    0.0069    0.8812    0.9132     1.0305     1.1976     0.9842</t>
  </si>
  <si>
    <t xml:space="preserve"> F       0.1907    0.0014    0.2503    1.0188     0.9747     4.0169     1.0123</t>
  </si>
  <si>
    <t xml:space="preserve"> K       0.9098    0.0169    0.9487    0.9041     1.0415     1.1009     0.9950</t>
  </si>
  <si>
    <t xml:space="preserve"> Mn      0.9754    0.0000    0.9940    0.7989     1.0562     1.1923     1.0398</t>
  </si>
  <si>
    <t xml:space="preserve"> Al      0.6458    0.0094    0.7243    0.9688     1.0019     1.4091     1.0070</t>
  </si>
  <si>
    <t xml:space="preserve"> P       0.6872    0.0020    0.7446    0.9464     1.0169     1.3927     0.9880</t>
  </si>
  <si>
    <t xml:space="preserve"> Mg      0.5316    0.0069    0.6094    1.0080     0.9943     1.6259     1.0150</t>
  </si>
  <si>
    <t xml:space="preserve"> Ca      0.9290    0.0068    0.9623    0.9184     1.0459     1.0746     0.9997</t>
  </si>
  <si>
    <t xml:space="preserve"> Ti      0.9491    0.0110    0.9765    0.8285     1.0524     1.1617     1.0001</t>
  </si>
  <si>
    <t xml:space="preserve"> Na       3.57      4.82      3.53      4.75     1.392   0.9968   0.03586   1.80916  </t>
  </si>
  <si>
    <t xml:space="preserve"> S        0.0327    0.0817    0.0323    0.0806   0.0091  0.9884   0.000331  0.061487  </t>
  </si>
  <si>
    <t xml:space="preserve"> Fe      10.51     13.52     10.37     13.34     1.685   0.9980   0.10529   1.01208  </t>
  </si>
  <si>
    <t xml:space="preserve"> Si      21.00     44.93     20.73     44.35     6.698   1.0144   0.20722   0.86499  </t>
  </si>
  <si>
    <t xml:space="preserve"> Cl       0.0678    0.0678    0.0670    0.0670   0.0171  0.9842   0.000689  0.047496  </t>
  </si>
  <si>
    <t xml:space="preserve"> F        0.0834    0.0834    0.0823    0.0823   0.0393  1.0123   0.000824  0.173006  </t>
  </si>
  <si>
    <t xml:space="preserve"> K        1.77      2.13      1.74      2.10     0.405   0.9950   0.01775   2.59472  </t>
  </si>
  <si>
    <t xml:space="preserve"> Mn       0.1874    0.2420    0.1850    0.2389   0.0306  1.0398   0.001803  0.005352  </t>
  </si>
  <si>
    <t xml:space="preserve"> Al       8.19     15.48      8.09     15.28     2.721   1.0070   0.08140   1.22393  </t>
  </si>
  <si>
    <t xml:space="preserve"> P        0.4633    1.0618    0.4574    1.0481   0.1340  0.9880   0.004690  2.742584  </t>
  </si>
  <si>
    <t xml:space="preserve"> Mg       2.74      4.54      2.70      4.48     1.009   1.0150   0.02698   0.87633  </t>
  </si>
  <si>
    <t xml:space="preserve"> Ca       7.55     10.56      7.45     10.42     1.687   0.9997   0.07551   1.12851  </t>
  </si>
  <si>
    <t xml:space="preserve"> Ti       2.28      3.80      2.25      3.75     0.426   1.0001   0.02275   0.93064  </t>
  </si>
  <si>
    <t xml:space="preserve"> O       42.87       -       42.32       -      24.000      -         -        </t>
  </si>
  <si>
    <t>Total:  101.31    101.31    100.00    100.00    16.252</t>
  </si>
  <si>
    <t xml:space="preserve">Unknown Specimen No. 28 </t>
  </si>
  <si>
    <t xml:space="preserve"> UNK No.      :   28            Comment : UnknA-C21_2                              </t>
  </si>
  <si>
    <t xml:space="preserve"> Stage        :    X=    9.2735  Y=   65.0675  Z=   11.5040 </t>
  </si>
  <si>
    <t xml:space="preserve"> Dated on Dec 20 17:51 2016 </t>
  </si>
  <si>
    <t xml:space="preserve"> 1 Na   129.476    404.4    0.0   20.5    1.61      171 </t>
  </si>
  <si>
    <t xml:space="preserve"> 2 S    171.948      7.0    5.5    5.1   10.97      112 </t>
  </si>
  <si>
    <t xml:space="preserve"> 3 Fe   134.739    173.6    2.3    2.6    1.72      362 </t>
  </si>
  <si>
    <t xml:space="preserve"> 4 Si    77.822   3127.3   28.7   20.3    0.40      222 </t>
  </si>
  <si>
    <t xml:space="preserve"> 5 Cl   151.478     22.1    7.7    8.6    5.13       45 </t>
  </si>
  <si>
    <t xml:space="preserve"> 6 F    199.140      2.0    3.7    3.3   27.95      381 </t>
  </si>
  <si>
    <t xml:space="preserve"> 7 K    119.485    491.7   33.9   24.1    0.87       63 </t>
  </si>
  <si>
    <t xml:space="preserve"> 8 Mn   146.243      2.8    2.4    1.7   16.85      291 </t>
  </si>
  <si>
    <t xml:space="preserve"> 9 Al    90.995   1070.8   14.2    9.4    0.69      155 </t>
  </si>
  <si>
    <t xml:space="preserve">10 P    197.118     35.8    3.2    2.9    4.04      155 </t>
  </si>
  <si>
    <t xml:space="preserve">11 Mg   107.534    499.8   35.2    0.0    1.03      163 </t>
  </si>
  <si>
    <t xml:space="preserve">12 Ca   107.121   2188.9   32.4   31.7    0.48       85 </t>
  </si>
  <si>
    <t xml:space="preserve">13 Ti    88.305    639.3    0.0   46.5    0.92      127 </t>
  </si>
  <si>
    <t xml:space="preserve"> Na      0.4020    0.0038    0.4798    0.9923     0.9875     2.1188     0.9900</t>
  </si>
  <si>
    <t xml:space="preserve"> S       0.7697    0.0038    0.8218    0.9615     1.0244     1.2308     0.9883</t>
  </si>
  <si>
    <t xml:space="preserve"> Fe      0.9809    0.0000    0.9969    0.8099     1.0559     1.1730     0.9988</t>
  </si>
  <si>
    <t xml:space="preserve"> Si      0.7025    0.0014    0.7709    0.9866     1.0099     1.3000     1.0128</t>
  </si>
  <si>
    <t xml:space="preserve"> Cl      0.8320    0.0070    0.8815    0.9124     1.0309     1.1977     0.9844</t>
  </si>
  <si>
    <t xml:space="preserve"> F       0.1900    0.0014    0.2494    1.0178     0.9751     4.0338     1.0165</t>
  </si>
  <si>
    <t xml:space="preserve"> K       0.9098    0.0169    0.9487    0.9033     1.0418     1.1015     0.9955</t>
  </si>
  <si>
    <t xml:space="preserve"> Mn      0.9752    0.0000    0.9939    0.7982     1.0564     1.1932     1.0406</t>
  </si>
  <si>
    <t xml:space="preserve"> Al      0.6481    0.0095    0.7269    0.9680     1.0023     1.4047     1.0038</t>
  </si>
  <si>
    <t xml:space="preserve"> P       0.6876    0.0021    0.7451    0.9456     1.0173     1.3923     0.9878</t>
  </si>
  <si>
    <t xml:space="preserve"> Mg      0.5341    0.0070    0.6122    1.0071     0.9947     1.6192     1.0109</t>
  </si>
  <si>
    <t xml:space="preserve"> Ca      0.9288    0.0066    0.9621    0.9176     1.0462     1.0756     1.0007</t>
  </si>
  <si>
    <t xml:space="preserve"> Ti      0.9489    0.0104    0.9763    0.8277     1.0527     1.1635     1.0016</t>
  </si>
  <si>
    <t xml:space="preserve"> Na       3.58      4.82      3.58      4.82     1.410   0.9900   0.03612   1.82222  </t>
  </si>
  <si>
    <t xml:space="preserve"> S        0.0533    0.1331    0.0533    0.1332   0.0151  0.9883   0.000539  0.100247  </t>
  </si>
  <si>
    <t xml:space="preserve"> Fe       9.81     12.62      9.82     12.63     1.593   0.9988   0.09823   0.94422  </t>
  </si>
  <si>
    <t xml:space="preserve"> Si      20.83     44.55     20.84     44.58     6.722   1.0128   0.20562   0.85830  </t>
  </si>
  <si>
    <t xml:space="preserve"> Cl       0.1357    0.1357    0.1358    0.1358   0.0347  0.9844   0.001379  0.095025  </t>
  </si>
  <si>
    <t xml:space="preserve"> F        0.1609    0.1609    0.1610    0.1610   0.0768  1.0165   0.001583  0.332523  </t>
  </si>
  <si>
    <t xml:space="preserve"> K        1.82      2.20      1.82      2.20     0.423   0.9955   0.01831   2.67744  </t>
  </si>
  <si>
    <t xml:space="preserve"> Mn       0.1814    0.2343    0.1816    0.2344   0.0299  1.0406   0.001744  0.005177  </t>
  </si>
  <si>
    <t xml:space="preserve"> Al       8.12     15.35      8.13     15.36     2.730   1.0038   0.08094   1.21690  </t>
  </si>
  <si>
    <t xml:space="preserve"> P        0.4383    1.0045    0.4386    1.0051   0.1283  0.9878   0.004438  2.595054  </t>
  </si>
  <si>
    <t xml:space="preserve"> Mg       2.66      4.41      2.66      4.41     0.992   1.0109   0.02631   0.85459  </t>
  </si>
  <si>
    <t xml:space="preserve"> Ca       7.52     10.52      7.52     10.53     1.701   1.0007   0.07515   1.12309  </t>
  </si>
  <si>
    <t xml:space="preserve"> Ti       2.28      3.80      2.28      3.80     0.431   1.0016   0.02274   0.93013  </t>
  </si>
  <si>
    <t xml:space="preserve"> O       42.35       -       42.38       -      24.000      -         -        </t>
  </si>
  <si>
    <t>Total:   99.94     99.94    100.00    100.00    16.287</t>
  </si>
  <si>
    <t xml:space="preserve">Unknown Specimen No. 29 </t>
  </si>
  <si>
    <t xml:space="preserve"> UNK No.      :   29            Comment : UnknA-C21_3                              </t>
  </si>
  <si>
    <t xml:space="preserve"> Stage        :    X=   10.2170  Y=   64.6170  Z=   11.5010 </t>
  </si>
  <si>
    <t xml:space="preserve"> Dated on Dec 20 17:55 2016 </t>
  </si>
  <si>
    <t xml:space="preserve"> 1 Na   129.476    408.5    0.0   20.2    1.60      170 </t>
  </si>
  <si>
    <t xml:space="preserve"> 2 S    171.948      5.8    6.4    4.7   12.84      114 </t>
  </si>
  <si>
    <t xml:space="preserve"> 3 Fe   134.739    168.1    3.6    2.2    1.75      373 </t>
  </si>
  <si>
    <t xml:space="preserve"> 4 Si    77.822   3156.5   31.0   20.4    0.40      228 </t>
  </si>
  <si>
    <t xml:space="preserve"> 5 Cl   151.478     19.7    7.7    8.3    5.55       45 </t>
  </si>
  <si>
    <t xml:space="preserve"> 6 F    199.140      1.4    3.9    3.1   39.00 ?    384 </t>
  </si>
  <si>
    <t xml:space="preserve"> 7 K    119.485    485.4   37.8   20.0    0.88       63 </t>
  </si>
  <si>
    <t xml:space="preserve"> 8 Mn   146.243      2.7    2.0    1.4   16.72      264 </t>
  </si>
  <si>
    <t xml:space="preserve"> 9 Al    90.995   1074.3   14.2    9.2    0.69      155 </t>
  </si>
  <si>
    <t xml:space="preserve">10 P    197.118     34.7    2.7    2.8    4.09      148 </t>
  </si>
  <si>
    <t xml:space="preserve">11 Mg   107.534    474.8   38.7    0.0    1.07      171 </t>
  </si>
  <si>
    <t xml:space="preserve">12 Ca   107.121   2178.5   32.7   39.5    0.49       91 </t>
  </si>
  <si>
    <t xml:space="preserve">13 Ti    88.305    622.7    0.0   46.1    0.93      127 </t>
  </si>
  <si>
    <t xml:space="preserve"> Na      0.4039    0.0038    0.4820    0.9915     0.9878     2.1101     0.9859</t>
  </si>
  <si>
    <t xml:space="preserve"> S       0.7694    0.0037    0.8215    0.9609     1.0246     1.2319     0.9892</t>
  </si>
  <si>
    <t xml:space="preserve"> Fe      0.9809    0.0000    0.9969    0.8093     1.0561     1.1736     0.9993</t>
  </si>
  <si>
    <t xml:space="preserve"> Si      0.7037    0.0014    0.7723    0.9859     1.0102     1.2984     1.0115</t>
  </si>
  <si>
    <t xml:space="preserve"> Cl      0.8318    0.0069    0.8813    0.9118     1.0311     1.1986     0.9851</t>
  </si>
  <si>
    <t xml:space="preserve"> F       0.1897    0.0014    0.2490    1.0171     0.9753     4.0423     1.0187</t>
  </si>
  <si>
    <t xml:space="preserve"> K       0.9097    0.0168    0.9486    0.9027     1.0420     1.1022     0.9962</t>
  </si>
  <si>
    <t xml:space="preserve"> Mn      0.9753    0.0000    0.9939    0.7977     1.0566     1.1938     1.0412</t>
  </si>
  <si>
    <t xml:space="preserve"> Al      0.6502    0.0096    0.7292    0.9672     1.0026     1.4007     1.0010</t>
  </si>
  <si>
    <t xml:space="preserve"> P       0.6872    0.0021    0.7446    0.9449     1.0176     1.3939     0.9889</t>
  </si>
  <si>
    <t xml:space="preserve"> Mg      0.5355    0.0071    0.6139    1.0063     0.9950     1.6153     1.0085</t>
  </si>
  <si>
    <t xml:space="preserve"> Ca      0.9288    0.0064    0.9621    0.9170     1.0464     1.0764     1.0013</t>
  </si>
  <si>
    <t xml:space="preserve"> Ti      0.9489    0.0101    0.9763    0.8272     1.0529     1.1644     1.0024</t>
  </si>
  <si>
    <t xml:space="preserve"> Na       3.60      4.85      3.62      4.88     1.421   0.9859   0.03648   1.84072  </t>
  </si>
  <si>
    <t xml:space="preserve"> S        0.0441    0.1102    0.0444    0.1108   0.0125  0.9892   0.000446  0.082902  </t>
  </si>
  <si>
    <t xml:space="preserve"> Fe       9.51     12.23      9.56     12.30     1.545   0.9993   0.09511   0.91427  </t>
  </si>
  <si>
    <t xml:space="preserve"> Si      21.00     44.92     21.12     45.18     6.787   1.0115   0.20753   0.86632  </t>
  </si>
  <si>
    <t xml:space="preserve"> Cl       0.1207    0.1207    0.1214    0.1214   0.0309  0.9851   0.001226  0.084468  </t>
  </si>
  <si>
    <t xml:space="preserve"> F        0.1130    0.1130    0.1136    0.1136   0.0540  1.0187   0.001109  0.233040  </t>
  </si>
  <si>
    <t xml:space="preserve"> K        1.80      2.17      1.81      2.18     0.418   0.9962   0.01808   2.64344  </t>
  </si>
  <si>
    <t xml:space="preserve"> Mn       0.1706    0.2203    0.1716    0.2215   0.0282  1.0412   0.001639  0.004865  </t>
  </si>
  <si>
    <t xml:space="preserve"> Al       8.13     15.36      8.18     15.45     2.736   1.0010   0.08120   1.22093  </t>
  </si>
  <si>
    <t xml:space="preserve"> P        0.4254    0.9747    0.4278    0.9803   0.1247  0.9889   0.004301  2.515405  </t>
  </si>
  <si>
    <t xml:space="preserve"> Mg       2.52      4.18      2.54      4.20     0.942   1.0085   0.02500   0.81188  </t>
  </si>
  <si>
    <t xml:space="preserve"> Ca       7.49     10.48      7.53     10.54     1.696   1.0013   0.07479   1.11774  </t>
  </si>
  <si>
    <t xml:space="preserve"> Ti       2.22      3.70      2.23      3.73     0.421   1.0024   0.02215   0.90602  </t>
  </si>
  <si>
    <t xml:space="preserve"> O       42.30       -       42.54       -      24.000      -         -        </t>
  </si>
  <si>
    <t>Total:   99.43     99.43    100.00    100.00    16.216</t>
  </si>
  <si>
    <t xml:space="preserve">Unknown Specimen No. 30 </t>
  </si>
  <si>
    <t xml:space="preserve"> UNK No.      :   30            Comment : UnknA-C21_4                              </t>
  </si>
  <si>
    <t xml:space="preserve"> Stage        :    X=   11.4790  Y=   64.6410  Z=   11.4965 </t>
  </si>
  <si>
    <t xml:space="preserve"> Dated on Dec 20 17:58 2016 </t>
  </si>
  <si>
    <t xml:space="preserve">Curr.(A) : 1.006E-08 </t>
  </si>
  <si>
    <t xml:space="preserve"> 1 Na   129.476    411.2    0.0   19.0    1.60      165 </t>
  </si>
  <si>
    <t xml:space="preserve"> 2 S    171.948      5.3    5.5    5.7   14.10      116 </t>
  </si>
  <si>
    <t xml:space="preserve"> 3 Fe   134.739    173.2    3.2    2.5    1.73      378 </t>
  </si>
  <si>
    <t xml:space="preserve"> 4 Si    77.822   3152.4   30.2   21.6    0.40      228 </t>
  </si>
  <si>
    <t xml:space="preserve"> 5 Cl   151.478     22.6    8.6    9.5    5.16       48 </t>
  </si>
  <si>
    <t xml:space="preserve"> 6 F    199.140      2.4    3.5    3.3   23.69      376 </t>
  </si>
  <si>
    <t xml:space="preserve"> 7 K    119.485    501.0   38.1   21.5    0.87       64 </t>
  </si>
  <si>
    <t xml:space="preserve"> 8 Mn   146.243      3.0    2.7    1.7   16.42      299 </t>
  </si>
  <si>
    <t xml:space="preserve"> 9 Al    90.995   1017.0   13.7    8.4    0.71      150 </t>
  </si>
  <si>
    <t xml:space="preserve">10 P    197.118     34.8    3.1    2.9    4.11      154 </t>
  </si>
  <si>
    <t xml:space="preserve">11 Mg   107.534    511.7   33.0    0.0    1.02      157 </t>
  </si>
  <si>
    <t xml:space="preserve">12 Ca   107.121   2190.2   33.6   36.9    0.49       90 </t>
  </si>
  <si>
    <t xml:space="preserve">13 Ti    88.305    638.8    0.0   47.4    0.92      128 </t>
  </si>
  <si>
    <t xml:space="preserve"> Na      0.4018    0.0038    0.4796    0.9923     0.9875     2.1200     0.9905</t>
  </si>
  <si>
    <t xml:space="preserve"> S       0.7698    0.0038    0.8219    0.9616     1.0243     1.2305     0.9881</t>
  </si>
  <si>
    <t xml:space="preserve"> Si      0.7039    0.0014    0.7725    0.9867     1.0098     1.2974     1.0108</t>
  </si>
  <si>
    <t xml:space="preserve"> Cl      0.8321    0.0070    0.8817    0.9125     1.0308     1.1975     0.9841</t>
  </si>
  <si>
    <t xml:space="preserve"> F       0.1900    0.0014    0.2494    1.0179     0.9750     4.0340     1.0166</t>
  </si>
  <si>
    <t xml:space="preserve"> K       0.9099    0.0169    0.9488    0.9034     1.0418     1.1014     0.9954</t>
  </si>
  <si>
    <t xml:space="preserve"> Mn      0.9752    0.0000    0.9939    0.7982     1.0564     1.1932     1.0407</t>
  </si>
  <si>
    <t xml:space="preserve"> Al      0.6471    0.0096    0.7258    0.9680     1.0022     1.4067     1.0053</t>
  </si>
  <si>
    <t xml:space="preserve"> P       0.6877    0.0021    0.7452    0.9456     1.0173     1.3922     0.9876</t>
  </si>
  <si>
    <t xml:space="preserve"> Mg      0.5334    0.0069    0.6115    1.0071     0.9947     1.6212     1.0121</t>
  </si>
  <si>
    <t xml:space="preserve"> Ca      0.9288    0.0066    0.9620    0.9177     1.0461     1.0757     1.0007</t>
  </si>
  <si>
    <t xml:space="preserve"> Ti      0.9488    0.0104    0.9762    0.8278     1.0526     1.1635     1.0016</t>
  </si>
  <si>
    <t xml:space="preserve"> Na       3.63      4.90      3.65      4.92     1.441   0.9905   0.03669   1.85105  </t>
  </si>
  <si>
    <t xml:space="preserve"> S        0.0402    0.1004    0.0404    0.1008   0.0114  0.9881   0.000407  0.075614  </t>
  </si>
  <si>
    <t xml:space="preserve"> Fe       9.78     12.58      9.82     12.64     1.596   0.9988   0.09792   0.94124  </t>
  </si>
  <si>
    <t xml:space="preserve"> Si      20.93     44.78     21.03     44.98     6.791   1.0108   0.20706   0.86434  </t>
  </si>
  <si>
    <t xml:space="preserve"> Cl       0.1388    0.1388    0.1394    0.1394   0.0357  0.9841   0.001411  0.097210  </t>
  </si>
  <si>
    <t xml:space="preserve"> F        0.1916    0.1916    0.1925    0.1925   0.0919  1.0166   0.001885  0.396016  </t>
  </si>
  <si>
    <t xml:space="preserve"> K        1.86      2.24      1.86      2.25     0.433   0.9954   0.01864   2.72565  </t>
  </si>
  <si>
    <t xml:space="preserve"> Mn       0.1908    0.2464    0.1916    0.2474   0.0316  1.0407   0.001834  0.005444  </t>
  </si>
  <si>
    <t xml:space="preserve"> Al       7.72     14.59      7.75     14.65     2.608   1.0053   0.07679   1.15461  </t>
  </si>
  <si>
    <t xml:space="preserve"> P        0.4249    0.9736    0.4267    0.9778   0.1250  0.9876   0.004302  2.515617  </t>
  </si>
  <si>
    <t xml:space="preserve"> Mg       2.72      4.52      2.74      4.54     1.021   1.0121   0.02691   0.87408  </t>
  </si>
  <si>
    <t xml:space="preserve"> Ca       7.52     10.52      7.55     10.56     1.709   1.0007   0.07511   1.12261  </t>
  </si>
  <si>
    <t xml:space="preserve"> Ti       2.27      3.79      2.28      3.81     0.433   1.0016   0.02270   0.92848  </t>
  </si>
  <si>
    <t xml:space="preserve"> O       42.14       -       42.32       -      24.000      -         -        </t>
  </si>
  <si>
    <t>Total:   99.57     99.57    100.00    100.00    16.326</t>
  </si>
  <si>
    <t xml:space="preserve">Unknown Specimen No. 31 </t>
  </si>
  <si>
    <t xml:space="preserve"> UNK No.      :   31            Comment : UnknA-C21_5                              </t>
  </si>
  <si>
    <t xml:space="preserve"> Stage        :    X=   11.5960  Y=   65.4790  Z=   11.4965 </t>
  </si>
  <si>
    <t xml:space="preserve"> Dated on Dec 20 18:02 2016 </t>
  </si>
  <si>
    <t xml:space="preserve"> 1 Na   129.476    399.7    0.0   20.5    1.62      171 </t>
  </si>
  <si>
    <t xml:space="preserve"> 2 S    171.948      5.3    5.7    5.0   13.86      113 </t>
  </si>
  <si>
    <t xml:space="preserve"> 3 Fe   134.739    168.1    2.0    2.8    1.75      364 </t>
  </si>
  <si>
    <t xml:space="preserve"> 4 Si    77.822   3157.5   33.3   19.0    0.40      231 </t>
  </si>
  <si>
    <t xml:space="preserve"> 5 Cl   151.478     23.0    9.9    7.0    5.00       46 </t>
  </si>
  <si>
    <t xml:space="preserve"> 6 F    199.140      1.7    4.1    3.0   33.62 ?    389 </t>
  </si>
  <si>
    <t xml:space="preserve"> 7 K    119.485    478.7   37.2   21.8    0.89       64 </t>
  </si>
  <si>
    <t xml:space="preserve"> 8 Mn   146.243      2.9    2.1    1.4   15.72      266 </t>
  </si>
  <si>
    <t xml:space="preserve"> 9 Al    90.995   1032.3   14.4    8.9    0.70      154 </t>
  </si>
  <si>
    <t xml:space="preserve">10 P    197.118     37.2    3.0    2.8    3.95      151 </t>
  </si>
  <si>
    <t xml:space="preserve">11 Mg   107.534    498.6   39.9    0.0    1.04      173 </t>
  </si>
  <si>
    <t xml:space="preserve">12 Ca   107.121   2175.1   33.6   36.7    0.49       90 </t>
  </si>
  <si>
    <t xml:space="preserve">13 Ti    88.305    639.6    0.0   49.8    0.92      131 </t>
  </si>
  <si>
    <t xml:space="preserve"> Na      0.4032    0.0038    0.4813    0.9917     0.9877     2.1132     0.9874</t>
  </si>
  <si>
    <t xml:space="preserve"> S       0.7695    0.0037    0.8216    0.9610     1.0245     1.2316     0.9889</t>
  </si>
  <si>
    <t xml:space="preserve"> Fe      0.9809    0.0000    0.9969    0.8095     1.0560     1.1735     0.9992</t>
  </si>
  <si>
    <t xml:space="preserve"> Si      0.7046    0.0014    0.7732    0.9861     1.0101     1.2967     1.0102</t>
  </si>
  <si>
    <t xml:space="preserve"> Cl      0.8319    0.0070    0.8814    0.9119     1.0310     1.1984     0.9849</t>
  </si>
  <si>
    <t xml:space="preserve"> F       0.1895    0.0014    0.2488    1.0172     0.9752     4.0458     1.0196</t>
  </si>
  <si>
    <t xml:space="preserve"> K       0.9097    0.0169    0.9486    0.9028     1.0420     1.1020     0.9960</t>
  </si>
  <si>
    <t xml:space="preserve"> Mn      0.9752    0.0000    0.9939    0.7978     1.0565     1.1938     1.0411</t>
  </si>
  <si>
    <t xml:space="preserve"> Al      0.6491    0.0097    0.7280    0.9674     1.0025     1.4028     1.0025</t>
  </si>
  <si>
    <t xml:space="preserve"> P       0.6875    0.0021    0.7449    0.9450     1.0175     1.3932     0.9884</t>
  </si>
  <si>
    <t xml:space="preserve"> Mg      0.5353    0.0070    0.6137    1.0065     0.9949     1.6160     1.0088</t>
  </si>
  <si>
    <t xml:space="preserve"> Ca      0.9289    0.0066    0.9621    0.9171     1.0463     1.0761     1.0011</t>
  </si>
  <si>
    <t xml:space="preserve"> Ti      0.9489    0.0102    0.9763    0.8273     1.0528     1.1642     1.0022</t>
  </si>
  <si>
    <t xml:space="preserve"> Na       3.52      4.75      3.56      4.79     1.398   0.9874   0.03566   1.79924  </t>
  </si>
  <si>
    <t xml:space="preserve"> S        0.0401    0.1001    0.0405    0.1011   0.0114  0.9889   0.000405  0.075363  </t>
  </si>
  <si>
    <t xml:space="preserve"> Fe       9.50     12.22      9.59     12.34     1.551   0.9992   0.09503   0.91346  </t>
  </si>
  <si>
    <t xml:space="preserve"> Si      20.96     44.85     21.17     45.29     6.809   1.0102   0.20739   0.86572  </t>
  </si>
  <si>
    <t xml:space="preserve"> Cl       0.1411    0.1411    0.1425    0.1425   0.0363  0.9849   0.001433  0.098734  </t>
  </si>
  <si>
    <t xml:space="preserve"> F        0.1347    0.1347    0.1361    0.1361   0.0647  1.0196   0.001321  0.277592  </t>
  </si>
  <si>
    <t xml:space="preserve"> K        1.77      2.14      1.79      2.16     0.414   0.9960   0.01781   2.60430  </t>
  </si>
  <si>
    <t xml:space="preserve"> Mn       0.1856    0.2396    0.1874    0.2420   0.0308  1.0411   0.001782  0.005292  </t>
  </si>
  <si>
    <t xml:space="preserve"> Al       7.82     14.77      7.89     14.92     2.643   1.0025   0.07795   1.17201  </t>
  </si>
  <si>
    <t xml:space="preserve"> P        0.4545    1.0415    0.4591    1.0520   0.1339  0.9884   0.004599  2.689223  </t>
  </si>
  <si>
    <t xml:space="preserve"> Mg       2.65      4.39      2.67      4.43     0.993   1.0088   0.02622   0.85161  </t>
  </si>
  <si>
    <t xml:space="preserve"> Ca       7.47     10.45      7.54     10.55     1.700   1.0011   0.07460   1.11490  </t>
  </si>
  <si>
    <t xml:space="preserve"> Ti       2.28      3.80      2.30      3.84     0.434   1.0022   0.02273   0.92972  </t>
  </si>
  <si>
    <t xml:space="preserve"> O       42.09       -       42.51       -      24.000      -         -        </t>
  </si>
  <si>
    <t>Total:   99.01     99.01    100.00    100.00    16.219</t>
  </si>
  <si>
    <t xml:space="preserve">Unknown Specimen No. 32 </t>
  </si>
  <si>
    <t xml:space="preserve"> UNK No.      :   32            Comment : UnknA-C21_6                              </t>
  </si>
  <si>
    <t xml:space="preserve"> Stage        :    X=   10.7770  Y=   65.5930  Z=   11.5015 </t>
  </si>
  <si>
    <t xml:space="preserve"> Dated on Dec 20 18:05 2016 </t>
  </si>
  <si>
    <t xml:space="preserve"> 1 Na   129.476    397.2    0.0   23.0    1.63      181 </t>
  </si>
  <si>
    <t xml:space="preserve"> 2 S    171.948    116.0    5.1    5.9    1.78      116 </t>
  </si>
  <si>
    <t xml:space="preserve"> 3 Fe   134.739    189.7    2.4    3.4    1.65      401 </t>
  </si>
  <si>
    <t xml:space="preserve"> 4 Si    77.822   3099.2   31.0   20.7    0.41      228 </t>
  </si>
  <si>
    <t xml:space="preserve"> 5 Cl   151.478     21.1    9.1    8.4    5.38       47 </t>
  </si>
  <si>
    <t xml:space="preserve"> 6 F    199.140      2.6    2.9    3.6   21.07      361 </t>
  </si>
  <si>
    <t xml:space="preserve"> 7 K    119.485    478.1   36.3   24.9    0.89       64 </t>
  </si>
  <si>
    <t xml:space="preserve"> 8 Mn   146.243      2.6    2.9    1.8   18.51      307 </t>
  </si>
  <si>
    <t xml:space="preserve"> 9 Al    90.995   1066.6   15.0   10.3    0.69      161 </t>
  </si>
  <si>
    <t xml:space="preserve">10 P    197.118     34.0    2.5    2.5    4.12      141 </t>
  </si>
  <si>
    <t xml:space="preserve">11 Mg   107.534    500.7   38.6    0.0    1.04      170 </t>
  </si>
  <si>
    <t xml:space="preserve">12 Ca   107.121   2126.0   33.3   36.7    0.49       90 </t>
  </si>
  <si>
    <t xml:space="preserve">13 Ti    88.305    637.2    0.0   44.2    0.92      124 </t>
  </si>
  <si>
    <t xml:space="preserve"> Na      0.3980    0.0037    0.4750    0.9930     0.9872     2.1397     0.9997</t>
  </si>
  <si>
    <t xml:space="preserve"> S       0.7719    0.0036    0.8242    0.9623     1.0240     1.2269     0.9852</t>
  </si>
  <si>
    <t xml:space="preserve"> Fe      0.9811    0.0000    0.9971    0.8105     1.0558     1.1721     0.9980</t>
  </si>
  <si>
    <t xml:space="preserve"> Si      0.7020    0.0016    0.7703    0.9874     1.0096     1.3002     1.0130</t>
  </si>
  <si>
    <t xml:space="preserve"> Cl      0.8306    0.0067    0.8800    0.9131     1.0305     1.1995     0.9859</t>
  </si>
  <si>
    <t xml:space="preserve"> F       0.1906    0.0014    0.2502    1.0186     0.9748     4.0193     1.0129</t>
  </si>
  <si>
    <t xml:space="preserve"> K       0.9090    0.0162    0.9479    0.9040     1.0415     1.1026     0.9965</t>
  </si>
  <si>
    <t xml:space="preserve"> Mn      0.9755    0.0000    0.9942    0.7988     1.0562     1.1922     1.0398</t>
  </si>
  <si>
    <t xml:space="preserve"> Al      0.6458    0.0093    0.7243    0.9687     1.0019     1.4093     1.0072</t>
  </si>
  <si>
    <t xml:space="preserve"> P       0.6902    0.0025    0.7479    0.9463     1.0170     1.3860     0.9832</t>
  </si>
  <si>
    <t xml:space="preserve"> Mg      0.5310    0.0068    0.6087    1.0079     0.9944     1.6282     1.0165</t>
  </si>
  <si>
    <t xml:space="preserve"> Ca      0.9285    0.0068    0.9617    0.9183     1.0459     1.0754     1.0004</t>
  </si>
  <si>
    <t xml:space="preserve"> Ti      0.9493    0.0111    0.9767    0.8284     1.0524     1.1615     0.9999</t>
  </si>
  <si>
    <t xml:space="preserve"> Na       3.54      4.77      3.47      4.67     1.362   0.9997   0.03544   1.78798  </t>
  </si>
  <si>
    <t xml:space="preserve"> S        0.8798    2.1971    0.8612    2.1505   0.2427  0.9852   0.008931  1.660073  </t>
  </si>
  <si>
    <t xml:space="preserve"> Fe      10.70     13.77     10.47     13.47     1.694   0.9980   0.10725   1.03097  </t>
  </si>
  <si>
    <t xml:space="preserve"> Si      20.59     44.06     20.16     43.12     6.484   1.0130   0.20357   0.84975  </t>
  </si>
  <si>
    <t xml:space="preserve"> Cl       0.1293    0.1293    0.1266    0.1266   0.0323  0.9859   0.001312  0.090422  </t>
  </si>
  <si>
    <t xml:space="preserve"> F        0.2099    0.2099    0.2055    0.2055   0.0977  1.0129   0.002073  0.435466  </t>
  </si>
  <si>
    <t xml:space="preserve"> K        1.77      2.14      1.74      2.09     0.401   0.9965   0.01779   2.60073  </t>
  </si>
  <si>
    <t xml:space="preserve"> Mn       0.1679    0.2167    0.1643    0.2121   0.0270  1.0398   0.001614  0.004793  </t>
  </si>
  <si>
    <t xml:space="preserve"> Al       8.11     15.32      7.94     14.99     2.658   1.0072   0.08054   1.21091  </t>
  </si>
  <si>
    <t xml:space="preserve"> P        0.4129    0.9462    0.4041    0.9261   0.1179  0.9832   0.004200  2.455868  </t>
  </si>
  <si>
    <t xml:space="preserve"> Mg       2.68      4.44      2.62      4.34     0.974   1.0165   0.02633   0.85520  </t>
  </si>
  <si>
    <t xml:space="preserve"> Ca       7.29     10.20      7.14      9.99     1.609   1.0004   0.07291   1.08972  </t>
  </si>
  <si>
    <t xml:space="preserve"> Ti       2.26      3.78      2.22      3.70     0.418   0.9999   0.02264   0.92615  </t>
  </si>
  <si>
    <t xml:space="preserve"> O       43.42       -       42.50       -      24.000      -         -        </t>
  </si>
  <si>
    <t>Total:  102.17    102.17    100.00    100.00    16.118</t>
  </si>
  <si>
    <t xml:space="preserve">Unknown Specimen No. 33 </t>
  </si>
  <si>
    <t xml:space="preserve"> UNK No.      :   33            Comment : UnknA-C21_7                              </t>
  </si>
  <si>
    <t xml:space="preserve"> Stage        :    X=   10.3415  Y=   66.1445  Z=   11.5015 </t>
  </si>
  <si>
    <t xml:space="preserve"> Dated on Dec 20 18:09 2016 </t>
  </si>
  <si>
    <t xml:space="preserve"> 1 Na   129.476    410.4    0.0   21.3    1.60      175 </t>
  </si>
  <si>
    <t xml:space="preserve"> 2 S    171.948      6.7    6.4    5.5   11.65      118 </t>
  </si>
  <si>
    <t xml:space="preserve"> 3 Fe   134.739    175.3    2.4    2.8    1.72      374 </t>
  </si>
  <si>
    <t xml:space="preserve"> 4 Si    77.822   3075.6   30.3   21.5    0.41      228 </t>
  </si>
  <si>
    <t xml:space="preserve"> 5 Cl   151.478     20.7    9.6    7.3    5.40       46 </t>
  </si>
  <si>
    <t xml:space="preserve"> 6 F    199.140      2.6    3.3    3.1   20.99      362 </t>
  </si>
  <si>
    <t xml:space="preserve"> 7 K    119.485    497.2   37.5   23.7    0.87       65 </t>
  </si>
  <si>
    <t xml:space="preserve"> 8 Mn   146.243      2.8    2.1    1.9   16.81      289 </t>
  </si>
  <si>
    <t xml:space="preserve"> 9 Al    90.995   1069.1   14.9    9.1    0.69      157 </t>
  </si>
  <si>
    <t xml:space="preserve">10 P    197.118     34.6    3.6    4.2    4.23      178 </t>
  </si>
  <si>
    <t xml:space="preserve">11 Mg   107.534    508.4   34.8    0.0    1.03      162 </t>
  </si>
  <si>
    <t xml:space="preserve">12 Ca   107.121   2165.5   35.9   39.6    0.49       93 </t>
  </si>
  <si>
    <t xml:space="preserve">13 Ti    88.305    638.8    0.0   52.0    0.92      134 </t>
  </si>
  <si>
    <t xml:space="preserve"> Na      0.4013    0.0038    0.4789    0.9926     0.9874     2.1223     0.9916</t>
  </si>
  <si>
    <t xml:space="preserve"> S       0.7699    0.0038    0.8220    0.9619     1.0243     1.2302     0.9878</t>
  </si>
  <si>
    <t xml:space="preserve"> Fe      0.9809    0.0000    0.9969    0.8102     1.0559     1.1726     0.9985</t>
  </si>
  <si>
    <t xml:space="preserve"> Si      0.7013    0.0014    0.7696    0.9870     1.0098     1.3019     1.0143</t>
  </si>
  <si>
    <t xml:space="preserve"> Cl      0.8321    0.0070    0.8817    0.9128     1.0308     1.1972     0.9839</t>
  </si>
  <si>
    <t xml:space="preserve"> F       0.1904    0.0014    0.2500    1.0182     0.9750     4.0231     1.0138</t>
  </si>
  <si>
    <t xml:space="preserve"> K       0.9099    0.0168    0.9488    0.9036     1.0417     1.1011     0.9952</t>
  </si>
  <si>
    <t xml:space="preserve"> Mn      0.9753    0.0000    0.9939    0.7985     1.0563     1.1928     1.0403</t>
  </si>
  <si>
    <t xml:space="preserve"> Al      0.6467    0.0094    0.7254    0.9683     1.0022     1.4075     1.0058</t>
  </si>
  <si>
    <t xml:space="preserve"> P       0.6878    0.0021    0.7452    0.9459     1.0172     1.3917     0.9873</t>
  </si>
  <si>
    <t xml:space="preserve"> Mg      0.5329    0.0069    0.6109    1.0075     0.9946     1.6224     1.0129</t>
  </si>
  <si>
    <t xml:space="preserve"> Ca      0.9288    0.0067    0.9621    0.9180     1.0461     1.0753     1.0003</t>
  </si>
  <si>
    <t xml:space="preserve"> Ti      0.9490    0.0106    0.9764    0.8280     1.0526     1.1629     1.0011</t>
  </si>
  <si>
    <t xml:space="preserve"> Na       3.63      4.90      3.65      4.93     1.444   0.9916   0.03665   1.84929  </t>
  </si>
  <si>
    <t xml:space="preserve"> S        0.0514    0.1283    0.0517    0.1290   0.0146  0.9878   0.000520  0.096696  </t>
  </si>
  <si>
    <t xml:space="preserve"> Fe       9.90     12.74      9.96     12.81     1.620   0.9985   0.09918   0.95338  </t>
  </si>
  <si>
    <t xml:space="preserve"> Si      20.52     43.89     20.62     44.12     6.673   1.0143   0.20221   0.84410  </t>
  </si>
  <si>
    <t xml:space="preserve"> Cl       0.1269    0.1269    0.1275    0.1275   0.0327  0.9839   0.001289  0.088856  </t>
  </si>
  <si>
    <t xml:space="preserve"> F        0.2127    0.2127    0.2138    0.2138   0.1023  1.0138   0.002098  0.440785  </t>
  </si>
  <si>
    <t xml:space="preserve"> K        1.84      2.22      1.85      2.23     0.431   0.9952   0.01852   2.70744  </t>
  </si>
  <si>
    <t xml:space="preserve"> Mn       0.1813    0.2341    0.1823    0.2354   0.0302  1.0403   0.001743  0.005175  </t>
  </si>
  <si>
    <t xml:space="preserve"> Al       8.13     15.36      8.17     15.44     2.752   1.0058   0.08080   1.21491  </t>
  </si>
  <si>
    <t xml:space="preserve"> P        0.4233    0.9700    0.4255    0.9751   0.1249  0.9873   0.004287  2.507260  </t>
  </si>
  <si>
    <t xml:space="preserve"> Mg       2.71      4.50      2.73      4.52     1.019   1.0129   0.02676   0.86922  </t>
  </si>
  <si>
    <t xml:space="preserve"> Ca       7.44     10.41      7.48     10.46     1.695   1.0003   0.07434   1.11106  </t>
  </si>
  <si>
    <t xml:space="preserve"> Ti       2.27      3.79      2.29      3.81     0.434   1.0011   0.02272   0.92941  </t>
  </si>
  <si>
    <t xml:space="preserve"> O       42.03       -       42.25       -      24.000      -         -        </t>
  </si>
  <si>
    <t>Total:   99.48     99.48    100.00    100.00    16.373</t>
  </si>
  <si>
    <t xml:space="preserve">Unknown Specimen No. 34 </t>
  </si>
  <si>
    <t xml:space="preserve"> UNK No.      :   34            Comment : UnknA-C21_8                              </t>
  </si>
  <si>
    <t xml:space="preserve"> Stage        :    X=   10.3230  Y=   66.8225  Z=   11.5015 </t>
  </si>
  <si>
    <t xml:space="preserve"> Dated on Dec 20 18:12 2016 </t>
  </si>
  <si>
    <t xml:space="preserve"> 1 Na   129.476    411.0    0.0   18.2    1.59      161 </t>
  </si>
  <si>
    <t xml:space="preserve"> 2 S    171.948      6.7    5.3    4.5   11.10      108 </t>
  </si>
  <si>
    <t xml:space="preserve"> 3 Fe   134.739    176.5    3.2    3.3    1.72      413 </t>
  </si>
  <si>
    <t xml:space="preserve"> 4 Si    77.822   3153.3   33.0   19.2    0.40      230 </t>
  </si>
  <si>
    <t xml:space="preserve"> 5 Cl   151.478     23.1    8.3    8.1    4.97       45 </t>
  </si>
  <si>
    <t xml:space="preserve"> 6 F    199.140      1.7    4.3    2.8   33.23      389 </t>
  </si>
  <si>
    <t xml:space="preserve"> 7 K    119.485    496.1   35.8   23.4    0.87       63 </t>
  </si>
  <si>
    <t xml:space="preserve"> 8 Mn   146.243      3.0    1.8    1.8   15.67      274 </t>
  </si>
  <si>
    <t xml:space="preserve"> 9 Al    90.995   1075.9   15.4   10.3    0.69      162 </t>
  </si>
  <si>
    <t xml:space="preserve">10 P    197.118     34.9    4.2    2.5    4.11      158 </t>
  </si>
  <si>
    <t xml:space="preserve">11 Mg   107.534    503.2   37.5    0.0    1.03      168 </t>
  </si>
  <si>
    <t xml:space="preserve">12 Ca   107.121   2177.4   33.3   37.4    0.49       90 </t>
  </si>
  <si>
    <t xml:space="preserve">13 Ti    88.305    635.6    0.0   54.5    0.92      138 </t>
  </si>
  <si>
    <t xml:space="preserve"> Na      0.4017    0.0038    0.4795    0.9923     0.9875     2.1202     0.9906</t>
  </si>
  <si>
    <t xml:space="preserve"> S       0.7695    0.0037    0.8216    0.9616     1.0243     1.2310     0.9885</t>
  </si>
  <si>
    <t xml:space="preserve"> Fe      0.9810    0.0000    0.9970    0.8100     1.0559     1.1728     0.9986</t>
  </si>
  <si>
    <t xml:space="preserve"> Si      0.7023    0.0014    0.7707    0.9867     1.0099     1.3004     1.0131</t>
  </si>
  <si>
    <t xml:space="preserve"> Cl      0.8318    0.0069    0.8814    0.9125     1.0308     1.1979     0.9845</t>
  </si>
  <si>
    <t xml:space="preserve"> F       0.1902    0.0014    0.2498    1.0179     0.9751     4.0280     1.0151</t>
  </si>
  <si>
    <t xml:space="preserve"> K       0.9097    0.0167    0.9486    0.9034     1.0418     1.1017     0.9957</t>
  </si>
  <si>
    <t xml:space="preserve"> Mn      0.9753    0.0000    0.9940    0.7983     1.0564     1.1930     1.0405</t>
  </si>
  <si>
    <t xml:space="preserve"> Al      0.6477    0.0095    0.7264    0.9680     1.0023     1.4055     1.0044</t>
  </si>
  <si>
    <t xml:space="preserve"> P       0.6874    0.0021    0.7448    0.9457     1.0173     1.3929     0.9881</t>
  </si>
  <si>
    <t xml:space="preserve"> Mg      0.5336    0.0070    0.6117    1.0072     0.9947     1.6206     1.0117</t>
  </si>
  <si>
    <t xml:space="preserve"> Ca      0.9287    0.0066    0.9620    0.9177     1.0461     1.0756     1.0007</t>
  </si>
  <si>
    <t xml:space="preserve"> Ti      0.9490    0.0105    0.9764    0.8278     1.0526     1.1631     1.0013</t>
  </si>
  <si>
    <t xml:space="preserve"> Na       3.63      4.90      3.61      4.87     1.425   0.9906   0.03667   1.85014  </t>
  </si>
  <si>
    <t xml:space="preserve"> S        0.0507    0.1267    0.0505    0.1260   0.0143  0.9885   0.000513  0.095397  </t>
  </si>
  <si>
    <t xml:space="preserve"> Fe       9.96     12.82      9.91     12.75     1.608   0.9986   0.09976   0.95897  </t>
  </si>
  <si>
    <t xml:space="preserve"> Si      20.98     44.87     20.87     44.64     6.734   1.0131   0.20712   0.86459  </t>
  </si>
  <si>
    <t xml:space="preserve"> Cl       0.1415    0.1415    0.1408    0.1408   0.0360  0.9845   0.001438  0.099078  </t>
  </si>
  <si>
    <t xml:space="preserve"> F        0.1362    0.1362    0.1355    0.1355   0.0647  1.0151   0.001342  0.281965  </t>
  </si>
  <si>
    <t xml:space="preserve"> K        1.84      2.21      1.83      2.20     0.424   0.9957   0.01846   2.69890  </t>
  </si>
  <si>
    <t xml:space="preserve"> Mn       0.1912    0.2469    0.1903    0.2457   0.0314  1.0405   0.001838  0.005457  </t>
  </si>
  <si>
    <t xml:space="preserve"> Al       8.16     15.42      8.12     15.34     2.727   1.0044   0.08124   1.22154  </t>
  </si>
  <si>
    <t xml:space="preserve"> P        0.4261    0.9765    0.4240    0.9716   0.1241  0.9881   0.004313  2.521946  </t>
  </si>
  <si>
    <t xml:space="preserve"> Mg       2.68      4.44      2.66      4.42     0.993   1.0117   0.02647   0.85955  </t>
  </si>
  <si>
    <t xml:space="preserve"> Ca       7.47     10.46      7.43     10.40     1.681   1.0007   0.07468   1.11607  </t>
  </si>
  <si>
    <t xml:space="preserve"> Ti       2.26      3.77      2.25      3.75     0.426   1.0013   0.02259   0.92384  </t>
  </si>
  <si>
    <t xml:space="preserve"> O       42.59       -       42.37       -      24.000      -         -        </t>
  </si>
  <si>
    <t>Total:  100.51    100.51    100.00    100.00    16.288</t>
  </si>
  <si>
    <t xml:space="preserve">Unknown Specimen No. 35 </t>
  </si>
  <si>
    <t xml:space="preserve"> UNK No.      :   35            Comment : UnknA-C21_9                              </t>
  </si>
  <si>
    <t xml:space="preserve"> Stage        :    X=    9.8800  Y=   67.1415  Z=   11.5015 </t>
  </si>
  <si>
    <t xml:space="preserve"> Dated on Dec 20 18:16 2016 </t>
  </si>
  <si>
    <t xml:space="preserve"> 1 Na   129.476    406.9    0.0   19.9    1.61      169 </t>
  </si>
  <si>
    <t xml:space="preserve"> 2 S    171.948      7.0    5.1    5.4   10.93      112 </t>
  </si>
  <si>
    <t xml:space="preserve"> 3 Fe   134.739    164.6    3.6    2.8    1.78      400 </t>
  </si>
  <si>
    <t xml:space="preserve"> 4 Si    77.822   3184.4   30.0   22.0    0.40      228 </t>
  </si>
  <si>
    <t xml:space="preserve"> 5 Cl   151.478     21.6    8.7    8.2    5.24       46 </t>
  </si>
  <si>
    <t xml:space="preserve"> 6 F    199.140      3.5    3.5    2.1   16.48      350 </t>
  </si>
  <si>
    <t xml:space="preserve"> 7 K    119.485    485.0   37.3   23.3    0.88       64 </t>
  </si>
  <si>
    <t xml:space="preserve"> 8 Mn   146.243      2.6    1.7    1.8   17.30      272 </t>
  </si>
  <si>
    <t xml:space="preserve"> 9 Al    90.995   1089.7   14.2    8.3    0.68      152 </t>
  </si>
  <si>
    <t xml:space="preserve">10 P    197.118     34.5    4.2    2.7    4.15      161 </t>
  </si>
  <si>
    <t xml:space="preserve">11 Mg   107.534    489.2   37.4    0.0    1.05      168 </t>
  </si>
  <si>
    <t xml:space="preserve">12 Ca   107.121   2180.6   33.3   39.0    0.49       91 </t>
  </si>
  <si>
    <t xml:space="preserve">13 Ti    88.305    632.9    0.0   45.1    0.92      125 </t>
  </si>
  <si>
    <t xml:space="preserve"> Na      0.4052    0.0038    0.4836    0.9909     0.9881     2.1039     0.9830</t>
  </si>
  <si>
    <t xml:space="preserve"> S       0.7695    0.0037    0.8216    0.9603     1.0249     1.2321     0.9893</t>
  </si>
  <si>
    <t xml:space="preserve"> Fe      0.9810    0.0000    0.9969    0.8089     1.0562     1.1740     0.9997</t>
  </si>
  <si>
    <t xml:space="preserve"> Si      0.7041    0.0014    0.7726    0.9854     1.0105     1.2981     1.0113</t>
  </si>
  <si>
    <t xml:space="preserve"> Cl      0.8318    0.0069    0.8813    0.9113     1.0314     1.1990     0.9854</t>
  </si>
  <si>
    <t xml:space="preserve"> F       0.1897    0.0014    0.2490    1.0164     0.9756     4.0436     1.0190</t>
  </si>
  <si>
    <t xml:space="preserve"> K       0.9097    0.0167    0.9486    0.9022     1.0423     1.1027     0.9966</t>
  </si>
  <si>
    <t xml:space="preserve"> Mn      0.9753    0.0000    0.9940    0.7972     1.0567     1.1942     1.0415</t>
  </si>
  <si>
    <t xml:space="preserve"> Al      0.6510    0.0097    0.7302    0.9667     1.0029     1.3992     0.9999</t>
  </si>
  <si>
    <t xml:space="preserve"> P       0.6873    0.0021    0.7447    0.9443     1.0179     1.3942     0.9891</t>
  </si>
  <si>
    <t xml:space="preserve"> Mg      0.5370    0.0071    0.6156    1.0058     0.9953     1.6113     1.0059</t>
  </si>
  <si>
    <t xml:space="preserve"> Ca      0.9288    0.0064    0.9621    0.9165     1.0466     1.0767     1.0017</t>
  </si>
  <si>
    <t xml:space="preserve"> Ti      0.9490    0.0099    0.9764    0.8267     1.0531     1.1650     1.0029</t>
  </si>
  <si>
    <t xml:space="preserve"> Na       3.57      4.81      3.57      4.81     1.400   0.9830   0.03630   1.83167  </t>
  </si>
  <si>
    <t xml:space="preserve"> S        0.0536    0.1339    0.0536    0.1339   0.0151  0.9893   0.000542  0.100732  </t>
  </si>
  <si>
    <t xml:space="preserve"> Fe       9.30     11.97      9.30     11.97     1.503   0.9997   0.09306   0.89458  </t>
  </si>
  <si>
    <t xml:space="preserve"> Si      21.15     45.25     21.15     45.25     6.793   1.0113   0.20916   0.87311  </t>
  </si>
  <si>
    <t xml:space="preserve"> Cl       0.1325    0.1325    0.1325    0.1325   0.0337  0.9854   0.001345  0.092675  </t>
  </si>
  <si>
    <t xml:space="preserve"> F        0.2803    0.2803    0.2803    0.2803   0.1331  1.0190   0.002751  0.577865  </t>
  </si>
  <si>
    <t xml:space="preserve"> K        1.80      2.17      1.80      2.17     0.415   0.9966   0.01805   2.63857  </t>
  </si>
  <si>
    <t xml:space="preserve"> Mn       0.1678    0.2166    0.1678    0.2166   0.0275  1.0415   0.001611  0.004783  </t>
  </si>
  <si>
    <t xml:space="preserve"> Al       8.23     15.55      8.23     15.55     2.751   0.9999   0.08229   1.23720  </t>
  </si>
  <si>
    <t xml:space="preserve"> P        0.4226    0.9683    0.4225    0.9682   0.1231  0.9891   0.004272  2.498437  </t>
  </si>
  <si>
    <t xml:space="preserve"> Mg       2.59      4.29      2.59      4.29     0.960   1.0059   0.02573   0.83561  </t>
  </si>
  <si>
    <t xml:space="preserve"> Ca       7.49     10.48      7.49     10.48     1.686   1.0017   0.07479   1.11770  </t>
  </si>
  <si>
    <t xml:space="preserve"> Ti       2.26      3.76      2.26      3.76     0.425   1.0029   0.02249   0.91989  </t>
  </si>
  <si>
    <t xml:space="preserve"> O       42.57       -       42.56       -      24.000      -         -        </t>
  </si>
  <si>
    <t>Total:  100.01    100.01    100.00    100.00    16.266</t>
  </si>
  <si>
    <t xml:space="preserve">Unknown Specimen No. 36 </t>
  </si>
  <si>
    <t xml:space="preserve"> UNK No.      :   36            Comment : UnknA-C22-PS1-L2_1                       </t>
  </si>
  <si>
    <t xml:space="preserve"> Stage        :    X=   15.5515  Y=   64.6030  Z=   11.4755 </t>
  </si>
  <si>
    <t xml:space="preserve"> Dated on Dec 20 18:19 2016 </t>
  </si>
  <si>
    <t xml:space="preserve"> 1 Na   129.476    337.7    0.0   20.6    1.77      172 </t>
  </si>
  <si>
    <t xml:space="preserve"> 2 S    171.948      1.5    6.1    5.3   42.77 ?    116 </t>
  </si>
  <si>
    <t xml:space="preserve"> 3 Fe   134.739    166.1    2.8    3.5    1.77      413 </t>
  </si>
  <si>
    <t xml:space="preserve"> 4 Si    77.822   3217.3   32.6   17.7    0.40      227 </t>
  </si>
  <si>
    <t xml:space="preserve"> 5 Cl   151.478     13.2    9.4    7.8    7.63       46 </t>
  </si>
  <si>
    <t xml:space="preserve"> 6 F    199.140      1.9    3.7    3.4   29.22      382 </t>
  </si>
  <si>
    <t xml:space="preserve"> 7 K    119.485    286.2   28.5   22.5    1.17       59 </t>
  </si>
  <si>
    <t xml:space="preserve"> 8 Mn   146.243      2.3    2.5    2.0   20.59      303 </t>
  </si>
  <si>
    <t xml:space="preserve"> 9 Al    90.995   1027.1   14.7   10.8    0.71      161 </t>
  </si>
  <si>
    <t xml:space="preserve">10 P    197.118     19.4    4.5    2.9    5.94      167 </t>
  </si>
  <si>
    <t xml:space="preserve">11 Mg   107.534    645.8   43.0    0.0    0.91      180 </t>
  </si>
  <si>
    <t xml:space="preserve">12 Ca   107.121   2471.5   32.7   39.8    0.46       92 </t>
  </si>
  <si>
    <t xml:space="preserve">13 Ti    88.305    604.7    0.0   45.5    0.94      126 </t>
  </si>
  <si>
    <t xml:space="preserve"> Na      0.4043    0.0040    0.4825    0.9906     0.9879     2.1095     0.9856</t>
  </si>
  <si>
    <t xml:space="preserve"> S       0.7697    0.0037    0.8218    0.9600     1.0247     1.2324     0.9896</t>
  </si>
  <si>
    <t xml:space="preserve"> Fe      0.9809    0.0000    0.9969    0.8086     1.0561     1.1747     1.0002</t>
  </si>
  <si>
    <t xml:space="preserve"> Si      0.7044    0.0013    0.7730    0.9850     1.0103     1.2983     1.0114</t>
  </si>
  <si>
    <t xml:space="preserve"> Cl      0.8321    0.0069    0.8816    0.9109     1.0312     1.1991     0.9855</t>
  </si>
  <si>
    <t xml:space="preserve"> F       0.1890    0.0014    0.2482    1.0161     0.9754     4.0597     1.0231</t>
  </si>
  <si>
    <t xml:space="preserve"> K       0.9100    0.0186    0.9489    0.9018     1.0421     1.1009     0.9949</t>
  </si>
  <si>
    <t xml:space="preserve"> Mn      0.9752    0.0000    0.9939    0.7969     1.0566     1.1949     1.0421</t>
  </si>
  <si>
    <t xml:space="preserve"> Al      0.6481    0.0097    0.7269    0.9663     1.0027     1.4062     1.0049</t>
  </si>
  <si>
    <t xml:space="preserve"> P       0.6865    0.0020    0.7438    0.9440     1.0177     1.3965     0.9907</t>
  </si>
  <si>
    <t xml:space="preserve"> Mg      0.5399    0.0070    0.6189    1.0054     0.9951     1.6038     1.0013</t>
  </si>
  <si>
    <t xml:space="preserve"> Ca      0.9309    0.0063    0.9642    0.9161     1.0465     1.0749     1.0000</t>
  </si>
  <si>
    <t xml:space="preserve"> Ti      0.9485    0.0099    0.9759    0.8264     1.0529     1.1661     1.0038</t>
  </si>
  <si>
    <t xml:space="preserve"> Na       2.97      4.00      2.97      4.01     1.163   0.9856   0.03013   1.52035  </t>
  </si>
  <si>
    <t xml:space="preserve"> S        0.0117    0.0293    0.0117    0.0293   0.0033  0.9896   0.000118  0.022006  </t>
  </si>
  <si>
    <t xml:space="preserve"> Fe       9.39     12.08      9.40     12.09     1.514   1.0002   0.09391   0.90268  </t>
  </si>
  <si>
    <t xml:space="preserve"> Si      21.38     45.73     21.39     45.77     6.850   1.0114   0.21132   0.88212  </t>
  </si>
  <si>
    <t xml:space="preserve"> Cl       0.0808    0.0808    0.0808    0.0808   0.0205  0.9855   0.000819  0.056471  </t>
  </si>
  <si>
    <t xml:space="preserve"> F        0.1543    0.1543    0.1545    0.1545   0.0731  1.0231   0.001509  0.316939  </t>
  </si>
  <si>
    <t xml:space="preserve"> K        1.06      1.28      1.06      1.28     0.244   0.9949   0.01065   1.55688  </t>
  </si>
  <si>
    <t xml:space="preserve"> Mn       0.1466    0.1893    0.1468    0.1895   0.0240  1.0421   0.001407  0.004178  </t>
  </si>
  <si>
    <t xml:space="preserve"> Al       7.79     14.73      7.80     14.74     2.601   1.0049   0.07756   1.16612  </t>
  </si>
  <si>
    <t xml:space="preserve"> P        0.2371    0.5434    0.2373    0.5439   0.0689  0.9907   0.002394  1.399767  </t>
  </si>
  <si>
    <t xml:space="preserve"> Mg       3.40      5.64      3.40      5.64     1.259   1.0013   0.03396   1.10305  </t>
  </si>
  <si>
    <t xml:space="preserve"> Ca       8.48     11.86      8.48     11.87     1.904   1.0000   0.08476   1.26683  </t>
  </si>
  <si>
    <t xml:space="preserve"> Ti       2.16      3.60      2.16      3.60     0.405   1.0038   0.02149   0.87899  </t>
  </si>
  <si>
    <t xml:space="preserve"> O       42.65       -       42.69       -      24.000      -         -        </t>
  </si>
  <si>
    <t>Total:   99.91     99.91    100.00    100.00    16.131</t>
  </si>
  <si>
    <t xml:space="preserve">Unknown Specimen No. 37 </t>
  </si>
  <si>
    <t xml:space="preserve"> UNK No.      :   37            Comment : UnknA-C22-PS1-L2_2                       </t>
  </si>
  <si>
    <t xml:space="preserve"> Stage        :    X=   15.9360  Y=   64.9965  Z=   11.4745 </t>
  </si>
  <si>
    <t xml:space="preserve"> Dated on Dec 20 18:23 2016 </t>
  </si>
  <si>
    <t xml:space="preserve"> 1 Na   129.476    340.0    0.0   20.8    1.77      172 </t>
  </si>
  <si>
    <t xml:space="preserve"> 2 S    171.948      2.5    6.8    4.5   26.29      114 </t>
  </si>
  <si>
    <t xml:space="preserve"> 3 Fe   134.739    167.2    2.3    1.4    1.75      297 </t>
  </si>
  <si>
    <t xml:space="preserve"> 4 Si    77.822   3246.4   31.1   17.6    0.40      223 </t>
  </si>
  <si>
    <t xml:space="preserve"> 5 Cl   151.478     12.5    8.6    8.7    7.99       47 </t>
  </si>
  <si>
    <t xml:space="preserve"> 6 F    199.140      1.9    3.7    1.9   27.16      352 </t>
  </si>
  <si>
    <t xml:space="preserve"> 7 K    119.485    288.8   31.2   20.8    1.17       59 </t>
  </si>
  <si>
    <t xml:space="preserve"> 8 Mn   146.243      2.3    1.6    1.9   18.87      270 </t>
  </si>
  <si>
    <t xml:space="preserve"> 9 Al    90.995   1019.9   14.2   10.1    0.71      157 </t>
  </si>
  <si>
    <t xml:space="preserve">10 P    197.118     20.6    4.3    2.8    5.67      163 </t>
  </si>
  <si>
    <t xml:space="preserve">11 Mg   107.534    632.1   41.4    0.0    0.92      176 </t>
  </si>
  <si>
    <t xml:space="preserve">12 Ca   107.121   2428.6   33.3   38.8    0.46       91 </t>
  </si>
  <si>
    <t xml:space="preserve">13 Ti    88.305    609.4    0.0   44.2    0.94      124 </t>
  </si>
  <si>
    <t xml:space="preserve"> Na      0.4041    0.0039    0.4823    0.9906     0.9879     2.1105     0.9861</t>
  </si>
  <si>
    <t xml:space="preserve"> S       0.7694    0.0036    0.8215    0.9599     1.0248     1.2329     0.9900</t>
  </si>
  <si>
    <t xml:space="preserve"> Fe      0.9809    0.0000    0.9969    0.8086     1.0562     1.1746     1.0002</t>
  </si>
  <si>
    <t xml:space="preserve"> Si      0.7050    0.0013    0.7737    0.9850     1.0103     1.2972     1.0106</t>
  </si>
  <si>
    <t xml:space="preserve"> Cl      0.8318    0.0069    0.8814    0.9109     1.0313     1.1996     0.9859</t>
  </si>
  <si>
    <t xml:space="preserve"> F       0.1891    0.0014    0.2483    1.0161     0.9755     4.0572     1.0224</t>
  </si>
  <si>
    <t xml:space="preserve"> K       0.9099    0.0183    0.9488    0.9018     1.0422     1.1013     0.9954</t>
  </si>
  <si>
    <t xml:space="preserve"> Mn      0.9753    0.0000    0.9939    0.7969     1.0566     1.1949     1.0421</t>
  </si>
  <si>
    <t xml:space="preserve"> Al      0.6483    0.0098    0.7272    0.9663     1.0027     1.4056     1.0045</t>
  </si>
  <si>
    <t xml:space="preserve"> P       0.6862    0.0020    0.7436    0.9440     1.0177     1.3971     0.9911</t>
  </si>
  <si>
    <t xml:space="preserve"> Mg      0.5396    0.0070    0.6185    1.0054     0.9952     1.6047     1.0018</t>
  </si>
  <si>
    <t xml:space="preserve"> Ca      0.9308    0.0064    0.9641    0.9161     1.0465     1.0750     1.0001</t>
  </si>
  <si>
    <t xml:space="preserve"> Ti      0.9487    0.0100    0.9761    0.8264     1.0530     1.1657     1.0035</t>
  </si>
  <si>
    <t xml:space="preserve"> Na       2.99      4.03      2.99      4.03     1.168   0.9861   0.03034   1.53072  </t>
  </si>
  <si>
    <t xml:space="preserve"> S        0.0194    0.0483    0.0193    0.0483   0.0054  0.9900   0.000195  0.036338  </t>
  </si>
  <si>
    <t xml:space="preserve"> Fe       9.45     12.16      9.45     12.15     1.520   1.0002   0.09452   0.90854  </t>
  </si>
  <si>
    <t xml:space="preserve"> Si      21.55     46.10     21.54     46.07     6.888   1.0106   0.21323   0.89010  </t>
  </si>
  <si>
    <t xml:space="preserve"> Cl       0.0768    0.0768    0.0767    0.0767   0.0194  0.9859   0.000779  0.053660  </t>
  </si>
  <si>
    <t xml:space="preserve"> F        0.1577    0.1577    0.1577    0.1577   0.0745  1.0224   0.001543  0.324130  </t>
  </si>
  <si>
    <t xml:space="preserve"> K        1.07      1.29      1.07      1.29     0.246   0.9954   0.01075   1.57125  </t>
  </si>
  <si>
    <t xml:space="preserve"> Mn       0.1500    0.1937    0.1499    0.1936   0.0245  1.0421   0.001439  0.004274  </t>
  </si>
  <si>
    <t xml:space="preserve"> Al       7.74     14.62      7.73     14.61     2.574   1.0045   0.07701   1.15786  </t>
  </si>
  <si>
    <t xml:space="preserve"> P        0.2530    0.5798    0.2529    0.5795   0.0734  0.9911   0.002553  1.492900  </t>
  </si>
  <si>
    <t xml:space="preserve"> Mg       3.33      5.52      3.33      5.52     1.230   1.0018   0.03325   1.07978  </t>
  </si>
  <si>
    <t xml:space="preserve"> Ca       8.33     11.65      8.33     11.65     1.866   1.0001   0.08329   1.24481  </t>
  </si>
  <si>
    <t xml:space="preserve"> Ti       2.17      3.63      2.17      3.62     0.407   1.0035   0.02166   0.88575  </t>
  </si>
  <si>
    <t xml:space="preserve"> O       42.77       -       42.74       -      24.000      -         -        </t>
  </si>
  <si>
    <t>Total:  100.06    100.06    100.00    100.00    16.097</t>
  </si>
  <si>
    <t xml:space="preserve">Unknown Specimen No. 38 </t>
  </si>
  <si>
    <t xml:space="preserve"> UNK No.      :   38            Comment : UnknA-C22-PS1-L2_3                       </t>
  </si>
  <si>
    <t xml:space="preserve"> Stage        :    X=   15.2080  Y=   65.0475  Z=   11.4775 </t>
  </si>
  <si>
    <t xml:space="preserve"> Dated on Dec 20 18:26 2016 </t>
  </si>
  <si>
    <t xml:space="preserve"> 1 Na   129.476    361.1    0.0   20.9    1.71      173 </t>
  </si>
  <si>
    <t xml:space="preserve"> 2 S    171.948      1.7    6.9    5.8   41.43 ?    122 </t>
  </si>
  <si>
    <t xml:space="preserve"> 3 Fe   134.739    167.9    2.6    2.8    1.76      378 </t>
  </si>
  <si>
    <t xml:space="preserve"> 4 Si    77.822   3188.4   30.1   17.3    0.40      220 </t>
  </si>
  <si>
    <t xml:space="preserve"> 5 Cl   151.478     10.3    7.7    8.5    9.11       45 </t>
  </si>
  <si>
    <t xml:space="preserve"> 6 F    199.140      1.1    3.1    3.1   43.81 ?    356 </t>
  </si>
  <si>
    <t xml:space="preserve"> 7 K    119.485    296.2   30.7   21.5    1.15       59 </t>
  </si>
  <si>
    <t xml:space="preserve"> 8 Mn   146.243      2.5    2.1    1.5   17.65      271 </t>
  </si>
  <si>
    <t xml:space="preserve"> 9 Al    90.995   1012.3   14.7    8.5    0.71      154 </t>
  </si>
  <si>
    <t xml:space="preserve">10 P    197.118     18.7    2.5    2.2    5.79      136 </t>
  </si>
  <si>
    <t xml:space="preserve">11 Mg   107.534    633.3   35.7    0.0    0.91      164 </t>
  </si>
  <si>
    <t xml:space="preserve">12 Ca   107.121   2443.4   32.1   36.8    0.46       89 </t>
  </si>
  <si>
    <t xml:space="preserve">13 Ti    88.305    591.5    0.0   47.4    0.96      128 </t>
  </si>
  <si>
    <t xml:space="preserve"> Na      0.4038    0.0039    0.4819    0.9909     0.9878     2.1115     0.9866</t>
  </si>
  <si>
    <t xml:space="preserve"> S       0.7697    0.0037    0.8218    0.9603     1.0246     1.2322     0.9894</t>
  </si>
  <si>
    <t xml:space="preserve"> Fe      0.9809    0.0000    0.9969    0.8088     1.0561     1.1743     0.9999</t>
  </si>
  <si>
    <t xml:space="preserve"> Si      0.7039    0.0013    0.7724    0.9853     1.0102     1.2990     1.0120</t>
  </si>
  <si>
    <t xml:space="preserve"> Cl      0.8321    0.0069    0.8816    0.9112     1.0311     1.1989     0.9853</t>
  </si>
  <si>
    <t xml:space="preserve"> F       0.1894    0.0014    0.2487    1.0164     0.9753     4.0508     1.0208</t>
  </si>
  <si>
    <t xml:space="preserve"> K       0.9100    0.0185    0.9490    0.9021     1.0420     1.1007     0.9948</t>
  </si>
  <si>
    <t xml:space="preserve"> Mn      0.9752    0.0000    0.9939    0.7972     1.0566     1.1946     1.0418</t>
  </si>
  <si>
    <t xml:space="preserve"> Al      0.6469    0.0096    0.7255    0.9667     1.0026     1.4087     1.0067</t>
  </si>
  <si>
    <t xml:space="preserve"> P       0.6865    0.0020    0.7438    0.9443     1.0176     1.3963     0.9906</t>
  </si>
  <si>
    <t xml:space="preserve"> Mg      0.5381    0.0070    0.6168    1.0057     0.9950     1.6090     1.0045</t>
  </si>
  <si>
    <t xml:space="preserve"> Ca      0.9308    0.0064    0.9642    0.9164     1.0464     1.0747     0.9998</t>
  </si>
  <si>
    <t xml:space="preserve"> Ti      0.9486    0.0101    0.9760    0.8267     1.0529     1.1655     1.0033</t>
  </si>
  <si>
    <t xml:space="preserve"> Na       3.18      4.28      3.20      4.31     1.253   0.9866   0.03221   1.62532  </t>
  </si>
  <si>
    <t xml:space="preserve"> S        0.0127    0.0317    0.0128    0.0319   0.0036  0.9894   0.000128  0.023849  </t>
  </si>
  <si>
    <t xml:space="preserve"> Fe       9.49     12.21      9.55     12.29     1.541   0.9999   0.09494   0.91266  </t>
  </si>
  <si>
    <t xml:space="preserve"> Si      21.20     45.35     21.32     45.61     6.841   1.0120   0.20942   0.87418  </t>
  </si>
  <si>
    <t xml:space="preserve"> Cl       0.0635    0.0635    0.0639    0.0639   0.0162  0.9853   0.000645  0.044418  </t>
  </si>
  <si>
    <t xml:space="preserve"> F        0.0924    0.0924    0.0929    0.0929   0.0441  1.0208   0.000905  0.190135  </t>
  </si>
  <si>
    <t xml:space="preserve"> K        1.10      1.32      1.10      1.33     0.254   0.9948   0.01102   1.61141  </t>
  </si>
  <si>
    <t xml:space="preserve"> Mn       0.1623    0.2096    0.1633    0.2108   0.0268  1.0418   0.001558  0.004626  </t>
  </si>
  <si>
    <t xml:space="preserve"> Al       7.70     14.54      7.74     14.63     2.585   1.0067   0.07644   1.14928  </t>
  </si>
  <si>
    <t xml:space="preserve"> P        0.2290    0.5247    0.2303    0.5277   0.0670  0.9906   0.002312  1.351773  </t>
  </si>
  <si>
    <t xml:space="preserve"> Mg       3.35      5.55      3.37      5.58     1.247   1.0045   0.03331   1.08173  </t>
  </si>
  <si>
    <t xml:space="preserve"> Ca       8.38     11.72      8.43     11.79     1.895   0.9998   0.08380   1.25242  </t>
  </si>
  <si>
    <t xml:space="preserve"> Ti       2.11      3.52      2.12      3.54     0.399   1.0033   0.02102   0.85985  </t>
  </si>
  <si>
    <t xml:space="preserve"> O       42.37       -       42.61       -      24.000      -         -        </t>
  </si>
  <si>
    <t>Total:   99.43     99.43    100.00    100.00    16.173</t>
  </si>
  <si>
    <t xml:space="preserve">Unknown Specimen No. 39 </t>
  </si>
  <si>
    <t xml:space="preserve"> UNK No.      :   39            Comment : UnknA-C22-PS1-L2_4                       </t>
  </si>
  <si>
    <t xml:space="preserve"> Stage        :    X=   13.9905  Y=   65.5060  Z=   11.4850 </t>
  </si>
  <si>
    <t xml:space="preserve"> Dated on Dec 20 18:29 2016 </t>
  </si>
  <si>
    <t xml:space="preserve"> 1 Na   129.476    338.5    0.0   18.9    1.77      164 </t>
  </si>
  <si>
    <t xml:space="preserve"> 2 S    171.948      2.5    5.8    4.5   26.05      110 </t>
  </si>
  <si>
    <t xml:space="preserve"> 3 Fe   134.739    164.9    2.3    3.2    1.77      390 </t>
  </si>
  <si>
    <t xml:space="preserve"> 4 Si    77.822   3225.6   29.3   17.0    0.40      217 </t>
  </si>
  <si>
    <t xml:space="preserve"> 5 Cl   151.478     12.3    9.0    8.5    8.12       47 </t>
  </si>
  <si>
    <t xml:space="preserve"> 6 F    199.140      1.9    2.5    2.9   26.08      329 </t>
  </si>
  <si>
    <t xml:space="preserve"> 7 K    119.485    277.6   30.6   20.9    1.20       59 </t>
  </si>
  <si>
    <t xml:space="preserve"> 8 Mn   146.243      2.0    2.1    1.8   22.60      285 </t>
  </si>
  <si>
    <t xml:space="preserve"> 9 Al    90.995   1038.3   15.3   11.7    0.70      166 </t>
  </si>
  <si>
    <t xml:space="preserve">10 P    197.118     19.5    2.3    3.2    5.79      151 </t>
  </si>
  <si>
    <t xml:space="preserve">11 Mg   107.534    632.2   41.4    0.0    0.92      176 </t>
  </si>
  <si>
    <t xml:space="preserve">12 Ca   107.121   2437.1   36.1   36.5    0.46       91 </t>
  </si>
  <si>
    <t xml:space="preserve">13 Ti    88.305    600.9    0.0   47.5    0.95      128 </t>
  </si>
  <si>
    <t xml:space="preserve"> Na      0.4049    0.0040    0.4832    0.9903     0.9881     2.1066     0.9843</t>
  </si>
  <si>
    <t xml:space="preserve"> S       0.7694    0.0036    0.8215    0.9597     1.0249     1.2331     0.9902</t>
  </si>
  <si>
    <t xml:space="preserve"> Fe      0.9809    0.0000    0.9969    0.8084     1.0562     1.1749     1.0004</t>
  </si>
  <si>
    <t xml:space="preserve"> Si      0.7046    0.0013    0.7732    0.9847     1.0104     1.2983     1.0114</t>
  </si>
  <si>
    <t xml:space="preserve"> Cl      0.8318    0.0069    0.8814    0.9107     1.0314     1.1998     0.9860</t>
  </si>
  <si>
    <t xml:space="preserve"> F       0.1892    0.0014    0.2483    1.0158     0.9756     4.0578     1.0226</t>
  </si>
  <si>
    <t xml:space="preserve"> K       0.9099    0.0184    0.9488    0.9016     1.0423     1.1014     0.9955</t>
  </si>
  <si>
    <t xml:space="preserve"> Mn      0.9753    0.0000    0.9939    0.7967     1.0567     1.1951     1.0423</t>
  </si>
  <si>
    <t xml:space="preserve"> Al      0.6490    0.0097    0.7279    0.9660     1.0028     1.4045     1.0037</t>
  </si>
  <si>
    <t xml:space="preserve"> P       0.6862    0.0020    0.7435    0.9437     1.0179     1.3974     0.9914</t>
  </si>
  <si>
    <t xml:space="preserve"> Mg      0.5404    0.0071    0.6195    1.0051     0.9953     1.6024     1.0004</t>
  </si>
  <si>
    <t xml:space="preserve"> Ca      0.9309    0.0063    0.9642    0.9159     1.0466     1.0752     1.0002</t>
  </si>
  <si>
    <t xml:space="preserve"> Ti      0.9487    0.0098    0.9761    0.8262     1.0530     1.1662     1.0039</t>
  </si>
  <si>
    <t xml:space="preserve"> Na       2.97      4.01      2.98      4.02     1.164   0.9843   0.03020   1.52395  </t>
  </si>
  <si>
    <t xml:space="preserve"> S        0.0189    0.0473    0.0190    0.0474   0.0053  0.9902   0.000191  0.035552  </t>
  </si>
  <si>
    <t xml:space="preserve"> Fe       9.33     12.00      9.35     12.03     1.503   1.0004   0.09324   0.89624  </t>
  </si>
  <si>
    <t xml:space="preserve"> Si      21.43     45.85     21.49     45.97     6.867   1.0114   0.21187   0.88440  </t>
  </si>
  <si>
    <t xml:space="preserve"> Cl       0.0755    0.0755    0.0757    0.0757   0.0192  0.9860   0.000765  0.052740  </t>
  </si>
  <si>
    <t xml:space="preserve"> F        0.1532    0.1532    0.1536    0.1536   0.0726  1.0226   0.001498  0.314733  </t>
  </si>
  <si>
    <t xml:space="preserve"> K        1.03      1.24      1.03      1.24     0.237   0.9955   0.01033   1.51019  </t>
  </si>
  <si>
    <t xml:space="preserve"> Mn       0.1248    0.1612    0.1252    0.1616   0.0204  1.0423   0.001198  0.003556  </t>
  </si>
  <si>
    <t xml:space="preserve"> Al       7.87     14.87      7.89     14.91     2.625   1.0037   0.07840   1.17876  </t>
  </si>
  <si>
    <t xml:space="preserve"> P        0.2390    0.5477    0.2396    0.5491   0.0695  0.9914   0.002411  1.409714  </t>
  </si>
  <si>
    <t xml:space="preserve"> Mg       3.33      5.52      3.34      5.53     1.232   1.0004   0.03325   1.07986  </t>
  </si>
  <si>
    <t xml:space="preserve"> Ca       8.36     11.70      8.38     11.73     1.877   1.0002   0.08358   1.24920  </t>
  </si>
  <si>
    <t xml:space="preserve"> Ti       2.14      3.58      2.15      3.59     0.403   1.0039   0.02136   0.87346  </t>
  </si>
  <si>
    <t xml:space="preserve"> O       42.67       -       42.78       -      24.000      -         -        </t>
  </si>
  <si>
    <t>Total:   99.74     99.74    100.00    100.00    16.095</t>
  </si>
  <si>
    <t xml:space="preserve">Unknown Specimen No. 40 </t>
  </si>
  <si>
    <t xml:space="preserve"> UNK No.      :   40            Comment : UnknA-C22-PS1-L2_5                       </t>
  </si>
  <si>
    <t xml:space="preserve"> Stage        :    X=   13.5940  Y=   64.9440  Z=   11.4875 </t>
  </si>
  <si>
    <t xml:space="preserve"> Dated on Dec 20 18:33 2016 </t>
  </si>
  <si>
    <t xml:space="preserve"> 1 Na   129.476    345.4    0.0   19.2    1.75      166 </t>
  </si>
  <si>
    <t xml:space="preserve"> 2 S    171.948      3.3    5.9    4.7   20.43      111 </t>
  </si>
  <si>
    <t xml:space="preserve"> 3 Fe   134.739    162.2    3.2    3.6    1.80      426 </t>
  </si>
  <si>
    <t xml:space="preserve"> 4 Si    77.822   3292.1   31.9   18.8    0.39      227 </t>
  </si>
  <si>
    <t xml:space="preserve"> 5 Cl   151.478     11.9    9.6    8.7    8.41       48 </t>
  </si>
  <si>
    <t xml:space="preserve"> 6 F    199.140      1.0    3.7    2.8   50.74 ?    372 </t>
  </si>
  <si>
    <t xml:space="preserve"> 7 K    119.485    272.1   30.7   20.7    1.21       59 </t>
  </si>
  <si>
    <t xml:space="preserve"> 8 Mn   146.243      2.3    2.1    1.8   19.57      283 </t>
  </si>
  <si>
    <t xml:space="preserve"> 9 Al    90.995   1040.6   14.6   12.4    0.70      165 </t>
  </si>
  <si>
    <t xml:space="preserve">10 P    197.118     18.0    2.2    3.0    6.04      146 </t>
  </si>
  <si>
    <t xml:space="preserve">11 Mg   107.534    646.0   43.0    0.0    0.91      180 </t>
  </si>
  <si>
    <t xml:space="preserve">12 Ca   107.121   2454.2   31.2   37.8    0.46       89 </t>
  </si>
  <si>
    <t xml:space="preserve">13 Ti    88.305    589.9    0.0   44.1    0.95      124 </t>
  </si>
  <si>
    <t xml:space="preserve"> Na      0.4066    0.0040    0.4853    0.9896     0.9883     2.0987     0.9806</t>
  </si>
  <si>
    <t xml:space="preserve"> S       0.7692    0.0036    0.8213    0.9590     1.0251     1.2340     0.9909</t>
  </si>
  <si>
    <t xml:space="preserve"> Fe      0.9810    0.0000    0.9970    0.8079     1.0563     1.1754     1.0008</t>
  </si>
  <si>
    <t xml:space="preserve"> Si      0.7056    0.0012    0.7743    0.9841     1.0107     1.2970     1.0104</t>
  </si>
  <si>
    <t xml:space="preserve"> Cl      0.8317    0.0068    0.8812    0.9101     1.0316     1.2006     0.9867</t>
  </si>
  <si>
    <t xml:space="preserve"> F       0.1889    0.0014    0.2480    1.0151     0.9758     4.0654     1.0245</t>
  </si>
  <si>
    <t xml:space="preserve"> K       0.9098    0.0183    0.9487    0.9010     1.0425     1.1021     0.9961</t>
  </si>
  <si>
    <t xml:space="preserve"> Mn      0.9753    0.0000    0.9940    0.7962     1.0568     1.1956     1.0427</t>
  </si>
  <si>
    <t xml:space="preserve"> Al      0.6499    0.0099    0.7289    0.9654     1.0031     1.4029     1.0026</t>
  </si>
  <si>
    <t xml:space="preserve"> P       0.6858    0.0020    0.7431    0.9431     1.0181     1.3988     0.9924</t>
  </si>
  <si>
    <t xml:space="preserve"> Mg      0.5418    0.0071    0.6211    1.0044     0.9955     1.5988     0.9981</t>
  </si>
  <si>
    <t xml:space="preserve"> Ca      0.9309    0.0062    0.9642    0.9153     1.0468     1.0758     1.0008</t>
  </si>
  <si>
    <t xml:space="preserve"> Ti      0.9487    0.0096    0.9761    0.8256     1.0532     1.1669     1.0045</t>
  </si>
  <si>
    <t xml:space="preserve"> Na       3.02      4.07      3.01      4.05     1.170   0.9806   0.03082   1.55504  </t>
  </si>
  <si>
    <t xml:space="preserve"> S        0.0252    0.0630    0.0251    0.0627   0.0070  0.9909   0.000255  0.047316  </t>
  </si>
  <si>
    <t xml:space="preserve"> Fe       9.17     11.80      9.13     11.74     1.462   1.0008   0.09167   0.88122  </t>
  </si>
  <si>
    <t xml:space="preserve"> Si      21.84     46.72     21.73     46.47     6.921   1.0104   0.21624   0.90264  </t>
  </si>
  <si>
    <t xml:space="preserve"> Cl       0.0733    0.0733    0.0729    0.0729   0.0184  0.9867   0.000743  0.051218  </t>
  </si>
  <si>
    <t xml:space="preserve"> F        0.0831    0.0831    0.0827    0.0827   0.0389  1.0245   0.000811  0.170398  </t>
  </si>
  <si>
    <t xml:space="preserve"> K        1.01      1.21      1.00      1.21     0.230   0.9961   0.01012   1.48010  </t>
  </si>
  <si>
    <t xml:space="preserve"> Mn       0.1480    0.1911    0.1472    0.1901   0.0240  1.0427   0.001419  0.004214  </t>
  </si>
  <si>
    <t xml:space="preserve"> Al       7.88     14.88      7.83     14.80     2.598   1.0026   0.07857   1.18139  </t>
  </si>
  <si>
    <t xml:space="preserve"> P        0.2210    0.5063    0.2198    0.5036   0.0635  0.9924   0.002226  1.302042  </t>
  </si>
  <si>
    <t xml:space="preserve"> Mg       3.39      5.62      3.37      5.59     1.242   0.9981   0.03398   1.10347  </t>
  </si>
  <si>
    <t xml:space="preserve"> Ca       8.42     11.79      8.38     11.72     1.871   1.0008   0.08417   1.25796  </t>
  </si>
  <si>
    <t xml:space="preserve"> Ti       2.11      3.51      2.09      3.49     0.391   1.0045   0.02097   0.85751  </t>
  </si>
  <si>
    <t xml:space="preserve"> O       43.14       -       42.91       -      24.000      -         -        </t>
  </si>
  <si>
    <t>Total:  100.54    100.54    100.00    100.00    16.036</t>
  </si>
  <si>
    <t xml:space="preserve">Unknown Specimen No. 41 </t>
  </si>
  <si>
    <t xml:space="preserve"> UNK No.      :   41            Comment : UnknA-C22-PS1-L2_6                       </t>
  </si>
  <si>
    <t xml:space="preserve"> Stage        :    X=   13.0415  Y=   65.5825  Z=   11.4890 </t>
  </si>
  <si>
    <t xml:space="preserve"> Dated on Dec 20 18:36 2016 </t>
  </si>
  <si>
    <t xml:space="preserve"> 1 Na   129.476    347.1    0.0   18.4    1.74      162 </t>
  </si>
  <si>
    <t xml:space="preserve"> 2 S    171.948      2.9    6.0    5.1   23.60      114 </t>
  </si>
  <si>
    <t xml:space="preserve"> 3 Fe   134.739    168.2    3.3    2.9    1.76      398 </t>
  </si>
  <si>
    <t xml:space="preserve"> 4 Si    77.822   3274.8   29.4   20.3    0.39      223 </t>
  </si>
  <si>
    <t xml:space="preserve"> 5 Cl   151.478     11.7    7.8    8.0    8.21       45 </t>
  </si>
  <si>
    <t xml:space="preserve"> 6 F    199.140      1.4    3.1    3.3   37.58 ?    359 </t>
  </si>
  <si>
    <t xml:space="preserve"> 7 K    119.485    284.4   29.6   23.0    1.18       60 </t>
  </si>
  <si>
    <t xml:space="preserve"> 8 Mn   146.243      1.9    2.1    2.1   23.87      296 </t>
  </si>
  <si>
    <t xml:space="preserve"> 9 Al    90.995   1024.6   17.5   12.0    0.71      173 </t>
  </si>
  <si>
    <t xml:space="preserve">10 P    197.118     18.6    3.7    3.3    6.10      166 </t>
  </si>
  <si>
    <t xml:space="preserve">11 Mg   107.534    643.0   41.5    0.0    0.91      177 </t>
  </si>
  <si>
    <t xml:space="preserve">12 Ca   107.121   2475.8   31.2   38.0    0.46       89 </t>
  </si>
  <si>
    <t xml:space="preserve">13 Ti    88.305    611.8    0.0   46.9    0.94      128 </t>
  </si>
  <si>
    <t xml:space="preserve"> Na      0.4044    0.0040    0.4827    0.9905     0.9879     2.1090     0.9854</t>
  </si>
  <si>
    <t xml:space="preserve"> S       0.7695    0.0037    0.8216    0.9599     1.0248     1.2328     0.9899</t>
  </si>
  <si>
    <t xml:space="preserve"> Fe      0.9809    0.0000    0.9969    0.8085     1.0562     1.1747     1.0003</t>
  </si>
  <si>
    <t xml:space="preserve"> Si      0.7051    0.0013    0.7737    0.9849     1.0103     1.2972     1.0106</t>
  </si>
  <si>
    <t xml:space="preserve"> Cl      0.8319    0.0069    0.8815    0.9108     1.0313     1.1995     0.9858</t>
  </si>
  <si>
    <t xml:space="preserve"> F       0.1891    0.0014    0.2483    1.0160     0.9755     4.0584     1.0227</t>
  </si>
  <si>
    <t xml:space="preserve"> K       0.9099    0.0185    0.9488    0.9017     1.0422     1.1012     0.9952</t>
  </si>
  <si>
    <t xml:space="preserve"> Mn      0.9752    0.0000    0.9939    0.7968     1.0566     1.1950     1.0422</t>
  </si>
  <si>
    <t xml:space="preserve"> Al      0.6482    0.0098    0.7270    0.9662     1.0027     1.4060     1.0047</t>
  </si>
  <si>
    <t xml:space="preserve"> P       0.6862    0.0020    0.7435    0.9439     1.0177     1.3972     0.9912</t>
  </si>
  <si>
    <t xml:space="preserve"> Mg      0.5397    0.0070    0.6186    1.0053     0.9952     1.6046     1.0017</t>
  </si>
  <si>
    <t xml:space="preserve"> Ca      0.9309    0.0063    0.9642    0.9160     1.0465     1.0750     1.0001</t>
  </si>
  <si>
    <t xml:space="preserve"> Ti      0.9486    0.0099    0.9760    0.8263     1.0530     1.1660     1.0038</t>
  </si>
  <si>
    <t xml:space="preserve"> Na       3.05      4.11      3.03      4.08     1.182   0.9854   0.03097   1.56269  </t>
  </si>
  <si>
    <t xml:space="preserve"> S        0.0220    0.0549    0.0218    0.0544   0.0061  0.9899   0.000222  0.041247  </t>
  </si>
  <si>
    <t xml:space="preserve"> Fe       9.51     12.23      9.43     12.13     1.517   1.0003   0.09509   0.91405  </t>
  </si>
  <si>
    <t xml:space="preserve"> Si      21.73     46.48     21.55     46.10     6.890   1.0106   0.21510   0.89789  </t>
  </si>
  <si>
    <t xml:space="preserve"> Cl       0.0716    0.0716    0.0710    0.0710   0.0180  0.9858   0.000727  0.050072  </t>
  </si>
  <si>
    <t xml:space="preserve"> F        0.1101    0.1101    0.1092    0.1092   0.0516  1.0227   0.001076  0.226126  </t>
  </si>
  <si>
    <t xml:space="preserve"> K        1.05      1.27      1.04      1.26     0.240   0.9952   0.01058   1.54707  </t>
  </si>
  <si>
    <t xml:space="preserve"> Mn       0.1211    0.1563    0.1201    0.1550   0.0196  1.0422   0.001162  0.003449  </t>
  </si>
  <si>
    <t xml:space="preserve"> Al       7.77     14.69      7.71     14.56     2.566   1.0047   0.07737   1.16326  </t>
  </si>
  <si>
    <t xml:space="preserve"> P        0.2274    0.5212    0.2256    0.5169   0.0654  0.9912   0.002295  1.341899  </t>
  </si>
  <si>
    <t xml:space="preserve"> Mg       3.39      5.62      3.36      5.57     1.241   1.0017   0.03382   1.09825  </t>
  </si>
  <si>
    <t xml:space="preserve"> Ca       8.49     11.88      8.42     11.78     1.887   1.0001   0.08491   1.26900  </t>
  </si>
  <si>
    <t xml:space="preserve"> Ti       2.18      3.64      2.16      3.61     0.406   1.0038   0.02174   0.88932  </t>
  </si>
  <si>
    <t xml:space="preserve"> O       43.11       -       42.75       -      24.000      -         -        </t>
  </si>
  <si>
    <t>Total:  100.83    100.83    100.00    100.00    16.091</t>
  </si>
  <si>
    <t xml:space="preserve">Unknown Specimen No. 42 </t>
  </si>
  <si>
    <t xml:space="preserve"> UNK No.      :   42            Comment : UnknA-C22-PS1-L2_7                       </t>
  </si>
  <si>
    <t xml:space="preserve"> Stage        :    X=   14.1765  Y=   66.9295  Z=   11.4855 </t>
  </si>
  <si>
    <t xml:space="preserve"> Dated on Dec 20 18:40 2016 </t>
  </si>
  <si>
    <t xml:space="preserve"> 1 Na   129.476    335.3    0.0   19.0    1.78      165 </t>
  </si>
  <si>
    <t xml:space="preserve"> 2 S    171.948      2.4    5.6    4.5   27.20      109 </t>
  </si>
  <si>
    <t xml:space="preserve"> 3 Fe   134.739    168.7    3.2    2.7    1.75      387 </t>
  </si>
  <si>
    <t xml:space="preserve"> 4 Si    77.822   3269.9   28.0   19.2    0.39      218 </t>
  </si>
  <si>
    <t xml:space="preserve"> 5 Cl   151.478     15.5    7.9    8.1    6.63       45 </t>
  </si>
  <si>
    <t xml:space="preserve"> 6 F    199.140      1.6    3.3    2.9   32.90      361 </t>
  </si>
  <si>
    <t xml:space="preserve"> 7 K    119.485    275.8   30.8   24.9    1.21       61 </t>
  </si>
  <si>
    <t xml:space="preserve"> 8 Mn   146.243      2.9    1.7    1.5   15.57      260 </t>
  </si>
  <si>
    <t xml:space="preserve"> 9 Al    90.995   1038.6   15.2   11.5    0.70      165 </t>
  </si>
  <si>
    <t xml:space="preserve">10 P    197.118     18.9    3.0    2.3    5.81      143 </t>
  </si>
  <si>
    <t xml:space="preserve">11 Mg   107.534    635.1   39.1    0.0    0.91      171 </t>
  </si>
  <si>
    <t xml:space="preserve">12 Ca   107.121   2455.2   32.8   35.1    0.46       88 </t>
  </si>
  <si>
    <t xml:space="preserve">13 Ti    88.305    596.4    0.0   46.6    0.95      127 </t>
  </si>
  <si>
    <t xml:space="preserve"> Na      0.4040    0.0040    0.4822    0.9906     0.9879     2.1110     0.9863</t>
  </si>
  <si>
    <t xml:space="preserve"> S       0.7693    0.0036    0.8214    0.9599     1.0248     1.2331     0.9902</t>
  </si>
  <si>
    <t xml:space="preserve"> Fe      0.9810    0.0000    0.9970    0.8086     1.0561     1.1746     1.0002</t>
  </si>
  <si>
    <t xml:space="preserve"> Si      0.7047    0.0012    0.7733    0.9850     1.0103     1.2978     1.0111</t>
  </si>
  <si>
    <t xml:space="preserve"> Cl      0.8318    0.0068    0.8813    0.9109     1.0312     1.1998     0.9860</t>
  </si>
  <si>
    <t xml:space="preserve"> F       0.1891    0.0014    0.2483    1.0161     0.9754     4.0577     1.0226</t>
  </si>
  <si>
    <t xml:space="preserve"> K       0.9098    0.0183    0.9487    0.9018     1.0421     1.1014     0.9954</t>
  </si>
  <si>
    <t xml:space="preserve"> Mn      0.9753    0.0000    0.9940    0.7969     1.0566     1.1948     1.0420</t>
  </si>
  <si>
    <t xml:space="preserve"> Al      0.6486    0.0098    0.7275    0.9663     1.0027     1.4050     1.0041</t>
  </si>
  <si>
    <t xml:space="preserve"> P       0.6860    0.0020    0.7433    0.9440     1.0177     1.3976     0.9915</t>
  </si>
  <si>
    <t xml:space="preserve"> Mg      0.5399    0.0071    0.6188    1.0054     0.9951     1.6038     1.0013</t>
  </si>
  <si>
    <t xml:space="preserve"> Ca      0.9309    0.0063    0.9642    0.9161     1.0465     1.0750     1.0001</t>
  </si>
  <si>
    <t xml:space="preserve"> Ti      0.9487    0.0100    0.9761    0.8264     1.0529     1.1657     1.0035</t>
  </si>
  <si>
    <t xml:space="preserve"> Na       2.95      3.98      2.93      3.95     1.145   0.9863   0.02992   1.50954  </t>
  </si>
  <si>
    <t xml:space="preserve"> S        0.0180    0.0449    0.0179    0.0446   0.0050  0.9902   0.000182  0.033786  </t>
  </si>
  <si>
    <t xml:space="preserve"> Fe       9.54     12.27      9.47     12.18     1.523   1.0002   0.09535   0.91659  </t>
  </si>
  <si>
    <t xml:space="preserve"> Si      21.71     46.43     21.56     46.11     6.891   1.0111   0.21478   0.89654  </t>
  </si>
  <si>
    <t xml:space="preserve"> Cl       0.0950    0.0950    0.0943    0.0943   0.0239  0.9860   0.000963  0.066380  </t>
  </si>
  <si>
    <t xml:space="preserve"> F        0.1287    0.1287    0.1278    0.1278   0.0604  1.0226   0.001258  0.264386  </t>
  </si>
  <si>
    <t xml:space="preserve"> K        1.02      1.23      1.01      1.22     0.233   0.9954   0.01026   1.50016  </t>
  </si>
  <si>
    <t xml:space="preserve"> Mn       0.1860    0.2401    0.1847    0.2385   0.0302  1.0420   0.001785  0.005299  </t>
  </si>
  <si>
    <t xml:space="preserve"> Al       7.87     14.88      7.82     14.77     2.602   1.0041   0.07842   1.17910  </t>
  </si>
  <si>
    <t xml:space="preserve"> P        0.2317    0.5309    0.2300    0.5272   0.0667  0.9915   0.002336  1.366312  </t>
  </si>
  <si>
    <t xml:space="preserve"> Mg       3.34      5.55      3.32      5.51     1.227   1.0013   0.03340   1.08491  </t>
  </si>
  <si>
    <t xml:space="preserve"> Ca       8.42     11.78      8.36     11.70     1.873   1.0001   0.08420   1.25847  </t>
  </si>
  <si>
    <t xml:space="preserve"> Ti       2.13      3.55      2.11      3.52     0.396   1.0035   0.02120   0.86691  </t>
  </si>
  <si>
    <t xml:space="preserve"> O       43.06       -       42.76       -      24.000      -         -        </t>
  </si>
  <si>
    <t>Total:  100.70    100.70    100.00    100.00    16.075</t>
  </si>
  <si>
    <t xml:space="preserve">Unknown Specimen No. 43 </t>
  </si>
  <si>
    <t xml:space="preserve"> UNK No.      :   43            Comment : UnknA-C22-PS1-L2_8                       </t>
  </si>
  <si>
    <t xml:space="preserve"> Stage        :    X=   14.4965  Y=   66.5395  Z=   11.4855 </t>
  </si>
  <si>
    <t xml:space="preserve"> Dated on Dec 20 18:43 2016 </t>
  </si>
  <si>
    <t xml:space="preserve"> 1 Na   129.476    329.2    0.0   19.3    1.79      166 </t>
  </si>
  <si>
    <t xml:space="preserve"> 2 S    171.948      2.0    5.8    4.8   32.46      112 </t>
  </si>
  <si>
    <t xml:space="preserve"> 3 Fe   134.739    169.2    3.1    2.8    1.75      389 </t>
  </si>
  <si>
    <t xml:space="preserve"> 4 Si    77.822   3307.2   32.9   18.7    0.39      229 </t>
  </si>
  <si>
    <t xml:space="preserve"> 5 Cl   151.478     13.3    9.0    7.3    7.46       45 </t>
  </si>
  <si>
    <t xml:space="preserve"> 6 F    199.140      1.8    3.3    2.9   28.66      359 </t>
  </si>
  <si>
    <t xml:space="preserve"> 7 K    119.485    267.2   29.3   21.0    1.22       58 </t>
  </si>
  <si>
    <t xml:space="preserve"> 8 Mn   146.243      2.4    2.2    1.7   18.93      282 </t>
  </si>
  <si>
    <t xml:space="preserve"> 9 Al    90.995   1025.7   14.6   11.1    0.71      162 </t>
  </si>
  <si>
    <t xml:space="preserve">10 P    197.118     18.5    2.7    3.0    5.99      151 </t>
  </si>
  <si>
    <t xml:space="preserve">11 Mg   107.534    632.6   39.8    0.0    0.92      173 </t>
  </si>
  <si>
    <t xml:space="preserve">12 Ca   107.121   2496.1   32.8   39.5    0.45       91 </t>
  </si>
  <si>
    <t xml:space="preserve">13 Ti    88.305    605.4    0.0   47.0    0.94      128 </t>
  </si>
  <si>
    <t xml:space="preserve"> Na      0.4037    0.0040    0.4819    0.9905     0.9879     2.1123     0.9870</t>
  </si>
  <si>
    <t xml:space="preserve"> S       0.7694    0.0037    0.8215    0.9599     1.0247     1.2331     0.9902</t>
  </si>
  <si>
    <t xml:space="preserve"> Fe      0.9809    0.0000    0.9969    0.8085     1.0561     1.1747     1.0003</t>
  </si>
  <si>
    <t xml:space="preserve"> Si      0.7057    0.0013    0.7744    0.9849     1.0103     1.2961     1.0098</t>
  </si>
  <si>
    <t xml:space="preserve"> Cl      0.8318    0.0069    0.8814    0.9109     1.0312     1.1997     0.9860</t>
  </si>
  <si>
    <t xml:space="preserve"> F       0.1889    0.0014    0.2481    1.0160     0.9754     4.0621     1.0237</t>
  </si>
  <si>
    <t xml:space="preserve"> K       0.9099    0.0185    0.9488    0.9018     1.0421     1.1012     0.9952</t>
  </si>
  <si>
    <t xml:space="preserve"> Mn      0.9753    0.0000    0.9939    0.7969     1.0566     1.1950     1.0422</t>
  </si>
  <si>
    <t xml:space="preserve"> Al      0.6489    0.0098    0.7278    0.9663     1.0027     1.4043     1.0036</t>
  </si>
  <si>
    <t xml:space="preserve"> P       0.6860    0.0020    0.7433    0.9439     1.0177     1.3977     0.9915</t>
  </si>
  <si>
    <t xml:space="preserve"> Mg      0.5400    0.0071    0.6190    1.0053     0.9951     1.6034     1.0010</t>
  </si>
  <si>
    <t xml:space="preserve"> Ca      0.9310    0.0063    0.9643    0.9161     1.0465     1.0749     1.0000</t>
  </si>
  <si>
    <t xml:space="preserve"> Ti      0.9486    0.0100    0.9760    0.8263     1.0529     1.1660     1.0037</t>
  </si>
  <si>
    <t xml:space="preserve"> Na       2.90      3.91      2.87      3.87     1.120   0.9870   0.02937   1.48206  </t>
  </si>
  <si>
    <t xml:space="preserve"> S        0.0152    0.0379    0.0150    0.0375   0.0042  0.9902   0.000153  0.028455  </t>
  </si>
  <si>
    <t xml:space="preserve"> Fe       9.57     12.31      9.47     12.18     1.521   1.0003   0.09567   0.91966  </t>
  </si>
  <si>
    <t xml:space="preserve"> Si      21.92     46.89     21.69     46.39     6.929   1.0098   0.21723   0.90677  </t>
  </si>
  <si>
    <t xml:space="preserve"> Cl       0.0816    0.0816    0.0808    0.0808   0.0204  0.9860   0.000828  0.057053  </t>
  </si>
  <si>
    <t xml:space="preserve"> F        0.1498    0.1498    0.1482    0.1482   0.0700  1.0237   0.001463  0.307408  </t>
  </si>
  <si>
    <t xml:space="preserve"> K        0.9893    1.1918    0.9789    1.1792   0.2247  0.9952   0.009941  1.453362  </t>
  </si>
  <si>
    <t xml:space="preserve"> Mn       0.1533    0.1979    0.1517    0.1958   0.0248  1.0422   0.001471  0.004367  </t>
  </si>
  <si>
    <t xml:space="preserve"> Al       7.77     14.68      7.69     14.53     2.557   1.0036   0.07745   1.16448  </t>
  </si>
  <si>
    <t xml:space="preserve"> P        0.2264    0.5189    0.2241    0.5134   0.0649  0.9915   0.002284  1.335570  </t>
  </si>
  <si>
    <t xml:space="preserve"> Mg       3.33      5.52      3.29      5.46     1.216   1.0010   0.03327   1.08054  </t>
  </si>
  <si>
    <t xml:space="preserve"> Ca       8.56     11.98      8.47     11.85     1.896   1.0000   0.08561   1.27942  </t>
  </si>
  <si>
    <t xml:space="preserve"> Ti       2.16      3.60      2.14      3.56     0.400   1.0037   0.02151   0.87993  </t>
  </si>
  <si>
    <t xml:space="preserve"> O       43.25       -       42.79       -      24.000      -         -        </t>
  </si>
  <si>
    <t>Total:  101.07    101.07    100.00    100.00    16.049</t>
  </si>
  <si>
    <t xml:space="preserve">Unknown Specimen No. 44 </t>
  </si>
  <si>
    <t xml:space="preserve"> UNK No.      :   44            Comment : UnknA-C22-PS1-L2_9                       </t>
  </si>
  <si>
    <t xml:space="preserve"> Stage        :    X=   14.9590  Y=   67.0540  Z=   11.4815 </t>
  </si>
  <si>
    <t xml:space="preserve"> Dated on Dec 20 18:47 2016 </t>
  </si>
  <si>
    <t xml:space="preserve"> 1 Na   129.476    345.1    0.0   19.0    1.75      165 </t>
  </si>
  <si>
    <t xml:space="preserve"> 2 S    171.948      1.5    6.5    5.2   42.71 ?    117 </t>
  </si>
  <si>
    <t xml:space="preserve"> 3 Fe   134.739    165.8    2.0    2.7    1.76      359 </t>
  </si>
  <si>
    <t xml:space="preserve"> 4 Si    77.822   3279.8   32.2   19.9    0.39      230 </t>
  </si>
  <si>
    <t xml:space="preserve"> 5 Cl   151.478     14.1    7.9    7.1    6.97       43 </t>
  </si>
  <si>
    <t xml:space="preserve"> 6 F    199.140      1.6    2.9    2.5   31.47      335 </t>
  </si>
  <si>
    <t xml:space="preserve"> 7 K    119.485    280.1   28.5   21.1    1.19       58 </t>
  </si>
  <si>
    <t xml:space="preserve"> 8 Mn   146.243      2.1    2.3    1.4   20.78      275 </t>
  </si>
  <si>
    <t xml:space="preserve"> 9 Al    90.995   1025.3   14.9    9.7    0.71      159 </t>
  </si>
  <si>
    <t xml:space="preserve">10 P    197.118     19.8    2.2    2.5    5.63      138 </t>
  </si>
  <si>
    <t xml:space="preserve">11 Mg   107.534    649.6   39.7    0.0    0.90      173 </t>
  </si>
  <si>
    <t xml:space="preserve">12 Ca   107.121   2451.4   32.9   37.4    0.46       90 </t>
  </si>
  <si>
    <t xml:space="preserve">13 Ti    88.305    597.7    0.0   45.1    0.95      125 </t>
  </si>
  <si>
    <t xml:space="preserve"> Na      0.4053    0.0040    0.4837    0.9901     0.9881     2.1048     0.9834</t>
  </si>
  <si>
    <t xml:space="preserve"> S       0.7693    0.0036    0.8214    0.9595     1.0249     1.2335     0.9904</t>
  </si>
  <si>
    <t xml:space="preserve"> Fe      0.9810    0.0000    0.9969    0.8082     1.0562     1.1750     1.0005</t>
  </si>
  <si>
    <t xml:space="preserve"> Si      0.7053    0.0013    0.7740    0.9845     1.0105     1.2970     1.0105</t>
  </si>
  <si>
    <t xml:space="preserve"> Cl      0.8318    0.0068    0.8813    0.9105     1.0314     1.2000     0.9863</t>
  </si>
  <si>
    <t xml:space="preserve"> F       0.1892    0.0014    0.2484    1.0156     0.9756     4.0582     1.0227</t>
  </si>
  <si>
    <t xml:space="preserve"> K       0.9098    0.0183    0.9487    0.9014     1.0423     1.1017     0.9957</t>
  </si>
  <si>
    <t xml:space="preserve"> Mn      0.9753    0.0000    0.9940    0.7966     1.0567     1.1952     1.0424</t>
  </si>
  <si>
    <t xml:space="preserve"> Al      0.6487    0.0098    0.7276    0.9659     1.0029     1.4051     1.0041</t>
  </si>
  <si>
    <t xml:space="preserve"> P       0.6860    0.0020    0.7433    0.9436     1.0179     1.3979     0.9917</t>
  </si>
  <si>
    <t xml:space="preserve"> Mg      0.5406    0.0071    0.6197    1.0049     0.9953     1.6021     1.0002</t>
  </si>
  <si>
    <t xml:space="preserve"> Ca      0.9309    0.0063    0.9642    0.9157     1.0466     1.0754     1.0004</t>
  </si>
  <si>
    <t xml:space="preserve"> Ti      0.9487    0.0098    0.9761    0.8260     1.0531     1.1663     1.0040</t>
  </si>
  <si>
    <t xml:space="preserve"> Na       3.03      4.08      3.01      4.06     1.175   0.9834   0.03079   1.55369  </t>
  </si>
  <si>
    <t xml:space="preserve"> S        0.0118    0.0294    0.0117    0.0293   0.0033  0.9904   0.000119  0.022114  </t>
  </si>
  <si>
    <t xml:space="preserve"> Fe       9.37     12.06      9.32     11.99     1.497   1.0005   0.09371   0.90077  </t>
  </si>
  <si>
    <t xml:space="preserve"> Si      21.76     46.55     21.63     46.28     6.909   1.0105   0.21542   0.89925  </t>
  </si>
  <si>
    <t xml:space="preserve"> Cl       0.0868    0.0868    0.0863    0.0863   0.0218  0.9863   0.000880  0.060649  </t>
  </si>
  <si>
    <t xml:space="preserve"> F        0.1266    0.1266    0.1258    0.1258   0.0594  1.0227   0.001238  0.260029  </t>
  </si>
  <si>
    <t xml:space="preserve"> K        1.04      1.25      1.03      1.24     0.237   0.9957   0.01042   1.52392  </t>
  </si>
  <si>
    <t xml:space="preserve"> Mn       0.1337    0.1726    0.1329    0.1716   0.0217  1.0424   0.001283  0.003808  </t>
  </si>
  <si>
    <t xml:space="preserve"> Al       7.77     14.69      7.73     14.60     2.569   1.0041   0.07742   1.16406  </t>
  </si>
  <si>
    <t xml:space="preserve"> P        0.2424    0.5556    0.2410    0.5523   0.0698  0.9917   0.002445  1.429606  </t>
  </si>
  <si>
    <t xml:space="preserve"> Mg       3.42      5.67      3.40      5.63     1.253   1.0002   0.03416   1.10954  </t>
  </si>
  <si>
    <t xml:space="preserve"> Ca       8.41     11.77      8.36     11.70     1.872   1.0004   0.08407   1.25650  </t>
  </si>
  <si>
    <t xml:space="preserve"> Ti       2.13      3.56      2.12      3.54     0.397   1.0040   0.02124   0.86879  </t>
  </si>
  <si>
    <t xml:space="preserve"> O       43.06       -       42.80       -      24.000      -         -        </t>
  </si>
  <si>
    <t>Total:  100.59    100.59    100.00    100.00    16.085</t>
  </si>
  <si>
    <t xml:space="preserve">Unknown Specimen No. 45 </t>
  </si>
  <si>
    <t xml:space="preserve"> UNK No.      :   45            Comment : UnknA-C22-PS1-L3_1                       </t>
  </si>
  <si>
    <t xml:space="preserve"> Stage        :    X=   18.7920  Y=   64.5185  Z=   11.4640 </t>
  </si>
  <si>
    <t xml:space="preserve"> Dated on Dec 20 18:50 2016 </t>
  </si>
  <si>
    <t xml:space="preserve">Curr.(A) : 1.007E-08 </t>
  </si>
  <si>
    <t xml:space="preserve"> 1 Na   129.476    334.2    0.0   18.1    1.78      161 </t>
  </si>
  <si>
    <t xml:space="preserve"> 2 S    171.948      2.2    5.6    4.7   28.79      110 </t>
  </si>
  <si>
    <t xml:space="preserve"> 3 Fe   134.739    177.7    3.2    2.3    1.70      368 </t>
  </si>
  <si>
    <t xml:space="preserve"> 4 Si    77.822   3336.6   31.8   18.4    0.39      226 </t>
  </si>
  <si>
    <t xml:space="preserve"> 5 Cl   151.478     12.1    9.1    8.3    8.21       47 </t>
  </si>
  <si>
    <t xml:space="preserve"> 6 F    199.140      0.8    3.4    2.7   63.22 ?    357 </t>
  </si>
  <si>
    <t xml:space="preserve"> 7 K    119.485    243.6   29.5   23.1    1.29       59 </t>
  </si>
  <si>
    <t xml:space="preserve"> 8 Mn   146.243      3.2    1.9    1.5   14.56      261 </t>
  </si>
  <si>
    <t xml:space="preserve"> 9 Al    90.995   1066.1   14.4    9.4    0.69      156 </t>
  </si>
  <si>
    <t xml:space="preserve">10 P    197.118     18.6    3.1    3.2    6.03      158 </t>
  </si>
  <si>
    <t xml:space="preserve">11 Mg   107.534    622.0   45.3    0.0    0.93      184 </t>
  </si>
  <si>
    <t xml:space="preserve">12 Ca   107.121   2296.3   34.2   37.7    0.47       91 </t>
  </si>
  <si>
    <t xml:space="preserve">13 Ti    88.305    587.3    0.0   47.3    0.96      128 </t>
  </si>
  <si>
    <t xml:space="preserve"> Na      0.4027    0.0040    0.4806    0.9906     0.9880     2.1176     0.9894</t>
  </si>
  <si>
    <t xml:space="preserve"> S       0.7679    0.0034    0.8199    0.9600     1.0248     1.2356     0.9922</t>
  </si>
  <si>
    <t xml:space="preserve"> Fe      0.9813    0.0000    0.9973    0.8086     1.0562     1.1741     0.9997</t>
  </si>
  <si>
    <t xml:space="preserve"> Si      0.7037    0.0012    0.7723    0.9850     1.0104     1.2996     1.0125</t>
  </si>
  <si>
    <t xml:space="preserve"> Cl      0.8307    0.0064    0.8801    0.9109     1.0313     1.2018     0.9877</t>
  </si>
  <si>
    <t xml:space="preserve"> F       0.1903    0.0014    0.2499    1.0161     0.9755     4.0319     1.0161</t>
  </si>
  <si>
    <t xml:space="preserve"> K       0.9092    0.0173    0.9481    0.9019     1.0422     1.1031     0.9970</t>
  </si>
  <si>
    <t xml:space="preserve"> Mn      0.9758    0.0000    0.9945    0.7969     1.0567     1.1941     1.0414</t>
  </si>
  <si>
    <t xml:space="preserve"> Al      0.6484    0.0098    0.7272    0.9663     1.0027     1.4054     1.0044</t>
  </si>
  <si>
    <t xml:space="preserve"> P       0.6842    0.0018    0.7413    0.9440     1.0178     1.4014     0.9942</t>
  </si>
  <si>
    <t xml:space="preserve"> Mg      0.5388    0.0071    0.6176    1.0054     0.9952     1.6067     1.0031</t>
  </si>
  <si>
    <t xml:space="preserve"> Ca      0.9308    0.0065    0.9641    0.9162     1.0465     1.0749     1.0000</t>
  </si>
  <si>
    <t xml:space="preserve"> Ti      0.9496    0.0107    0.9771    0.8264     1.0530     1.1637     1.0018</t>
  </si>
  <si>
    <t xml:space="preserve"> Na       2.95      3.97      2.90      3.91     1.130   0.9894   0.02979   1.50309  </t>
  </si>
  <si>
    <t xml:space="preserve"> S        0.0171    0.0428    0.0169    0.0421   0.0047  0.9922   0.000173  0.032071  </t>
  </si>
  <si>
    <t xml:space="preserve"> Fe      10.03     12.91      9.89     12.72     1.583   0.9997   0.10038   0.96493  </t>
  </si>
  <si>
    <t xml:space="preserve"> Si      22.15     47.37     21.82     46.68     6.949   1.0125   0.21894   0.91392  </t>
  </si>
  <si>
    <t xml:space="preserve"> Cl       0.0741    0.0741    0.0730    0.0730   0.0184  0.9877   0.000750  0.051722  </t>
  </si>
  <si>
    <t xml:space="preserve"> F        0.0627    0.0627    0.0618    0.0618   0.0291  1.0161   0.000618  0.129739  </t>
  </si>
  <si>
    <t xml:space="preserve"> K        0.9029    1.0877    0.8897    1.0717   0.2035  0.9970   0.009057  1.324098  </t>
  </si>
  <si>
    <t xml:space="preserve"> Mn       0.2034    0.2627    0.2005    0.2588   0.0326  1.0414   0.001953  0.005800  </t>
  </si>
  <si>
    <t xml:space="preserve"> Al       8.07     15.26      7.96     15.03     2.638   1.0044   0.08042   1.20918  </t>
  </si>
  <si>
    <t xml:space="preserve"> P        0.2284    0.5233    0.2250    0.5156   0.0650  0.9942   0.002297  1.343276  </t>
  </si>
  <si>
    <t xml:space="preserve"> Mg       3.28      5.43      3.23      5.36     1.188   1.0031   0.03268   1.06146  </t>
  </si>
  <si>
    <t xml:space="preserve"> Ca       7.87     11.01      7.75     10.85     1.730   1.0000   0.07868   1.17586  </t>
  </si>
  <si>
    <t xml:space="preserve"> Ti       2.09      3.48      2.06      3.43     0.384   1.0018   0.02085   0.85281  </t>
  </si>
  <si>
    <t xml:space="preserve"> O       43.57       -       42.93       -      24.000      -         -        </t>
  </si>
  <si>
    <t>Total:  101.49    101.49    100.00    100.00    15.955</t>
  </si>
  <si>
    <t xml:space="preserve">Unknown Specimen No. 46 </t>
  </si>
  <si>
    <t xml:space="preserve"> UNK No.      :   46            Comment : UnknA-C22-PS1-L3_2                       </t>
  </si>
  <si>
    <t xml:space="preserve"> Stage        :    X=   18.7840  Y=   64.9785  Z=   11.4645 </t>
  </si>
  <si>
    <t xml:space="preserve"> Dated on Dec 20 18:54 2016 </t>
  </si>
  <si>
    <t xml:space="preserve"> 1 Na   129.476    287.9    0.0   19.3    1.93      166 </t>
  </si>
  <si>
    <t xml:space="preserve"> 2 S    171.948      3.0    5.3    4.5   21.86      107 </t>
  </si>
  <si>
    <t xml:space="preserve"> 3 Fe   134.739    166.5    2.7    3.7    1.77      419 </t>
  </si>
  <si>
    <t xml:space="preserve"> 4 Si    77.822   3347.8   30.7   19.6    0.39      225 </t>
  </si>
  <si>
    <t xml:space="preserve"> 5 Cl   151.478     10.6    9.0    9.4    9.27       48 </t>
  </si>
  <si>
    <t xml:space="preserve"> 6 F    199.140      1.5    3.3    2.7   34.42 ?    356 </t>
  </si>
  <si>
    <t xml:space="preserve"> 7 K    119.485    206.2   28.1   21.6    1.42       58 </t>
  </si>
  <si>
    <t xml:space="preserve"> 8 Mn   146.243      1.5    1.8    2.7   30.04      309 </t>
  </si>
  <si>
    <t xml:space="preserve"> 9 Al    90.995   1069.5   17.5    9.2    0.69      166 </t>
  </si>
  <si>
    <t xml:space="preserve">10 P    197.118     19.2    3.0    3.2    5.90      157 </t>
  </si>
  <si>
    <t xml:space="preserve">11 Mg   107.534    644.9   41.7    0.0    0.91      177 </t>
  </si>
  <si>
    <t xml:space="preserve">12 Ca   107.121   2546.3   31.8   37.6    0.45       89 </t>
  </si>
  <si>
    <t xml:space="preserve">13 Ti    88.305    602.4    0.0   45.5    0.94      126 </t>
  </si>
  <si>
    <t xml:space="preserve"> Na      0.4049    0.0040    0.4833    0.9897     0.9882     2.1071     0.9845</t>
  </si>
  <si>
    <t xml:space="preserve"> S       0.7689    0.0036    0.8210    0.9591     1.0250     1.2346     0.9913</t>
  </si>
  <si>
    <t xml:space="preserve"> Fe      0.9810    0.0000    0.9969    0.8079     1.0563     1.1754     1.0009</t>
  </si>
  <si>
    <t xml:space="preserve"> Si      0.7061    0.0012    0.7748    0.9841     1.0106     1.2962     1.0098</t>
  </si>
  <si>
    <t xml:space="preserve"> Cl      0.8314    0.0068    0.8810    0.9101     1.0315     1.2010     0.9871</t>
  </si>
  <si>
    <t xml:space="preserve"> F       0.1885    0.0014    0.2475    1.0152     0.9757     4.0745     1.0268</t>
  </si>
  <si>
    <t xml:space="preserve"> K       0.9097    0.0187    0.9486    0.9010     1.0424     1.1018     0.9958</t>
  </si>
  <si>
    <t xml:space="preserve"> Mn      0.9753    0.0000    0.9940    0.7962     1.0568     1.1957     1.0428</t>
  </si>
  <si>
    <t xml:space="preserve"> Al      0.6515    0.0099    0.7307    0.9655     1.0029     1.3993     1.0000</t>
  </si>
  <si>
    <t xml:space="preserve"> P       0.6855    0.0020    0.7428    0.9432     1.0180     1.3995     0.9929</t>
  </si>
  <si>
    <t xml:space="preserve"> Mg      0.5435    0.0072    0.6230    1.0045     0.9954     1.5939     0.9950</t>
  </si>
  <si>
    <t xml:space="preserve"> Ca      0.9315    0.0062    0.9648    0.9153     1.0467     1.0751     1.0002</t>
  </si>
  <si>
    <t xml:space="preserve"> Ti      0.9487    0.0097    0.9761    0.8257     1.0531     1.1669     1.0046</t>
  </si>
  <si>
    <t xml:space="preserve"> Na       2.53      3.40      2.49      3.36     0.966   0.9845   0.02566   1.29472  </t>
  </si>
  <si>
    <t xml:space="preserve"> S        0.0227    0.0567    0.0224    0.0559   0.0062  0.9913   0.000229  0.042559  </t>
  </si>
  <si>
    <t xml:space="preserve"> Fe       9.41     12.10      9.28     11.94     1.482   1.0009   0.09401   0.90367  </t>
  </si>
  <si>
    <t xml:space="preserve"> Si      22.16     47.41     21.86     46.77     6.940   1.0098   0.21967   0.91699  </t>
  </si>
  <si>
    <t xml:space="preserve"> Cl       0.0653    0.0653    0.0644    0.0644   0.0162  0.9871   0.000661  0.045564  </t>
  </si>
  <si>
    <t xml:space="preserve"> F        0.1217    0.1217    0.1201    0.1201   0.0563  1.0268   0.001185  0.249004  </t>
  </si>
  <si>
    <t xml:space="preserve"> K        0.7632    0.9193    0.7529    0.9069   0.1717  0.9958   0.007664  1.120496  </t>
  </si>
  <si>
    <t xml:space="preserve"> Mn       0.0964    0.1245    0.0951    0.1228   0.0154  1.0428   0.000925  0.002746  </t>
  </si>
  <si>
    <t xml:space="preserve"> Al       8.07     15.24      7.96     15.03     2.629   1.0000   0.08068   1.21302  </t>
  </si>
  <si>
    <t xml:space="preserve"> P        0.2359    0.5405    0.2327    0.5332   0.0670  0.9929   0.002376  1.389344  </t>
  </si>
  <si>
    <t xml:space="preserve"> Mg       3.37      5.59      3.33      5.51     1.220   0.9950   0.03388   1.10050  </t>
  </si>
  <si>
    <t xml:space="preserve"> Ca       8.73     12.21      8.61     12.04     1.915   1.0002   0.08724   1.30388  </t>
  </si>
  <si>
    <t xml:space="preserve"> Ti       2.15      3.58      2.12      3.54     0.394   1.0046   0.02139   0.87469  </t>
  </si>
  <si>
    <t xml:space="preserve"> O       43.66       -       43.07       -      24.000      -         -        </t>
  </si>
  <si>
    <t>Total:  101.37    101.37    100.00    100.00    15.879</t>
  </si>
  <si>
    <t xml:space="preserve">Unknown Specimen No. 47 </t>
  </si>
  <si>
    <t xml:space="preserve"> UNK No.      :   47            Comment : UnknA-C22-PS1-L3_3                       </t>
  </si>
  <si>
    <t xml:space="preserve"> Stage        :    X=   19.1025  Y=   64.6690  Z=   11.4645 </t>
  </si>
  <si>
    <t xml:space="preserve"> Dated on Dec 20 18:57 2016 </t>
  </si>
  <si>
    <t xml:space="preserve"> 1 Na   129.476    295.8    0.0   20.0    1.90      169 </t>
  </si>
  <si>
    <t xml:space="preserve"> 2 S    171.948      1.9    6.3    5.4   34.61 ?    117 </t>
  </si>
  <si>
    <t xml:space="preserve"> 3 Fe   134.739    160.2    3.3    3.5    1.81      424 </t>
  </si>
  <si>
    <t xml:space="preserve"> 4 Si    77.822   3341.4   32.9   17.7    0.39      227 </t>
  </si>
  <si>
    <t xml:space="preserve"> 5 Cl   151.478     12.4    8.2    7.2    7.77       44 </t>
  </si>
  <si>
    <t xml:space="preserve"> 6 F    199.140      0.8    3.7    2.7   60.70 ?    369 </t>
  </si>
  <si>
    <t xml:space="preserve"> 7 K    119.485     74.2   25.1   21.9    2.72       56 </t>
  </si>
  <si>
    <t xml:space="preserve"> 8 Mn   146.243      2.6    1.7    1.8   17.60      270 </t>
  </si>
  <si>
    <t xml:space="preserve"> 9 Al    90.995   1089.5   14.4   10.4    0.69      159 </t>
  </si>
  <si>
    <t xml:space="preserve">10 P    197.118     16.2    3.3    3.5    6.67      165 </t>
  </si>
  <si>
    <t xml:space="preserve">11 Mg   107.534    648.6   41.1    0.0    0.91      176 </t>
  </si>
  <si>
    <t xml:space="preserve">12 Ca   107.121   2649.6   36.2   37.2    0.44       91 </t>
  </si>
  <si>
    <t xml:space="preserve">13 Ti    88.305    585.8    0.0   48.5    0.96      130 </t>
  </si>
  <si>
    <t xml:space="preserve"> Na      0.4068    0.0041    0.4856    0.9889     0.9885     2.0984     0.9804</t>
  </si>
  <si>
    <t xml:space="preserve"> S       0.7688    0.0035    0.8208    0.9583     1.0253     1.2356     0.9922</t>
  </si>
  <si>
    <t xml:space="preserve"> Fe      0.9810    0.0000    0.9970    0.8073     1.0564     1.1761     1.0014</t>
  </si>
  <si>
    <t xml:space="preserve"> Si      0.7058    0.0012    0.7745    0.9833     1.0109     1.2974     1.0108</t>
  </si>
  <si>
    <t xml:space="preserve"> Cl      0.8313    0.0066    0.8809    0.9094     1.0318     1.2020     0.9879</t>
  </si>
  <si>
    <t xml:space="preserve"> F       0.1880    0.0014    0.2469    1.0143     0.9759     4.0863     1.0298</t>
  </si>
  <si>
    <t xml:space="preserve"> K       0.9096    0.0195    0.9485    0.9003     1.0426     1.1017     0.9957</t>
  </si>
  <si>
    <t xml:space="preserve"> Mn      0.9754    0.0000    0.9940    0.7956     1.0569     1.1963     1.0433</t>
  </si>
  <si>
    <t xml:space="preserve"> Al      0.6525    0.0099    0.7318    0.9647     1.0033     1.3980     0.9991</t>
  </si>
  <si>
    <t xml:space="preserve"> P       0.6851    0.0019    0.7423    0.9424     1.0183     1.4012     0.9940</t>
  </si>
  <si>
    <t xml:space="preserve"> Mg      0.5448    0.0073    0.6245    1.0037     0.9957     1.5906     0.9930</t>
  </si>
  <si>
    <t xml:space="preserve"> Ca      0.9326    0.0061    0.9660    0.9146     1.0469     1.0745     0.9996</t>
  </si>
  <si>
    <t xml:space="preserve"> Ti      0.9487    0.0095    0.9761    0.8250     1.0533     1.1678     1.0053</t>
  </si>
  <si>
    <t xml:space="preserve"> Na       2.59      3.49      2.56      3.45     0.989   0.9804   0.02639   1.33160  </t>
  </si>
  <si>
    <t xml:space="preserve"> S        0.0148    0.0371    0.0147    0.0367   0.0041  0.9922   0.000150  0.027808  </t>
  </si>
  <si>
    <t xml:space="preserve"> Fe       9.07     11.67      8.97     11.54     1.427   1.0014   0.09059   0.87080  </t>
  </si>
  <si>
    <t xml:space="preserve"> Si      22.17     47.42     21.93     46.91     6.935   1.0108   0.21947   0.91614  </t>
  </si>
  <si>
    <t xml:space="preserve"> Cl       0.0761    0.0761    0.0753    0.0753   0.0189  0.9879   0.000770  0.053097  </t>
  </si>
  <si>
    <t xml:space="preserve"> F        0.0686    0.0686    0.0679    0.0679   0.0317  1.0298   0.000666  0.140010  </t>
  </si>
  <si>
    <t xml:space="preserve"> K        0.2749    0.3311    0.2719    0.3275   0.0618  0.9957   0.002760  0.403581  </t>
  </si>
  <si>
    <t xml:space="preserve"> Mn       0.1635    0.2111    0.1617    0.2088   0.0262  1.0433   0.001567  0.004653  </t>
  </si>
  <si>
    <t xml:space="preserve"> Al       8.22     15.53      8.13     15.36     2.676   0.9991   0.08227   1.23695  </t>
  </si>
  <si>
    <t xml:space="preserve"> P        0.1989    0.4557    0.1967    0.4508   0.0564  0.9940   0.002001  1.170029  </t>
  </si>
  <si>
    <t xml:space="preserve"> Mg       3.39      5.62      3.35      5.55     1.224   0.9930   0.03411   1.10783  </t>
  </si>
  <si>
    <t xml:space="preserve"> Ca       9.08     12.71      8.98     12.57     1.991   0.9996   0.09087   1.35810  </t>
  </si>
  <si>
    <t xml:space="preserve"> Ti       2.09      3.49      2.07      3.45     0.384   1.0053   0.02082   0.85155  </t>
  </si>
  <si>
    <t xml:space="preserve"> O       43.70       -       43.22       -      24.000      -         -        </t>
  </si>
  <si>
    <t>Total:  101.10    101.10    100.00    100.00    15.826</t>
  </si>
  <si>
    <t xml:space="preserve">Unknown Specimen No. 48 </t>
  </si>
  <si>
    <t xml:space="preserve"> UNK No.      :   48            Comment : UnknA-C22-PS1-L3_4                       </t>
  </si>
  <si>
    <t xml:space="preserve"> Stage        :    X=   19.5485  Y=   65.5010  Z=   11.4660 </t>
  </si>
  <si>
    <t xml:space="preserve"> Dated on Dec 20 19:01 2016 </t>
  </si>
  <si>
    <t xml:space="preserve"> 1 Na   129.476    275.0    0.0   18.0    1.97      160 </t>
  </si>
  <si>
    <t xml:space="preserve"> 2 S    171.948      3.6    5.4    4.9   18.99      110 </t>
  </si>
  <si>
    <t xml:space="preserve"> 3 Fe   134.739    164.8    2.8    2.8    1.77      382 </t>
  </si>
  <si>
    <t xml:space="preserve"> 4 Si    77.822   3339.2   27.0   18.9    0.39      214 </t>
  </si>
  <si>
    <t xml:space="preserve"> 5 Cl   151.478     14.3    7.9    6.5    6.81       42 </t>
  </si>
  <si>
    <t xml:space="preserve"> 6 F    199.140      1.5    3.3    3.5   35.03 ?    372 </t>
  </si>
  <si>
    <t xml:space="preserve"> 7 K    119.485    268.9   30.3   21.2    1.22       59 </t>
  </si>
  <si>
    <t xml:space="preserve"> 8 Mn   146.243      2.5    2.4    1.6   18.54      285 </t>
  </si>
  <si>
    <t xml:space="preserve"> 9 Al    90.995   1069.5   13.4   11.3    0.69      158 </t>
  </si>
  <si>
    <t xml:space="preserve">10 P    197.118     17.6    2.5    2.2    6.01      135 </t>
  </si>
  <si>
    <t xml:space="preserve">11 Mg   107.534    668.0   40.4    0.0    0.89      174 </t>
  </si>
  <si>
    <t xml:space="preserve">12 Ca   107.121   2590.8   33.8   37.2    0.45       90 </t>
  </si>
  <si>
    <t xml:space="preserve">13 Ti    88.305    587.2    0.0   47.7    0.96      129 </t>
  </si>
  <si>
    <t xml:space="preserve"> Na      0.4050    0.0040    0.4834    0.9899     0.9880     2.1064     0.9842</t>
  </si>
  <si>
    <t xml:space="preserve"> S       0.7695    0.0037    0.8216    0.9593     1.0249     1.2334     0.9904</t>
  </si>
  <si>
    <t xml:space="preserve"> Fe      0.9808    0.0000    0.9968    0.8080     1.0562     1.1755     1.0009</t>
  </si>
  <si>
    <t xml:space="preserve"> Si      0.7062    0.0013    0.7749    0.9843     1.0104     1.2958     1.0095</t>
  </si>
  <si>
    <t xml:space="preserve"> Cl      0.8319    0.0070    0.8814    0.9103     1.0314     1.2001     0.9863</t>
  </si>
  <si>
    <t xml:space="preserve"> F       0.1880    0.0013    0.2468    1.0154     0.9756     4.0851     1.0295</t>
  </si>
  <si>
    <t xml:space="preserve"> K       0.9099    0.0189    0.9488    0.9012     1.0423     1.1013     0.9954</t>
  </si>
  <si>
    <t xml:space="preserve"> Mn      0.9751    0.0000    0.9938    0.7964     1.0567     1.1957     1.0428</t>
  </si>
  <si>
    <t xml:space="preserve"> Al      0.6515    0.0099    0.7307    0.9657     1.0028     1.3993     1.0000</t>
  </si>
  <si>
    <t xml:space="preserve"> P       0.6861    0.0020    0.7434    0.9434     1.0179     1.3981     0.9918</t>
  </si>
  <si>
    <t xml:space="preserve"> Mg      0.5443    0.0072    0.6240    1.0047     0.9953     1.5913     0.9935</t>
  </si>
  <si>
    <t xml:space="preserve"> Ca      0.9310    0.0061    0.9643    0.9155     1.0466     1.0757     1.0007</t>
  </si>
  <si>
    <t xml:space="preserve"> Ti      0.9482    0.0096    0.9756    0.8258     1.0530     1.1675     1.0050</t>
  </si>
  <si>
    <t xml:space="preserve"> Na       2.41      3.25      2.37      3.20     0.923   0.9842   0.02451   1.23667  </t>
  </si>
  <si>
    <t xml:space="preserve"> S        0.0273    0.0681    0.0268    0.0670   0.0075  0.9904   0.000275  0.051199  </t>
  </si>
  <si>
    <t xml:space="preserve"> Fe       9.31     11.98      9.16     11.79     1.466   1.0009   0.09306   0.89457  </t>
  </si>
  <si>
    <t xml:space="preserve"> Si      22.10     47.27     21.75     46.52     6.918   1.0095   0.21911   0.91462  </t>
  </si>
  <si>
    <t xml:space="preserve"> Cl       0.0881    0.0881    0.0867    0.0867   0.0219  0.9863   0.000893  0.061545  </t>
  </si>
  <si>
    <t xml:space="preserve"> F        0.1237    0.1237    0.1217    0.1217   0.0573  1.0295   0.001201  0.252397  </t>
  </si>
  <si>
    <t xml:space="preserve"> K        0.9948    1.1984    0.9790    1.1793   0.2238  0.9954   0.009995  1.461213  </t>
  </si>
  <si>
    <t xml:space="preserve"> Mn       0.1586    0.2048    0.1561    0.2015   0.0254  1.0428   0.001521  0.004515  </t>
  </si>
  <si>
    <t xml:space="preserve"> Al       8.06     15.24      7.94     14.99     2.629   1.0000   0.08067   1.21296  </t>
  </si>
  <si>
    <t xml:space="preserve"> P        0.2156    0.4940    0.2121    0.4861   0.0612  0.9918   0.002173  1.270940  </t>
  </si>
  <si>
    <t xml:space="preserve"> Mg       3.49      5.78      3.43      5.69     1.261   0.9935   0.03509   1.13980  </t>
  </si>
  <si>
    <t xml:space="preserve"> Ca       8.88     12.43      8.74     12.23     1.949   1.0007   0.08877   1.32667  </t>
  </si>
  <si>
    <t xml:space="preserve"> Ti       2.10      3.50      2.06      3.44     0.385   1.0050   0.02085   0.85274  </t>
  </si>
  <si>
    <t xml:space="preserve"> O       43.66       -       42.97       -      24.000      -         -        </t>
  </si>
  <si>
    <t>Total:  101.62    101.62    100.00    100.00    15.928</t>
  </si>
  <si>
    <t xml:space="preserve">Unknown Specimen No. 49 </t>
  </si>
  <si>
    <t xml:space="preserve"> UNK No.      :   49            Comment : UnknA-C22-PS1-L3_5                       </t>
  </si>
  <si>
    <t xml:space="preserve"> Stage        :    X=   19.3190  Y=   66.0355  Z=   11.4665 </t>
  </si>
  <si>
    <t xml:space="preserve"> Dated on Dec 20 19:04 2016 </t>
  </si>
  <si>
    <t xml:space="preserve"> 1 Na   129.476     35.1    0.0   13.6    6.29      139 </t>
  </si>
  <si>
    <t xml:space="preserve"> 2 S    171.948      1.7    4.9    4.1   35.09 ?    103 </t>
  </si>
  <si>
    <t xml:space="preserve"> 3 Fe   134.739    100.8    3.4    2.8    2.30      395 </t>
  </si>
  <si>
    <t xml:space="preserve"> 4 Si    77.822   3479.5   32.0   17.4    0.38      224 </t>
  </si>
  <si>
    <t xml:space="preserve"> 5 Cl   151.478      0.4    8.3    8.2  203.39 ?     45 </t>
  </si>
  <si>
    <t xml:space="preserve"> 6 F    199.140      0.6    3.3    2.0   76.98 ?    340 </t>
  </si>
  <si>
    <t xml:space="preserve"> 7 K    119.485      0.2   22.9   23.6  500.99 ?     55 </t>
  </si>
  <si>
    <t xml:space="preserve"> 8 Mn   146.243      1.9    1.5    1.7   22.42      262 </t>
  </si>
  <si>
    <t xml:space="preserve"> 9 Al    90.995    440.6   15.1    8.0    1.09      154 </t>
  </si>
  <si>
    <t xml:space="preserve">10 P    197.118      0.1    2.9    4.3  844.59 ?    173 </t>
  </si>
  <si>
    <t xml:space="preserve">11 Mg   107.534   1666.6   68.9    0.0    0.56      227 </t>
  </si>
  <si>
    <t xml:space="preserve">12 Ca   107.121   4851.8   37.3   46.4    0.32       98 </t>
  </si>
  <si>
    <t xml:space="preserve">13 Ti    88.305    385.9    0.0   47.8    1.21      129 </t>
  </si>
  <si>
    <t xml:space="preserve"> Na      0.4185    0.0047    0.4995    0.9853     0.9881     2.0467     0.9563</t>
  </si>
  <si>
    <t xml:space="preserve"> S       0.7799    0.0056    0.8327    0.9548     1.0249     1.2204     0.9800</t>
  </si>
  <si>
    <t xml:space="preserve"> Fe      0.9783    0.0000    0.9942    0.8042     1.0562     1.1841     1.0083</t>
  </si>
  <si>
    <t xml:space="preserve"> Si      0.7258    0.0018    0.7965    0.9797     1.0105     1.2659     0.9863</t>
  </si>
  <si>
    <t xml:space="preserve"> F       0.1774    0.0011    0.2329    1.0106     0.9756     4.3500     1.0962</t>
  </si>
  <si>
    <t xml:space="preserve"> Mn      0.9718    0.0000    0.9904    0.7926     1.0567     1.2055     1.0514</t>
  </si>
  <si>
    <t xml:space="preserve"> Al      0.6415    0.0106    0.7195    0.9611     1.0029     1.4268     1.0196</t>
  </si>
  <si>
    <t xml:space="preserve"> Mg      0.5705    0.0063    0.6540    1.0000     0.9953     1.5268     0.9532</t>
  </si>
  <si>
    <t xml:space="preserve"> Ca      0.9370    0.0037    0.9706    0.9112     1.0466     1.0764     1.0013</t>
  </si>
  <si>
    <t xml:space="preserve"> Ti      0.9395    0.0052    0.9667    0.8219     1.0531     1.1890     1.0236</t>
  </si>
  <si>
    <t xml:space="preserve"> Na       0.2992    0.4033    0.2933    0.3954   0.1149  0.9563   0.003129  0.157860  </t>
  </si>
  <si>
    <t xml:space="preserve"> S        0.0128    0.0320    0.0125    0.0313   0.0035  0.9800   0.000131  0.024275  </t>
  </si>
  <si>
    <t xml:space="preserve"> Fe       5.74      7.38      5.63      7.24     0.907   1.0083   0.05694   0.54731  </t>
  </si>
  <si>
    <t xml:space="preserve"> Si      22.49     48.11     22.05     47.17     7.067   0.9863   0.22831   0.95305  </t>
  </si>
  <si>
    <t xml:space="preserve"> Cl       0.0022    0.0022    0.0022    0.0022   0.0006  0.9781   0.000023  0.001581 ?</t>
  </si>
  <si>
    <t xml:space="preserve"> F        0.0528    0.0528    0.0518    0.0518   0.0245  1.0962   0.000482  0.101197  </t>
  </si>
  <si>
    <t xml:space="preserve"> K        0.0009    0.0011    0.0009    0.0011   0.0002  0.9819   0.000009  0.001358 ?</t>
  </si>
  <si>
    <t xml:space="preserve"> Mn       0.1193    0.1541    0.1170    0.1511   0.0192  1.0514   0.001135  0.003370  </t>
  </si>
  <si>
    <t xml:space="preserve"> Al       3.39      6.40      3.32      6.28     1.108   1.0196   0.03324   0.49971  </t>
  </si>
  <si>
    <t xml:space="preserve"> P        0.0009    0.0021    0.0009    0.0020   0.0003  0.9792   0.000009  0.005420 ?</t>
  </si>
  <si>
    <t xml:space="preserve"> Mg       8.34     13.83      8.18     13.56     3.028   0.9532   0.08756   2.84383  </t>
  </si>
  <si>
    <t xml:space="preserve"> Ca      16.64     23.28     16.31     22.83     3.664   1.0013   0.16623   2.48440  </t>
  </si>
  <si>
    <t xml:space="preserve"> Ti       1.40      2.34      1.37      2.29     0.258   1.0236   0.01370   0.56030  </t>
  </si>
  <si>
    <t xml:space="preserve"> O       43.51       -       42.66       -      24.000      -         -        </t>
  </si>
  <si>
    <t>Total:  102.00    102.00    100.00    100.00    16.196</t>
  </si>
  <si>
    <t xml:space="preserve">Unknown Specimen No. 50 </t>
  </si>
  <si>
    <t xml:space="preserve"> UNK No.      :   50            Comment : UnknA-C22-PS1-L3_6                       </t>
  </si>
  <si>
    <t xml:space="preserve"> Stage        :    X=   20.0500  Y=   66.1935  Z=   11.4665 </t>
  </si>
  <si>
    <t xml:space="preserve"> Dated on Dec 20 19:08 2016 </t>
  </si>
  <si>
    <t xml:space="preserve"> 1 Na   129.476    255.9    0.0   18.3    2.05      162 </t>
  </si>
  <si>
    <t xml:space="preserve"> 2 S    171.948      1.2    6.4    6.0   56.19 ?    121 </t>
  </si>
  <si>
    <t xml:space="preserve"> 3 Fe   134.739    164.5    2.7    3.0    1.78      389 </t>
  </si>
  <si>
    <t xml:space="preserve"> 4 Si    77.822   3386.5   31.8   16.3    0.39      222 </t>
  </si>
  <si>
    <t xml:space="preserve"> 5 Cl   151.478     11.3   10.2    8.0    8.77       48 </t>
  </si>
  <si>
    <t xml:space="preserve"> 6 F    199.140      0.9    3.7    3.3   56.54 ?    380 </t>
  </si>
  <si>
    <t xml:space="preserve"> 7 K    119.485    261.6   31.5   21.3    1.24       60 </t>
  </si>
  <si>
    <t xml:space="preserve"> 8 Mn   146.243      2.4    1.9    1.5   18.05      264 </t>
  </si>
  <si>
    <t xml:space="preserve"> 9 Al    90.995   1085.2   17.4   11.0    0.69      170 </t>
  </si>
  <si>
    <t xml:space="preserve">10 P    197.118     18.7    2.1    2.7    5.84      140 </t>
  </si>
  <si>
    <t xml:space="preserve">11 Mg   107.534    664.3   41.4    0.0    0.89      176 </t>
  </si>
  <si>
    <t xml:space="preserve">12 Ca   107.121   2644.7   32.7   38.6    0.44       91 </t>
  </si>
  <si>
    <t xml:space="preserve">13 Ti    88.305    587.6    0.0   47.5    0.96      128 </t>
  </si>
  <si>
    <t xml:space="preserve"> Na      0.4052    0.0041    0.4837    0.9897     0.9881     2.1058     0.9839</t>
  </si>
  <si>
    <t xml:space="preserve"> S       0.7693    0.0037    0.8214    0.9591     1.0249     1.2339     0.9908</t>
  </si>
  <si>
    <t xml:space="preserve"> Fe      0.9808    0.0000    0.9968    0.8079     1.0562     1.1757     1.0011</t>
  </si>
  <si>
    <t xml:space="preserve"> Si      0.7069    0.0013    0.7757    0.9841     1.0105     1.2947     1.0087</t>
  </si>
  <si>
    <t xml:space="preserve"> Cl      0.8318    0.0070    0.8814    0.9101     1.0314     1.2003     0.9865</t>
  </si>
  <si>
    <t xml:space="preserve"> F       0.1875    0.0013    0.2462    1.0152     0.9756     4.0964     1.0323</t>
  </si>
  <si>
    <t xml:space="preserve"> K       0.9099    0.0191    0.9488    0.9010     1.0423     1.1013     0.9953</t>
  </si>
  <si>
    <t xml:space="preserve"> Mn      0.9751    0.0000    0.9937    0.7962     1.0567     1.1960     1.0431</t>
  </si>
  <si>
    <t xml:space="preserve"> Al      0.6529    0.0100    0.7323    0.9655     1.0028     1.3965     0.9980</t>
  </si>
  <si>
    <t xml:space="preserve"> P       0.6860    0.0020    0.7433    0.9432     1.0179     1.3986     0.9922</t>
  </si>
  <si>
    <t xml:space="preserve"> Mg      0.5456    0.0073    0.6254    1.0045     0.9953     1.5877     0.9912</t>
  </si>
  <si>
    <t xml:space="preserve"> Ca      0.9311    0.0061    0.9644    0.9153     1.0466     1.0758     1.0008</t>
  </si>
  <si>
    <t xml:space="preserve"> Ti      0.9481    0.0095    0.9754    0.8257     1.0530     1.1680     1.0055</t>
  </si>
  <si>
    <t xml:space="preserve"> Na       2.24      3.02      2.19      2.96     0.851   0.9839   0.02281   1.15072  </t>
  </si>
  <si>
    <t xml:space="preserve"> S        0.0092    0.0229    0.0090    0.0224   0.0025  0.9908   0.000092  0.017191 ?</t>
  </si>
  <si>
    <t xml:space="preserve"> Fe       9.30     11.96      9.09     11.70     1.451   1.0011   0.09292   0.89320  </t>
  </si>
  <si>
    <t xml:space="preserve"> Si      22.38     47.88     21.88     46.81     6.945   1.0087   0.22222   0.92760  </t>
  </si>
  <si>
    <t xml:space="preserve"> Cl       0.0692    0.0692    0.0677    0.0677   0.0170  0.9865   0.000701  0.048341  </t>
  </si>
  <si>
    <t xml:space="preserve"> F        0.0759    0.0759    0.0742    0.0742   0.0348  1.0323   0.000735  0.154380  </t>
  </si>
  <si>
    <t xml:space="preserve"> K        0.9677    1.1657    0.9462    1.1398   0.2157  0.9953   0.009723  1.421481  </t>
  </si>
  <si>
    <t xml:space="preserve"> Mn       0.1551    0.2003    0.1517    0.1959   0.0246  1.0431   0.001487  0.004416  </t>
  </si>
  <si>
    <t xml:space="preserve"> Al       8.17     15.43      7.98     15.09     2.638   0.9980   0.08186   1.23084  </t>
  </si>
  <si>
    <t xml:space="preserve"> P        0.2296    0.5261    0.2245    0.5144   0.0646  0.9922   0.002314  1.353140  </t>
  </si>
  <si>
    <t xml:space="preserve"> Mg       3.46      5.74      3.38      5.61     1.240   0.9912   0.03491   1.13365  </t>
  </si>
  <si>
    <t xml:space="preserve"> Ca       9.07     12.69      8.87     12.40     1.972   1.0008   0.09061   1.35425  </t>
  </si>
  <si>
    <t xml:space="preserve"> Ti       2.10      3.50      2.05      3.42     0.382   1.0055   0.02086   0.85332  </t>
  </si>
  <si>
    <t xml:space="preserve"> O       44.06       -       43.08       -      24.000      -         -        </t>
  </si>
  <si>
    <t>Total:  102.28    102.28    100.00    100.00    15.837</t>
  </si>
  <si>
    <t xml:space="preserve">Unknown Specimen No. 51 </t>
  </si>
  <si>
    <t xml:space="preserve"> UNK No.      :   51            Comment : UnknA-C22-PS1-L3_7                       </t>
  </si>
  <si>
    <t xml:space="preserve"> Stage        :    X=   21.1185  Y=   65.9955  Z=   11.4625 </t>
  </si>
  <si>
    <t xml:space="preserve"> Dated on Dec 20 19:11 2016 </t>
  </si>
  <si>
    <t xml:space="preserve"> 1 Na   129.476    313.2    0.0   17.7    1.84      159 </t>
  </si>
  <si>
    <t xml:space="preserve"> 2 S    171.948      2.8    6.3    5.4   24.42      117 </t>
  </si>
  <si>
    <t xml:space="preserve"> 3 Fe   134.739    165.5    2.7    2.9    1.77      384 </t>
  </si>
  <si>
    <t xml:space="preserve"> 4 Si    77.822   3355.5   29.1   17.3    0.39      217 </t>
  </si>
  <si>
    <t xml:space="preserve"> 5 Cl   151.478     13.0    8.5    8.1    7.61       46 </t>
  </si>
  <si>
    <t xml:space="preserve"> 6 F    199.140      1.1    4.2    2.9   49.03 ?    388 </t>
  </si>
  <si>
    <t xml:space="preserve"> 7 K    119.485    203.4   28.9   21.3    1.44       58 </t>
  </si>
  <si>
    <t xml:space="preserve"> 8 Mn   146.243      2.3    2.3    1.9   19.89      292 </t>
  </si>
  <si>
    <t xml:space="preserve"> 9 Al    90.995   1072.7   18.2    9.9    0.69      170 </t>
  </si>
  <si>
    <t xml:space="preserve">10 P    197.118     17.2    2.9    2.6    6.19      147 </t>
  </si>
  <si>
    <t xml:space="preserve">11 Mg   107.534    641.1   41.5    0.0    0.91      176 </t>
  </si>
  <si>
    <t xml:space="preserve">12 Ca   107.121   2473.0   33.9   36.6    0.46       90 </t>
  </si>
  <si>
    <t xml:space="preserve">13 Ti    88.305    588.9    0.0   47.1    0.96      128 </t>
  </si>
  <si>
    <t xml:space="preserve"> Na      0.4059    0.0040    0.4844    0.9894     0.9883     2.1025     0.9824</t>
  </si>
  <si>
    <t xml:space="preserve"> S       0.7686    0.0035    0.8206    0.9589     1.0252     1.2354     0.9920</t>
  </si>
  <si>
    <t xml:space="preserve"> Fe      0.9811    0.0000    0.9971    0.8077     1.0564     1.1755     1.0009</t>
  </si>
  <si>
    <t xml:space="preserve"> Si      0.7057    0.0012    0.7744    0.9839     1.0107     1.2970     1.0105</t>
  </si>
  <si>
    <t xml:space="preserve"> Cl      0.8312    0.0066    0.8807    0.9099     1.0316     1.2018     0.9877</t>
  </si>
  <si>
    <t xml:space="preserve"> F       0.1889    0.0014    0.2480    1.0149     0.9758     4.0658     1.0246</t>
  </si>
  <si>
    <t xml:space="preserve"> K       0.9095    0.0183    0.9484    0.9008     1.0425     1.1026     0.9966</t>
  </si>
  <si>
    <t xml:space="preserve"> Mn      0.9755    0.0000    0.9941    0.7960     1.0569     1.1956     1.0427</t>
  </si>
  <si>
    <t xml:space="preserve"> Al      0.6513    0.0099    0.7304    0.9652     1.0031     1.4001     1.0005</t>
  </si>
  <si>
    <t xml:space="preserve"> P       0.6849    0.0019    0.7421    0.9429     1.0181     1.4009     0.9938</t>
  </si>
  <si>
    <t xml:space="preserve"> Mg      0.5430    0.0072    0.6225    1.0042     0.9956     1.5954     0.9960</t>
  </si>
  <si>
    <t xml:space="preserve"> Ca      0.9313    0.0062    0.9647    0.9151     1.0468     1.0754     1.0005</t>
  </si>
  <si>
    <t xml:space="preserve"> Ti      0.9490    0.0098    0.9764    0.8255     1.0532     1.1666     1.0043</t>
  </si>
  <si>
    <t xml:space="preserve"> Na       2.74      3.70      2.71      3.65     1.049   0.9824   0.02792   1.40857  </t>
  </si>
  <si>
    <t xml:space="preserve"> S        0.0217    0.0542    0.0214    0.0535   0.0060  0.9920   0.000219  0.040651  </t>
  </si>
  <si>
    <t xml:space="preserve"> Fe       9.35     12.03      9.23     11.88     1.473   1.0009   0.09347   0.89845  </t>
  </si>
  <si>
    <t xml:space="preserve"> Si      22.23     47.55     21.94     46.94     6.961   1.0105   0.22018   0.91911  </t>
  </si>
  <si>
    <t xml:space="preserve"> Cl       0.0802    0.0802    0.0792    0.0792   0.0199  0.9877   0.000812  0.055962  </t>
  </si>
  <si>
    <t xml:space="preserve"> F        0.0900    0.0900    0.0888    0.0888   0.0416  1.0246   0.000878  0.184444  </t>
  </si>
  <si>
    <t xml:space="preserve"> K        0.7536    0.9078    0.7439    0.8961   0.1695  0.9966   0.007562  1.105606  </t>
  </si>
  <si>
    <t xml:space="preserve"> Mn       0.1484    0.1917    0.1465    0.1892   0.0238  1.0427   0.001424  0.004227  </t>
  </si>
  <si>
    <t xml:space="preserve"> Al       8.09     15.29      7.99     15.10     2.639   1.0005   0.08092   1.21666  </t>
  </si>
  <si>
    <t xml:space="preserve"> P        0.2117    0.4851    0.2090    0.4788   0.0601  0.9938   0.002130  1.245648  </t>
  </si>
  <si>
    <t xml:space="preserve"> Mg       3.35      5.56      3.31      5.49     1.214   0.9960   0.03368   1.09392  </t>
  </si>
  <si>
    <t xml:space="preserve"> Ca       8.48     11.86      8.37     11.71     1.860   1.0005   0.08473   1.26632  </t>
  </si>
  <si>
    <t xml:space="preserve"> Ti       2.10      3.50      2.07      3.46     0.386   1.0043   0.02091   0.85514  </t>
  </si>
  <si>
    <t xml:space="preserve"> O       43.66       -       43.09       -      24.000      -         -        </t>
  </si>
  <si>
    <t>Total:  101.31    101.31    100.00    100.00    15.903</t>
  </si>
  <si>
    <t xml:space="preserve">Unknown Specimen No. 52 </t>
  </si>
  <si>
    <t xml:space="preserve"> UNK No.      :   52            Comment : UnknA-C22-PS1-L3_8                       </t>
  </si>
  <si>
    <t xml:space="preserve"> Stage        :    X=   21.4720  Y=   65.7015  Z=   11.4635 </t>
  </si>
  <si>
    <t xml:space="preserve"> Dated on Dec 20 19:15 2016 </t>
  </si>
  <si>
    <t xml:space="preserve"> 1 Na   129.476    317.7    0.0   19.9    1.83      168 </t>
  </si>
  <si>
    <t xml:space="preserve"> 2 S    171.948      2.0    5.3    5.7   32.71      115 </t>
  </si>
  <si>
    <t xml:space="preserve"> 3 Fe   134.739    155.9    2.9    3.2    1.83      402 </t>
  </si>
  <si>
    <t xml:space="preserve"> 4 Si    77.822   3395.9   31.0   16.2    0.39      220 </t>
  </si>
  <si>
    <t xml:space="preserve"> 5 Cl   151.478     10.7    7.9    9.5    9.08       47 </t>
  </si>
  <si>
    <t xml:space="preserve"> 6 F    199.140      1.3    2.6    4.1   38.48 ?    361 </t>
  </si>
  <si>
    <t xml:space="preserve"> 7 K    119.485    164.3   25.8   19.7    1.62       55 </t>
  </si>
  <si>
    <t xml:space="preserve"> 8 Mn   146.243      1.8    2.0    2.3   25.37      299 </t>
  </si>
  <si>
    <t xml:space="preserve"> 9 Al    90.995   1087.9   13.8    8.9    0.69      152 </t>
  </si>
  <si>
    <t xml:space="preserve">10 P    197.118     17.8    3.8    2.2    6.08      149 </t>
  </si>
  <si>
    <t xml:space="preserve">11 Mg   107.534    653.0   41.8    0.0    0.90      177 </t>
  </si>
  <si>
    <t xml:space="preserve">12 Ca   107.121   2560.2   34.1   37.6    0.45       91 </t>
  </si>
  <si>
    <t xml:space="preserve">13 Ti    88.305    597.6    0.0   42.8    0.95      122 </t>
  </si>
  <si>
    <t xml:space="preserve"> Na      0.4092    0.0041    0.4884    0.9882     0.9888     2.0870     0.9751</t>
  </si>
  <si>
    <t xml:space="preserve"> S       0.7687    0.0035    0.8207    0.9577     1.0256     1.2361     0.9926</t>
  </si>
  <si>
    <t xml:space="preserve"> Fe      0.9810    0.0000    0.9970    0.8068     1.0566     1.1766     1.0019</t>
  </si>
  <si>
    <t xml:space="preserve"> Si      0.7070    0.0012    0.7758    0.9827     1.0112     1.2956     1.0094</t>
  </si>
  <si>
    <t xml:space="preserve"> Cl      0.8313    0.0066    0.8808    0.9088     1.0321     1.2025     0.9883</t>
  </si>
  <si>
    <t xml:space="preserve"> F       0.1881    0.0013    0.2470    1.0136     0.9762     4.0858     1.0296</t>
  </si>
  <si>
    <t xml:space="preserve"> K       0.9096    0.0187    0.9485    0.8998     1.0429     1.1029     0.9968</t>
  </si>
  <si>
    <t xml:space="preserve"> Mn      0.9754    0.0000    0.9940    0.7951     1.0571     1.1968     1.0438</t>
  </si>
  <si>
    <t xml:space="preserve"> Al      0.6535    0.0101    0.7330    0.9640     1.0036     1.3961     0.9977</t>
  </si>
  <si>
    <t xml:space="preserve"> P       0.6851    0.0019    0.7423    0.9418     1.0186     1.4016     0.9943</t>
  </si>
  <si>
    <t xml:space="preserve"> Mg      0.5461    0.0073    0.6260    1.0030     0.9960     1.5875     0.9911</t>
  </si>
  <si>
    <t xml:space="preserve"> Ca      0.9318    0.0060    0.9651    0.9140     1.0472     1.0760     1.0010</t>
  </si>
  <si>
    <t xml:space="preserve"> Ti      0.9488    0.0091    0.9762    0.8245     1.0536     1.1685     1.0059</t>
  </si>
  <si>
    <t xml:space="preserve"> Na       2.76      3.72      2.72      3.66     1.048   0.9751   0.02832   1.42883  </t>
  </si>
  <si>
    <t xml:space="preserve"> S        0.0155    0.0387    0.0153    0.0381   0.0042  0.9926   0.000156  0.029041  </t>
  </si>
  <si>
    <t xml:space="preserve"> Fe       8.82     11.34      8.67     11.16     1.378   1.0019   0.08803   0.84622  </t>
  </si>
  <si>
    <t xml:space="preserve"> Si      22.47     48.06     22.10     47.27     6.981   1.0094   0.22283   0.93015  </t>
  </si>
  <si>
    <t xml:space="preserve"> Cl       0.0657    0.0657    0.0646    0.0646   0.0162  0.9883   0.000665  0.045828  </t>
  </si>
  <si>
    <t xml:space="preserve"> F        0.1074    0.1074    0.1056    0.1056   0.0493  1.0296   0.001043  0.219107  </t>
  </si>
  <si>
    <t xml:space="preserve"> K        0.6088    0.7333    0.5988    0.7213   0.1359  0.9968   0.006107  0.892852  </t>
  </si>
  <si>
    <t xml:space="preserve"> Mn       0.1139    0.1470    0.1120    0.1446   0.0181  1.0438   0.001091  0.003239  </t>
  </si>
  <si>
    <t xml:space="preserve"> Al       8.18     15.46      8.05     15.21     2.648   0.9977   0.08206   1.23386  </t>
  </si>
  <si>
    <t xml:space="preserve"> P        0.2187    0.5012    0.2151    0.4930   0.0616  0.9943   0.002200  1.286296  </t>
  </si>
  <si>
    <t xml:space="preserve"> Mg       3.40      5.64      3.34      5.55     1.221   0.9911   0.03431   1.11434  </t>
  </si>
  <si>
    <t xml:space="preserve"> Ca       8.78     12.28      8.64     12.08     1.912   1.0010   0.08772   1.31096  </t>
  </si>
  <si>
    <t xml:space="preserve"> Ti       2.13      3.56      2.10      3.50     0.389   1.0059   0.02122   0.86786  </t>
  </si>
  <si>
    <t xml:space="preserve"> O       43.99       -       43.27       -      24.000      -         -        </t>
  </si>
  <si>
    <t>Total:  101.67    101.67    100.00    100.00    15.862</t>
  </si>
  <si>
    <t xml:space="preserve">Unknown Specimen No. 53 </t>
  </si>
  <si>
    <t xml:space="preserve"> UNK No.      :   53            Comment : UnknA-C22-PS1-L3_9                       </t>
  </si>
  <si>
    <t xml:space="preserve"> Stage        :    X=   21.2760  Y=   65.0955  Z=   11.4635 </t>
  </si>
  <si>
    <t xml:space="preserve"> Dated on Dec 20 19:18 2016 </t>
  </si>
  <si>
    <t xml:space="preserve"> 1 Na   129.476    332.8    0.0   21.4    1.79      175 </t>
  </si>
  <si>
    <t xml:space="preserve"> 2 S    171.948      3.1    6.3    4.7   21.72      113 </t>
  </si>
  <si>
    <t xml:space="preserve"> 3 Fe   134.739    146.4    1.8    2.9    1.88      364 </t>
  </si>
  <si>
    <t xml:space="preserve"> 4 Si    77.822   3400.9   29.0   20.1    0.39      222 </t>
  </si>
  <si>
    <t xml:space="preserve"> 5 Cl   151.478     12.6    7.3    6.9    7.52       42 </t>
  </si>
  <si>
    <t xml:space="preserve"> 6 F    199.140      0.5    4.1    2.9  107.96 ?    386 </t>
  </si>
  <si>
    <t xml:space="preserve"> 7 K    119.485    288.7   35.1   21.1    1.18       62 </t>
  </si>
  <si>
    <t xml:space="preserve"> 8 Mn   146.243      2.0    2.1    2.2   23.05      299 </t>
  </si>
  <si>
    <t xml:space="preserve"> 9 Al    90.995   1105.7   15.2    9.1    0.68      158 </t>
  </si>
  <si>
    <t xml:space="preserve">10 P    197.118     21.3    2.2    2.5    5.39      138 </t>
  </si>
  <si>
    <t xml:space="preserve">11 Mg   107.534    639.3   41.6    0.0    0.91      177 </t>
  </si>
  <si>
    <t xml:space="preserve">12 Ca   107.121   2419.1   34.6   33.9    0.46       88 </t>
  </si>
  <si>
    <t xml:space="preserve">13 Ti    88.305    609.2    0.0   49.5    0.94      131 </t>
  </si>
  <si>
    <t xml:space="preserve"> Na      0.4125    0.0041    0.4924    0.9874     0.9892     2.0708     0.9675</t>
  </si>
  <si>
    <t xml:space="preserve"> S       0.7686    0.0035    0.8207    0.9570     1.0260     1.2367     0.9930</t>
  </si>
  <si>
    <t xml:space="preserve"> Fe      0.9810    0.0000    0.9970    0.8062     1.0568     1.1773     1.0024</t>
  </si>
  <si>
    <t xml:space="preserve"> Si      0.7079    0.0012    0.7769    0.9819     1.0116     1.2943     1.0084</t>
  </si>
  <si>
    <t xml:space="preserve"> Cl      0.8312    0.0067    0.8807    0.9081     1.0324     1.2030     0.9887</t>
  </si>
  <si>
    <t xml:space="preserve"> F       0.1876    0.0013    0.2463    1.0128     0.9766     4.0988     1.0329</t>
  </si>
  <si>
    <t xml:space="preserve"> K       0.9095    0.0177    0.9484    0.8991     1.0432     1.1045     0.9983</t>
  </si>
  <si>
    <t xml:space="preserve"> Mn      0.9753    0.0000    0.9940    0.7946     1.0573     1.1975     1.0444</t>
  </si>
  <si>
    <t xml:space="preserve"> Al      0.6559    0.0102    0.7357    0.9633     1.0040     1.3914     0.9943</t>
  </si>
  <si>
    <t xml:space="preserve"> P       0.6852    0.0019    0.7425    0.9411     1.0190     1.4018     0.9945</t>
  </si>
  <si>
    <t xml:space="preserve"> Mg      0.5484    0.0074    0.6287    1.0022     0.9964     1.5811     0.9871</t>
  </si>
  <si>
    <t xml:space="preserve"> Ca      0.9306    0.0059    0.9639    0.9133     1.0475     1.0780     1.0029</t>
  </si>
  <si>
    <t xml:space="preserve"> Ti      0.9488    0.0086    0.9762    0.8239     1.0539     1.1696     1.0069</t>
  </si>
  <si>
    <t xml:space="preserve"> Na       2.87      3.87      2.83      3.82     1.091   0.9675   0.02967   1.49679  </t>
  </si>
  <si>
    <t xml:space="preserve"> S        0.0240    0.0599    0.0237    0.0592   0.0065  0.9930   0.000242  0.044911  </t>
  </si>
  <si>
    <t xml:space="preserve"> Fe       8.29     10.66      8.18     10.52     1.296   1.0024   0.08267   0.79469  </t>
  </si>
  <si>
    <t xml:space="preserve"> Si      22.48     48.10     22.20     47.49     6.994   1.0084   0.22316   0.93154  </t>
  </si>
  <si>
    <t xml:space="preserve"> Cl       0.0774    0.0774    0.0764    0.0764   0.0191  0.9887   0.000783  0.053963  </t>
  </si>
  <si>
    <t xml:space="preserve"> F        0.0395    0.0395    0.0390    0.0390   0.0182  1.0329   0.000382  0.080298  </t>
  </si>
  <si>
    <t xml:space="preserve"> K        1.07      1.29      1.06      1.27     0.239   0.9983   0.01073   1.56870  </t>
  </si>
  <si>
    <t xml:space="preserve"> Mn       0.1273    0.1643    0.1256    0.1622   0.0202  1.0444   0.001219  0.003618  </t>
  </si>
  <si>
    <t xml:space="preserve"> Al       8.29     15.67      8.19     15.47     2.685   0.9943   0.08341   1.25410  </t>
  </si>
  <si>
    <t xml:space="preserve"> P        0.2613    0.5988    0.2580    0.5912   0.0737  0.9945   0.002628  1.536582  </t>
  </si>
  <si>
    <t xml:space="preserve"> Mg       3.31      5.50      3.27      5.43     1.191   0.9871   0.03359   1.09084  </t>
  </si>
  <si>
    <t xml:space="preserve"> Ca       8.31     11.63      8.21     11.48     1.812   1.0029   0.08288   1.23873  </t>
  </si>
  <si>
    <t xml:space="preserve"> Ti       2.18      3.63      2.15      3.59     0.397   1.0069   0.02163   0.88459  </t>
  </si>
  <si>
    <t xml:space="preserve"> O       43.95       -       43.39       -      24.000      -         -        </t>
  </si>
  <si>
    <t>Total:  101.28    101.28    100.00    100.00    15.845</t>
  </si>
  <si>
    <t xml:space="preserve">Unknown Specimen No. 54 </t>
  </si>
  <si>
    <t xml:space="preserve"> UNK No.      :   54            Comment : VGA99_                                   </t>
  </si>
  <si>
    <t xml:space="preserve"> Stage        :    X=   42.5180  Y=   29.7050  Z=   11.4010 </t>
  </si>
  <si>
    <t xml:space="preserve"> Dated on Dec 20 19:22 2016 </t>
  </si>
  <si>
    <t xml:space="preserve"> 1 Na   129.476    233.2    0.0   16.2    2.14      152 </t>
  </si>
  <si>
    <t xml:space="preserve"> 2 S    171.948      2.4    5.4    4.6   26.36      108 </t>
  </si>
  <si>
    <t xml:space="preserve"> 3 Fe   134.739    187.9    1.7    3.8    1.66      403 </t>
  </si>
  <si>
    <t xml:space="preserve"> 4 Si    77.822   3669.5   27.2   17.7    0.37      213 </t>
  </si>
  <si>
    <t xml:space="preserve"> 5 Cl   151.478      3.3   10.5    7.7   25.83       48 </t>
  </si>
  <si>
    <t xml:space="preserve"> 6 F    199.140      0.6    3.6    3.3   89.62 ?    378 </t>
  </si>
  <si>
    <t xml:space="preserve"> 7 K    119.485    182.4   27.1   22.3    1.53       57 </t>
  </si>
  <si>
    <t xml:space="preserve"> 8 Mn   146.243      2.5    2.1    1.7   18.16      280 </t>
  </si>
  <si>
    <t xml:space="preserve"> 9 Al    90.995    872.9   13.4   10.3    0.77      155 </t>
  </si>
  <si>
    <t xml:space="preserve">10 P    197.118     15.0    3.0    2.4    6.72      144 </t>
  </si>
  <si>
    <t xml:space="preserve">11 Mg   107.534    602.1   38.0    0.0    0.94      169 </t>
  </si>
  <si>
    <t xml:space="preserve">12 Ca   107.121   1957.5   33.1   32.6    0.51       86 </t>
  </si>
  <si>
    <t xml:space="preserve">13 Ti    88.305    689.1    0.0   48.9    0.88      130 </t>
  </si>
  <si>
    <t xml:space="preserve"> Na      0.3980    0.0040    0.4750    0.9904     0.9879     2.1431     1.0013</t>
  </si>
  <si>
    <t xml:space="preserve"> S       0.7652    0.0030    0.8170    0.9598     1.0247     1.2408     0.9963</t>
  </si>
  <si>
    <t xml:space="preserve"> Fe      0.9817    0.0000    0.9976    0.8085     1.0561     1.1740     0.9996</t>
  </si>
  <si>
    <t xml:space="preserve"> Si      0.7126    0.0010    0.7820    0.9848     1.0102     1.2840     1.0003</t>
  </si>
  <si>
    <t xml:space="preserve"> Cl      0.8286    0.0057    0.8780    0.9108     1.0312     1.2059     0.9911</t>
  </si>
  <si>
    <t xml:space="preserve"> F       0.1901    0.0014    0.2496    1.0159     0.9754     4.0370     1.0174</t>
  </si>
  <si>
    <t xml:space="preserve"> K       0.9082    0.0158    0.9470    0.9017     1.0421     1.1063     0.9999</t>
  </si>
  <si>
    <t xml:space="preserve"> Mn      0.9762    0.0000    0.9949    0.7968     1.0566     1.1939     1.0413</t>
  </si>
  <si>
    <t xml:space="preserve"> Al      0.6495    0.0109    0.7284    0.9662     1.0026     1.4019     1.0019</t>
  </si>
  <si>
    <t xml:space="preserve"> P       0.6807    0.0016    0.7375    0.9438     1.0177     1.4093     0.9998</t>
  </si>
  <si>
    <t xml:space="preserve"> Mg      0.5396    0.0072    0.6185    1.0052     0.9951     1.6048     1.0019</t>
  </si>
  <si>
    <t xml:space="preserve"> Ca      0.9305    0.0073    0.9638    0.9160     1.0464     1.0746     0.9997</t>
  </si>
  <si>
    <t xml:space="preserve"> Ti      0.9513    0.0115    0.9788    0.8263     1.0529     1.1610     0.9995</t>
  </si>
  <si>
    <t xml:space="preserve"> Na       2.08      2.80      2.07      2.79     0.792   1.0013   0.02078   1.04857  </t>
  </si>
  <si>
    <t xml:space="preserve"> S        0.0187    0.0467    0.0186    0.0463   0.0051  0.9963   0.000188  0.034854  </t>
  </si>
  <si>
    <t xml:space="preserve"> Fe      10.61     13.65     10.54     13.55     1.661   0.9996   0.10613   1.02021  </t>
  </si>
  <si>
    <t xml:space="preserve"> Si      24.07     51.50     23.91     51.15     7.496   1.0003   0.24079   1.00512  </t>
  </si>
  <si>
    <t xml:space="preserve"> Cl       0.0201    0.0201    0.0200    0.0200   0.0050  0.9911   0.000203  0.013970  </t>
  </si>
  <si>
    <t xml:space="preserve"> F        0.0459    0.0459    0.0455    0.0455   0.0211  1.0174   0.000451  0.094688  </t>
  </si>
  <si>
    <t xml:space="preserve"> K        0.6780    0.8168    0.6734    0.8112   0.1517  0.9999   0.006781  0.991394  </t>
  </si>
  <si>
    <t xml:space="preserve"> Mn       0.1607    0.2075    0.1596    0.2061   0.0256  1.0413   0.001543  0.004582  </t>
  </si>
  <si>
    <t xml:space="preserve"> Al       6.60     12.46      6.55     12.38     2.138   1.0019   0.06585   0.99001  </t>
  </si>
  <si>
    <t xml:space="preserve"> P        0.1856    0.4254    0.1844    0.4225   0.0524  0.9998   0.001857  1.085764  </t>
  </si>
  <si>
    <t xml:space="preserve"> Mg       3.17      5.25      3.15      5.22     1.140   1.0019   0.03163   1.02743  </t>
  </si>
  <si>
    <t xml:space="preserve"> Ca       6.70      9.38      6.66      9.32     1.463   0.9997   0.06707   1.00235  </t>
  </si>
  <si>
    <t xml:space="preserve"> Ti       2.45      4.08      2.43      4.05     0.446   0.9995   0.02447   1.00065  </t>
  </si>
  <si>
    <t xml:space="preserve"> O       43.90       -       43.60       -      24.000      -         -        </t>
  </si>
  <si>
    <t>Total:  100.69    100.69    100.00    100.00    15.397</t>
  </si>
  <si>
    <t xml:space="preserve">Unknown Specimen No. 55 </t>
  </si>
  <si>
    <t xml:space="preserve"> UNK No.      :   55            Comment : VGA99_                                   </t>
  </si>
  <si>
    <t xml:space="preserve"> Stage        :    X=   42.3735  Y=   29.7465  Z=   11.4010 </t>
  </si>
  <si>
    <t xml:space="preserve"> Dated on Dec 20 19:25 2016 </t>
  </si>
  <si>
    <t xml:space="preserve">Curr.(A) : 1.008E-08 </t>
  </si>
  <si>
    <t xml:space="preserve"> 1 Na   129.476    212.9    0.0   18.2    2.26      161 </t>
  </si>
  <si>
    <t xml:space="preserve"> 2 S    171.948      0.8    5.7    5.8   78.17 ?    117 </t>
  </si>
  <si>
    <t xml:space="preserve"> 3 Fe   134.739    185.2    2.5    2.4    1.67      356 </t>
  </si>
  <si>
    <t xml:space="preserve"> 4 Si    77.822   3666.2   30.7   19.6    0.37      225 </t>
  </si>
  <si>
    <t xml:space="preserve"> 5 Cl   151.478      2.9    8.1    8.3   27.44       45 </t>
  </si>
  <si>
    <t xml:space="preserve"> 6 F    199.140      0.9    3.7    3.1   56.31 ?    378 </t>
  </si>
  <si>
    <t xml:space="preserve"> 7 K    119.485    182.2   27.1   22.3    1.53       57 </t>
  </si>
  <si>
    <t xml:space="preserve"> 8 Mn   146.243      2.0    2.3    1.6   22.21      282 </t>
  </si>
  <si>
    <t xml:space="preserve"> 9 Al    90.995    878.7   18.6    8.7    0.77      168 </t>
  </si>
  <si>
    <t xml:space="preserve">10 P    197.118     13.6    2.9    2.2    7.09      140 </t>
  </si>
  <si>
    <t xml:space="preserve">11 Mg   107.534    596.0   39.5    0.0    0.95      172 </t>
  </si>
  <si>
    <t xml:space="preserve">12 Ca   107.121   1956.8   33.3   34.8    0.51       88 </t>
  </si>
  <si>
    <t xml:space="preserve">13 Ti    88.305    689.0    0.0   47.1    0.88      128 </t>
  </si>
  <si>
    <t xml:space="preserve"> Na      0.3984    0.0040    0.4755    0.9902     0.9879     2.1416     1.0006</t>
  </si>
  <si>
    <t xml:space="preserve"> S       0.7652    0.0030    0.8170    0.9596     1.0248     1.2411     0.9966</t>
  </si>
  <si>
    <t xml:space="preserve"> Fe      0.9816    0.0000    0.9976    0.8083     1.0561     1.1742     0.9999</t>
  </si>
  <si>
    <t xml:space="preserve"> Si      0.7131    0.0010    0.7826    0.9846     1.0103     1.2833     0.9997</t>
  </si>
  <si>
    <t xml:space="preserve"> Cl      0.8286    0.0057    0.8780    0.9106     1.0312     1.2061     0.9913</t>
  </si>
  <si>
    <t xml:space="preserve"> F       0.1899    0.0014    0.2493    1.0157     0.9755     4.0428     1.0188</t>
  </si>
  <si>
    <t xml:space="preserve"> K       0.9082    0.0158    0.9470    0.9015     1.0422     1.1065     1.0000</t>
  </si>
  <si>
    <t xml:space="preserve"> Mn      0.9761    0.0000    0.9948    0.7966     1.0566     1.1942     1.0415</t>
  </si>
  <si>
    <t xml:space="preserve"> Al      0.6508    0.0109    0.7299    0.9659     1.0027     1.3993     1.0000</t>
  </si>
  <si>
    <t xml:space="preserve"> P       0.6805    0.0016    0.7374    0.9436     1.0177     1.4099     1.0002</t>
  </si>
  <si>
    <t xml:space="preserve"> Mg      0.5410    0.0072    0.6201    1.0050     0.9951     1.6009     0.9994</t>
  </si>
  <si>
    <t xml:space="preserve"> Ca      0.9305    0.0072    0.9638    0.9158     1.0465     1.0749     0.9999</t>
  </si>
  <si>
    <t xml:space="preserve"> Ti      0.9512    0.0114    0.9787    0.8261     1.0529     1.1615     0.9999</t>
  </si>
  <si>
    <t xml:space="preserve"> Na       1.90      2.56      1.90      2.56     0.725   1.0006   0.01895   0.95629  </t>
  </si>
  <si>
    <t xml:space="preserve"> S        0.0063    0.0158    0.0063    0.0158   0.0017  0.9966   0.000064  0.011823 ?</t>
  </si>
  <si>
    <t xml:space="preserve"> Fe      10.45     13.44     10.45     13.44     1.645   0.9999   0.10449   1.00446  </t>
  </si>
  <si>
    <t xml:space="preserve"> Si      24.03     51.40     24.02     51.39     7.519   0.9997   0.24033   1.00319  </t>
  </si>
  <si>
    <t xml:space="preserve"> Cl       0.0181    0.0181    0.0181    0.0181   0.0045  0.9913   0.000182  0.012552  </t>
  </si>
  <si>
    <t xml:space="preserve"> F        0.0749    0.0749    0.0749    0.0749   0.0347  1.0188   0.000735  0.154448  </t>
  </si>
  <si>
    <t xml:space="preserve"> K        0.6766    0.8150    0.6765    0.8149   0.1521  1.0000   0.006766  0.989124  </t>
  </si>
  <si>
    <t xml:space="preserve"> Mn       0.1261    0.1629    0.1261    0.1629   0.0202  1.0415   0.001211  0.003596  </t>
  </si>
  <si>
    <t xml:space="preserve"> Al       6.62     12.51      6.62     12.51     2.158   1.0000   0.06622   0.99565  </t>
  </si>
  <si>
    <t xml:space="preserve"> P        0.1678    0.3845    0.1678    0.3844   0.0476  1.0002   0.001677  0.980911  </t>
  </si>
  <si>
    <t xml:space="preserve"> Mg       3.13      5.18      3.13      5.18     1.131   0.9994   0.03129   1.01609  </t>
  </si>
  <si>
    <t xml:space="preserve"> Ca       6.70      9.37      6.70      9.37     1.469   0.9999   0.06698   1.00102  </t>
  </si>
  <si>
    <t xml:space="preserve"> Ti       2.44      4.08      2.44      4.08     0.448   0.9999   0.02444   0.99958  </t>
  </si>
  <si>
    <t xml:space="preserve"> O       43.68       -       43.68       -      24.000      -         -        </t>
  </si>
  <si>
    <t>Total:  100.01    100.01    100.00    100.00    15.356</t>
  </si>
  <si>
    <t xml:space="preserve">Unknown Specimen No. 56 </t>
  </si>
  <si>
    <t xml:space="preserve"> UNK No.      :   56            Comment : VG-2_                                    </t>
  </si>
  <si>
    <t xml:space="preserve"> Stage        :    X=   60.2780  Y=   33.6935  Z=   11.3740 </t>
  </si>
  <si>
    <t xml:space="preserve"> Dated on Dec 20 19:29 2016 </t>
  </si>
  <si>
    <t xml:space="preserve"> 1 Na   129.476    238.6    0.0   19.7    2.13      167 </t>
  </si>
  <si>
    <t xml:space="preserve"> 2 S    171.948     18.9    6.1    5.1    5.30      115 </t>
  </si>
  <si>
    <t xml:space="preserve"> 3 Fe   134.739    162.4    3.7    3.2    1.79      418 </t>
  </si>
  <si>
    <t xml:space="preserve"> 4 Si    77.822   3630.7   30.4   16.3    0.37      218 </t>
  </si>
  <si>
    <t xml:space="preserve"> 5 Cl   151.478      5.6    7.8    8.7   15.45       46 </t>
  </si>
  <si>
    <t xml:space="preserve"> 6 F    199.140      0.2    2.7    2.8  240.25 ?    333 </t>
  </si>
  <si>
    <t xml:space="preserve"> 7 K    119.485     43.4   22.6   21.3    3.95       54 </t>
  </si>
  <si>
    <t xml:space="preserve"> 8 Mn   146.243      2.4    2.1    1.9   19.42      288 </t>
  </si>
  <si>
    <t xml:space="preserve"> 9 Al    90.995    979.9   16.2    8.2    0.72      158 </t>
  </si>
  <si>
    <t xml:space="preserve">10 P    197.118      6.0    3.1    2.8   12.83      152 </t>
  </si>
  <si>
    <t xml:space="preserve">11 Mg   107.534    831.3   43.2    0.0    0.80      180 </t>
  </si>
  <si>
    <t xml:space="preserve">12 Ca   107.121   2346.8   36.9   36.1    0.47       91 </t>
  </si>
  <si>
    <t xml:space="preserve">13 Ti    88.305    312.1    0.0   47.8    1.36      129 </t>
  </si>
  <si>
    <t xml:space="preserve"> Na      0.4110    0.0043    0.4905    0.9856     0.9896     2.0812     0.9724</t>
  </si>
  <si>
    <t xml:space="preserve"> S       0.7656    0.0030    0.8174    0.9552     1.0264     1.2441     0.9989</t>
  </si>
  <si>
    <t xml:space="preserve"> Fe      0.9821    0.0000    0.9981    0.8048     1.0570     1.1778     1.0029</t>
  </si>
  <si>
    <t xml:space="preserve"> Si      0.7105    0.0010    0.7797    0.9801     1.0120     1.2918     1.0064</t>
  </si>
  <si>
    <t xml:space="preserve"> Cl      0.8284    0.0057    0.8777    0.9065     1.0328     1.2101     0.9945</t>
  </si>
  <si>
    <t xml:space="preserve"> F       0.1910    0.0014    0.2508    1.0109     0.9769     4.0318     1.0160</t>
  </si>
  <si>
    <t xml:space="preserve"> K       0.9080    0.0168    0.9469    0.8975     1.0436     1.1090     1.0023</t>
  </si>
  <si>
    <t xml:space="preserve"> Mn      0.9768    0.0000    0.9955    0.7932     1.0576     1.1976     1.0444</t>
  </si>
  <si>
    <t xml:space="preserve"> Al      0.6525    0.0107    0.7318    0.9615     1.0044     1.4000     1.0005</t>
  </si>
  <si>
    <t xml:space="preserve"> P       0.6804    0.0017    0.7373    0.9393     1.0194     1.4141     1.0032</t>
  </si>
  <si>
    <t xml:space="preserve"> Mg      0.5520    0.0074    0.6328    1.0003     0.9968     1.5731     0.9821</t>
  </si>
  <si>
    <t xml:space="preserve"> Ca      0.9317    0.0050    0.9651    0.9117     1.0479     1.0792     1.0040</t>
  </si>
  <si>
    <t xml:space="preserve"> Ti      0.9498    0.0100    0.9773    0.8224     1.0541     1.1686     1.0060</t>
  </si>
  <si>
    <t xml:space="preserve"> Na       2.07      2.78      2.05      2.76     0.778   0.9724   0.02124   1.07181  </t>
  </si>
  <si>
    <t xml:space="preserve"> S        0.1450    0.3621    0.1436    0.3586   0.0392  0.9989   0.001452  0.269843  </t>
  </si>
  <si>
    <t xml:space="preserve"> Fe       9.19     11.82      9.10     11.70     1.424   1.0029   0.09161   0.88059  </t>
  </si>
  <si>
    <t xml:space="preserve"> Si      23.94     51.20     23.70     50.71     7.376   1.0064   0.23800   0.99348  </t>
  </si>
  <si>
    <t xml:space="preserve"> Cl       0.0345    0.0345    0.0341    0.0341   0.0084  0.9945   0.000346  0.023876  </t>
  </si>
  <si>
    <t xml:space="preserve"> F        0.0147    0.0147    0.0145    0.0145   0.0067  1.0160   0.000144  0.030327 ?</t>
  </si>
  <si>
    <t xml:space="preserve"> K        0.1615    0.1945    0.1599    0.1926   0.0357  1.0023   0.001611  0.235518  </t>
  </si>
  <si>
    <t xml:space="preserve"> Mn       0.1517    0.1959    0.1502    0.1940   0.0239  1.0444   0.001453  0.004313  </t>
  </si>
  <si>
    <t xml:space="preserve"> Al       7.39     13.96      7.31     13.82     2.370   1.0005   0.07385   1.11030  </t>
  </si>
  <si>
    <t xml:space="preserve"> P        0.0748    0.1713    0.0740    0.1697   0.0209  1.0032   0.000745  0.435860  </t>
  </si>
  <si>
    <t xml:space="preserve"> Mg       4.28      7.10      4.24      7.04     1.526   0.9821   0.04363   1.41712  </t>
  </si>
  <si>
    <t xml:space="preserve"> Ca       8.06     11.28      7.99     11.17     1.742   1.0040   0.08033   1.20054  </t>
  </si>
  <si>
    <t xml:space="preserve"> Ti       1.11      1.86      1.10      1.84     0.201   1.0060   0.01107   0.45274  </t>
  </si>
  <si>
    <t xml:space="preserve"> O       44.36       -       43.93       -      24.000      -         -        </t>
  </si>
  <si>
    <t>Total:  100.98    100.98    100.00    100.00    15.550</t>
  </si>
  <si>
    <t xml:space="preserve">Unknown Specimen No. 57 </t>
  </si>
  <si>
    <t xml:space="preserve"> UNK No.      :   57            Comment : VG-2_                                    </t>
  </si>
  <si>
    <t xml:space="preserve"> Stage        :    X=   60.0725  Y=   33.7340  Z=   11.3740 </t>
  </si>
  <si>
    <t xml:space="preserve"> Dated on Dec 20 19:32 2016 </t>
  </si>
  <si>
    <t xml:space="preserve"> 1 Na   129.476    239.5    0.0   16.1    2.11      151 </t>
  </si>
  <si>
    <t xml:space="preserve"> 2 S    171.948     19.4    5.8    5.1    5.18      113 </t>
  </si>
  <si>
    <t xml:space="preserve"> 3 Fe   134.739    160.6    2.9    3.2    1.80      402 </t>
  </si>
  <si>
    <t xml:space="preserve"> 4 Si    77.822   3649.7   32.3   18.7    0.37      227 </t>
  </si>
  <si>
    <t xml:space="preserve"> 5 Cl   151.478      4.9    7.8    7.9   16.95       44 </t>
  </si>
  <si>
    <t xml:space="preserve"> 6 F    199.140      0.3    3.9    2.3  158.15 ?    364 </t>
  </si>
  <si>
    <t xml:space="preserve"> 7 K    119.485     42.5   23.9   21.5    4.05       55 </t>
  </si>
  <si>
    <t xml:space="preserve"> 8 Mn   146.243      3.1    1.3    1.9   14.92      264 </t>
  </si>
  <si>
    <t xml:space="preserve"> 9 Al    90.995    988.4   16.2    9.1    0.72      161 </t>
  </si>
  <si>
    <t xml:space="preserve">10 P    197.118      7.4    2.7    2.7   10.83      146 </t>
  </si>
  <si>
    <t xml:space="preserve">11 Mg   107.534    844.7   38.3    0.0    0.79      169 </t>
  </si>
  <si>
    <t xml:space="preserve">12 Ca   107.121   2363.3   33.6   34.9    0.47       88 </t>
  </si>
  <si>
    <t xml:space="preserve">13 Ti    88.305    313.4    0.0   42.0    1.35      121 </t>
  </si>
  <si>
    <t xml:space="preserve"> Na      0.4117    0.0044    0.4913    0.9854     0.9897     2.0780     0.9709</t>
  </si>
  <si>
    <t xml:space="preserve"> S       0.7656    0.0030    0.8175    0.9550     1.0265     1.2442     0.9990</t>
  </si>
  <si>
    <t xml:space="preserve"> Fe      0.9821    0.0000    0.9981    0.8046     1.0570     1.1780     1.0030</t>
  </si>
  <si>
    <t xml:space="preserve"> Si      0.7106    0.0010    0.7798    0.9799     1.0121     1.2918     1.0064</t>
  </si>
  <si>
    <t xml:space="preserve"> Cl      0.8284    0.0057    0.8777    0.9063     1.0329     1.2102     0.9947</t>
  </si>
  <si>
    <t xml:space="preserve"> F       0.1908    0.0014    0.2505    1.0107     0.9770     4.0378     1.0176</t>
  </si>
  <si>
    <t xml:space="preserve"> K       0.9080    0.0168    0.9469    0.8973     1.0437     1.1091     1.0024</t>
  </si>
  <si>
    <t xml:space="preserve"> Mn      0.9768    0.0000    0.9955    0.7930     1.0576     1.1978     1.0446</t>
  </si>
  <si>
    <t xml:space="preserve"> Al      0.6528    0.0107    0.7321    0.9613     1.0045     1.3996     1.0002</t>
  </si>
  <si>
    <t xml:space="preserve"> P       0.6806    0.0017    0.7374    0.9391     1.0195     1.4140     1.0032</t>
  </si>
  <si>
    <t xml:space="preserve"> Mg      0.5527    0.0074    0.6336    1.0001     0.9969     1.5714     0.9810</t>
  </si>
  <si>
    <t xml:space="preserve"> Ca      0.9317    0.0050    0.9651    0.9115     1.0479     1.0794     1.0041</t>
  </si>
  <si>
    <t xml:space="preserve"> Ti      0.9498    0.0099    0.9773    0.8223     1.0542     1.1689     1.0063</t>
  </si>
  <si>
    <t xml:space="preserve"> Na       2.07      2.79      2.04      2.75     0.775   0.9709   0.02132   1.07585  </t>
  </si>
  <si>
    <t xml:space="preserve"> S        0.1487    0.3713    0.1465    0.3657   0.0399  0.9990   0.001488  0.276644  </t>
  </si>
  <si>
    <t xml:space="preserve"> Fe       9.09     11.69      8.95     11.51     1.400   1.0030   0.09060   0.87088  </t>
  </si>
  <si>
    <t xml:space="preserve"> Si      24.05     51.45     23.69     50.68     7.367   1.0064   0.23924   0.99869  </t>
  </si>
  <si>
    <t xml:space="preserve"> Cl       0.0303    0.0303    0.0298    0.0298   0.0073  0.9947   0.000304  0.020983  </t>
  </si>
  <si>
    <t xml:space="preserve"> F        0.0249    0.0249    0.0246    0.0246   0.0113  1.0176   0.000245  0.051483 ?</t>
  </si>
  <si>
    <t xml:space="preserve"> K        0.1583    0.1907    0.1560    0.1879   0.0348  1.0024   0.001580  0.230939  </t>
  </si>
  <si>
    <t xml:space="preserve"> Mn       0.1998    0.2580    0.1968    0.2542   0.0313  1.0446   0.001913  0.005680  </t>
  </si>
  <si>
    <t xml:space="preserve"> Al       7.45     14.07      7.34     13.86     2.375   1.0002   0.07449   1.11993  </t>
  </si>
  <si>
    <t xml:space="preserve"> P        0.0923    0.2114    0.0909    0.2082   0.0256  1.0032   0.000920  0.537832  </t>
  </si>
  <si>
    <t xml:space="preserve"> Mg       4.35      7.21      4.28      7.10     1.539   0.9810   0.04433   1.43990  </t>
  </si>
  <si>
    <t xml:space="preserve"> Ca       8.12     11.36      8.00     11.19     1.743   1.0041   0.08089   1.20895  </t>
  </si>
  <si>
    <t xml:space="preserve"> Ti       1.12      1.87      1.10      1.84     0.201   1.0063   0.01112   0.45462  </t>
  </si>
  <si>
    <t xml:space="preserve"> O       44.63       -       43.96       -      24.000      -         -        </t>
  </si>
  <si>
    <t>Total:  101.53    101.53    100.00    100.00    15.550</t>
  </si>
  <si>
    <t xml:space="preserve">Unknown Specimen No. 58 </t>
  </si>
  <si>
    <t xml:space="preserve"> UNK No.      :   58            Comment : KE3_                                     </t>
  </si>
  <si>
    <t xml:space="preserve"> Stage        :    X=   47.7580  Y=   23.3765  Z=   11.3985 </t>
  </si>
  <si>
    <t xml:space="preserve"> Dated on Dec 20 19:35 2016 </t>
  </si>
  <si>
    <t xml:space="preserve"> 1 Na   129.476    578.8    0.0   22.8    1.34      180 </t>
  </si>
  <si>
    <t xml:space="preserve"> 2 S    171.948      1.3    5.1    4.1   45.49 ?    103 </t>
  </si>
  <si>
    <t xml:space="preserve"> 3 Fe   134.739    101.6    2.2    2.5    2.27      354 </t>
  </si>
  <si>
    <t xml:space="preserve"> 4 Si    77.822   5318.6   41.7   25.3    0.31      260 </t>
  </si>
  <si>
    <t xml:space="preserve"> 5 Cl   151.478     62.2    7.6    6.8    2.57       42 </t>
  </si>
  <si>
    <t xml:space="preserve"> 6 F    199.140      6.5    3.8    2.0   10.19      356 </t>
  </si>
  <si>
    <t xml:space="preserve"> 7 K    119.485    930.1   47.5   20.7    0.62       69 </t>
  </si>
  <si>
    <t xml:space="preserve"> 8 Mn   146.243      2.5    2.5    1.9   19.34      302 </t>
  </si>
  <si>
    <t xml:space="preserve"> 9 Al    90.995    656.2   14.2    9.4    0.89      155 </t>
  </si>
  <si>
    <t xml:space="preserve">10 P    197.118      0.6    2.8    2.8   94.10 ?    149 </t>
  </si>
  <si>
    <t xml:space="preserve">11 Mg   107.534      4.4   22.3    0.0   25.99      129 </t>
  </si>
  <si>
    <t xml:space="preserve">12 Ca   107.121     88.1   28.7   29.9    3.08       82 </t>
  </si>
  <si>
    <t xml:space="preserve">13 Ti    88.305     55.1    0.0   40.7    3.97      119 </t>
  </si>
  <si>
    <t xml:space="preserve"> Na      0.4438    0.0045    0.5297    0.9729     0.9952     1.9410     0.9069</t>
  </si>
  <si>
    <t xml:space="preserve"> S       0.7538    0.0020    0.8048    0.9434     1.0320     1.2738     1.0228</t>
  </si>
  <si>
    <t xml:space="preserve"> Fe      0.9846    0.0000    1.0007    0.7955     1.0599     1.1853     1.0093</t>
  </si>
  <si>
    <t xml:space="preserve"> Si      0.7550    0.0007    0.8285    0.9678     1.0179     1.2244     0.9539</t>
  </si>
  <si>
    <t xml:space="preserve"> Cl      0.8200    0.0032    0.8688    0.8953     1.0383     1.2343     1.0144</t>
  </si>
  <si>
    <t xml:space="preserve"> F       0.1953    0.0014    0.2564    0.9978     0.9822     3.9737     1.0014</t>
  </si>
  <si>
    <t xml:space="preserve"> K       0.9023    0.0020    0.9409    0.8865     1.0486     1.1410     1.0312</t>
  </si>
  <si>
    <t xml:space="preserve"> Mn      0.9800    0.0000    0.9988    0.7839     1.0608     1.2041     1.0501</t>
  </si>
  <si>
    <t xml:space="preserve"> Al      0.6917    0.0171    0.7758    0.9493     1.0103     1.3214     0.9443</t>
  </si>
  <si>
    <t xml:space="preserve"> P       0.6657    0.0011    0.7213    0.9276     1.0252     1.4563     1.0331</t>
  </si>
  <si>
    <t xml:space="preserve"> Mg      0.5646    0.0096    0.6472    0.9876     1.0026     1.5455     0.9648</t>
  </si>
  <si>
    <t xml:space="preserve"> Ca      0.9190    0.0025    0.9519    0.9007     1.0526     1.1054     1.0283</t>
  </si>
  <si>
    <t xml:space="preserve"> Ti      0.9551    0.0073    0.9827    0.8126     1.0583     1.1748     1.0113</t>
  </si>
  <si>
    <t xml:space="preserve"> Na       4.67      6.30      4.68      6.30     1.683   0.9069   0.05154   2.60031  </t>
  </si>
  <si>
    <t xml:space="preserve"> S        0.0101    0.0253    0.0101    0.0253   0.0026  1.0228   0.000099  0.018399 ?</t>
  </si>
  <si>
    <t xml:space="preserve"> Fe       5.79      7.44      5.79      7.45     0.857   1.0093   0.05733   0.55108  </t>
  </si>
  <si>
    <t xml:space="preserve"> Si      33.26     71.15     33.27     71.17     9.799   0.9539   0.34865   1.45537  </t>
  </si>
  <si>
    <t xml:space="preserve"> Cl       0.3925    0.3925    0.3927    0.3927   0.0916  1.0144   0.003870  0.266688  </t>
  </si>
  <si>
    <t xml:space="preserve"> F        0.5142    0.5142    0.5144    0.5144   0.2240  1.0014   0.005135  1.078763  </t>
  </si>
  <si>
    <t xml:space="preserve"> K        3.56      4.29      3.56      4.29     0.754   1.0312   0.03454   5.04966  </t>
  </si>
  <si>
    <t xml:space="preserve"> Mn       0.1588    0.2050    0.1588    0.2051   0.0239  1.0501   0.001512  0.004489  </t>
  </si>
  <si>
    <t xml:space="preserve"> Al       4.67      8.82      4.67      8.83     1.433   0.9443   0.04945   0.74357  </t>
  </si>
  <si>
    <t xml:space="preserve"> P        0.0077    0.0175    0.0077    0.0175   0.0020  1.0331   0.000074  0.043315 ?</t>
  </si>
  <si>
    <t xml:space="preserve"> Mg       0.0225    0.0374    0.0225    0.0374   0.0077  0.9648   0.000234  0.007586  </t>
  </si>
  <si>
    <t xml:space="preserve"> Ca       0.3101    0.4340    0.3103    0.4341   0.0640  1.0283   0.003016  0.045077  </t>
  </si>
  <si>
    <t xml:space="preserve"> Ti       0.1977    0.3297    0.1978    0.3299   0.0342  1.0113   0.001955  0.079944  </t>
  </si>
  <si>
    <t xml:space="preserve"> O       46.40       -       46.42       -      24.000      -         -        </t>
  </si>
  <si>
    <t>Total:   99.96     99.96    100.00    100.00    14.976</t>
  </si>
  <si>
    <t xml:space="preserve">Unknown Specimen No. 59 </t>
  </si>
  <si>
    <t xml:space="preserve"> UNK No.      :   59            Comment : KE3_                                     </t>
  </si>
  <si>
    <t xml:space="preserve"> Stage        :    X=   47.7435  Y=   23.5635  Z=   11.3985 </t>
  </si>
  <si>
    <t xml:space="preserve"> Dated on Dec 20 19:39 2016 </t>
  </si>
  <si>
    <t xml:space="preserve"> 1 Na   129.476    576.4    0.0   23.2    1.34      182 </t>
  </si>
  <si>
    <t xml:space="preserve"> 2 S    171.948      1.7    5.1    5.5   38.02 ?    113 </t>
  </si>
  <si>
    <t xml:space="preserve"> 3 Fe   134.739    104.6    2.5    3.1    2.25      389 </t>
  </si>
  <si>
    <t xml:space="preserve"> 4 Si    77.822   5312.8   42.2   24.1    0.31      259 </t>
  </si>
  <si>
    <t xml:space="preserve"> 5 Cl   151.478     61.1    7.7    7.6    2.61       44 </t>
  </si>
  <si>
    <t xml:space="preserve"> 6 F    199.140      4.9    4.2    3.2   13.26      395 </t>
  </si>
  <si>
    <t xml:space="preserve"> 7 K    119.485    920.7   49.6   21.7    0.63       70 </t>
  </si>
  <si>
    <t xml:space="preserve"> 8 Mn   146.243      2.3    2.1    1.9   19.96      285 </t>
  </si>
  <si>
    <t xml:space="preserve"> 9 Al    90.995    654.2   13.5    8.6    0.89      150 </t>
  </si>
  <si>
    <t xml:space="preserve">10 P    197.118      0.7    2.6    2.3   77.16 ?    138 </t>
  </si>
  <si>
    <t xml:space="preserve">11 Mg   107.534      2.0   21.5    0.0   54.20 ?    127 </t>
  </si>
  <si>
    <t xml:space="preserve">12 Ca   107.121     81.2   29.9   29.8    3.28       82 </t>
  </si>
  <si>
    <t xml:space="preserve">13 Ti    88.305     55.2    0.0   42.2    4.00      121 </t>
  </si>
  <si>
    <t xml:space="preserve"> Na      0.4429    0.0045    0.5287    0.9732     0.9951     1.9445     0.9085</t>
  </si>
  <si>
    <t xml:space="preserve"> S       0.7536    0.0019    0.8046    0.9436     1.0319     1.2739     1.0229</t>
  </si>
  <si>
    <t xml:space="preserve"> Fe      0.9847    0.0000    1.0007    0.7956     1.0598     1.1851     1.0091</t>
  </si>
  <si>
    <t xml:space="preserve"> Si      0.7547    0.0007    0.8282    0.9680     1.0177     1.2248     0.9542</t>
  </si>
  <si>
    <t xml:space="preserve"> Cl      0.8198    0.0032    0.8687    0.8955     1.0381     1.2344     1.0145</t>
  </si>
  <si>
    <t xml:space="preserve"> F       0.1954    0.0014    0.2565    0.9981     0.9820     3.9720     1.0010</t>
  </si>
  <si>
    <t xml:space="preserve"> K       0.9023    0.0020    0.9408    0.8868     1.0484     1.1409     1.0311</t>
  </si>
  <si>
    <t xml:space="preserve"> Mn      0.9801    0.0000    0.9988    0.7841     1.0607     1.2038     1.0499</t>
  </si>
  <si>
    <t xml:space="preserve"> Al      0.6912    0.0170    0.7753    0.9496     1.0101     1.3222     0.9449</t>
  </si>
  <si>
    <t xml:space="preserve"> P       0.6655    0.0011    0.7211    0.9278     1.0250     1.4566     1.0333</t>
  </si>
  <si>
    <t xml:space="preserve"> Mg      0.5639    0.0096    0.6464    0.9879     1.0025     1.5472     0.9659</t>
  </si>
  <si>
    <t xml:space="preserve"> Ca      0.9190    0.0026    0.9519    0.9009     1.0525     1.1051     1.0281</t>
  </si>
  <si>
    <t xml:space="preserve"> Ti      0.9551    0.0075    0.9827    0.8128     1.0582     1.1743     1.0109</t>
  </si>
  <si>
    <t xml:space="preserve"> Na       4.67      6.29      4.67      6.29     1.679   0.9085   0.05138   2.59208  </t>
  </si>
  <si>
    <t xml:space="preserve"> S        0.0134    0.0334    0.0134    0.0334   0.0034  1.0229   0.000131  0.024279  </t>
  </si>
  <si>
    <t xml:space="preserve"> Fe       5.96      7.67      5.96      7.67     0.883   1.0091   0.05908   0.56790  </t>
  </si>
  <si>
    <t xml:space="preserve"> Si      33.27     71.16     33.28     71.19     9.795   0.9542   0.34861   1.45523  </t>
  </si>
  <si>
    <t xml:space="preserve"> Cl       0.3861    0.3861    0.3863    0.3863   0.0901  1.0145   0.003806  0.262289  </t>
  </si>
  <si>
    <t xml:space="preserve"> F        0.3925    0.3925    0.3927    0.3927   0.1709  1.0010   0.003921  0.823806  </t>
  </si>
  <si>
    <t xml:space="preserve"> K        3.53      4.25      3.53      4.25     0.747   1.0311   0.03422   5.00365  </t>
  </si>
  <si>
    <t xml:space="preserve"> Mn       0.1464    0.1891    0.1465    0.1892   0.0220  1.0499   0.001395  0.004141  </t>
  </si>
  <si>
    <t xml:space="preserve"> Al       4.66      8.81      4.67      8.81     1.430   0.9449   0.04935   0.74197  </t>
  </si>
  <si>
    <t xml:space="preserve"> P        0.0088    0.0201    0.0088    0.0201   0.0023  1.0333   0.000085  0.049681 ?</t>
  </si>
  <si>
    <t xml:space="preserve"> Mg       0.0102    0.0168    0.0102    0.0168   0.0035  0.9659   0.000105  0.003413 ?</t>
  </si>
  <si>
    <t xml:space="preserve"> Ca       0.2859    0.4000    0.2860    0.4002   0.0590  1.0281   0.002781  0.041564  </t>
  </si>
  <si>
    <t xml:space="preserve"> Ti       0.1981    0.3305    0.1982    0.3307   0.0342  1.0109   0.001960  0.080168  </t>
  </si>
  <si>
    <t xml:space="preserve"> O       46.43       -       46.45       -      24.000      -         -        </t>
  </si>
  <si>
    <t>Total:   99.95     99.95    100.00    100.00    14.919</t>
  </si>
  <si>
    <t xml:space="preserve">Unknown Specimen No. 60 </t>
  </si>
  <si>
    <t xml:space="preserve"> UNK No.      :   60            Comment : Scap                                     </t>
  </si>
  <si>
    <t xml:space="preserve"> Stage        :    X=   21.2415  Y=   23.6125  Z=   11.5290 </t>
  </si>
  <si>
    <t xml:space="preserve"> Dated on Dec 20 19:42 2016 </t>
  </si>
  <si>
    <t xml:space="preserve"> 1 Na   129.476    504.8    0.0   26.2    1.44      193 </t>
  </si>
  <si>
    <t xml:space="preserve"> 2 S    171.948     72.7    5.9    4.5    2.29      110 </t>
  </si>
  <si>
    <t xml:space="preserve"> 3 Fe   134.739      1.6    2.3    1.8   33.56 ?    320 </t>
  </si>
  <si>
    <t xml:space="preserve"> 4 Si    77.822   3625.7   28.9   20.2    0.37      221 </t>
  </si>
  <si>
    <t xml:space="preserve"> 5 Cl   151.478    231.0    8.3    7.1    1.24       44 </t>
  </si>
  <si>
    <t xml:space="preserve"> 6 F    199.140     -0.6    3.2    2.5  100.00 ?    346 </t>
  </si>
  <si>
    <t xml:space="preserve"> 7 K    119.485    195.2   23.9   19.3    1.45       54 </t>
  </si>
  <si>
    <t xml:space="preserve"> 8 Mn   146.243      0.2    1.9    1.9  184.79 ?    283 </t>
  </si>
  <si>
    <t xml:space="preserve"> 9 Al    90.995   1982.6   19.8   10.2    0.51      176 </t>
  </si>
  <si>
    <t xml:space="preserve">10 P    197.118     -0.4    3.0    2.6  100.00 ?    147 </t>
  </si>
  <si>
    <t xml:space="preserve">11 Mg   107.534      2.9   19.0    0.0   36.07 ?    119 </t>
  </si>
  <si>
    <t xml:space="preserve">12 Ca   107.121   2881.4   30.9   36.5    0.42       88 </t>
  </si>
  <si>
    <t xml:space="preserve">13 Ti    88.305     -2.3    0.0   41.8  100.00 ?    120 </t>
  </si>
  <si>
    <t xml:space="preserve"> Na      0.4763    0.0050    0.5685    0.9699     0.9963     1.8111     0.8462</t>
  </si>
  <si>
    <t xml:space="preserve"> S       0.7698    0.0044    0.8219    0.9405     1.0330     1.2469     1.0012</t>
  </si>
  <si>
    <t xml:space="preserve"> Fe      0.9811    0.0000    0.9971    0.7931     1.0604     1.1925     1.0154</t>
  </si>
  <si>
    <t xml:space="preserve"> Si      0.7193    0.0016    0.7893    0.9648     1.0189     1.2867     1.0025</t>
  </si>
  <si>
    <t xml:space="preserve"> Cl      0.8303    0.0063    0.8798    0.8925     1.0392     1.2177     1.0008</t>
  </si>
  <si>
    <t xml:space="preserve"> Mn      0.9755    0.0000    0.9942    0.7815     1.0613     1.2126     1.0576</t>
  </si>
  <si>
    <t xml:space="preserve"> Al      0.7195    0.0120    0.8070    0.9464     1.0113     1.2793     0.9142</t>
  </si>
  <si>
    <t xml:space="preserve"> Mg      0.5983    0.0108    0.6858    0.9845     1.0037     1.4598     0.9114</t>
  </si>
  <si>
    <t xml:space="preserve"> Ca      0.9285    0.0000    0.9618    0.8980     1.0534     1.0992     1.0225</t>
  </si>
  <si>
    <t xml:space="preserve"> Na       3.80      5.13      3.81      5.13     1.391   0.8462   0.04495   2.26791  </t>
  </si>
  <si>
    <t xml:space="preserve"> S        0.5594    1.3970    0.5600    1.3984   0.1467  1.0012   0.005587  1.038536  </t>
  </si>
  <si>
    <t xml:space="preserve"> Fe       0.0909    0.1170    0.0910    0.1171   0.0137  1.0154   0.000895  0.008607  </t>
  </si>
  <si>
    <t xml:space="preserve"> Si      23.83     50.97     23.85     51.02     7.132   1.0025   0.23767   0.99211  </t>
  </si>
  <si>
    <t xml:space="preserve"> Cl       1.44      1.44      1.44      1.44     0.341   1.0008   0.01437   0.99010  </t>
  </si>
  <si>
    <t xml:space="preserve"> K        0.7353    0.8858    0.7361    0.8867   0.1581  1.0146   0.007248  1.059619  </t>
  </si>
  <si>
    <t xml:space="preserve"> Mn       0.0129    0.0167    0.0129    0.0167   0.0020  1.0576   0.000122  0.000363 ?</t>
  </si>
  <si>
    <t xml:space="preserve"> Al      13.66     25.81     13.67     25.84     4.257   0.9142   0.14941   2.24646  </t>
  </si>
  <si>
    <t xml:space="preserve"> P        0.00      0.00      0.00      0.00     0.000   0.7094   0.00000   0.00000 ?</t>
  </si>
  <si>
    <t xml:space="preserve"> Mg       0.0139    0.0230    0.0139    0.0230   0.0048  0.9114   0.000152  0.004945  </t>
  </si>
  <si>
    <t xml:space="preserve"> Ca      10.08     14.11     10.10     14.13     2.116   1.0225   0.09863   1.47400  </t>
  </si>
  <si>
    <t xml:space="preserve"> Ti       0.00      0.00      0.00      0.00     0.000   0.8609  -0.00008  -0.00334 ?</t>
  </si>
  <si>
    <t xml:space="preserve"> O       45.67       -       45.72       -      24.000      -         -        </t>
  </si>
  <si>
    <t>Total:   99.90     99.90    100.00    100.00    15.562</t>
  </si>
  <si>
    <t xml:space="preserve">Unknown Specimen No. 61 </t>
  </si>
  <si>
    <t xml:space="preserve"> UNK No.      :   61            Comment : Scap                                     </t>
  </si>
  <si>
    <t xml:space="preserve"> Stage        :    X=   21.2335  Y=   23.6980  Z=   11.5315 </t>
  </si>
  <si>
    <t xml:space="preserve"> Dated on Dec 20 19:46 2016 </t>
  </si>
  <si>
    <t xml:space="preserve"> 1 Na   129.476    527.3    0.0   22.9    1.41      181 </t>
  </si>
  <si>
    <t xml:space="preserve"> 2 S    171.948     69.1    4.9    5.3    2.36      111 </t>
  </si>
  <si>
    <t xml:space="preserve"> 3 Fe   134.739      2.6    2.0    1.7   21.69      306 </t>
  </si>
  <si>
    <t xml:space="preserve"> 4 Si    77.822   3619.9   29.1   17.7    0.37      217 </t>
  </si>
  <si>
    <t xml:space="preserve"> 5 Cl   151.478    233.0   10.1    7.3    1.24       46 </t>
  </si>
  <si>
    <t xml:space="preserve"> 6 F    199.140      0.2    3.2    2.7  227.95 ?    349 </t>
  </si>
  <si>
    <t xml:space="preserve"> 7 K    119.485    189.6   24.3   20.9    1.48       55 </t>
  </si>
  <si>
    <t xml:space="preserve"> 8 Mn   146.243      0.5    2.2    1.5   76.34 ?    272 </t>
  </si>
  <si>
    <t xml:space="preserve"> 9 Al    90.995   1981.4   18.5   10.7    0.51      173 </t>
  </si>
  <si>
    <t xml:space="preserve">10 P    197.118      0.2    2.9    2.9  277.97 ?    151 </t>
  </si>
  <si>
    <t xml:space="preserve">11 Mg   107.534      1.8   20.3    0.0   59.97 ?    123 </t>
  </si>
  <si>
    <t xml:space="preserve">12 Ca   107.121   2877.4   32.5   37.4    0.42       89 </t>
  </si>
  <si>
    <t xml:space="preserve">13 Ti    88.305      0.4    0.0   39.0  350.90 ?    116 </t>
  </si>
  <si>
    <t xml:space="preserve"> Na      0.4761    0.0050    0.5683    0.9701     0.9962     1.8118     0.8465</t>
  </si>
  <si>
    <t xml:space="preserve"> S       0.7697    0.0044    0.8218    0.9406     1.0330     1.2468     1.0012</t>
  </si>
  <si>
    <t xml:space="preserve"> Fe      0.9812    0.0000    0.9972    0.7932     1.0604     1.1923     1.0152</t>
  </si>
  <si>
    <t xml:space="preserve"> Si      0.7187    0.0016    0.7887    0.9649     1.0189     1.2876     1.0032</t>
  </si>
  <si>
    <t xml:space="preserve"> Cl      0.8304    0.0063    0.8799    0.8927     1.0392     1.2175     1.0006</t>
  </si>
  <si>
    <t xml:space="preserve"> F       0.1816    0.0011    0.2384    0.9948     0.9831     4.2839     1.0796</t>
  </si>
  <si>
    <t xml:space="preserve"> K       0.9057    0.0169    0.9444    0.8840     1.0494     1.1224     1.0144</t>
  </si>
  <si>
    <t xml:space="preserve"> Mn      0.9756    0.0000    0.9942    0.7817     1.0613     1.2124     1.0574</t>
  </si>
  <si>
    <t xml:space="preserve"> Al      0.7185    0.0120    0.8058    0.9466     1.0113     1.2811     0.9155</t>
  </si>
  <si>
    <t xml:space="preserve"> Mg      0.5969    0.0108    0.6842    0.9847     1.0037     1.4631     0.9134</t>
  </si>
  <si>
    <t xml:space="preserve"> Ca      0.9286    0.0001    0.9618    0.8981     1.0534     1.0989     1.0223</t>
  </si>
  <si>
    <t xml:space="preserve"> Na       3.97      5.36      3.97      5.35     1.453   0.8465   0.04696   2.36909  </t>
  </si>
  <si>
    <t xml:space="preserve"> S        0.5320    1.3286    0.5315    1.3273   0.1395  1.0012   0.005314  0.987772  </t>
  </si>
  <si>
    <t xml:space="preserve"> Fe       0.1491    0.1918    0.1489    0.1916   0.0224  1.0152   0.001468  0.014113  </t>
  </si>
  <si>
    <t xml:space="preserve"> Si      23.80     50.92     23.78     50.87     7.123   1.0032   0.23730   0.99055  </t>
  </si>
  <si>
    <t xml:space="preserve"> Cl       1.45      1.45      1.45      1.45     0.344   1.0006   0.01449   0.99846  </t>
  </si>
  <si>
    <t xml:space="preserve"> F        0.0174    0.0174    0.0173    0.0173   0.0077  1.0796   0.000161  0.033773 ?</t>
  </si>
  <si>
    <t xml:space="preserve"> K        0.7143    0.8605    0.7136    0.8596   0.1536  1.0144   0.007042  1.029490  </t>
  </si>
  <si>
    <t xml:space="preserve"> Mn       0.0311    0.0401    0.0310    0.0401   0.0048  1.0574   0.000294  0.000872  </t>
  </si>
  <si>
    <t xml:space="preserve"> Al      13.67     25.83     13.66     25.80     4.259   0.9155   0.14931   2.24500  </t>
  </si>
  <si>
    <t xml:space="preserve"> P        0.0025    0.0057    0.0025    0.0057   0.0007  1.0038   0.000025  0.014438 ?</t>
  </si>
  <si>
    <t xml:space="preserve"> Mg       0.0084    0.0139    0.0084    0.0139   0.0029  0.9134   0.000092  0.002985 ?</t>
  </si>
  <si>
    <t xml:space="preserve"> Ca      10.07     14.09     10.06     14.07     2.112   1.0223   0.09849   1.47192  </t>
  </si>
  <si>
    <t xml:space="preserve"> Ti       0.0015    0.0024    0.0015    0.0024   0.0003  1.0317   0.000014  0.000580 ?</t>
  </si>
  <si>
    <t xml:space="preserve"> O       45.68       -       45.64       -      24.000      -         -        </t>
  </si>
  <si>
    <t>Total:  100.10    100.10    100.00    100.00    15.622</t>
  </si>
  <si>
    <t xml:space="preserve">Unknown Specimen No. 62 </t>
  </si>
  <si>
    <t xml:space="preserve"> UNK No.      :   62            Comment : UnknA-BatokeCS1-3_1                      </t>
  </si>
  <si>
    <t xml:space="preserve"> Stage        :    X=   43.4325  Y=   79.0760  Z=   11.3900 </t>
  </si>
  <si>
    <t xml:space="preserve"> Dated on Dec 20 19:49 2016 </t>
  </si>
  <si>
    <t xml:space="preserve"> 1 Na   129.476    432.1    0.0   24.6    1.56      187 </t>
  </si>
  <si>
    <t xml:space="preserve"> 2 S    171.948      1.0    5.8    5.1   63.53 ?    114 </t>
  </si>
  <si>
    <t xml:space="preserve"> 3 Fe   134.739    136.2    3.3    2.1    1.95      360 </t>
  </si>
  <si>
    <t xml:space="preserve"> 4 Si    77.822   3535.4   33.4   19.4    0.38      231 </t>
  </si>
  <si>
    <t xml:space="preserve"> 5 Cl   151.478     10.8    8.3    7.2    8.63       44 </t>
  </si>
  <si>
    <t xml:space="preserve"> 6 F    199.140      3.0    3.7    3.2   19.72      379 </t>
  </si>
  <si>
    <t xml:space="preserve"> 7 K    119.485    524.1   37.3   22.9    0.84       64 </t>
  </si>
  <si>
    <t xml:space="preserve"> 8 Mn   146.243      2.6    1.7    1.6   17.01      260 </t>
  </si>
  <si>
    <t xml:space="preserve"> 9 Al    90.995   1278.3   17.5   10.1    0.63      168 </t>
  </si>
  <si>
    <t xml:space="preserve">10 P    197.118     43.9    2.6    2.6    3.58      143 </t>
  </si>
  <si>
    <t xml:space="preserve">11 Mg   107.534    354.3   33.3    0.0    1.24      158 </t>
  </si>
  <si>
    <t xml:space="preserve">12 Ca   107.121   1720.0   28.4   34.8    0.55       85 </t>
  </si>
  <si>
    <t xml:space="preserve">13 Ti    88.305    503.7    0.0   49.2    1.04      130 </t>
  </si>
  <si>
    <t xml:space="preserve"> Na      0.4198    0.0041    0.5011    0.9848     0.9907     2.0371     0.9518</t>
  </si>
  <si>
    <t xml:space="preserve"> S       0.7649    0.0031    0.8167    0.9545     1.0275     1.2446     0.9994</t>
  </si>
  <si>
    <t xml:space="preserve"> Fe      0.9819    0.0000    0.9979    0.8043     1.0576     1.1780     1.0031</t>
  </si>
  <si>
    <t xml:space="preserve"> Si      0.7092    0.0012    0.7783    0.9794     1.0132     1.2933     1.0076</t>
  </si>
  <si>
    <t xml:space="preserve"> Cl      0.8285    0.0058    0.8778    0.9058     1.0339     1.2094     0.9939</t>
  </si>
  <si>
    <t xml:space="preserve"> F       0.1902    0.0014    0.2497    1.0101     0.9780     4.0487     1.0203</t>
  </si>
  <si>
    <t xml:space="preserve"> K       0.9080    0.0130    0.9468    0.8969     1.0446     1.1128     1.0058</t>
  </si>
  <si>
    <t xml:space="preserve"> Mn      0.9765    0.0000    0.9952    0.7927     1.0582     1.1978     1.0447</t>
  </si>
  <si>
    <t xml:space="preserve"> Al      0.6671    0.0107    0.7482    0.9608     1.0056     1.3688     0.9782</t>
  </si>
  <si>
    <t xml:space="preserve"> P       0.6821    0.0017    0.7391    0.9386     1.0205     1.4101     1.0003</t>
  </si>
  <si>
    <t xml:space="preserve"> Mg      0.5501    0.0081    0.6306    0.9996     0.9980     1.5769     0.9845</t>
  </si>
  <si>
    <t xml:space="preserve"> Ca      0.9272    0.0052    0.9604    0.9111     1.0488     1.0839     1.0084</t>
  </si>
  <si>
    <t xml:space="preserve"> Ti      0.9507    0.0085    0.9782    0.8219     1.0550     1.1691     1.0064</t>
  </si>
  <si>
    <t xml:space="preserve"> Na       3.66      4.94      3.62      4.88     1.378   0.9518   0.03848   1.94138  </t>
  </si>
  <si>
    <t xml:space="preserve"> S        0.0076    0.0190    0.0075    0.0188   0.0021  0.9994   0.000076  0.014174 ?</t>
  </si>
  <si>
    <t xml:space="preserve"> Fe       7.71      9.91      7.63      9.81     1.194   1.0031   0.07683   0.73856  </t>
  </si>
  <si>
    <t xml:space="preserve"> Si      23.33     49.92     23.09     49.40     7.188   1.0076   0.23175   0.96741  </t>
  </si>
  <si>
    <t xml:space="preserve"> Cl       0.0670    0.0670    0.0663    0.0663   0.0163  0.9939   0.000674  0.046429  </t>
  </si>
  <si>
    <t xml:space="preserve"> F        0.2399    0.2399    0.2374    0.2374   0.1093  1.0203   0.002351  0.494005  </t>
  </si>
  <si>
    <t xml:space="preserve"> K        1.96      2.36      1.94      2.33     0.433   1.0058   0.01946   2.84538  </t>
  </si>
  <si>
    <t xml:space="preserve"> Mn       0.1663    0.2147    0.1646    0.2125   0.0262  1.0447   0.001592  0.004727  </t>
  </si>
  <si>
    <t xml:space="preserve"> Al       9.42     17.80      9.32     17.62     3.021   0.9782   0.09634   1.44843  </t>
  </si>
  <si>
    <t xml:space="preserve"> P        0.5415    1.2409    0.5359    1.2281   0.1513  1.0003   0.005413  3.165770  </t>
  </si>
  <si>
    <t xml:space="preserve"> Mg       1.83      3.04      1.81      3.00     0.652   0.9845   0.01859   0.60392  </t>
  </si>
  <si>
    <t xml:space="preserve"> Ca       5.94      8.31      5.87      8.22     1.282   1.0084   0.05887   0.87985  </t>
  </si>
  <si>
    <t xml:space="preserve"> Ti       1.80      3.00      1.78      2.97     0.325   1.0064   0.01787   0.73075  </t>
  </si>
  <si>
    <t xml:space="preserve"> O       44.38       -       43.92       -      24.000      -         -        </t>
  </si>
  <si>
    <t>Total:  101.05    101.05    100.00    100.00    15.777</t>
  </si>
  <si>
    <t xml:space="preserve">Unknown Specimen No. 63 </t>
  </si>
  <si>
    <t xml:space="preserve"> UNK No.      :   63            Comment : UnknA-BatokeCS1-3_2                      </t>
  </si>
  <si>
    <t xml:space="preserve"> Stage        :    X=   43.8935  Y=   79.3265  Z=   11.3910 </t>
  </si>
  <si>
    <t xml:space="preserve"> Dated on Dec 20 19:53 2016 </t>
  </si>
  <si>
    <t xml:space="preserve"> 1 Na   129.476    598.6    0.0   26.7    1.32      195 </t>
  </si>
  <si>
    <t xml:space="preserve"> 2 S    171.948      0.8    4.9    5.6   74.22 ?    113 </t>
  </si>
  <si>
    <t xml:space="preserve"> 3 Fe   134.739    149.3    3.2    2.7    1.87      386 </t>
  </si>
  <si>
    <t xml:space="preserve"> 4 Si    77.822   3127.9   30.3   21.4    0.40      227 </t>
  </si>
  <si>
    <t xml:space="preserve"> 5 Cl   151.478     13.1    8.7    6.9    7.44       44 </t>
  </si>
  <si>
    <t xml:space="preserve"> 6 F    199.140      3.4    3.5    3.4   17.53      377 </t>
  </si>
  <si>
    <t xml:space="preserve"> 7 K    119.485    539.9   34.8   23.5    0.83       63 </t>
  </si>
  <si>
    <t xml:space="preserve"> 8 Mn   146.243      1.8    2.6    2.4   25.88      322 </t>
  </si>
  <si>
    <t xml:space="preserve"> 9 Al    90.995   1121.0   19.1    9.8    0.68      172 </t>
  </si>
  <si>
    <t xml:space="preserve">10 P    197.118     43.8    4.6    4.1    3.70      184 </t>
  </si>
  <si>
    <t xml:space="preserve">11 Mg   107.534    637.5   40.5    0.0    0.91      174 </t>
  </si>
  <si>
    <t xml:space="preserve">12 Ca   107.121   2092.4   31.2   36.4    0.50       88 </t>
  </si>
  <si>
    <t xml:space="preserve">13 Ti    88.305    541.9    0.0   50.1    1.00      132 </t>
  </si>
  <si>
    <t xml:space="preserve"> Na      0.4160    0.0040    0.4965    0.9881     0.9895     2.0516     0.9586</t>
  </si>
  <si>
    <t xml:space="preserve"> S       0.7694    0.0035    0.8214    0.9577     1.0263     1.2342     0.9910</t>
  </si>
  <si>
    <t xml:space="preserve"> Fe      0.9814    0.0000    0.9974    0.8069     1.0569     1.1757     1.0011</t>
  </si>
  <si>
    <t xml:space="preserve"> Si      0.7004    0.0013    0.7686    0.9826     1.0119     1.3067     1.0180</t>
  </si>
  <si>
    <t xml:space="preserve"> Cl      0.8319    0.0066    0.8814    0.9088     1.0327     1.2009     0.9869</t>
  </si>
  <si>
    <t xml:space="preserve"> F       0.1921    0.0014    0.2523    1.0136     0.9769     3.9977     1.0074</t>
  </si>
  <si>
    <t xml:space="preserve"> K       0.9099    0.0155    0.9488    0.8998     1.0435     1.1054     0.9990</t>
  </si>
  <si>
    <t xml:space="preserve"> Mn      0.9758    0.0000    0.9945    0.7952     1.0575     1.1957     1.0428</t>
  </si>
  <si>
    <t xml:space="preserve"> Al      0.6471    0.0093    0.7258    0.9640     1.0043     1.4100     1.0077</t>
  </si>
  <si>
    <t xml:space="preserve"> P       0.6875    0.0019    0.7450    0.9418     1.0193     1.3956     0.9901</t>
  </si>
  <si>
    <t xml:space="preserve"> Mg      0.5379    0.0070    0.6166    1.0029     0.9967     1.6111     1.0058</t>
  </si>
  <si>
    <t xml:space="preserve"> Ca      0.9285    0.0056    0.9618    0.9141     1.0478     1.0796     1.0043</t>
  </si>
  <si>
    <t xml:space="preserve"> Ti      0.9494    0.0089    0.9769    0.8246     1.0541     1.1674     1.0050</t>
  </si>
  <si>
    <t xml:space="preserve"> Na       5.11      6.89      5.03      6.79     1.982   0.9586   0.05336   2.69207  </t>
  </si>
  <si>
    <t xml:space="preserve"> S        0.0064    0.0160    0.0063    0.0158   0.0018  0.9910   0.000065  0.012039 ?</t>
  </si>
  <si>
    <t xml:space="preserve"> Fe       8.44     10.86      8.31     10.69     1.347   1.0011   0.08433   0.81059  </t>
  </si>
  <si>
    <t xml:space="preserve"> Si      20.87     44.65     20.56     43.97     6.623   1.0180   0.20524   0.85674  </t>
  </si>
  <si>
    <t xml:space="preserve"> Cl       0.0806    0.0806    0.0794    0.0794   0.0203  0.9869   0.000817  0.056305  </t>
  </si>
  <si>
    <t xml:space="preserve"> F        0.2702    0.2702    0.2661    0.2661   0.1268  1.0074   0.002682  0.563528  </t>
  </si>
  <si>
    <t xml:space="preserve"> K        2.00      2.42      1.97      2.38     0.457   0.9990   0.02007   2.93405  </t>
  </si>
  <si>
    <t xml:space="preserve"> Mn       0.1178    0.1521    0.1160    0.1498   0.0191  1.0428   0.001130  0.003354  </t>
  </si>
  <si>
    <t xml:space="preserve"> Al       8.52     16.09      8.39     15.85     2.814   1.0077   0.08457   1.27147  </t>
  </si>
  <si>
    <t xml:space="preserve"> P        0.5361    1.2284    0.5279    1.2097   0.1543  0.9901   0.005414  3.166276  </t>
  </si>
  <si>
    <t xml:space="preserve"> Mg       3.37      5.59      3.32      5.50     1.235   1.0058   0.03349   1.08785  </t>
  </si>
  <si>
    <t xml:space="preserve"> Ca       7.20     10.07      7.09      9.92     1.601   1.0043   0.07169   1.07146  </t>
  </si>
  <si>
    <t xml:space="preserve"> Ti       1.93      3.23      1.90      3.18     0.360   1.0050   0.01924   0.78695  </t>
  </si>
  <si>
    <t xml:space="preserve"> O       43.08       -       42.43       -      24.000      -         -        </t>
  </si>
  <si>
    <t>Total:  101.54    101.54    100.00    100.00    16.741</t>
  </si>
  <si>
    <t xml:space="preserve">Unknown Specimen No. 64 </t>
  </si>
  <si>
    <t xml:space="preserve"> UNK No.      :   64            Comment : UnknA-BatokeCS1-3_3                      </t>
  </si>
  <si>
    <t xml:space="preserve"> Stage        :    X=   44.6270  Y=   80.2290  Z=   11.3965 </t>
  </si>
  <si>
    <t xml:space="preserve"> Dated on Dec 20 19:56 2016 </t>
  </si>
  <si>
    <t xml:space="preserve"> 1 Na   129.476    439.5    0.0   22.3    1.55      178 </t>
  </si>
  <si>
    <t xml:space="preserve"> 2 S    171.948      1.8    4.8    5.1   34.44 ?    109 </t>
  </si>
  <si>
    <t xml:space="preserve"> 3 Fe   134.739    147.7    3.8    1.7    1.87      352 </t>
  </si>
  <si>
    <t xml:space="preserve"> 4 Si    77.822   3476.2   32.8   20.9    0.38      232 </t>
  </si>
  <si>
    <t xml:space="preserve"> 5 Cl   151.478      2.9   10.3    7.3   28.67       47 </t>
  </si>
  <si>
    <t xml:space="preserve"> 6 F    199.140      3.4    3.9    2.9   17.49      377 </t>
  </si>
  <si>
    <t xml:space="preserve"> 7 K    119.485    542.9   36.3   23.1    0.83       64 </t>
  </si>
  <si>
    <t xml:space="preserve"> 8 Mn   146.243      1.7    2.3    1.9   26.63      294 </t>
  </si>
  <si>
    <t xml:space="preserve"> 9 Al    90.995   1270.2   16.6   13.6    0.63      175 </t>
  </si>
  <si>
    <t xml:space="preserve">10 P    197.118     45.7    2.6    3.0    3.52      150 </t>
  </si>
  <si>
    <t xml:space="preserve">11 Mg   107.534    359.2   31.2    0.0    1.23      153 </t>
  </si>
  <si>
    <t xml:space="preserve">12 Ca   107.121   1705.5   32.2   35.6    0.55       88 </t>
  </si>
  <si>
    <t xml:space="preserve">13 Ti    88.305    503.3    0.0   45.6    1.04      126 </t>
  </si>
  <si>
    <t xml:space="preserve"> Na      0.4163    0.0041    0.4968    0.9860     0.9902     2.0530     0.9592</t>
  </si>
  <si>
    <t xml:space="preserve"> S       0.7651    0.0031    0.8168    0.9557     1.0270     1.2434     0.9984</t>
  </si>
  <si>
    <t xml:space="preserve"> Fe      0.9820    0.0000    0.9980    0.8053     1.0573     1.1769     1.0021</t>
  </si>
  <si>
    <t xml:space="preserve"> Si      0.7071    0.0012    0.7760    0.9806     1.0127     1.2962     1.0098</t>
  </si>
  <si>
    <t xml:space="preserve"> Cl      0.8286    0.0058    0.8779    0.9069     1.0335     1.2082     0.9930</t>
  </si>
  <si>
    <t xml:space="preserve"> F       0.1913    0.0014    0.2511    1.0114     0.9776     4.0218     1.0135</t>
  </si>
  <si>
    <t xml:space="preserve"> K       0.9082    0.0130    0.9470    0.8979     1.0442     1.1117     1.0047</t>
  </si>
  <si>
    <t xml:space="preserve"> Mn      0.9766    0.0000    0.9953    0.7936     1.0579     1.1967     1.0436</t>
  </si>
  <si>
    <t xml:space="preserve"> Al      0.6638    0.0104    0.7444    0.9620     1.0051     1.3750     0.9826</t>
  </si>
  <si>
    <t xml:space="preserve"> P       0.6824    0.0017    0.7394    0.9398     1.0201     1.4083     0.9991</t>
  </si>
  <si>
    <t xml:space="preserve"> Mg      0.5464    0.0079    0.6263    1.0008     0.9975     1.5868     0.9906</t>
  </si>
  <si>
    <t xml:space="preserve"> Ca      0.9272    0.0054    0.9604    0.9122     1.0484     1.0829     1.0074</t>
  </si>
  <si>
    <t xml:space="preserve"> Ti      0.9508    0.0090    0.9783    0.8229     1.0546     1.1673     1.0049</t>
  </si>
  <si>
    <t xml:space="preserve"> Na       3.75      5.06      3.71      5.00     1.418   0.9592   0.03914   1.97465  </t>
  </si>
  <si>
    <t xml:space="preserve"> S        0.0141    0.0352    0.0139    0.0348   0.0038  0.9984   0.000141  0.026246  </t>
  </si>
  <si>
    <t xml:space="preserve"> Fe       8.35     10.74      8.24     10.61     1.298   1.0021   0.08333   0.80099  </t>
  </si>
  <si>
    <t xml:space="preserve"> Si      22.99     49.18     22.71     48.57     7.107   1.0098   0.22787   0.95122  </t>
  </si>
  <si>
    <t xml:space="preserve"> Cl       0.0177    0.0177    0.0175    0.0175   0.0043  0.9930   0.000178  0.012269  </t>
  </si>
  <si>
    <t xml:space="preserve"> F        0.2739    0.2739    0.2705    0.2705   0.1252  1.0135   0.002703  0.567840  </t>
  </si>
  <si>
    <t xml:space="preserve"> K        2.03      2.44      2.00      2.41     0.450   1.0047   0.02016   2.94765  </t>
  </si>
  <si>
    <t xml:space="preserve"> Mn       0.1056    0.1363    0.1043    0.1346   0.0167  1.0436   0.001012  0.003004  </t>
  </si>
  <si>
    <t xml:space="preserve"> Al       9.40     17.77      9.29     17.54     3.026   0.9826   0.09572   1.43921  </t>
  </si>
  <si>
    <t xml:space="preserve"> P        0.5631    1.2903    0.5561    1.2742   0.1579  0.9991   0.005636  3.295788  </t>
  </si>
  <si>
    <t xml:space="preserve"> Mg       1.87      3.10      1.84      3.06     0.667   0.9906   0.01885   0.61228  </t>
  </si>
  <si>
    <t xml:space="preserve"> Ca       5.88      8.23      5.81      8.13     1.274   1.0074   0.05838   0.87248  </t>
  </si>
  <si>
    <t xml:space="preserve"> Ti       1.79      2.99      1.77      2.95     0.325   1.0049   0.01785   0.73009  </t>
  </si>
  <si>
    <t xml:space="preserve"> O       44.22       -       43.67       -      24.000      -         -        </t>
  </si>
  <si>
    <t>Total:  101.26    101.26    100.00    100.00    15.873</t>
  </si>
  <si>
    <t xml:space="preserve">Unknown Specimen No. 65 </t>
  </si>
  <si>
    <t xml:space="preserve"> UNK No.      :   65            Comment : UnknA-BatokeCS1-3_4                      </t>
  </si>
  <si>
    <t xml:space="preserve"> Stage        :    X=   43.8440  Y=   80.8640  Z=   11.3995 </t>
  </si>
  <si>
    <t xml:space="preserve"> Dated on Dec 20 20:00 2016 </t>
  </si>
  <si>
    <t xml:space="preserve"> 1 Na   129.476    761.7    0.0   27.3    1.17      198 </t>
  </si>
  <si>
    <t xml:space="preserve"> 2 S    171.948      2.3    3.9    3.9   25.14       97 </t>
  </si>
  <si>
    <t xml:space="preserve"> 3 Fe   134.739    130.0    2.6    2.0    2.00      339 </t>
  </si>
  <si>
    <t xml:space="preserve"> 4 Si    77.822   3189.1   31.7   19.6    0.40      228 </t>
  </si>
  <si>
    <t xml:space="preserve"> 5 Cl   151.478      4.9   10.5    8.3   18.07       48 </t>
  </si>
  <si>
    <t xml:space="preserve"> 6 F    199.140      1.3    3.9    3.4   40.72 ?    388 </t>
  </si>
  <si>
    <t xml:space="preserve"> 7 K    119.485    293.5   31.6   21.8    1.16       60 </t>
  </si>
  <si>
    <t xml:space="preserve"> 8 Mn   146.243      2.9    2.0    1.8   16.09      281 </t>
  </si>
  <si>
    <t xml:space="preserve"> 9 Al    90.995   1159.0   14.3    8.3    0.66      152 </t>
  </si>
  <si>
    <t xml:space="preserve">10 P    197.118     40.5    3.1    2.8    3.76      152 </t>
  </si>
  <si>
    <t xml:space="preserve">11 Mg   107.534    587.4   39.0    0.0    0.95      171 </t>
  </si>
  <si>
    <t xml:space="preserve">12 Ca   107.121   2246.4   28.5   35.4    0.48       86 </t>
  </si>
  <si>
    <t xml:space="preserve">13 Ti    88.305    555.2    0.0   49.2    0.99      131 </t>
  </si>
  <si>
    <t xml:space="preserve"> Na      0.4248    0.0040    0.5070    0.9854     0.9907     2.0125     0.9403</t>
  </si>
  <si>
    <t xml:space="preserve"> S       0.7689    0.0033    0.8210    0.9551     1.0275     1.2371     0.9933</t>
  </si>
  <si>
    <t xml:space="preserve"> Fe      0.9816    0.0000    0.9976    0.8048     1.0576     1.1778     1.0029</t>
  </si>
  <si>
    <t xml:space="preserve"> Si      0.7009    0.0012    0.7691    0.9800     1.0132     1.3079     1.0189</t>
  </si>
  <si>
    <t xml:space="preserve"> Cl      0.8315    0.0062    0.8811    0.9064     1.0339     1.2037     0.9893</t>
  </si>
  <si>
    <t xml:space="preserve"> F       0.1916    0.0015    0.2516    1.0107     0.9780     4.0149     1.0118</t>
  </si>
  <si>
    <t xml:space="preserve"> K       0.9099    0.0163    0.9488    0.8974     1.0446     1.1063     0.9999</t>
  </si>
  <si>
    <t xml:space="preserve"> Mn      0.9761    0.0000    0.9947    0.7932     1.0582     1.1977     1.0445</t>
  </si>
  <si>
    <t xml:space="preserve"> Al      0.6493    0.0094    0.7282    0.9614     1.0056     1.4074     1.0058</t>
  </si>
  <si>
    <t xml:space="preserve"> P       0.6868    0.0018    0.7442    0.9392     1.0205     1.3994     0.9928</t>
  </si>
  <si>
    <t xml:space="preserve"> Mg      0.5382    0.0071    0.6169    1.0002     0.9980     1.6126     1.0067</t>
  </si>
  <si>
    <t xml:space="preserve"> Ca      0.9308    0.0053    0.9641    0.9117     1.0488     1.0790     1.0038</t>
  </si>
  <si>
    <t xml:space="preserve"> Ti      0.9500    0.0079    0.9774    0.8224     1.0550     1.1700     1.0072</t>
  </si>
  <si>
    <t xml:space="preserve"> Na       6.38      8.61      6.23      8.40     2.432   0.9403   0.06796   3.42874  </t>
  </si>
  <si>
    <t xml:space="preserve"> S        0.0178    0.0445    0.0174    0.0434   0.0049  0.9933   0.000179  0.033312  </t>
  </si>
  <si>
    <t xml:space="preserve"> Fe       7.37      9.48      7.19      9.25     1.156   1.0029   0.07351   0.70658  </t>
  </si>
  <si>
    <t xml:space="preserve"> Si      21.31     45.59     20.80     44.49     6.645   1.0189   0.20947   0.87440  </t>
  </si>
  <si>
    <t xml:space="preserve"> Cl       0.0302    0.0302    0.0295    0.0295   0.0075  0.9893   0.000305  0.021044  </t>
  </si>
  <si>
    <t xml:space="preserve"> F        0.1079    0.1079    0.1053    0.1053   0.0497  1.0118   0.001066  0.223975  </t>
  </si>
  <si>
    <t xml:space="preserve"> K        1.09      1.32      1.07      1.28     0.245   0.9999   0.01092   1.59687  </t>
  </si>
  <si>
    <t xml:space="preserve"> Mn       0.1885    0.2434    0.1840    0.2376   0.0301  1.0445   0.001805  0.005359  </t>
  </si>
  <si>
    <t xml:space="preserve"> Al       8.80     16.62      8.58     16.22     2.856   1.0058   0.08752   1.31584  </t>
  </si>
  <si>
    <t xml:space="preserve"> P        0.4972    1.1394    0.4852    1.1119   0.1406  0.9928   0.005008  2.928835  </t>
  </si>
  <si>
    <t xml:space="preserve"> Mg       3.11      5.16      3.03      5.03     1.120   1.0067   0.03089   1.00340  </t>
  </si>
  <si>
    <t xml:space="preserve"> Ca       7.73     10.82      7.55     10.56     1.690   1.0038   0.07704   1.15146  </t>
  </si>
  <si>
    <t xml:space="preserve"> Ti       1.99      3.31      1.94      3.24     0.363   1.0072   0.01973   0.80709  </t>
  </si>
  <si>
    <t xml:space="preserve"> O       43.84       -       42.79       -      24.000      -         -        </t>
  </si>
  <si>
    <t>Total:  102.47    102.47    100.00    100.00    16.739</t>
  </si>
  <si>
    <t xml:space="preserve">Unknown Specimen No. 66 </t>
  </si>
  <si>
    <t xml:space="preserve"> UNK No.      :   66            Comment : UnknA-BatokeCS1-3_5                      </t>
  </si>
  <si>
    <t xml:space="preserve"> Stage        :    X=   42.9360  Y=   80.7245  Z=   11.3995 </t>
  </si>
  <si>
    <t xml:space="preserve"> Dated on Dec 20 20:03 2016 </t>
  </si>
  <si>
    <t xml:space="preserve"> 1 Na   129.476    448.4    0.0   22.9    1.53      181 </t>
  </si>
  <si>
    <t xml:space="preserve"> 2 S    171.948     -0.2    5.4    5.3  100.00 ?    113 </t>
  </si>
  <si>
    <t xml:space="preserve"> 3 Fe   134.739    138.9    2.6    2.1    1.93      344 </t>
  </si>
  <si>
    <t xml:space="preserve"> 4 Si    77.822   3415.3   30.5   20.4    0.39      226 </t>
  </si>
  <si>
    <t xml:space="preserve"> 5 Cl   151.478     10.8    8.7    7.1    8.69       44 </t>
  </si>
  <si>
    <t xml:space="preserve"> 6 F    199.140      2.1    4.0    3.7   28.12      398 </t>
  </si>
  <si>
    <t xml:space="preserve"> 7 K    119.485    443.0   33.6   18.5    0.92       60 </t>
  </si>
  <si>
    <t xml:space="preserve"> 8 Mn   146.243      2.0    1.3    2.4   22.26      282 </t>
  </si>
  <si>
    <t xml:space="preserve"> 9 Al    90.995   1259.1   17.1   10.6    0.64      168 </t>
  </si>
  <si>
    <t xml:space="preserve">10 P    197.118     45.3    3.3    3.2    3.56      160 </t>
  </si>
  <si>
    <t xml:space="preserve">11 Mg   107.534    397.4   35.3    0.0    1.17      163 </t>
  </si>
  <si>
    <t xml:space="preserve">12 Ca   107.121   1810.6   33.2   33.9    0.54       87 </t>
  </si>
  <si>
    <t xml:space="preserve">13 Ti    88.305    534.5    0.0   46.3    1.01      127 </t>
  </si>
  <si>
    <t xml:space="preserve"> Na      0.4185    0.0041    0.4995    0.9855     0.9904     2.0425     0.9543</t>
  </si>
  <si>
    <t xml:space="preserve"> Fe      0.9818    0.0000    0.9978    0.8049     1.0574     1.1775     1.0027</t>
  </si>
  <si>
    <t xml:space="preserve"> Si      0.7069    0.0012    0.7757    0.9800     1.0129     1.2971     1.0105</t>
  </si>
  <si>
    <t xml:space="preserve"> Cl      0.8289    0.0058    0.8783    0.9064     1.0337     1.2082     0.9929</t>
  </si>
  <si>
    <t xml:space="preserve"> F       0.1903    0.0014    0.2499    1.0108     0.9777     4.0433     1.0189</t>
  </si>
  <si>
    <t xml:space="preserve"> K       0.9083    0.0138    0.9471    0.8975     1.0444     1.1112     1.0042</t>
  </si>
  <si>
    <t xml:space="preserve"> Mn      0.9764    0.0000    0.9951    0.7932     1.0581     1.1974     1.0443</t>
  </si>
  <si>
    <t xml:space="preserve"> Al      0.6636    0.0104    0.7442    0.9614     1.0053     1.3760     0.9833</t>
  </si>
  <si>
    <t xml:space="preserve"> P       0.6829    0.0017    0.7400    0.9393     1.0203     1.4078     0.9987</t>
  </si>
  <si>
    <t xml:space="preserve"> Mg      0.5478    0.0079    0.6280    1.0003     0.9977     1.5832     0.9884</t>
  </si>
  <si>
    <t xml:space="preserve"> Ca      0.9282    0.0055    0.9614    0.9117     1.0486     1.0821     1.0067</t>
  </si>
  <si>
    <t xml:space="preserve"> Ti      0.9507    0.0086    0.9781    0.8225     1.0548     1.1685     1.0059</t>
  </si>
  <si>
    <t xml:space="preserve"> Na       3.81      5.14      3.80      5.12     1.451   0.9543   0.03997   2.01668  </t>
  </si>
  <si>
    <t xml:space="preserve"> S        0.00      0.00      0.00      0.00     0.000   0.8030   0.00000   0.00000 ?</t>
  </si>
  <si>
    <t xml:space="preserve"> Fe       7.87     10.12      7.84     10.08     1.232   1.0027   0.07845   0.75411  </t>
  </si>
  <si>
    <t xml:space="preserve"> Si      22.64     48.43     22.56     48.26     7.050   1.0105   0.22411   0.93549  </t>
  </si>
  <si>
    <t xml:space="preserve"> Cl       0.0668    0.0668    0.0666    0.0666   0.0165  0.9929   0.000673  0.046394  </t>
  </si>
  <si>
    <t xml:space="preserve"> F        0.1663    0.1663    0.1657    0.1657   0.0766  1.0189   0.001632  0.342954  </t>
  </si>
  <si>
    <t xml:space="preserve"> K        1.65      1.99      1.65      1.99     0.370   1.0042   0.01647   2.40760  </t>
  </si>
  <si>
    <t xml:space="preserve"> Mn       0.1275    0.1646    0.1270    0.1640   0.0203  1.0443   0.001221  0.003624  </t>
  </si>
  <si>
    <t xml:space="preserve"> Al       9.34     17.65      9.31     17.58     3.027   0.9833   0.09498   1.42802  </t>
  </si>
  <si>
    <t xml:space="preserve"> P        0.5593    1.2816    0.5573    1.2770   0.1579  0.9987   0.005600  3.274672  </t>
  </si>
  <si>
    <t xml:space="preserve"> Mg       2.06      3.42      2.06      3.41     0.742   0.9884   0.02088   0.67805  </t>
  </si>
  <si>
    <t xml:space="preserve"> Ca       6.25      8.74      6.22      8.71     1.363   1.0067   0.06204   0.92715  </t>
  </si>
  <si>
    <t xml:space="preserve"> Ti       1.91      3.18      1.90      3.17     0.349   1.0059   0.01898   0.77618  </t>
  </si>
  <si>
    <t xml:space="preserve"> O       43.90       -       43.75       -      24.000      -         -        </t>
  </si>
  <si>
    <t>Total:  100.36    100.36    100.00    100.00    15.855</t>
  </si>
  <si>
    <t xml:space="preserve">Unknown Specimen No. 67 </t>
  </si>
  <si>
    <t xml:space="preserve"> UNK No.      :   67            Comment : UnknA-BatokeCS1-3_6                      </t>
  </si>
  <si>
    <t xml:space="preserve"> Stage        :    X=   43.0500  Y=   80.2125  Z=   11.3950 </t>
  </si>
  <si>
    <t xml:space="preserve"> Dated on Dec 20 20:07 2016 </t>
  </si>
  <si>
    <t xml:space="preserve"> 1 Na   129.476    460.1    0.0   19.4    1.51      166 </t>
  </si>
  <si>
    <t xml:space="preserve"> 2 S    171.948      0.2    5.9    5.5  309.43 ?    117 </t>
  </si>
  <si>
    <t xml:space="preserve"> 3 Fe   134.739    148.0    3.1    2.4    1.87      370 </t>
  </si>
  <si>
    <t xml:space="preserve"> 4 Si    77.822   3386.4   36.7   23.1    0.39      245 </t>
  </si>
  <si>
    <t xml:space="preserve"> 5 Cl   151.478     36.1    6.9    6.9    3.57       42 </t>
  </si>
  <si>
    <t xml:space="preserve"> 6 F    199.140      3.5    3.9    3.5   17.47      392 </t>
  </si>
  <si>
    <t xml:space="preserve"> 7 K    119.485    598.9   39.9   25.0    0.79       66 </t>
  </si>
  <si>
    <t xml:space="preserve"> 8 Mn   146.243      2.1    2.6    1.9   22.45      304 </t>
  </si>
  <si>
    <t xml:space="preserve"> 9 Al    90.995   1202.2   16.0    8.6    0.65      159 </t>
  </si>
  <si>
    <t xml:space="preserve">10 P    197.118     43.4    2.6    3.1    3.62      152 </t>
  </si>
  <si>
    <t xml:space="preserve">11 Mg   107.534    473.9   35.6    0.0    1.07      163 </t>
  </si>
  <si>
    <t xml:space="preserve">12 Ca   107.121   1659.1   35.1   34.9    0.56       89 </t>
  </si>
  <si>
    <t xml:space="preserve">13 Ti    88.305    545.4    0.0   44.5    1.00      124 </t>
  </si>
  <si>
    <t xml:space="preserve"> Na      0.4160    0.0041    0.4965    0.9868     0.9900     2.0531     0.9593</t>
  </si>
  <si>
    <t xml:space="preserve"> Fe      0.9818    0.0000    0.9978    0.8059     1.0572     1.1763     1.0016</t>
  </si>
  <si>
    <t xml:space="preserve"> Si      0.7057    0.0013    0.7745    0.9814     1.0124     1.2979     1.0112</t>
  </si>
  <si>
    <t xml:space="preserve"> Cl      0.8295    0.0059    0.8789    0.9077     1.0332     1.2061     0.9913</t>
  </si>
  <si>
    <t xml:space="preserve"> F       0.1916    0.0014    0.2516    1.0122     0.9773     4.0122     1.0111</t>
  </si>
  <si>
    <t xml:space="preserve"> K       0.9082    0.0129    0.9470    0.8986     1.0440     1.1113     1.0043</t>
  </si>
  <si>
    <t xml:space="preserve"> Mn      0.9764    0.0000    0.9951    0.7942     1.0578     1.1961     1.0432</t>
  </si>
  <si>
    <t xml:space="preserve"> Al      0.6586    0.0102    0.7386    0.9627     1.0048     1.3854     0.9901</t>
  </si>
  <si>
    <t xml:space="preserve"> P       0.6836    0.0018    0.7407    0.9406     1.0198     1.4049     0.9967</t>
  </si>
  <si>
    <t xml:space="preserve"> Mg      0.5450    0.0076    0.6247    1.0016     0.9972     1.5905     0.9929</t>
  </si>
  <si>
    <t xml:space="preserve"> Ca      0.9266    0.0056    0.9598    0.9129     1.0482     1.0827     1.0072</t>
  </si>
  <si>
    <t xml:space="preserve"> Ti      0.9507    0.0091    0.9782    0.8235     1.0544     1.1667     1.0043</t>
  </si>
  <si>
    <t xml:space="preserve"> Na       3.93      5.30      3.89      5.25     1.502   0.9593   0.04096   2.06684  </t>
  </si>
  <si>
    <t xml:space="preserve"> S        0.0015    0.0039    0.0015    0.0038   0.0004  0.9962   0.000016  0.002888 ?</t>
  </si>
  <si>
    <t xml:space="preserve"> Fe       8.37     10.76      8.29     10.66     1.316   1.0016   0.08353   0.80292  </t>
  </si>
  <si>
    <t xml:space="preserve"> Si      22.43     47.99     22.23     47.55     7.019   1.0112   0.22199   0.92665  </t>
  </si>
  <si>
    <t xml:space="preserve"> Cl       0.2227    0.2227    0.2207    0.2207   0.0552  0.9913   0.002247  0.154849  </t>
  </si>
  <si>
    <t xml:space="preserve"> F        0.2817    0.2817    0.2791    0.2791   0.1303  1.0111   0.002786  0.585376  </t>
  </si>
  <si>
    <t xml:space="preserve"> K        2.23      2.69      2.21      2.67     0.502   1.0043   0.02224   3.25128  </t>
  </si>
  <si>
    <t xml:space="preserve"> Mn       0.1325    0.1710    0.1312    0.1695   0.0212  1.0432   0.001270  0.003770  </t>
  </si>
  <si>
    <t xml:space="preserve"> Al       8.97     16.94      8.89     16.79     2.921   0.9901   0.09060   1.36214  </t>
  </si>
  <si>
    <t xml:space="preserve"> P        0.5339    1.2234    0.5290    1.2122   0.1515  0.9967   0.005356  3.132381  </t>
  </si>
  <si>
    <t xml:space="preserve"> Mg       2.47      4.10      2.45      4.06     0.893   0.9929   0.02488   0.80793  </t>
  </si>
  <si>
    <t xml:space="preserve"> Ca       5.72      8.00      5.67      7.93     1.254   1.0072   0.05679   0.84870  </t>
  </si>
  <si>
    <t xml:space="preserve"> Ti       1.94      3.24      1.93      3.21     0.357   1.0043   0.01935   0.79124  </t>
  </si>
  <si>
    <t xml:space="preserve"> O       43.69       -       43.29       -      24.000      -         -        </t>
  </si>
  <si>
    <t>Total:  100.92    100.92    100.00    100.00    16.123</t>
  </si>
  <si>
    <t xml:space="preserve">Unknown Specimen No. 68 </t>
  </si>
  <si>
    <t xml:space="preserve"> UNK No.      :   68            Comment : UnknA-BatokeCS1-3_7                      </t>
  </si>
  <si>
    <t xml:space="preserve"> Stage        :    X=   45.4165  Y=   79.8920  Z=   11.3950 </t>
  </si>
  <si>
    <t xml:space="preserve"> Dated on Dec 20 20:10 2016 </t>
  </si>
  <si>
    <t xml:space="preserve"> 1 Na   129.476    505.7    0.0   23.0    1.44      181 </t>
  </si>
  <si>
    <t xml:space="preserve"> 2 S    171.948      0.8    5.5    4.3   75.64 ?    107 </t>
  </si>
  <si>
    <t xml:space="preserve"> 3 Fe   134.739    136.5    2.1    2.9    1.95      371 </t>
  </si>
  <si>
    <t xml:space="preserve"> 4 Si    77.822   3417.3   37.5   21.3    0.39      244 </t>
  </si>
  <si>
    <t xml:space="preserve"> 5 Cl   151.478      6.7   10.0    7.1   13.23       46 </t>
  </si>
  <si>
    <t xml:space="preserve"> 6 F    199.140      3.3    3.8    2.8   17.66      373 </t>
  </si>
  <si>
    <t xml:space="preserve"> 7 K    119.485    527.9   37.0   24.7    0.84       65 </t>
  </si>
  <si>
    <t xml:space="preserve"> 8 Mn   146.243      2.3    1.9    1.9   20.00      283 </t>
  </si>
  <si>
    <t xml:space="preserve"> 9 Al    90.995   1272.9   16.0    9.1    0.63      160 </t>
  </si>
  <si>
    <t xml:space="preserve">10 P    197.118     40.9    3.7    3.1    3.78      162 </t>
  </si>
  <si>
    <t xml:space="preserve">11 Mg   107.534    419.1   33.7    0.0    1.14      159 </t>
  </si>
  <si>
    <t xml:space="preserve">12 Ca   107.121   1805.1   33.5   33.2    0.54       87 </t>
  </si>
  <si>
    <t xml:space="preserve">13 Ti    88.305    506.4    0.0   44.8    1.04      124 </t>
  </si>
  <si>
    <t xml:space="preserve"> Na      0.4206    0.0041    0.5021    0.9852     0.9906     2.0325     0.9497</t>
  </si>
  <si>
    <t xml:space="preserve"> S       0.7660    0.0031    0.8179    0.9549     1.0274     1.2423     0.9975</t>
  </si>
  <si>
    <t xml:space="preserve"> Fe      0.9819    0.0000    0.9978    0.8047     1.0575     1.1777     1.0028</t>
  </si>
  <si>
    <t xml:space="preserve"> Si      0.7059    0.0012    0.7747    0.9798     1.0131     1.2989     1.0120</t>
  </si>
  <si>
    <t xml:space="preserve"> Cl      0.8294    0.0059    0.8788    0.9062     1.0338     1.2075     0.9924</t>
  </si>
  <si>
    <t xml:space="preserve"> F       0.1910    0.0014    0.2508    1.0105     0.9779     4.0301     1.0156</t>
  </si>
  <si>
    <t xml:space="preserve"> K       0.9086    0.0135    0.9474    0.8972     1.0445     1.1112     1.0043</t>
  </si>
  <si>
    <t xml:space="preserve"> Mn      0.9764    0.0000    0.9951    0.7930     1.0582     1.1975     1.0444</t>
  </si>
  <si>
    <t xml:space="preserve"> Al      0.6624    0.0102    0.7429    0.9612     1.0055     1.3788     0.9853</t>
  </si>
  <si>
    <t xml:space="preserve"> P       0.6833    0.0017    0.7404    0.9390     1.0205     1.4071     0.9982</t>
  </si>
  <si>
    <t xml:space="preserve"> Mg      0.5471    0.0078    0.6271    1.0000     0.9979     1.5855     0.9898</t>
  </si>
  <si>
    <t xml:space="preserve"> Ca      0.9276    0.0052    0.9609    0.9115     1.0487     1.0831     1.0076</t>
  </si>
  <si>
    <t xml:space="preserve"> Ti      0.9505    0.0084    0.9780    0.8223     1.0549     1.1691     1.0064</t>
  </si>
  <si>
    <t xml:space="preserve"> Na       4.27      5.76      4.22      5.68     1.618   0.9497   0.04503   2.27194  </t>
  </si>
  <si>
    <t xml:space="preserve"> S        0.0060    0.0149    0.0059    0.0147   0.0016  0.9975   0.000060  0.011119 ?</t>
  </si>
  <si>
    <t xml:space="preserve"> Fe       7.72      9.93      7.62      9.80     1.203   1.0028   0.07700   0.74020  </t>
  </si>
  <si>
    <t xml:space="preserve"> Si      22.65     48.45     22.34     47.79     7.015   1.0120   0.22401   0.93511  </t>
  </si>
  <si>
    <t xml:space="preserve"> Cl       0.0413    0.0413    0.0407    0.0407   0.0101  0.9924   0.000416  0.028679  </t>
  </si>
  <si>
    <t xml:space="preserve"> F        0.2692    0.2692    0.2656    0.2656   0.1233  1.0156   0.002651  0.556862  </t>
  </si>
  <si>
    <t xml:space="preserve"> K        1.97      2.37      1.94      2.34     0.438   1.0043   0.01960   2.86589  </t>
  </si>
  <si>
    <t xml:space="preserve"> Mn       0.1448    0.1869    0.1428    0.1844   0.0229  1.0444   0.001386  0.004116  </t>
  </si>
  <si>
    <t xml:space="preserve"> Al       9.45     17.85      9.32     17.61     3.047   0.9853   0.09593   1.44232  </t>
  </si>
  <si>
    <t xml:space="preserve"> P        0.5037    1.1543    0.4969    1.1387   0.1415  0.9982   0.005046  2.950998  </t>
  </si>
  <si>
    <t xml:space="preserve"> Mg       2.18      3.61      2.15      3.56     0.779   0.9898   0.02200   0.71449  </t>
  </si>
  <si>
    <t xml:space="preserve"> Ca       6.23      8.71      6.14      8.59     1.351   1.0076   0.06178   0.92340  </t>
  </si>
  <si>
    <t xml:space="preserve"> Ti       1.81      3.02      1.78      2.97     0.328   1.0064   0.01796   0.73467  </t>
  </si>
  <si>
    <t xml:space="preserve"> O       44.14       -       43.54       -      24.000      -         -        </t>
  </si>
  <si>
    <t>Total:  101.37    101.37    100.00    100.00    16.079</t>
  </si>
  <si>
    <t xml:space="preserve">Unknown Specimen No. 69 </t>
  </si>
  <si>
    <t xml:space="preserve"> UNK No.      :   69            Comment : UnknA-BatokeCS1-3_8                      </t>
  </si>
  <si>
    <t xml:space="preserve"> Stage        :    X=   46.1295  Y=   79.4300  Z=   11.3950 </t>
  </si>
  <si>
    <t xml:space="preserve"> Dated on Dec 20 20:14 2016 </t>
  </si>
  <si>
    <t xml:space="preserve">Curr.(A) : 1.009E-08 </t>
  </si>
  <si>
    <t xml:space="preserve"> 1 Na   129.476    452.1    0.0   18.9    1.52      164 </t>
  </si>
  <si>
    <t xml:space="preserve"> 2 S    171.948      1.2    4.9    4.1   47.29 ?    103 </t>
  </si>
  <si>
    <t xml:space="preserve"> 3 Fe   134.739    138.0    2.8    2.8    1.94      381 </t>
  </si>
  <si>
    <t xml:space="preserve"> 4 Si    77.822   3497.4   36.7   21.7    0.38      243 </t>
  </si>
  <si>
    <t xml:space="preserve"> 5 Cl   151.478      2.8    9.4    7.7   29.16       46 </t>
  </si>
  <si>
    <t xml:space="preserve"> 6 F    199.140      3.6    3.7    2.5   16.58      365 </t>
  </si>
  <si>
    <t xml:space="preserve"> 7 K    119.485    555.0   37.2   22.0    0.82       63 </t>
  </si>
  <si>
    <t xml:space="preserve"> 8 Mn   146.243      1.8    2.2    2.2   24.94      302 </t>
  </si>
  <si>
    <t xml:space="preserve"> 9 Al    90.995   1307.0   15.1    9.8    0.62      159 </t>
  </si>
  <si>
    <t xml:space="preserve">10 P    197.118     48.8    3.4    2.6    3.39      151 </t>
  </si>
  <si>
    <t xml:space="preserve">11 Mg   107.534    390.5   31.0    0.0    1.18      152 </t>
  </si>
  <si>
    <t xml:space="preserve">12 Ca   107.121   1692.5   31.4   36.3    0.55       88 </t>
  </si>
  <si>
    <t xml:space="preserve">13 Ti    88.305    520.9    0.0   43.9    1.02      123 </t>
  </si>
  <si>
    <t xml:space="preserve"> Na      0.4201    0.0041    0.5015    0.9849     0.9907     2.0353     0.9509</t>
  </si>
  <si>
    <t xml:space="preserve"> S       0.7650    0.0030    0.8168    0.9546     1.0276     1.2443     0.9991</t>
  </si>
  <si>
    <t xml:space="preserve"> Fe      0.9820    0.0000    0.9980    0.8044     1.0576     1.1778     1.0029</t>
  </si>
  <si>
    <t xml:space="preserve"> Si      0.7073    0.0012    0.7761    0.9794     1.0132     1.2968     1.0103</t>
  </si>
  <si>
    <t xml:space="preserve"> Cl      0.8286    0.0058    0.8779    0.9059     1.0340     1.2091     0.9937</t>
  </si>
  <si>
    <t xml:space="preserve"> F       0.1908    0.0014    0.2505    1.0102     0.9780     4.0357     1.0170</t>
  </si>
  <si>
    <t xml:space="preserve"> K       0.9082    0.0128    0.9470    0.8969     1.0446     1.1127     1.0056</t>
  </si>
  <si>
    <t xml:space="preserve"> Mn      0.9766    0.0000    0.9953    0.7928     1.0582     1.1976     1.0445</t>
  </si>
  <si>
    <t xml:space="preserve"> Al      0.6655    0.0105    0.7464    0.9608     1.0056     1.3723     0.9807</t>
  </si>
  <si>
    <t xml:space="preserve"> P       0.6826    0.0017    0.7396    0.9387     1.0206     1.4090     0.9996</t>
  </si>
  <si>
    <t xml:space="preserve"> Mg      0.5496    0.0080    0.6300    0.9996     0.9980     1.5784     0.9854</t>
  </si>
  <si>
    <t xml:space="preserve"> Ca      0.9271    0.0053    0.9603    0.9112     1.0488     1.0839     1.0083</t>
  </si>
  <si>
    <t xml:space="preserve"> Ti      0.9509    0.0084    0.9783    0.8220     1.0550     1.1688     1.0061</t>
  </si>
  <si>
    <t xml:space="preserve"> Na       3.82      5.15      3.76      5.06     1.431   0.9509   0.04022   2.02929  </t>
  </si>
  <si>
    <t xml:space="preserve"> S        0.0094    0.0236    0.0093    0.0232   0.0025  0.9991   0.000095  0.017576 ?</t>
  </si>
  <si>
    <t xml:space="preserve"> Fe       7.80     10.04      7.66      9.86     1.202   1.0029   0.07780   0.74781  </t>
  </si>
  <si>
    <t xml:space="preserve"> Si      23.11     49.44     22.70     48.56     7.081   1.0103   0.22903   0.95605  </t>
  </si>
  <si>
    <t xml:space="preserve"> Cl       0.0172    0.0172    0.0169    0.0169   0.0042  0.9937   0.000173  0.011926  </t>
  </si>
  <si>
    <t xml:space="preserve"> F        0.2861    0.2861    0.2810    0.2810   0.1296  1.0170   0.002813  0.591070  </t>
  </si>
  <si>
    <t xml:space="preserve"> K        2.07      2.49      2.03      2.45     0.456   1.0056   0.02059   3.01005  </t>
  </si>
  <si>
    <t xml:space="preserve"> Mn       0.1170    0.1510    0.1149    0.1483   0.0183  1.0445   0.001120  0.003325  </t>
  </si>
  <si>
    <t xml:space="preserve"> Al       9.64     18.22      9.47     17.90     3.076   0.9807   0.09840   1.47944  </t>
  </si>
  <si>
    <t xml:space="preserve"> P        0.6016    1.3786    0.5909    1.3541   0.1672  0.9996   0.006019  3.519701  </t>
  </si>
  <si>
    <t xml:space="preserve"> Mg       2.02      3.35      1.98      3.29     0.714   0.9854   0.02048   0.66511  </t>
  </si>
  <si>
    <t xml:space="preserve"> Ca       5.84      8.16      5.73      8.02     1.253   1.0083   0.05787   0.86496  </t>
  </si>
  <si>
    <t xml:space="preserve"> Ti       1.86      3.10      1.82      3.04     0.334   1.0061   0.01846   0.75498  </t>
  </si>
  <si>
    <t xml:space="preserve"> O       44.62       -       43.83       -      24.000      -         -        </t>
  </si>
  <si>
    <t>Total:  101.81    101.81    100.00    100.00    15.869</t>
  </si>
  <si>
    <t xml:space="preserve">Unknown Specimen No. 70 </t>
  </si>
  <si>
    <t xml:space="preserve"> UNK No.      :   70            Comment : UnknA-BatokeCS1-3_9                      </t>
  </si>
  <si>
    <t xml:space="preserve"> Stage        :    X=   45.6160  Y=   78.3620  Z=   11.3865 </t>
  </si>
  <si>
    <t xml:space="preserve"> Dated on Dec 20 20:17 2016 </t>
  </si>
  <si>
    <t xml:space="preserve"> 1 Na   129.476    544.6    0.0   23.7    1.38      184 </t>
  </si>
  <si>
    <t xml:space="preserve"> 2 S    171.948      1.3    5.5    4.7   46.04 ?    109 </t>
  </si>
  <si>
    <t xml:space="preserve"> 3 Fe   134.739    127.8    3.3    2.7    2.02      388 </t>
  </si>
  <si>
    <t xml:space="preserve"> 4 Si    77.822   3291.9   29.5   18.4    0.39      220 </t>
  </si>
  <si>
    <t xml:space="preserve"> 5 Cl   151.478    113.0    9.9    8.2    1.85       47 </t>
  </si>
  <si>
    <t xml:space="preserve"> 6 F    199.140      2.6    3.2    3.6   21.73      370 </t>
  </si>
  <si>
    <t xml:space="preserve"> 7 K    119.485    442.3   33.7   25.1    0.93       63 </t>
  </si>
  <si>
    <t xml:space="preserve"> 8 Mn   146.243      1.8    1.6    2.5   25.46      297 </t>
  </si>
  <si>
    <t xml:space="preserve"> 9 Al    90.995   1200.4   14.6    7.8    0.65      152 </t>
  </si>
  <si>
    <t xml:space="preserve">10 P    197.118     41.3    3.6    3.4    3.77      166 </t>
  </si>
  <si>
    <t xml:space="preserve">11 Mg   107.534    539.9   34.3    0.0    0.99      160 </t>
  </si>
  <si>
    <t xml:space="preserve">12 Ca   107.121   2152.4   37.0   36.8    0.49       91 </t>
  </si>
  <si>
    <t xml:space="preserve">13 Ti    88.305    496.2    0.0   47.4    1.05      128 </t>
  </si>
  <si>
    <t xml:space="preserve"> Na      0.4234    0.0041    0.5053    0.9857     0.9904     2.0191     0.9434</t>
  </si>
  <si>
    <t xml:space="preserve"> S       0.7689    0.0038    0.8210    0.9554     1.0272     1.2365     0.9929</t>
  </si>
  <si>
    <t xml:space="preserve"> Fe      0.9813    0.0000    0.9973    0.8050     1.0574     1.1780     1.0031</t>
  </si>
  <si>
    <t xml:space="preserve"> Si      0.7061    0.0014    0.7748    0.9802     1.0128     1.2982     1.0114</t>
  </si>
  <si>
    <t xml:space="preserve"> Cl      0.8316    0.0064    0.8811    0.9066     1.0336     1.2036     0.9892</t>
  </si>
  <si>
    <t xml:space="preserve"> F       0.1900    0.0014    0.2495    1.0110     0.9777     4.0493     1.0205</t>
  </si>
  <si>
    <t xml:space="preserve"> K       0.9082    0.0154    0.9470    0.8976     1.0443     1.1095     1.0027</t>
  </si>
  <si>
    <t xml:space="preserve"> Mn      0.9757    0.0000    0.9944    0.7933     1.0580     1.1981     1.0449</t>
  </si>
  <si>
    <t xml:space="preserve"> Al      0.6587    0.0100    0.7387    0.9616     1.0052     1.3866     0.9909</t>
  </si>
  <si>
    <t xml:space="preserve"> P       0.6869    0.0021    0.7443    0.9395     1.0202     1.3989     0.9924</t>
  </si>
  <si>
    <t xml:space="preserve"> Mg      0.5476    0.0075    0.6277    1.0004     0.9976     1.5842     0.9890</t>
  </si>
  <si>
    <t xml:space="preserve"> Ca      0.9281    0.0049    0.9614    0.9119     1.0485     1.0826     1.0071</t>
  </si>
  <si>
    <t xml:space="preserve"> Ti      0.9489    0.0076    0.9763    0.8226     1.0547     1.1717     1.0087</t>
  </si>
  <si>
    <t xml:space="preserve"> Na       4.57      6.16      4.52      6.09     1.756   0.9434   0.04849   2.44647  </t>
  </si>
  <si>
    <t xml:space="preserve"> S        0.0102    0.0256    0.0101    0.0253   0.0028  0.9929   0.000103  0.019188 ?</t>
  </si>
  <si>
    <t xml:space="preserve"> Fe       7.23      9.31      7.14      9.19     1.143   1.0031   0.07212   0.69324  </t>
  </si>
  <si>
    <t xml:space="preserve"> Si      21.81     46.65     21.54     46.07     6.852   1.0114   0.21579   0.90078  </t>
  </si>
  <si>
    <t xml:space="preserve"> Cl       0.6951    0.6951    0.6864    0.6864   0.1730  0.9892   0.007027  0.484271  </t>
  </si>
  <si>
    <t xml:space="preserve"> F        0.2085    0.2085    0.2059    0.2059   0.0968  1.0205   0.002043  0.429232  </t>
  </si>
  <si>
    <t xml:space="preserve"> K        1.65      1.98      1.63      1.96     0.372   1.0027   0.01642   2.40127  </t>
  </si>
  <si>
    <t xml:space="preserve"> Mn       0.1133    0.1463    0.1119    0.1445   0.0182  1.0449   0.001084  0.003220  </t>
  </si>
  <si>
    <t xml:space="preserve"> Al       8.96     16.93      8.85     16.72     2.931   0.9909   0.09046   1.36017  </t>
  </si>
  <si>
    <t xml:space="preserve"> P        0.5063    1.1602    0.5000    1.1458   0.1443  0.9924   0.005102  2.983484  </t>
  </si>
  <si>
    <t xml:space="preserve"> Mg       2.80      4.65      2.77      4.59     1.017   0.9890   0.02834   0.92040  </t>
  </si>
  <si>
    <t xml:space="preserve"> Ca       7.42     10.38      7.33     10.25     1.634   1.0071   0.07367   1.10105  </t>
  </si>
  <si>
    <t xml:space="preserve"> Ti       1.78      2.96      1.75      2.92     0.327   1.0087   0.01760   0.71979  </t>
  </si>
  <si>
    <t xml:space="preserve"> O       43.51       -       42.97       -      24.000      -         -        </t>
  </si>
  <si>
    <t>Total:  101.26    101.26    100.00    100.00    16.467</t>
  </si>
  <si>
    <t xml:space="preserve">Unknown Specimen No. 71 </t>
  </si>
  <si>
    <t xml:space="preserve"> UNK No.      :   71            Comment : UnknA-Flow1-1_1                          </t>
  </si>
  <si>
    <t xml:space="preserve"> Stage        :    X=   49.3770  Y=   82.5280  Z=   11.4150 </t>
  </si>
  <si>
    <t xml:space="preserve"> Dated on Dec 20 20:21 2016 </t>
  </si>
  <si>
    <t xml:space="preserve"> 1 Na   129.476    308.1    0.0   16.0    1.85      151 </t>
  </si>
  <si>
    <t xml:space="preserve"> 2 S    171.948      1.7    5.6    5.2   38.02 ?    113 </t>
  </si>
  <si>
    <t xml:space="preserve"> 3 Fe   134.739    181.6    2.3    2.7    1.68      366 </t>
  </si>
  <si>
    <t xml:space="preserve"> 4 Si    77.822   3208.6   35.3   19.8    0.40      236 </t>
  </si>
  <si>
    <t xml:space="preserve"> 5 Cl   151.478     24.1    9.3    8.9    4.93       48 </t>
  </si>
  <si>
    <t xml:space="preserve"> 6 F    199.140      1.4    3.6    3.1   37.73 ?    373 </t>
  </si>
  <si>
    <t xml:space="preserve"> 7 K    119.485    421.7   34.5   20.6    0.95       61 </t>
  </si>
  <si>
    <t xml:space="preserve"> 8 Mn   146.243      2.9    1.9    2.5   17.29      303 </t>
  </si>
  <si>
    <t xml:space="preserve"> 9 Al    90.995   1071.1   17.8    7.6    0.69      162 </t>
  </si>
  <si>
    <t xml:space="preserve">10 P    197.118     24.6    3.3    2.9    5.05      155 </t>
  </si>
  <si>
    <t xml:space="preserve">11 Mg   107.534    604.1   41.1    0.0    0.94      175 </t>
  </si>
  <si>
    <t xml:space="preserve">12 Ca   107.121   2469.5   32.9   39.3    0.46       91 </t>
  </si>
  <si>
    <t xml:space="preserve">13 Ti    88.305    566.4    0.0   47.2    0.98      128 </t>
  </si>
  <si>
    <t xml:space="preserve"> Na      0.3997    0.0039    0.4771    0.9925     0.9871     2.1311     0.9957</t>
  </si>
  <si>
    <t xml:space="preserve"> S       0.7699    0.0039    0.8220    0.9618     1.0239     1.2304     0.9880</t>
  </si>
  <si>
    <t xml:space="preserve"> Si      0.7029    0.0013    0.7713    0.9869     1.0095     1.2996     1.0125</t>
  </si>
  <si>
    <t xml:space="preserve"> Cl      0.8322    0.0072    0.8818    0.9127     1.0305     1.1972     0.9839</t>
  </si>
  <si>
    <t xml:space="preserve"> F       0.1894    0.0014    0.2487    1.0181     0.9747     4.0457     1.0195</t>
  </si>
  <si>
    <t xml:space="preserve"> K       0.9099    0.0182    0.9488    0.9035     1.0414     1.1000     0.9942</t>
  </si>
  <si>
    <t xml:space="preserve"> Al      0.6476    0.0095    0.7263    0.9682     1.0019     1.4059     1.0047</t>
  </si>
  <si>
    <t xml:space="preserve"> P       0.6871    0.0021    0.7445    0.9458     1.0169     1.3935     0.9886</t>
  </si>
  <si>
    <t xml:space="preserve"> Mg      0.5373    0.0070    0.6159    1.0074     0.9943     1.6098     1.0050</t>
  </si>
  <si>
    <t xml:space="preserve"> Ca      0.9296    0.0063    0.9629    0.9178     1.0458     1.0751     1.0001</t>
  </si>
  <si>
    <t xml:space="preserve"> Ti      0.9480    0.0106    0.9754    0.8279     1.0523     1.1644     1.0024</t>
  </si>
  <si>
    <t xml:space="preserve"> Na       2.73      3.68      2.70      3.64     1.063   0.9957   0.02744   1.38424  </t>
  </si>
  <si>
    <t xml:space="preserve"> S        0.0129    0.0323    0.0128    0.0319   0.0036  0.9880   0.000131  0.024317  </t>
  </si>
  <si>
    <t xml:space="preserve"> Fe      10.23     13.16     10.10     13.00     1.639   0.9989   0.10244   0.98472  </t>
  </si>
  <si>
    <t xml:space="preserve"> Si      21.28     45.52     21.02     44.96     6.776   1.0125   0.21033   0.87799  </t>
  </si>
  <si>
    <t xml:space="preserve"> Cl       0.1475    0.1475    0.1457    0.1457   0.0372  0.9839   0.001500  0.103343  </t>
  </si>
  <si>
    <t xml:space="preserve"> F        0.1139    0.1139    0.1125    0.1125   0.0536  1.0195   0.001117  0.234675  </t>
  </si>
  <si>
    <t xml:space="preserve"> K        1.56      1.88      1.54      1.85     0.356   0.9942   0.01566   2.28970  </t>
  </si>
  <si>
    <t xml:space="preserve"> Mn       0.1821    0.2351    0.1799    0.2322   0.0296  1.0408   0.001750  0.005195  </t>
  </si>
  <si>
    <t xml:space="preserve"> Al       8.11     15.32      8.01     15.13     2.688   1.0047   0.08072   1.21360  </t>
  </si>
  <si>
    <t xml:space="preserve"> P        0.2996    0.6866    0.2959    0.6782   0.0865  0.9886   0.003031  1.772389  </t>
  </si>
  <si>
    <t xml:space="preserve"> Mg       3.19      5.28      3.15      5.22     1.172   1.0050   0.03171   1.02975  </t>
  </si>
  <si>
    <t xml:space="preserve"> Ca       8.45     11.83      8.35     11.68     1.887   1.0001   0.08453   1.26329  </t>
  </si>
  <si>
    <t xml:space="preserve"> Ti       2.01      3.36      1.99      3.32     0.376   1.0024   0.02009   0.82168  </t>
  </si>
  <si>
    <t xml:space="preserve"> O       42.93       -       42.40       -      24.000      -         -        </t>
  </si>
  <si>
    <t>Total:  101.24    101.24    100.00    100.00    16.167</t>
  </si>
  <si>
    <t xml:space="preserve">Unknown Specimen No. 72 </t>
  </si>
  <si>
    <t xml:space="preserve"> UNK No.      :   72            Comment : UnknA-Flow1-1_2                          </t>
  </si>
  <si>
    <t xml:space="preserve"> Stage        :    X=   49.8750  Y=   82.6105  Z=   11.4155 </t>
  </si>
  <si>
    <t xml:space="preserve"> Dated on Dec 20 20:24 2016 </t>
  </si>
  <si>
    <t xml:space="preserve"> 1 Na   129.476    313.0    0.0   17.6    1.84      158 </t>
  </si>
  <si>
    <t xml:space="preserve"> 2 S    171.948      2.1    5.7    6.2   33.52 ?    120 </t>
  </si>
  <si>
    <t xml:space="preserve"> 3 Fe   134.739    184.7    2.9    3.8    1.68      427 </t>
  </si>
  <si>
    <t xml:space="preserve"> 4 Si    77.822   3224.6   34.5   20.2    0.40      235 </t>
  </si>
  <si>
    <t xml:space="preserve"> 5 Cl   151.478     26.9    9.9    7.3    4.50       46 </t>
  </si>
  <si>
    <t xml:space="preserve"> 6 F    199.140      1.4    3.9    3.7   38.78 ?    396 </t>
  </si>
  <si>
    <t xml:space="preserve"> 7 K    119.485    422.8   34.4   19.9    0.95       61 </t>
  </si>
  <si>
    <t xml:space="preserve"> 8 Mn   146.243      2.1    2.1    1.9   21.58      287 </t>
  </si>
  <si>
    <t xml:space="preserve"> 9 Al    90.995   1099.5   17.2    9.8    0.68      166 </t>
  </si>
  <si>
    <t xml:space="preserve">10 P    197.118     24.0    2.6    2.7    5.06      145 </t>
  </si>
  <si>
    <t xml:space="preserve">11 Mg   107.534    591.9   41.3    0.0    0.95      176 </t>
  </si>
  <si>
    <t xml:space="preserve">12 Ca   107.121   2485.3   35.5   34.8    0.45       89 </t>
  </si>
  <si>
    <t xml:space="preserve">13 Ti    88.305    570.1    0.0   47.3    0.97      128 </t>
  </si>
  <si>
    <t xml:space="preserve"> Na      0.3995    0.0039    0.4768    0.9926     0.9871     2.1321     0.9962</t>
  </si>
  <si>
    <t xml:space="preserve"> S       0.7699    0.0039    0.8220    0.9619     1.0239     1.2304     0.9880</t>
  </si>
  <si>
    <t xml:space="preserve"> Fe      0.9808    0.0000    0.9968    0.8101     1.0557     1.1730     0.9988</t>
  </si>
  <si>
    <t xml:space="preserve"> Si      0.7023    0.0013    0.7707    0.9870     1.0094     1.3006     1.0132</t>
  </si>
  <si>
    <t xml:space="preserve"> Cl      0.8322    0.0072    0.8818    0.9128     1.0304     1.1971     0.9839</t>
  </si>
  <si>
    <t xml:space="preserve"> F       0.1897    0.0014    0.2491    1.0182     0.9747     4.0397     1.0180</t>
  </si>
  <si>
    <t xml:space="preserve"> K       0.9099    0.0182    0.9488    0.9036     1.0414     1.1000     0.9942</t>
  </si>
  <si>
    <t xml:space="preserve"> Mn      0.9751    0.0000    0.9938    0.7984     1.0561     1.1933     1.0407</t>
  </si>
  <si>
    <t xml:space="preserve"> Al      0.6479    0.0095    0.7267    0.9683     1.0018     1.4052     1.0042</t>
  </si>
  <si>
    <t xml:space="preserve"> P       0.6871    0.0021    0.7444    0.9459     1.0169     1.3936     0.9886</t>
  </si>
  <si>
    <t xml:space="preserve"> Mg      0.5370    0.0070    0.6155    1.0075     0.9943     1.6106     1.0055</t>
  </si>
  <si>
    <t xml:space="preserve"> Ca      0.9296    0.0063    0.9629    0.9179     1.0458     1.0750     1.0001</t>
  </si>
  <si>
    <t xml:space="preserve"> Ti      0.9480    0.0106    0.9754    0.8280     1.0523     1.1642     1.0022</t>
  </si>
  <si>
    <t xml:space="preserve"> Na       2.78      3.74      2.72      3.66     1.071   0.9962   0.02787   1.40627  </t>
  </si>
  <si>
    <t xml:space="preserve"> S        0.0156    0.0391    0.0153    0.0382   0.0043  0.9880   0.000158  0.029421  </t>
  </si>
  <si>
    <t xml:space="preserve"> Fe      10.41     13.39     10.19     13.11     1.653   0.9988   0.10423   1.00189  </t>
  </si>
  <si>
    <t xml:space="preserve"> Si      21.39     45.76     20.95     44.81     6.757   1.0132   0.21138   0.88236  </t>
  </si>
  <si>
    <t xml:space="preserve"> Cl       0.1645    0.1645    0.1611    0.1611   0.0412  0.9839   0.001671  0.115196  </t>
  </si>
  <si>
    <t xml:space="preserve"> F        0.1163    0.1163    0.1139    0.1139   0.0543  1.0180   0.001143  0.240045  </t>
  </si>
  <si>
    <t xml:space="preserve"> K        1.56      1.88      1.53      1.84     0.354   0.9942   0.01570   2.29546  </t>
  </si>
  <si>
    <t xml:space="preserve"> Mn       0.1326    0.1713    0.1299    0.1677   0.0214  1.0407   0.001274  0.003784  </t>
  </si>
  <si>
    <t xml:space="preserve"> Al       8.32     15.71      8.15     15.39     2.735   1.0042   0.08286   1.24582  </t>
  </si>
  <si>
    <t xml:space="preserve"> P        0.2928    0.6709    0.2867    0.6571   0.0839  0.9886   0.002961  1.731781  </t>
  </si>
  <si>
    <t xml:space="preserve"> Mg       3.12      5.18      3.06      5.07     1.140   1.0055   0.03107   1.00909  </t>
  </si>
  <si>
    <t xml:space="preserve"> Ca       8.51     11.90      8.33     11.66     1.883   1.0001   0.08507   1.27137  </t>
  </si>
  <si>
    <t xml:space="preserve"> Ti       2.03      3.38      1.98      3.31     0.375   1.0022   0.02022   0.82705  </t>
  </si>
  <si>
    <t xml:space="preserve"> O       43.28       -       42.39       -      24.000      -         -        </t>
  </si>
  <si>
    <t>Total:  102.10    102.10    100.00    100.00    16.174</t>
  </si>
  <si>
    <t xml:space="preserve">Unknown Specimen No. 73 </t>
  </si>
  <si>
    <t xml:space="preserve"> UNK No.      :   73            Comment : UnknA-Flow1-1_3                          </t>
  </si>
  <si>
    <t xml:space="preserve"> Stage        :    X=   50.0545  Y=   82.1515  Z=   11.4155 </t>
  </si>
  <si>
    <t xml:space="preserve"> Dated on Dec 20 20:27 2016 </t>
  </si>
  <si>
    <t xml:space="preserve"> 1 Na   129.476    344.8    0.0   18.7    1.75      163 </t>
  </si>
  <si>
    <t xml:space="preserve"> 2 S    171.948      1.4    6.6    5.4   48.41 ?    119 </t>
  </si>
  <si>
    <t xml:space="preserve"> 3 Fe   134.739    183.0    2.1    2.6    1.68      356 </t>
  </si>
  <si>
    <t xml:space="preserve"> 4 Si    77.822   3192.0   31.9   18.0    0.40      225 </t>
  </si>
  <si>
    <t xml:space="preserve"> 5 Cl   151.478     26.0    8.9    9.1    4.66       48 </t>
  </si>
  <si>
    <t xml:space="preserve"> 6 F    199.140      0.7    4.1    2.4   76.88 ?    374 </t>
  </si>
  <si>
    <t xml:space="preserve"> 7 K    119.485    397.9   34.0   22.7    0.98       62 </t>
  </si>
  <si>
    <t xml:space="preserve"> 8 Mn   146.243      2.6    2.3    1.9   18.45      293 </t>
  </si>
  <si>
    <t xml:space="preserve"> 9 Al    90.995   1105.2   14.4    9.5    0.68      156 </t>
  </si>
  <si>
    <t xml:space="preserve">10 P    197.118     27.5    3.4    2.5    4.69      150 </t>
  </si>
  <si>
    <t xml:space="preserve">11 Mg   107.534    580.1   39.9    0.0    0.96      173 </t>
  </si>
  <si>
    <t xml:space="preserve">12 Ca   107.121   2498.5   35.6   41.6    0.45       94 </t>
  </si>
  <si>
    <t xml:space="preserve">13 Ti    88.305    549.5    0.0   48.4    0.99      129 </t>
  </si>
  <si>
    <t xml:space="preserve"> Na      0.4004    0.0039    0.4779    0.9925     0.9872     2.1275     0.9940</t>
  </si>
  <si>
    <t xml:space="preserve"> S       0.7698    0.0039    0.8219    0.9618     1.0240     1.2306     0.9881</t>
  </si>
  <si>
    <t xml:space="preserve"> Fe      0.9809    0.0000    0.9969    0.8100     1.0558     1.1730     0.9988</t>
  </si>
  <si>
    <t xml:space="preserve"> Si      0.7016    0.0013    0.7699    0.9869     1.0095     1.3019     1.0143</t>
  </si>
  <si>
    <t xml:space="preserve"> Cl      0.8322    0.0071    0.8818    0.9126     1.0305     1.1973     0.9840</t>
  </si>
  <si>
    <t xml:space="preserve"> F       0.1899    0.0014    0.2493    1.0181     0.9748     4.0362     1.0172</t>
  </si>
  <si>
    <t xml:space="preserve"> K       0.9099    0.0182    0.9488    0.9035     1.0415     1.1000     0.9942</t>
  </si>
  <si>
    <t xml:space="preserve"> Mn      0.9752    0.0000    0.9939    0.7983     1.0562     1.1933     1.0407</t>
  </si>
  <si>
    <t xml:space="preserve"> Al      0.6475    0.0094    0.7262    0.9682     1.0019     1.4062     1.0049</t>
  </si>
  <si>
    <t xml:space="preserve"> P       0.6872    0.0021    0.7446    0.9458     1.0170     1.3934     0.9885</t>
  </si>
  <si>
    <t xml:space="preserve"> Mg      0.5361    0.0070    0.6145    1.0073     0.9944     1.6133     1.0072</t>
  </si>
  <si>
    <t xml:space="preserve"> Ca      0.9298    0.0063    0.9631    0.9178     1.0459     1.0749     1.0000</t>
  </si>
  <si>
    <t xml:space="preserve"> Ti      0.9481    0.0106    0.9754    0.8279     1.0524     1.1643     1.0023</t>
  </si>
  <si>
    <t xml:space="preserve"> Na       3.05      4.11      3.00      4.04     1.181   0.9940   0.03071   1.54925  </t>
  </si>
  <si>
    <t xml:space="preserve"> S        0.0104    0.0260    0.0102    0.0256   0.0029  0.9881   0.000105  0.019607 ?</t>
  </si>
  <si>
    <t xml:space="preserve"> Fe      10.31     13.26     10.12     13.02     1.643   0.9988   0.10322   0.99223  </t>
  </si>
  <si>
    <t xml:space="preserve"> Si      21.20     45.35     20.82     44.54     6.718   1.0143   0.20924   0.87345  </t>
  </si>
  <si>
    <t xml:space="preserve"> Cl       0.1591    0.1591    0.1562    0.1562   0.0399  0.9840   0.001617  0.111406  </t>
  </si>
  <si>
    <t xml:space="preserve"> F        0.0538    0.0538    0.0528    0.0528   0.0252  1.0172   0.000529  0.111116  </t>
  </si>
  <si>
    <t xml:space="preserve"> K        1.47      1.77      1.44      1.74     0.334   0.9942   0.01477   2.16008  </t>
  </si>
  <si>
    <t xml:space="preserve"> Mn       0.1631    0.2106    0.1602    0.2068   0.0264  1.0407   0.001567  0.004653  </t>
  </si>
  <si>
    <t xml:space="preserve"> Al       8.37     15.81      8.22     15.52     2.760   1.0049   0.08329   1.25229  </t>
  </si>
  <si>
    <t xml:space="preserve"> P        0.3357    0.7694    0.3297    0.7556   0.0965  0.9885   0.003397  1.986258  </t>
  </si>
  <si>
    <t xml:space="preserve"> Mg       3.07      5.08      3.01      4.99     1.123   1.0072   0.03045   0.98895  </t>
  </si>
  <si>
    <t xml:space="preserve"> Ca       8.55     11.96      8.40     11.75     1.899   1.0000   0.08552   1.27813  </t>
  </si>
  <si>
    <t xml:space="preserve"> Ti       1.95      3.26      1.92      3.20     0.363   1.0023   0.01949   0.79720  </t>
  </si>
  <si>
    <t xml:space="preserve"> O       43.14       -       42.37       -      24.000      -         -        </t>
  </si>
  <si>
    <t>Total:  101.83    101.83    100.00    100.00    16.212</t>
  </si>
  <si>
    <t xml:space="preserve">Unknown Specimen No. 74 </t>
  </si>
  <si>
    <t xml:space="preserve"> UNK No.      :   74            Comment : UnknA-Flow1-1_4                          </t>
  </si>
  <si>
    <t xml:space="preserve"> Stage        :    X=   49.6515  Y=   83.6115  Z=   11.4225 </t>
  </si>
  <si>
    <t xml:space="preserve"> Dated on Dec 20 20:31 2016 </t>
  </si>
  <si>
    <t xml:space="preserve"> 1 Na   129.476    302.9    0.0   19.6    1.87      167 </t>
  </si>
  <si>
    <t xml:space="preserve"> 2 S    171.948      2.8    5.5    4.5   23.38      109 </t>
  </si>
  <si>
    <t xml:space="preserve"> 3 Fe   134.739    185.8    2.9    3.0    1.67      393 </t>
  </si>
  <si>
    <t xml:space="preserve"> 4 Si    77.822   3192.5   32.1   21.6    0.40      232 </t>
  </si>
  <si>
    <t xml:space="preserve"> 5 Cl   151.478     26.8    8.1    6.5    4.37       43 </t>
  </si>
  <si>
    <t xml:space="preserve"> 6 F    199.140      1.0    3.3    2.9   49.61 ?    359 </t>
  </si>
  <si>
    <t xml:space="preserve"> 7 K    119.485    395.7   34.1   22.7    0.98       62 </t>
  </si>
  <si>
    <t xml:space="preserve"> 8 Mn   146.243      2.1    2.3    1.7   21.07      286 </t>
  </si>
  <si>
    <t xml:space="preserve"> 9 Al    90.995   1069.0   15.8    9.3    0.69      160 </t>
  </si>
  <si>
    <t xml:space="preserve">10 P    197.118     27.1    3.1    2.9    4.76      153 </t>
  </si>
  <si>
    <t xml:space="preserve">11 Mg   107.534    586.3   38.0    0.0    0.95      169 </t>
  </si>
  <si>
    <t xml:space="preserve">12 Ca   107.121   2399.0   35.4   35.4    0.46       90 </t>
  </si>
  <si>
    <t xml:space="preserve">13 Ti    88.305    571.2    0.0   48.2    0.97      129 </t>
  </si>
  <si>
    <t xml:space="preserve"> Na      0.3985    0.0039    0.4756    0.9928     0.9870     2.1373     0.9986</t>
  </si>
  <si>
    <t xml:space="preserve"> S       0.7695    0.0038    0.8216    0.9621     1.0238     1.2310     0.9885</t>
  </si>
  <si>
    <t xml:space="preserve"> Fe      0.9809    0.0000    0.9969    0.8103     1.0557     1.1727     0.9985</t>
  </si>
  <si>
    <t xml:space="preserve"> Si      0.7024    0.0013    0.7708    0.9872     1.0094     1.3002     1.0130</t>
  </si>
  <si>
    <t xml:space="preserve"> Cl      0.8319    0.0070    0.8814    0.9129     1.0304     1.1977     0.9843</t>
  </si>
  <si>
    <t xml:space="preserve"> F       0.1900    0.0014    0.2494    1.0184     0.9746     4.0336     1.0165</t>
  </si>
  <si>
    <t xml:space="preserve"> K       0.9097    0.0179    0.9486    0.9038     1.0413     1.1004     0.9945</t>
  </si>
  <si>
    <t xml:space="preserve"> Mn      0.9752    0.0000    0.9939    0.7986     1.0561     1.1930     1.0404</t>
  </si>
  <si>
    <t xml:space="preserve"> Al      0.6472    0.0095    0.7259    0.9685     1.0018     1.4065     1.0051</t>
  </si>
  <si>
    <t xml:space="preserve"> P       0.6867    0.0021    0.7441    0.9461     1.0168     1.3941     0.9890</t>
  </si>
  <si>
    <t xml:space="preserve"> Mg      0.5363    0.0070    0.6147    1.0077     0.9942     1.6125     1.0067</t>
  </si>
  <si>
    <t xml:space="preserve"> Ca      0.9297    0.0065    0.9629    0.9181     1.0457     1.0747     0.9998</t>
  </si>
  <si>
    <t xml:space="preserve"> Ti      0.9484    0.0109    0.9758    0.8282     1.0523     1.1634     1.0015</t>
  </si>
  <si>
    <t xml:space="preserve"> Na       2.69      3.63      2.67      3.60     1.052   0.9986   0.02697   1.36087  </t>
  </si>
  <si>
    <t xml:space="preserve"> S        0.0212    0.0529    0.0210    0.0525   0.0059  0.9885   0.000214  0.039828  </t>
  </si>
  <si>
    <t xml:space="preserve"> Fe      10.46     13.46     10.39     13.37     1.683   0.9985   0.10481   1.00752  </t>
  </si>
  <si>
    <t xml:space="preserve"> Si      21.19     45.33     21.04     45.01     6.777   1.0130   0.20927   0.87358  </t>
  </si>
  <si>
    <t xml:space="preserve"> Cl       0.1643    0.1643    0.1632    0.1632   0.0416  0.9843   0.001670  0.115062  </t>
  </si>
  <si>
    <t xml:space="preserve"> F        0.0814    0.0814    0.0808    0.0808   0.0385  1.0165   0.000801  0.168246  </t>
  </si>
  <si>
    <t xml:space="preserve"> K        1.46      1.76      1.45      1.75     0.336   0.9945   0.01470   2.14844  </t>
  </si>
  <si>
    <t xml:space="preserve"> Mn       0.1358    0.1753    0.1348    0.1741   0.0222  1.0404   0.001305  0.003875  </t>
  </si>
  <si>
    <t xml:space="preserve"> Al       8.10     15.30      8.04     15.19     2.696   1.0051   0.08056   1.21127  </t>
  </si>
  <si>
    <t xml:space="preserve"> P        0.3306    0.7575    0.3282    0.7521   0.0959  0.9890   0.003342  1.954674  </t>
  </si>
  <si>
    <t xml:space="preserve"> Mg       3.10      5.14      3.08      5.10     1.145   1.0067   0.03077   0.99944  </t>
  </si>
  <si>
    <t xml:space="preserve"> Ca       8.21     11.49      8.15     11.40     1.840   0.9998   0.08211   1.22722  </t>
  </si>
  <si>
    <t xml:space="preserve"> Ti       2.03      3.38      2.01      3.36     0.381   1.0015   0.02026   0.82858  </t>
  </si>
  <si>
    <t xml:space="preserve"> O       42.74       -       42.44       -      24.000      -         -        </t>
  </si>
  <si>
    <t>Total:  100.72    100.72    100.00    100.00    16.113</t>
  </si>
  <si>
    <t xml:space="preserve">Unknown Specimen No. 75 </t>
  </si>
  <si>
    <t xml:space="preserve"> UNK No.      :   75            Comment : UnknA-Flow1-1_5                          </t>
  </si>
  <si>
    <t xml:space="preserve"> Stage        :    X=   49.8700  Y=   84.1125  Z=   11.4240 </t>
  </si>
  <si>
    <t xml:space="preserve"> Dated on Dec 20 20:34 2016 </t>
  </si>
  <si>
    <t xml:space="preserve"> 1 Na   129.476    302.8    0.0   17.7    1.87      159 </t>
  </si>
  <si>
    <t xml:space="preserve"> 2 S    171.948      2.4    5.5    5.4   27.81      114 </t>
  </si>
  <si>
    <t xml:space="preserve"> 3 Fe   134.739    179.8    2.9    2.3    1.69      360 </t>
  </si>
  <si>
    <t xml:space="preserve"> 4 Si    77.822   3203.1   32.7   19.6    0.40      230 </t>
  </si>
  <si>
    <t xml:space="preserve"> 5 Cl   151.478     24.2    9.2    8.2    4.86       47 </t>
  </si>
  <si>
    <t xml:space="preserve"> 6 F    199.140      1.0    3.6    2.8   52.60 ?    366 </t>
  </si>
  <si>
    <t xml:space="preserve"> 7 K    119.485    404.8   32.9   24.1    0.97       62 </t>
  </si>
  <si>
    <t xml:space="preserve"> 8 Mn   146.243      2.1    2.1    2.1   21.82      295 </t>
  </si>
  <si>
    <t xml:space="preserve"> 9 Al    90.995   1080.7   16.8   10.1    0.69      166 </t>
  </si>
  <si>
    <t xml:space="preserve">10 P    197.118     26.2    2.6    2.8    4.82      147 </t>
  </si>
  <si>
    <t xml:space="preserve">11 Mg   107.534    587.5   40.3    0.0    0.95      173 </t>
  </si>
  <si>
    <t xml:space="preserve">12 Ca   107.121   2429.2   34.6   35.3    0.46       89 </t>
  </si>
  <si>
    <t xml:space="preserve">13 Ti    88.305    563.4    0.0   47.4    0.98      128 </t>
  </si>
  <si>
    <t xml:space="preserve"> Na      0.4003    0.0039    0.4778    0.9922     0.9872     2.1283     0.9944</t>
  </si>
  <si>
    <t xml:space="preserve"> S       0.7696    0.0038    0.8217    0.9615     1.0241     1.2313     0.9887</t>
  </si>
  <si>
    <t xml:space="preserve"> Fe      0.9809    0.0000    0.9969    0.8098     1.0558     1.1733     0.9991</t>
  </si>
  <si>
    <t xml:space="preserve"> Si      0.7030    0.0013    0.7715    0.9866     1.0096     1.2995     1.0124</t>
  </si>
  <si>
    <t xml:space="preserve"> Cl      0.8320    0.0071    0.8815    0.9124     1.0306     1.1979     0.9845</t>
  </si>
  <si>
    <t xml:space="preserve"> F       0.1895    0.0014    0.2488    1.0178     0.9748     4.0452     1.0194</t>
  </si>
  <si>
    <t xml:space="preserve"> K       0.9098    0.0180    0.9487    0.9032     1.0415     1.1006     0.9947</t>
  </si>
  <si>
    <t xml:space="preserve"> Mn      0.9752    0.0000    0.9938    0.7981     1.0562     1.1936     1.0409</t>
  </si>
  <si>
    <t xml:space="preserve"> Al      0.6487    0.0096    0.7276    0.9679     1.0020     1.4037     1.0032</t>
  </si>
  <si>
    <t xml:space="preserve"> P       0.6868    0.0021    0.7442    0.9455     1.0170     1.3945     0.9893</t>
  </si>
  <si>
    <t xml:space="preserve"> Mg      0.5381    0.0070    0.6168    1.0070     0.9944     1.6077     1.0037</t>
  </si>
  <si>
    <t xml:space="preserve"> Ca      0.9297    0.0063    0.9629    0.9176     1.0459     1.0753     1.0004</t>
  </si>
  <si>
    <t xml:space="preserve"> Ti      0.9482    0.0105    0.9756    0.8277     1.0524     1.1645     1.0025</t>
  </si>
  <si>
    <t xml:space="preserve"> Na       2.68      3.61      2.66      3.59     1.046   0.9944   0.02694   1.35907  </t>
  </si>
  <si>
    <t xml:space="preserve"> S        0.0183    0.0456    0.0182    0.0454   0.0051  0.9887   0.000185  0.034329  </t>
  </si>
  <si>
    <t xml:space="preserve"> Fe      10.13     13.03     10.07     12.96     1.629   0.9991   0.10137   0.97439  </t>
  </si>
  <si>
    <t xml:space="preserve"> Si      21.23     45.41     21.12     45.17     6.789   1.0124   0.20976   0.87560  </t>
  </si>
  <si>
    <t xml:space="preserve"> Cl       0.1480    0.1480    0.1472    0.1472   0.0375  0.9845   0.001503  0.103604  </t>
  </si>
  <si>
    <t xml:space="preserve"> F        0.0784    0.0784    0.0779    0.0779   0.0370  1.0194   0.000769  0.161472  </t>
  </si>
  <si>
    <t xml:space="preserve"> K        1.49      1.80      1.49      1.79     0.343   0.9947   0.01502   2.19558  </t>
  </si>
  <si>
    <t xml:space="preserve"> Mn       0.1338    0.1728    0.1331    0.1719   0.0219  1.0409   0.001286  0.003817  </t>
  </si>
  <si>
    <t xml:space="preserve"> Al       8.16     15.42      8.12     15.34     2.717   1.0032   0.08136   1.22328  </t>
  </si>
  <si>
    <t xml:space="preserve"> P        0.3194    0.7318    0.3176    0.7279   0.0926  0.9893   0.003228  1.887828  </t>
  </si>
  <si>
    <t xml:space="preserve"> Mg       3.09      5.13      3.08      5.10     1.142   1.0037   0.03081   1.00050  </t>
  </si>
  <si>
    <t xml:space="preserve"> Ca       8.31     11.63      8.26     11.56     1.862   1.0004   0.08306   1.24144  </t>
  </si>
  <si>
    <t xml:space="preserve"> Ti       2.00      3.34      1.99      3.32     0.375   1.0025   0.01996   0.81651  </t>
  </si>
  <si>
    <t xml:space="preserve"> O       42.75       -       42.52       -      24.000      -         -        </t>
  </si>
  <si>
    <t>Total:  100.54    100.54    100.00    100.00    16.098</t>
  </si>
  <si>
    <t xml:space="preserve">Unknown Specimen No. 76 </t>
  </si>
  <si>
    <t xml:space="preserve"> UNK No.      :   76            Comment : UnknA-Flow1-1_6                          </t>
  </si>
  <si>
    <t xml:space="preserve"> Stage        :    X=   50.2635  Y=   83.7415  Z=   11.4240 </t>
  </si>
  <si>
    <t xml:space="preserve"> Dated on Dec 20 20:38 2016 </t>
  </si>
  <si>
    <t xml:space="preserve"> 1 Na   129.476    300.0    0.0   17.6    1.88      158 </t>
  </si>
  <si>
    <t xml:space="preserve"> 2 S    171.948      2.1    5.7    5.3   30.97      114 </t>
  </si>
  <si>
    <t xml:space="preserve"> 3 Fe   134.739    173.1    2.4    3.1    1.73      387 </t>
  </si>
  <si>
    <t xml:space="preserve"> 4 Si    77.822   3185.9   30.2   21.3    0.40      227 </t>
  </si>
  <si>
    <t xml:space="preserve"> 5 Cl   151.478     21.1    8.8    7.3    5.27       45 </t>
  </si>
  <si>
    <t xml:space="preserve"> 6 F    199.140      0.6    3.4    2.3   84.30 ?    348 </t>
  </si>
  <si>
    <t xml:space="preserve"> 7 K    119.485    394.4   32.9   22.3    0.98       61 </t>
  </si>
  <si>
    <t xml:space="preserve"> 8 Mn   146.243      2.7    2.6    2.0   17.97      307 </t>
  </si>
  <si>
    <t xml:space="preserve"> 9 Al    90.995   1078.4   16.4   10.2    0.69      165 </t>
  </si>
  <si>
    <t xml:space="preserve">10 P    197.118     29.0    3.5    3.1    4.61      160 </t>
  </si>
  <si>
    <t xml:space="preserve">11 Mg   107.534    583.8   40.8    0.0    0.96      175 </t>
  </si>
  <si>
    <t xml:space="preserve">12 Ca   107.121   2569.3   31.2   37.3    0.45       89 </t>
  </si>
  <si>
    <t xml:space="preserve">13 Ti    88.305    566.7    0.0   49.0    0.98      130 </t>
  </si>
  <si>
    <t xml:space="preserve"> Na      0.4015    0.0039    0.4792    0.9920     0.9873     2.1227     0.9918</t>
  </si>
  <si>
    <t xml:space="preserve"> S       0.7702    0.0039    0.8224    0.9613     1.0241     1.2304     0.9879</t>
  </si>
  <si>
    <t xml:space="preserve"> Fe      0.9807    0.0000    0.9966    0.8096     1.0558     1.1738     0.9995</t>
  </si>
  <si>
    <t xml:space="preserve"> Si      0.7040    0.0014    0.7725    0.9864     1.0096     1.2981     1.0113</t>
  </si>
  <si>
    <t xml:space="preserve"> Cl      0.8325    0.0074    0.8821    0.9122     1.0306     1.1971     0.9839</t>
  </si>
  <si>
    <t xml:space="preserve"> F       0.1883    0.0014    0.2472    1.0175     0.9748     4.0724     1.0263</t>
  </si>
  <si>
    <t xml:space="preserve"> K       0.9101    0.0189    0.9490    0.9030     1.0416     1.0995     0.9938</t>
  </si>
  <si>
    <t xml:space="preserve"> Mn      0.9749    0.0000    0.9936    0.7979     1.0563     1.1942     1.0415</t>
  </si>
  <si>
    <t xml:space="preserve"> Al      0.6498    0.0096    0.7288    0.9677     1.0020     1.4016     1.0016</t>
  </si>
  <si>
    <t xml:space="preserve"> P       0.6878    0.0022    0.7453    0.9453     1.0171     1.3926     0.9880</t>
  </si>
  <si>
    <t xml:space="preserve"> Mg      0.5393    0.0071    0.6182    1.0068     0.9945     1.6043     1.0016</t>
  </si>
  <si>
    <t xml:space="preserve"> Ca      0.9300    0.0062    0.9633    0.9173     1.0460     1.0752     1.0003</t>
  </si>
  <si>
    <t xml:space="preserve"> Ti      0.9476    0.0101    0.9750    0.8275     1.0525     1.1660     1.0037</t>
  </si>
  <si>
    <t xml:space="preserve"> Na       2.65      3.57      2.64      3.56     1.036   0.9918   0.02671   1.34783  </t>
  </si>
  <si>
    <t xml:space="preserve"> S        0.0163    0.0406    0.0162    0.0404   0.0046  0.9879   0.000165  0.030585  </t>
  </si>
  <si>
    <t xml:space="preserve"> Fe       9.76     12.55      9.72     12.50     1.571   0.9995   0.09764   0.93859  </t>
  </si>
  <si>
    <t xml:space="preserve"> Si      21.11     45.17     21.02     44.97     6.757   1.0113   0.20884   0.87178  </t>
  </si>
  <si>
    <t xml:space="preserve"> Cl       0.1292    0.1292    0.1286    0.1286   0.0328  0.9839   0.001313  0.090482  </t>
  </si>
  <si>
    <t xml:space="preserve"> F        0.0459    0.0459    0.0457    0.0457   0.0217  1.0263   0.000447  0.093913  </t>
  </si>
  <si>
    <t xml:space="preserve"> K        1.46      1.75      1.45      1.75     0.335   0.9938   0.01465   2.14133  </t>
  </si>
  <si>
    <t xml:space="preserve"> Mn       0.1744    0.2252    0.1736    0.2242   0.0285  1.0415   0.001675  0.004972  </t>
  </si>
  <si>
    <t xml:space="preserve"> Al       8.14     15.38      8.10     15.31     2.712   1.0016   0.08127   1.22185  </t>
  </si>
  <si>
    <t xml:space="preserve"> P        0.3531    0.8091    0.3516    0.8056   0.1025  0.9880   0.003574  2.090034  </t>
  </si>
  <si>
    <t xml:space="preserve"> Mg       3.07      5.09      3.06      5.07     1.135   1.0016   0.03064   0.99526  </t>
  </si>
  <si>
    <t xml:space="preserve"> Ca       8.80     12.31      8.76     12.25     1.973   1.0003   0.08794   1.31436  </t>
  </si>
  <si>
    <t xml:space="preserve"> Ti       2.02      3.37      2.01      3.35     0.379   1.0037   0.02010   0.82205  </t>
  </si>
  <si>
    <t xml:space="preserve"> O       42.72       -       42.53       -      24.000      -         -        </t>
  </si>
  <si>
    <t>Total:  100.44    100.44    100.00    100.00    16.086</t>
  </si>
  <si>
    <t xml:space="preserve">Unknown Specimen No. 77 </t>
  </si>
  <si>
    <t xml:space="preserve"> UNK No.      :   77            Comment : UnknA-Flow1-1_7                          </t>
  </si>
  <si>
    <t xml:space="preserve"> Stage        :    X=   52.0305  Y=   84.3200  Z=   11.4280 </t>
  </si>
  <si>
    <t xml:space="preserve"> Dated on Dec 20 20:41 2016 </t>
  </si>
  <si>
    <t xml:space="preserve"> 1 Na   129.476    292.1    0.0   17.6    1.91      158 </t>
  </si>
  <si>
    <t xml:space="preserve"> 2 S    171.948      1.7    4.5    6.7   39.64 ?    118 </t>
  </si>
  <si>
    <t xml:space="preserve"> 3 Fe   134.739    186.7    2.4    2.3    1.66      348 </t>
  </si>
  <si>
    <t xml:space="preserve"> 4 Si    77.822   3197.5   34.1   19.6    0.40      233 </t>
  </si>
  <si>
    <t xml:space="preserve"> 5 Cl   151.478     24.5    8.8    9.4    4.88       48 </t>
  </si>
  <si>
    <t xml:space="preserve"> 6 F    199.140      0.6    3.3    3.2   89.68 ?    365 </t>
  </si>
  <si>
    <t xml:space="preserve"> 7 K    119.485    374.9   35.1   22.6    1.02       62 </t>
  </si>
  <si>
    <t xml:space="preserve"> 8 Mn   146.243      2.9    2.3    2.1   17.07      301 </t>
  </si>
  <si>
    <t xml:space="preserve"> 9 Al    90.995   1081.3   15.8    9.9    0.69      162 </t>
  </si>
  <si>
    <t xml:space="preserve">10 P    197.118     25.6    3.1    3.3    4.96      160 </t>
  </si>
  <si>
    <t xml:space="preserve">11 Mg   107.534    601.6   40.3    0.0    0.94      173 </t>
  </si>
  <si>
    <t xml:space="preserve">12 Ca   107.121   2473.5   35.1   40.0    0.46       93 </t>
  </si>
  <si>
    <t xml:space="preserve">13 Ti    88.305    575.9    0.0   46.9    0.97      127 </t>
  </si>
  <si>
    <t xml:space="preserve"> Na      0.3981    0.0039    0.4751    0.9930     0.9869     2.1393     0.9996</t>
  </si>
  <si>
    <t xml:space="preserve"> S       0.7696    0.0038    0.8217    0.9622     1.0237     1.2307     0.9882</t>
  </si>
  <si>
    <t xml:space="preserve"> Fe      0.9809    0.0000    0.9968    0.8104     1.0556     1.1727     0.9985</t>
  </si>
  <si>
    <t xml:space="preserve"> Si      0.7020    0.0013    0.7704    0.9874     1.0093     1.3009     1.0135</t>
  </si>
  <si>
    <t xml:space="preserve"> Cl      0.8320    0.0071    0.8816    0.9131     1.0303     1.1973     0.9840</t>
  </si>
  <si>
    <t xml:space="preserve"> F       0.1896    0.0014    0.2489    1.0186     0.9745     4.0423     1.0187</t>
  </si>
  <si>
    <t xml:space="preserve"> K       0.9098    0.0183    0.9487    0.9039     1.0413     1.0998     0.9940</t>
  </si>
  <si>
    <t xml:space="preserve"> Mn      0.9752    0.0000    0.9938    0.7987     1.0560     1.1929     1.0404</t>
  </si>
  <si>
    <t xml:space="preserve"> Al      0.6470    0.0095    0.7257    0.9687     1.0017     1.4069     1.0054</t>
  </si>
  <si>
    <t xml:space="preserve"> P       0.6868    0.0021    0.7442    0.9463     1.0167     1.3938     0.9888</t>
  </si>
  <si>
    <t xml:space="preserve"> Mg      0.5365    0.0070    0.6150    1.0078     0.9941     1.6116     1.0061</t>
  </si>
  <si>
    <t xml:space="preserve"> Ca      0.9300    0.0065    0.9633    0.9182     1.0457     1.0742     0.9993</t>
  </si>
  <si>
    <t xml:space="preserve"> Ti      0.9482    0.0109    0.9756    0.8283     1.0522     1.1635     1.0016</t>
  </si>
  <si>
    <t xml:space="preserve"> Na       2.60      3.50      2.57      3.46     1.010   0.9996   0.02598   1.31101  </t>
  </si>
  <si>
    <t xml:space="preserve"> S        0.0129    0.0323    0.0128    0.0320   0.0036  0.9882   0.000131  0.024356  </t>
  </si>
  <si>
    <t xml:space="preserve"> Fe      10.50     13.51     10.38     13.35     1.682   0.9985   0.10521   1.01132  </t>
  </si>
  <si>
    <t xml:space="preserve"> Si      21.21     45.37     20.96     44.84     6.752   1.0135   0.20940   0.87409  </t>
  </si>
  <si>
    <t xml:space="preserve"> Cl       0.1497    0.1497    0.1479    0.1479   0.0378  0.9840   0.001521  0.104815  </t>
  </si>
  <si>
    <t xml:space="preserve"> F        0.0444    0.0444    0.0439    0.0439   0.0209  1.0187   0.000436  0.091501  </t>
  </si>
  <si>
    <t xml:space="preserve"> K        1.38      1.67      1.37      1.65     0.316   0.9940   0.01391   2.03354  </t>
  </si>
  <si>
    <t xml:space="preserve"> Mn       0.1833    0.2367    0.1812    0.2339   0.0298  1.0404   0.001762  0.005231  </t>
  </si>
  <si>
    <t xml:space="preserve"> Al       8.18     15.46      8.09     15.28     2.712   1.0054   0.08140   1.22394  </t>
  </si>
  <si>
    <t xml:space="preserve"> P        0.3125    0.7161    0.3089    0.7078   0.0902  0.9888   0.003160  1.848162  </t>
  </si>
  <si>
    <t xml:space="preserve"> Mg       3.17      5.26      3.14      5.20     1.167   1.0061   0.03154   1.02446  </t>
  </si>
  <si>
    <t xml:space="preserve"> Ca       8.45     11.83      8.35     11.69     1.886   0.9993   0.08458   1.26406  </t>
  </si>
  <si>
    <t xml:space="preserve"> Ti       2.04      3.41      2.02      3.37     0.382   1.0016   0.02041   0.83458  </t>
  </si>
  <si>
    <t xml:space="preserve"> O       42.94       -       42.44       -      24.000      -         -        </t>
  </si>
  <si>
    <t>Total:  101.18    101.18    100.00    100.00    16.090</t>
  </si>
  <si>
    <t xml:space="preserve">Unknown Specimen No. 78 </t>
  </si>
  <si>
    <t xml:space="preserve"> UNK No.      :   78            Comment : UnknA-Flow1-1_8                          </t>
  </si>
  <si>
    <t xml:space="preserve"> Stage        :    X=   52.3350  Y=   83.9540  Z=   11.4280 </t>
  </si>
  <si>
    <t xml:space="preserve"> Dated on Dec 20 20:45 2016 </t>
  </si>
  <si>
    <t xml:space="preserve"> 1 Na   129.476    302.7    0.0   17.2    1.87      156 </t>
  </si>
  <si>
    <t xml:space="preserve"> 2 S    171.948      1.5    5.5    4.9   43.39 ?    111 </t>
  </si>
  <si>
    <t xml:space="preserve"> 3 Fe   134.739    178.8    2.2    2.4    1.70      349 </t>
  </si>
  <si>
    <t xml:space="preserve"> 4 Si    77.822   3222.1   31.1   20.5    0.40      227 </t>
  </si>
  <si>
    <t xml:space="preserve"> 5 Cl   151.478     26.0    7.8    7.9    4.54       44 </t>
  </si>
  <si>
    <t xml:space="preserve"> 6 F    199.140      0.8    3.2    3.4   60.85 ?    365 </t>
  </si>
  <si>
    <t xml:space="preserve"> 7 K    119.485    379.1   32.3   21.3    1.00       60 </t>
  </si>
  <si>
    <t xml:space="preserve"> 8 Mn   146.243      2.6    1.9    2.3   18.70      300 </t>
  </si>
  <si>
    <t xml:space="preserve"> 9 Al    90.995   1092.9   17.2    8.6    0.68      163 </t>
  </si>
  <si>
    <t xml:space="preserve">10 P    197.118     23.9    3.2    3.4    5.19      162 </t>
  </si>
  <si>
    <t xml:space="preserve">11 Mg   107.534    606.0   41.5    0.0    0.94      176 </t>
  </si>
  <si>
    <t xml:space="preserve">12 Ca   107.121   2516.7   30.9   39.7    0.45       90 </t>
  </si>
  <si>
    <t xml:space="preserve">13 Ti    88.305    555.1    0.0   50.1    0.99      132 </t>
  </si>
  <si>
    <t xml:space="preserve"> Na      0.4009    0.0039    0.4785    0.9920     0.9873     2.1254     0.9931</t>
  </si>
  <si>
    <t xml:space="preserve"> S       0.7698    0.0039    0.8219    0.9613     1.0241     1.2311     0.9886</t>
  </si>
  <si>
    <t xml:space="preserve"> Fe      0.9808    0.0000    0.9968    0.8097     1.0558     1.1735     0.9993</t>
  </si>
  <si>
    <t xml:space="preserve"> Si      0.7030    0.0013    0.7714    0.9864     1.0097     1.2999     1.0127</t>
  </si>
  <si>
    <t xml:space="preserve"> Cl      0.8321    0.0072    0.8817    0.9122     1.0306     1.1978     0.9844</t>
  </si>
  <si>
    <t xml:space="preserve"> F       0.1892    0.0014    0.2484    1.0176     0.9749     4.0522     1.0212</t>
  </si>
  <si>
    <t xml:space="preserve"> K       0.9098    0.0184    0.9487    0.9031     1.0416     1.1003     0.9944</t>
  </si>
  <si>
    <t xml:space="preserve"> Mn      0.9751    0.0000    0.9938    0.7980     1.0563     1.1938     1.0412</t>
  </si>
  <si>
    <t xml:space="preserve"> Al      0.6488    0.0096    0.7277    0.9677     1.0020     1.4037     1.0031</t>
  </si>
  <si>
    <t xml:space="preserve"> P       0.6869    0.0021    0.7443    0.9453     1.0171     1.3945     0.9893</t>
  </si>
  <si>
    <t xml:space="preserve"> Mg      0.5388    0.0071    0.6176    1.0069     0.9945     1.6058     1.0025</t>
  </si>
  <si>
    <t xml:space="preserve"> Ca      0.9300    0.0062    0.9633    0.9174     1.0460     1.0752     1.0002</t>
  </si>
  <si>
    <t xml:space="preserve"> Ti      0.9480    0.0104    0.9754    0.8275     1.0525     1.1651     1.0030</t>
  </si>
  <si>
    <t xml:space="preserve"> Na       2.68      3.61      2.64      3.56     1.037   0.9931   0.02695   1.35997  </t>
  </si>
  <si>
    <t xml:space="preserve"> S        0.0110    0.0276    0.0109    0.0272   0.0031  0.9886   0.000112  0.020754 ?</t>
  </si>
  <si>
    <t xml:space="preserve"> Fe      10.08     12.97      9.94     12.79     1.608   0.9993   0.10088   0.96972  </t>
  </si>
  <si>
    <t xml:space="preserve"> Si      21.37     45.72     21.09     45.11     6.779   1.0127   0.21121   0.88168  </t>
  </si>
  <si>
    <t xml:space="preserve"> Cl       0.1589    0.1589    0.1568    0.1568   0.0399  0.9844   0.001615  0.111275  </t>
  </si>
  <si>
    <t xml:space="preserve"> F        0.0666    0.0666    0.0657    0.0657   0.0312  1.0212   0.000652  0.137023  </t>
  </si>
  <si>
    <t xml:space="preserve"> K        1.40      1.69      1.38      1.66     0.319   0.9944   0.01408   2.05839  </t>
  </si>
  <si>
    <t xml:space="preserve"> Mn       0.1639    0.2116    0.1617    0.2088   0.0266  1.0412   0.001574  0.004674  </t>
  </si>
  <si>
    <t xml:space="preserve"> Al       8.26     15.61      8.15     15.40     2.728   1.0031   0.08236   1.23832  </t>
  </si>
  <si>
    <t xml:space="preserve"> P        0.2922    0.6696    0.2883    0.6606   0.0841  0.9893   0.002954  1.727269  </t>
  </si>
  <si>
    <t xml:space="preserve"> Mg       3.19      5.29      3.15      5.22     1.168   1.0025   0.03181   1.03299  </t>
  </si>
  <si>
    <t xml:space="preserve"> Ca       8.62     12.05      8.50     11.89     1.915   1.0002   0.08614   1.28742  </t>
  </si>
  <si>
    <t xml:space="preserve"> Ti       1.97      3.29      1.95      3.25     0.367   1.0030   0.01969   0.80527  </t>
  </si>
  <si>
    <t xml:space="preserve"> O       43.10       -       42.52       -      24.000      -         -        </t>
  </si>
  <si>
    <t>Total:  101.35    101.35    100.00    100.00    16.107</t>
  </si>
  <si>
    <t xml:space="preserve">Unknown Specimen No. 79 </t>
  </si>
  <si>
    <t xml:space="preserve"> UNK No.      :   79            Comment : UnknA-Flow1-1_9                          </t>
  </si>
  <si>
    <t xml:space="preserve"> Stage        :    X=   51.8215  Y=   83.2855  Z=   11.4220 </t>
  </si>
  <si>
    <t xml:space="preserve"> Dated on Dec 20 20:48 2016 </t>
  </si>
  <si>
    <t xml:space="preserve"> 1 Na   129.476    294.1    0.0   19.0    1.90      164 </t>
  </si>
  <si>
    <t xml:space="preserve"> 2 S    171.948      1.7    6.5    5.6   38.87 ?    119 </t>
  </si>
  <si>
    <t xml:space="preserve"> 3 Fe   134.739    194.0    2.9    3.1    1.63      397 </t>
  </si>
  <si>
    <t xml:space="preserve"> 4 Si    77.822   3188.5   32.0   20.5    0.40      229 </t>
  </si>
  <si>
    <t xml:space="preserve"> 5 Cl   151.478     26.3    9.1    6.8    4.50       44 </t>
  </si>
  <si>
    <t xml:space="preserve"> 6 F    199.140      0.1    3.9    3.1  364.25 ?    381 </t>
  </si>
  <si>
    <t xml:space="preserve"> 7 K    119.485    385.1   34.6   24.2    1.00       63 </t>
  </si>
  <si>
    <t xml:space="preserve"> 8 Mn   146.243      3.2    2.3    1.5   14.97      279 </t>
  </si>
  <si>
    <t xml:space="preserve"> 9 Al    90.995   1073.0   16.3    9.4    0.69      162 </t>
  </si>
  <si>
    <t xml:space="preserve">10 P    197.118     23.9    3.4    2.5    5.10      150 </t>
  </si>
  <si>
    <t xml:space="preserve">11 Mg   107.534    551.0   40.2    0.0    0.99      173 </t>
  </si>
  <si>
    <t xml:space="preserve">12 Ca   107.121   2363.9   32.4   37.4    0.47       89 </t>
  </si>
  <si>
    <t xml:space="preserve">13 Ti    88.305    566.5    0.0   45.3    0.98      125 </t>
  </si>
  <si>
    <t xml:space="preserve"> Na      0.3956    0.0038    0.4722    0.9938     0.9866     2.1516     1.0053</t>
  </si>
  <si>
    <t xml:space="preserve"> S       0.7691    0.0038    0.8212    0.9630     1.0235     1.2309     0.9884</t>
  </si>
  <si>
    <t xml:space="preserve"> Fe      0.9810    0.0000    0.9970    0.8110     1.0555     1.1718     0.9978</t>
  </si>
  <si>
    <t xml:space="preserve"> Si      0.7015    0.0013    0.7698    0.9882     1.0090     1.3012     1.0137</t>
  </si>
  <si>
    <t xml:space="preserve"> Cl      0.8316    0.0070    0.8812    0.9138     1.0300     1.1974     0.9841</t>
  </si>
  <si>
    <t xml:space="preserve"> F       0.1903    0.0014    0.2498    1.0194     0.9742     4.0247     1.0142</t>
  </si>
  <si>
    <t xml:space="preserve"> K       0.9095    0.0178    0.9484    0.9046     1.0410     1.1000     0.9942</t>
  </si>
  <si>
    <t xml:space="preserve"> Mn      0.9753    0.0000    0.9940    0.7993     1.0559     1.1920     1.0396</t>
  </si>
  <si>
    <t xml:space="preserve"> Al      0.6464    0.0095    0.7249    0.9695     1.0013     1.4076     1.0059</t>
  </si>
  <si>
    <t xml:space="preserve"> P       0.6861    0.0021    0.7434    0.9470     1.0164     1.3946     0.9894</t>
  </si>
  <si>
    <t xml:space="preserve"> Mg      0.5339    0.0070    0.6120    1.0087     0.9938     1.6187     1.0106</t>
  </si>
  <si>
    <t xml:space="preserve"> Ca      0.9297    0.0067    0.9629    0.9190     1.0454     1.0738     0.9990</t>
  </si>
  <si>
    <t xml:space="preserve"> Ti      0.9485    0.0115    0.9759    0.8289     1.0520     1.1617     1.0001</t>
  </si>
  <si>
    <t xml:space="preserve"> Na       2.63      3.54      2.62      3.53     1.031   1.0053   0.02616   1.32000  </t>
  </si>
  <si>
    <t xml:space="preserve"> S        0.0132    0.0330    0.0132    0.0329   0.0037  0.9884   0.000134  0.024872  </t>
  </si>
  <si>
    <t xml:space="preserve"> Fe      10.91     14.03     10.85     13.96     1.760   0.9978   0.10932   1.05088  </t>
  </si>
  <si>
    <t xml:space="preserve"> Si      21.16     45.26     21.05     45.03     6.789   1.0137   0.20880   0.87162  </t>
  </si>
  <si>
    <t xml:space="preserve"> Cl       0.1606    0.1606    0.1598    0.1598   0.0408  0.9841   0.001632  0.112479  </t>
  </si>
  <si>
    <t xml:space="preserve"> F        0.0111    0.0111    0.0110    0.0110   0.0052  1.0142   0.000109  0.022891 ?</t>
  </si>
  <si>
    <t xml:space="preserve"> K        1.42      1.71      1.41      1.70     0.327   0.9942   0.01429   2.08877  </t>
  </si>
  <si>
    <t xml:space="preserve"> Mn       0.2044    0.2639    0.2033    0.2625   0.0335  1.0396   0.001966  0.005837  </t>
  </si>
  <si>
    <t xml:space="preserve"> Al       8.12     15.35      8.08     15.27     2.714   1.0059   0.08078   1.21459  </t>
  </si>
  <si>
    <t xml:space="preserve"> P        0.2912    0.6672    0.2896    0.6637   0.0847  0.9894   0.002943  1.721050  </t>
  </si>
  <si>
    <t xml:space="preserve"> Mg       2.92      4.84      2.90      4.82     1.083   1.0106   0.02889   0.93843  </t>
  </si>
  <si>
    <t xml:space="preserve"> Ca       8.07     11.30      8.03     11.24     1.816   0.9990   0.08083   1.20804  </t>
  </si>
  <si>
    <t xml:space="preserve"> Ti       2.01      3.35      2.00      3.33     0.378   1.0001   0.02007   0.82093  </t>
  </si>
  <si>
    <t xml:space="preserve"> O       42.60       -       42.38       -      24.000      -         -        </t>
  </si>
  <si>
    <t>Total:  100.53    100.53    100.00    100.00    16.066</t>
  </si>
  <si>
    <t xml:space="preserve">Unknown Specimen No. 80 </t>
  </si>
  <si>
    <t xml:space="preserve"> UNK No.      :   80            Comment : UnknA-Flow1-2_1                          </t>
  </si>
  <si>
    <t xml:space="preserve"> Stage        :    X=   50.8490  Y=   88.1265  Z=   11.4455 </t>
  </si>
  <si>
    <t xml:space="preserve"> Dated on Dec 20 20:52 2016 </t>
  </si>
  <si>
    <t xml:space="preserve"> 1 Na   129.476    326.9    0.0   14.6    1.79      144 </t>
  </si>
  <si>
    <t xml:space="preserve"> 2 S    171.948      2.6    5.5    4.5   25.14      108 </t>
  </si>
  <si>
    <t xml:space="preserve"> 3 Fe   134.739    180.6    2.1    3.1    1.69      380 </t>
  </si>
  <si>
    <t xml:space="preserve"> 4 Si    77.822   3196.4   30.9   20.3    0.40      226 </t>
  </si>
  <si>
    <t xml:space="preserve"> 5 Cl   151.478     20.6    7.5    8.3    5.36       44 </t>
  </si>
  <si>
    <t xml:space="preserve"> 6 F    199.140     -0.5    4.4    2.7  100.00 ?    391 </t>
  </si>
  <si>
    <t xml:space="preserve"> 7 K    119.485    408.7   35.1   22.1    0.97       62 </t>
  </si>
  <si>
    <t xml:space="preserve"> 8 Mn   146.243      2.7    2.2    1.8   17.48      286 </t>
  </si>
  <si>
    <t xml:space="preserve"> 9 Al    90.995   1076.1   17.4    9.4    0.69      166 </t>
  </si>
  <si>
    <t xml:space="preserve">10 P    197.118     26.0    3.1    2.9    4.88      153 </t>
  </si>
  <si>
    <t xml:space="preserve">11 Mg   107.534    590.3   38.1    0.0    0.95      169 </t>
  </si>
  <si>
    <t xml:space="preserve">12 Ca   107.121   2457.8   33.2   37.8    0.46       90 </t>
  </si>
  <si>
    <t xml:space="preserve">13 Ti    88.305    560.3    0.0   46.9    0.98      127 </t>
  </si>
  <si>
    <t xml:space="preserve"> Na      0.4004    0.0039    0.4779    0.9924     0.9872     2.1275     0.9940</t>
  </si>
  <si>
    <t xml:space="preserve"> S       0.7697    0.0038    0.8218    0.9616     1.0240     1.2309     0.9884</t>
  </si>
  <si>
    <t xml:space="preserve"> Fe      0.9809    0.0000    0.9968    0.8099     1.0558     1.1732     0.9990</t>
  </si>
  <si>
    <t xml:space="preserve"> Si      0.7026    0.0013    0.7710    0.9867     1.0095     1.3002     1.0130</t>
  </si>
  <si>
    <t xml:space="preserve"> Cl      0.8321    0.0072    0.8816    0.9125     1.0305     1.1976     0.9843</t>
  </si>
  <si>
    <t xml:space="preserve"> K       0.9099    0.0182    0.9488    0.9034     1.0415     1.1002     0.9944</t>
  </si>
  <si>
    <t xml:space="preserve"> Mn      0.9752    0.0000    0.9938    0.7982     1.0562     1.1935     1.0408</t>
  </si>
  <si>
    <t xml:space="preserve"> Al      0.6477    0.0095    0.7264    0.9681     1.0019     1.4059     1.0047</t>
  </si>
  <si>
    <t xml:space="preserve"> P       0.6870    0.0021    0.7444    0.9457     1.0170     1.3940     0.9889</t>
  </si>
  <si>
    <t xml:space="preserve"> Mg      0.5369    0.0070    0.6155    1.0072     0.9944     1.6110     1.0057</t>
  </si>
  <si>
    <t xml:space="preserve"> Ca      0.9297    0.0063    0.9630    0.9177     1.0459     1.0751     1.0002</t>
  </si>
  <si>
    <t xml:space="preserve"> Ti      0.9481    0.0106    0.9755    0.8278     1.0524     1.1644     1.0024</t>
  </si>
  <si>
    <t xml:space="preserve"> Na       2.89      3.90      2.87      3.86     1.127   0.9940   0.02908   1.46730  </t>
  </si>
  <si>
    <t xml:space="preserve"> S        0.0194    0.0485    0.0193    0.0481   0.0054  0.9884   0.000197  0.036546  </t>
  </si>
  <si>
    <t xml:space="preserve"> Fe      10.17     13.08     10.08     12.97     1.632   0.9990   0.10177   0.97830  </t>
  </si>
  <si>
    <t xml:space="preserve"> Si      21.19     45.34     21.01     44.95     6.764   1.0130   0.20933   0.87380  </t>
  </si>
  <si>
    <t xml:space="preserve"> Cl       0.1258    0.1258    0.1247    0.1247   0.0318  0.9843   0.001278  0.088100  </t>
  </si>
  <si>
    <t xml:space="preserve"> K        1.51      1.82      1.49      1.80     0.346   0.9944   0.01516   2.21665  </t>
  </si>
  <si>
    <t xml:space="preserve"> Mn       0.1712    0.2211    0.1697    0.2192   0.0279  1.0408   0.001645  0.004884  </t>
  </si>
  <si>
    <t xml:space="preserve"> Al       8.14     15.38      8.07     15.24     2.704   1.0047   0.08102   1.21812  </t>
  </si>
  <si>
    <t xml:space="preserve"> P        0.3168    0.7260    0.3141    0.7197   0.0917  0.9889   0.003204  1.873404  </t>
  </si>
  <si>
    <t xml:space="preserve"> Mg       3.11      5.16      3.09      5.12     1.148   1.0057   0.03095   1.00527  </t>
  </si>
  <si>
    <t xml:space="preserve"> Ca       8.41     11.76      8.33     11.66     1.880   1.0002   0.08404   1.25605  </t>
  </si>
  <si>
    <t xml:space="preserve"> Ti       1.99      3.32      1.97      3.29     0.372   1.0024   0.01985   0.81194  </t>
  </si>
  <si>
    <t xml:space="preserve"> O       42.83       -       42.46       -      24.000      -         -        </t>
  </si>
  <si>
    <t>Total:  100.86    100.86    100.00    100.00    16.131</t>
  </si>
  <si>
    <t xml:space="preserve">Unknown Specimen No. 81 </t>
  </si>
  <si>
    <t xml:space="preserve"> UNK No.      :   81            Comment : UnknA-Flow1-2_2                          </t>
  </si>
  <si>
    <t xml:space="preserve"> Stage        :    X=   50.5055  Y=   88.1815  Z=   11.4455 </t>
  </si>
  <si>
    <t xml:space="preserve"> Dated on Dec 20 20:55 2016 </t>
  </si>
  <si>
    <t xml:space="preserve"> 1 Na   129.476    310.5    0.0   19.4    1.85      166 </t>
  </si>
  <si>
    <t xml:space="preserve"> 2 S    171.948      2.3    5.5    5.1   28.11      112 </t>
  </si>
  <si>
    <t xml:space="preserve"> 3 Fe   134.739    179.4    3.6    2.0    1.69      362 </t>
  </si>
  <si>
    <t xml:space="preserve"> 4 Si    77.822   3205.1   31.3   16.4    0.40      220 </t>
  </si>
  <si>
    <t xml:space="preserve"> 5 Cl   151.478     25.1    7.9    7.7    4.64       44 </t>
  </si>
  <si>
    <t xml:space="preserve"> 6 F    199.140      0.3    3.9    3.4  150.00 ?    387 </t>
  </si>
  <si>
    <t xml:space="preserve"> 7 K    119.485    426.7   33.9   22.7    0.94       62 </t>
  </si>
  <si>
    <t xml:space="preserve"> 8 Mn   146.243      3.1    2.3    1.5   15.60      279 </t>
  </si>
  <si>
    <t xml:space="preserve"> 9 Al    90.995   1075.9   15.2   10.9    0.69      163 </t>
  </si>
  <si>
    <t xml:space="preserve">10 P    197.118     24.7    3.5    1.9    4.94      140 </t>
  </si>
  <si>
    <t xml:space="preserve">11 Mg   107.534    583.6   43.3    0.0    0.96      180 </t>
  </si>
  <si>
    <t xml:space="preserve">12 Ca   107.121   2388.3   33.7   34.5    0.46       88 </t>
  </si>
  <si>
    <t xml:space="preserve">13 Ti    88.305    560.8    0.0   47.4    0.98      128 </t>
  </si>
  <si>
    <t xml:space="preserve"> Na      0.4004    0.0039    0.4779    0.9923     0.9872     2.1278     0.9941</t>
  </si>
  <si>
    <t xml:space="preserve"> S       0.7695    0.0038    0.8216    0.9616     1.0241     1.2314     0.9887</t>
  </si>
  <si>
    <t xml:space="preserve"> Fe      0.9809    0.0000    0.9969    0.8099     1.0558     1.1732     0.9990</t>
  </si>
  <si>
    <t xml:space="preserve"> Si      0.7030    0.0013    0.7715    0.9867     1.0096     1.2995     1.0124</t>
  </si>
  <si>
    <t xml:space="preserve"> Cl      0.8319    0.0071    0.8815    0.9124     1.0306     1.1980     0.9846</t>
  </si>
  <si>
    <t xml:space="preserve"> F       0.1895    0.0014    0.2487    1.0179     0.9748     4.0462     1.0197</t>
  </si>
  <si>
    <t xml:space="preserve"> K       0.9097    0.0178    0.9486    0.9033     1.0415     1.1009     0.9950</t>
  </si>
  <si>
    <t xml:space="preserve"> Mn      0.9752    0.0000    0.9939    0.7982     1.0562     1.1935     1.0408</t>
  </si>
  <si>
    <t xml:space="preserve"> Al      0.6485    0.0096    0.7273    0.9680     1.0020     1.4041     1.0034</t>
  </si>
  <si>
    <t xml:space="preserve"> P       0.6866    0.0021    0.7440    0.9456     1.0170     1.3948     0.9895</t>
  </si>
  <si>
    <t xml:space="preserve"> Mg      0.5377    0.0070    0.6164    1.0071     0.9944     1.6086     1.0043</t>
  </si>
  <si>
    <t xml:space="preserve"> Ca      0.9294    0.0063    0.9627    0.9176     1.0459     1.0755     1.0005</t>
  </si>
  <si>
    <t xml:space="preserve"> Ti      0.9482    0.0106    0.9756    0.8277     1.0524     1.1643     1.0023</t>
  </si>
  <si>
    <t xml:space="preserve"> Na       2.75      3.70      2.73      3.69     1.074   0.9941   0.02762   1.39366  </t>
  </si>
  <si>
    <t xml:space="preserve"> S        0.0177    0.0443    0.0177    0.0441   0.0050  0.9887   0.000179  0.033327  </t>
  </si>
  <si>
    <t xml:space="preserve"> Fe      10.10     13.00     10.06     12.94     1.627   0.9990   0.10113   0.97208  </t>
  </si>
  <si>
    <t xml:space="preserve"> Si      21.24     45.44     21.16     45.26     6.803   1.0124   0.20989   0.87615  </t>
  </si>
  <si>
    <t xml:space="preserve"> Cl       0.1536    0.1536    0.1529    0.1529   0.0390  0.9846   0.001560  0.107500  </t>
  </si>
  <si>
    <t xml:space="preserve"> F        0.0277    0.0277    0.0276    0.0276   0.0131  1.0197   0.000272  0.057145 ?</t>
  </si>
  <si>
    <t xml:space="preserve"> K        1.57      1.90      1.57      1.89     0.362   0.9950   0.01583   2.31414  </t>
  </si>
  <si>
    <t xml:space="preserve"> Mn       0.1940    0.2505    0.1932    0.2495   0.0318  1.0408   0.001864  0.005534  </t>
  </si>
  <si>
    <t xml:space="preserve"> Al       8.13     15.36      8.09     15.29     2.709   1.0034   0.08100   1.21783  </t>
  </si>
  <si>
    <t xml:space="preserve"> P        0.3008    0.6893    0.2996    0.6865   0.0874  0.9895   0.003040  1.777844  </t>
  </si>
  <si>
    <t xml:space="preserve"> Mg       3.07      5.10      3.06      5.08     1.137   1.0043   0.03060   0.99394  </t>
  </si>
  <si>
    <t xml:space="preserve"> Ca       8.17     11.43      8.14     11.39     1.834   1.0005   0.08167   1.22054  </t>
  </si>
  <si>
    <t xml:space="preserve"> Ti       1.99      3.32      1.98      3.31     0.374   1.0023   0.01987   0.81267  </t>
  </si>
  <si>
    <t xml:space="preserve"> O       42.69       -       42.51       -      24.000      -         -        </t>
  </si>
  <si>
    <t>Total:  100.41    100.41    100.00    100.00    16.098</t>
  </si>
  <si>
    <t xml:space="preserve">Unknown Specimen No. 82 </t>
  </si>
  <si>
    <t xml:space="preserve"> UNK No.      :   82            Comment : UnknA-Flow1-2_3                          </t>
  </si>
  <si>
    <t xml:space="preserve"> Stage        :    X=   50.1670  Y=   88.3840  Z=   11.4455 </t>
  </si>
  <si>
    <t xml:space="preserve"> Dated on Dec 20 20:59 2016 </t>
  </si>
  <si>
    <t xml:space="preserve"> 1 Na   129.476    305.7    0.0   17.2    1.86      156 </t>
  </si>
  <si>
    <t xml:space="preserve"> 2 S    171.948      1.6    5.2    5.0   38.97 ?    110 </t>
  </si>
  <si>
    <t xml:space="preserve"> 3 Fe   134.739    181.9    3.3    3.0    1.69      401 </t>
  </si>
  <si>
    <t xml:space="preserve"> 4 Si    77.822   3174.5   32.3   21.4    0.40      232 </t>
  </si>
  <si>
    <t xml:space="preserve"> 5 Cl   151.478      8.1    9.3    7.3   11.17       45 </t>
  </si>
  <si>
    <t xml:space="preserve"> 6 F    199.140      0.9    3.3    3.5   55.59 ?    372 </t>
  </si>
  <si>
    <t xml:space="preserve"> 7 K    119.485    386.7   33.1   22.8    1.00       61 </t>
  </si>
  <si>
    <t xml:space="preserve"> 8 Mn   146.243      2.3    2.1    2.0   20.27      290 </t>
  </si>
  <si>
    <t xml:space="preserve"> 9 Al    90.995   1064.7   16.6    8.3    0.69      160 </t>
  </si>
  <si>
    <t xml:space="preserve">10 P    197.118     27.0    2.7    3.9    4.85      165 </t>
  </si>
  <si>
    <t xml:space="preserve">11 Mg   107.534    608.7   41.9    0.0    0.94      177 </t>
  </si>
  <si>
    <t xml:space="preserve">12 Ca   107.121   2517.1   33.1   37.2    0.45       90 </t>
  </si>
  <si>
    <t xml:space="preserve">13 Ti    88.305    543.8    0.0   49.3    1.00      130 </t>
  </si>
  <si>
    <t xml:space="preserve"> Na      0.3995    0.0039    0.4768    0.9925     0.9871     2.1326     0.9964</t>
  </si>
  <si>
    <t xml:space="preserve"> S       0.7698    0.0038    0.8219    0.9617     1.0239     1.2308     0.9883</t>
  </si>
  <si>
    <t xml:space="preserve"> Fe      0.9808    0.0000    0.9968    0.8100     1.0557     1.1732     0.9989</t>
  </si>
  <si>
    <t xml:space="preserve"> Si      0.7025    0.0013    0.7709    0.9869     1.0094     1.3005     1.0132</t>
  </si>
  <si>
    <t xml:space="preserve"> Cl      0.8322    0.0072    0.8817    0.9126     1.0304     1.1974     0.9841</t>
  </si>
  <si>
    <t xml:space="preserve"> F       0.1896    0.0014    0.2489    1.0181     0.9747     4.0438     1.0190</t>
  </si>
  <si>
    <t xml:space="preserve"> K       0.9101    0.0186    0.9490    0.9035     1.0414     1.0995     0.9937</t>
  </si>
  <si>
    <t xml:space="preserve"> Mn      0.9751    0.0000    0.9938    0.7983     1.0561     1.1934     1.0408</t>
  </si>
  <si>
    <t xml:space="preserve"> Al      0.6471    0.0095    0.7258    0.9682     1.0018     1.4072     1.0056</t>
  </si>
  <si>
    <t xml:space="preserve"> P       0.6872    0.0021    0.7446    0.9458     1.0169     1.3936     0.9887</t>
  </si>
  <si>
    <t xml:space="preserve"> Mg      0.5371    0.0070    0.6156    1.0073     0.9943     1.6106     1.0055</t>
  </si>
  <si>
    <t xml:space="preserve"> Ca      0.9301    0.0063    0.9634    0.9178     1.0458     1.0747     0.9998</t>
  </si>
  <si>
    <t xml:space="preserve"> Ti      0.9479    0.0106    0.9753    0.8279     1.0523     1.1645     1.0025</t>
  </si>
  <si>
    <t xml:space="preserve"> Na       2.71      3.65      2.70      3.63     1.061   0.9964   0.02719   1.37210  </t>
  </si>
  <si>
    <t xml:space="preserve"> S        0.0123    0.0307    0.0122    0.0305   0.0034  0.9883   0.000124  0.023086  </t>
  </si>
  <si>
    <t xml:space="preserve"> Fe      10.24     13.18     10.19     13.11     1.651   0.9989   0.10255   0.98577  </t>
  </si>
  <si>
    <t xml:space="preserve"> Si      21.06     45.04     20.95     44.82     6.749   1.0132   0.20789   0.86781  </t>
  </si>
  <si>
    <t xml:space="preserve"> Cl       0.0495    0.0495    0.0492    0.0492   0.0126  0.9841   0.000503  0.034654  </t>
  </si>
  <si>
    <t xml:space="preserve"> F        0.0745    0.0745    0.0741    0.0741   0.0353  1.0190   0.000731  0.153504  </t>
  </si>
  <si>
    <t xml:space="preserve"> K        1.43      1.72      1.42      1.71     0.328   0.9937   0.01435   2.09748  </t>
  </si>
  <si>
    <t xml:space="preserve"> Mn       0.1444    0.1864    0.1437    0.1855   0.0237  1.0408   0.001387  0.004119  </t>
  </si>
  <si>
    <t xml:space="preserve"> Al       8.06     15.23      8.02     15.15     2.690   1.0056   0.08016   1.20517  </t>
  </si>
  <si>
    <t xml:space="preserve"> P        0.3292    0.7544    0.3276    0.7507   0.0957  0.9887   0.003330  1.947328  </t>
  </si>
  <si>
    <t xml:space="preserve"> Mg       3.21      5.32      3.19      5.30     1.189   1.0055   0.03192   1.03666  </t>
  </si>
  <si>
    <t xml:space="preserve"> Ca       8.60     12.04      8.56     11.98     1.933   0.9998   0.08607   1.28634  </t>
  </si>
  <si>
    <t xml:space="preserve"> Ti       1.93      3.22      1.92      3.21     0.363   1.0025   0.01927   0.78814  </t>
  </si>
  <si>
    <t xml:space="preserve"> O       42.65       -       42.44       -      24.000      -         -        </t>
  </si>
  <si>
    <t>Total:  100.50    100.50    100.00    100.00    16.135</t>
  </si>
  <si>
    <t xml:space="preserve">Unknown Specimen No. 83 </t>
  </si>
  <si>
    <t xml:space="preserve"> UNK No.      :   83            Comment : UnknA-Flow1-2_4                          </t>
  </si>
  <si>
    <t xml:space="preserve"> Stage        :    X=   53.7470  Y=   89.0705  Z=   11.4560 </t>
  </si>
  <si>
    <t xml:space="preserve"> Dated on Dec 20 21:02 2016 </t>
  </si>
  <si>
    <t xml:space="preserve"> 1 Na   129.476    336.1    0.0   15.0    1.76      146 </t>
  </si>
  <si>
    <t xml:space="preserve"> 2 S    171.948      2.6    5.3    5.4   26.18      113 </t>
  </si>
  <si>
    <t xml:space="preserve"> 3 Fe   134.739    189.0    2.9    3.1    1.65      397 </t>
  </si>
  <si>
    <t xml:space="preserve"> 4 Si    77.822   3171.0   31.7   21.8    0.40      231 </t>
  </si>
  <si>
    <t xml:space="preserve"> 5 Cl   151.478     24.1    8.8    9.1    4.92       47 </t>
  </si>
  <si>
    <t xml:space="preserve"> 6 F    199.140      0.7    3.4    3.3   69.71 ?    370 </t>
  </si>
  <si>
    <t xml:space="preserve"> 7 K    119.485    383.0   32.3   21.9    1.00       60 </t>
  </si>
  <si>
    <t xml:space="preserve"> 8 Mn   146.243      2.6    2.3    2.1   18.39      303 </t>
  </si>
  <si>
    <t xml:space="preserve"> 9 Al    90.995   1103.4   17.7   10.1    0.68      168 </t>
  </si>
  <si>
    <t xml:space="preserve">10 P    197.118     26.7    2.6    3.4    4.83      156 </t>
  </si>
  <si>
    <t xml:space="preserve">11 Mg   107.534    562.1   40.8    0.0    0.98      175 </t>
  </si>
  <si>
    <t xml:space="preserve">12 Ca   107.121   2446.7   33.8   38.3    0.46       91 </t>
  </si>
  <si>
    <t xml:space="preserve">13 Ti    88.305    558.6    0.0   50.0    0.99      131 </t>
  </si>
  <si>
    <t xml:space="preserve"> Na      0.3982    0.0038    0.4753    0.9932     0.9869     2.1383     0.9991</t>
  </si>
  <si>
    <t xml:space="preserve"> S       0.7696    0.0038    0.8217    0.9624     1.0238     1.2305     0.9881</t>
  </si>
  <si>
    <t xml:space="preserve"> Fe      0.9810    0.0000    0.9969    0.8105     1.0556     1.1724     0.9982</t>
  </si>
  <si>
    <t xml:space="preserve"> Si      0.7008    0.0013    0.7690    0.9875     1.0093     1.3029     1.0151</t>
  </si>
  <si>
    <t xml:space="preserve"> Cl      0.8320    0.0071    0.8815    0.9132     1.0303     1.1972     0.9840</t>
  </si>
  <si>
    <t xml:space="preserve"> F       0.1903    0.0014    0.2499    1.0188     0.9745     4.0250     1.0143</t>
  </si>
  <si>
    <t xml:space="preserve"> K       0.9098    0.0181    0.9487    0.9041     1.0413     1.0998     0.9940</t>
  </si>
  <si>
    <t xml:space="preserve"> Mn      0.9753    0.0000    0.9939    0.7988     1.0561     1.1926     1.0401</t>
  </si>
  <si>
    <t xml:space="preserve"> Al      0.6466    0.0094    0.7252    0.9688     1.0017     1.4078     1.0061</t>
  </si>
  <si>
    <t xml:space="preserve"> P       0.6869    0.0021    0.7442    0.9464     1.0167     1.3935     0.9886</t>
  </si>
  <si>
    <t xml:space="preserve"> Mg      0.5344    0.0070    0.6125    1.0080     0.9941     1.6179     1.0100</t>
  </si>
  <si>
    <t xml:space="preserve"> Ca      0.9299    0.0065    0.9632    0.9184     1.0457     1.0742     0.9993</t>
  </si>
  <si>
    <t xml:space="preserve"> Ti      0.9483    0.0110    0.9757    0.8284     1.0522     1.1629     1.0011</t>
  </si>
  <si>
    <t xml:space="preserve"> Na       2.99      4.03      2.95      3.97     1.162   0.9991   0.02990   1.50863  </t>
  </si>
  <si>
    <t xml:space="preserve"> S        0.0194    0.0484    0.0191    0.0477   0.0054  0.9881   0.000196  0.036461  </t>
  </si>
  <si>
    <t xml:space="preserve"> Fe      10.63     13.67     10.48     13.49     1.703   0.9982   0.10650   1.02378  </t>
  </si>
  <si>
    <t xml:space="preserve"> Si      21.06     45.05     20.77     44.43     6.709   1.0151   0.20766   0.86685  </t>
  </si>
  <si>
    <t xml:space="preserve"> Cl       0.1473    0.1473    0.1452    0.1452   0.0372  0.9840   0.001497  0.103141  </t>
  </si>
  <si>
    <t xml:space="preserve"> F        0.0582    0.0582    0.0574    0.0574   0.0274  1.0143   0.000574  0.120556  </t>
  </si>
  <si>
    <t xml:space="preserve"> K        1.41      1.70      1.39      1.68     0.323   0.9940   0.01421   2.07721  </t>
  </si>
  <si>
    <t xml:space="preserve"> Mn       0.1682    0.2172    0.1659    0.2142   0.0274  1.0401   0.001617  0.004801  </t>
  </si>
  <si>
    <t xml:space="preserve"> Al       8.35     15.79      8.24     15.57     2.771   1.0061   0.08307   1.24894  </t>
  </si>
  <si>
    <t xml:space="preserve"> P        0.3249    0.7446    0.3205    0.7344   0.0939  0.9886   0.003287  1.922086  </t>
  </si>
  <si>
    <t xml:space="preserve"> Mg       2.98      4.94      2.94      4.87     1.096   1.0100   0.02948   0.95736  </t>
  </si>
  <si>
    <t xml:space="preserve"> Ca       8.36     11.70      8.24     11.54     1.866   0.9993   0.08366   1.25040  </t>
  </si>
  <si>
    <t xml:space="preserve"> Ti       1.98      3.31      1.95      3.26     0.370   1.0011   0.01979   0.80955  </t>
  </si>
  <si>
    <t xml:space="preserve"> O       42.92       -       42.33       -      24.000      -         -        </t>
  </si>
  <si>
    <t>Total:  101.40    101.40    100.00    100.00    16.191</t>
  </si>
  <si>
    <t xml:space="preserve">Unknown Specimen No. 84 </t>
  </si>
  <si>
    <t xml:space="preserve"> UNK No.      :   84            Comment : UnknA-Flow1-2_5                          </t>
  </si>
  <si>
    <t xml:space="preserve"> Stage        :    X=   54.0545  Y=   88.6700  Z=   11.4535 </t>
  </si>
  <si>
    <t xml:space="preserve"> Dated on Dec 20 21:06 2016 </t>
  </si>
  <si>
    <t xml:space="preserve"> 1 Na   129.476    324.4    0.0   17.7    1.80      159 </t>
  </si>
  <si>
    <t xml:space="preserve"> 2 S    171.948      2.2    5.3    5.4   30.56      113 </t>
  </si>
  <si>
    <t xml:space="preserve"> 3 Fe   134.739    193.2    1.9    2.3    1.63      336 </t>
  </si>
  <si>
    <t xml:space="preserve"> 4 Si    77.822   3146.1   31.5   20.1    0.40      228 </t>
  </si>
  <si>
    <t xml:space="preserve"> 5 Cl   151.478     28.2    9.0    7.7    4.33       46 </t>
  </si>
  <si>
    <t xml:space="preserve"> 6 F    199.140      1.9    3.8    2.8   28.71      373 </t>
  </si>
  <si>
    <t xml:space="preserve"> 7 K    119.485    405.9   35.4   22.2    0.97       63 </t>
  </si>
  <si>
    <t xml:space="preserve"> 8 Mn   146.243      3.1    1.7    2.2   15.87      288 </t>
  </si>
  <si>
    <t xml:space="preserve"> 9 Al    90.995   1078.0   15.9   10.1    0.69      163 </t>
  </si>
  <si>
    <t xml:space="preserve">10 P    197.118     26.3    2.7    2.5    4.78      143 </t>
  </si>
  <si>
    <t xml:space="preserve">11 Mg   107.534    588.4   37.6    0.0    0.95      168 </t>
  </si>
  <si>
    <t xml:space="preserve">12 Ca   107.121   2370.7   33.4   36.1    0.47       89 </t>
  </si>
  <si>
    <t xml:space="preserve">13 Ti    88.305    560.6    0.0   50.1    0.99      131 </t>
  </si>
  <si>
    <t xml:space="preserve"> Na      0.3965    0.0038    0.4733    0.9937     0.9867     2.1466     1.0030</t>
  </si>
  <si>
    <t xml:space="preserve"> S       0.7696    0.0038    0.8217    0.9629     1.0236     1.2301     0.9878</t>
  </si>
  <si>
    <t xml:space="preserve"> Fe      0.9810    0.0000    0.9970    0.8110     1.0555     1.1718     0.9977</t>
  </si>
  <si>
    <t xml:space="preserve"> Si      0.7002    0.0013    0.7684    0.9881     1.0091     1.3036     1.0156</t>
  </si>
  <si>
    <t xml:space="preserve"> Cl      0.8320    0.0070    0.8815    0.9137     1.0301     1.1969     0.9837</t>
  </si>
  <si>
    <t xml:space="preserve"> F       0.1909    0.0014    0.2507    1.0193     0.9744     4.0109     1.0108</t>
  </si>
  <si>
    <t xml:space="preserve"> K       0.9097    0.0178    0.9486    0.9046     1.0411     1.0999     0.9941</t>
  </si>
  <si>
    <t xml:space="preserve"> Mn      0.9754    0.0000    0.9940    0.7993     1.0560     1.1920     1.0395</t>
  </si>
  <si>
    <t xml:space="preserve"> Al      0.6447    0.0093    0.7230    0.9694     1.0015     1.4115     1.0087</t>
  </si>
  <si>
    <t xml:space="preserve"> P       0.6868    0.0021    0.7442    0.9469     1.0165     1.3931     0.9883</t>
  </si>
  <si>
    <t xml:space="preserve"> Mg      0.5333    0.0069    0.6113    1.0086     0.9939     1.6208     1.0118</t>
  </si>
  <si>
    <t xml:space="preserve"> Ca      0.9296    0.0066    0.9629    0.9189     1.0455     1.0739     0.9991</t>
  </si>
  <si>
    <t xml:space="preserve"> Ti      0.9485    0.0114    0.9759    0.8289     1.0521     1.1618     1.0002</t>
  </si>
  <si>
    <t xml:space="preserve"> Na       2.89      3.90      2.86      3.86     1.134   1.0030   0.02886   1.45609  </t>
  </si>
  <si>
    <t xml:space="preserve"> S        0.0164    0.0409    0.0162    0.0405   0.0046  0.9878   0.000166  0.030835  </t>
  </si>
  <si>
    <t xml:space="preserve"> Fe      10.86     13.97     10.75     13.83     1.752   0.9977   0.10888   1.04662  </t>
  </si>
  <si>
    <t xml:space="preserve"> Si      20.91     44.73     20.69     44.27     6.705   1.0156   0.20603   0.86004  </t>
  </si>
  <si>
    <t xml:space="preserve"> Cl       0.1726    0.1726    0.1708    0.1708   0.0438  0.9837   0.001754  0.120908  </t>
  </si>
  <si>
    <t xml:space="preserve"> F        0.1530    0.1530    0.1514    0.1514   0.0725  1.0108   0.001514  0.318030  </t>
  </si>
  <si>
    <t xml:space="preserve"> K        1.50      1.80      1.48      1.78     0.345   0.9941   0.01506   2.20174  </t>
  </si>
  <si>
    <t xml:space="preserve"> Mn       0.1950    0.2518    0.1930    0.2492   0.0320  1.0395   0.001876  0.005569  </t>
  </si>
  <si>
    <t xml:space="preserve"> Al       8.18     15.46      8.10     15.30     2.732   1.0087   0.08116   1.22020  </t>
  </si>
  <si>
    <t xml:space="preserve"> P        0.3203    0.7339    0.3169    0.7263   0.0931  0.9883   0.003241  1.895041  </t>
  </si>
  <si>
    <t xml:space="preserve"> Mg       3.12      5.18      3.09      5.12     1.157   1.0118   0.03086   1.00212  </t>
  </si>
  <si>
    <t xml:space="preserve"> Ca       8.10     11.33      8.01     11.21     1.820   0.9991   0.08106   1.21155  </t>
  </si>
  <si>
    <t xml:space="preserve"> Ti       1.99      3.31      1.97      3.28     0.374   1.0002   0.01986   0.81245  </t>
  </si>
  <si>
    <t xml:space="preserve"> O       42.64       -       42.19       -      24.000      -         -        </t>
  </si>
  <si>
    <t>Total:  101.05    101.05    100.00    100.00    16.263</t>
  </si>
  <si>
    <t xml:space="preserve">Unknown Specimen No. 85 </t>
  </si>
  <si>
    <t xml:space="preserve"> UNK No.      :   85            Comment : UnknA-Flow1-2_6                          </t>
  </si>
  <si>
    <t xml:space="preserve"> Stage        :    X=   53.6870  Y=   88.5245  Z=   11.4535 </t>
  </si>
  <si>
    <t xml:space="preserve"> Dated on Dec 20 21:09 2016 </t>
  </si>
  <si>
    <t xml:space="preserve"> 1 Na   129.476    323.4    0.0   18.3    1.81      161 </t>
  </si>
  <si>
    <t xml:space="preserve"> 2 S    171.948      2.2    5.3    4.9   28.79      109 </t>
  </si>
  <si>
    <t xml:space="preserve"> 3 Fe   134.739    184.4    3.5    2.6    1.67      388 </t>
  </si>
  <si>
    <t xml:space="preserve"> 4 Si    77.822   3216.8   31.9   23.3    0.40      234 </t>
  </si>
  <si>
    <t xml:space="preserve"> 5 Cl   151.478     27.7    8.7    8.6    4.42       46 </t>
  </si>
  <si>
    <t xml:space="preserve"> 6 F    199.140      1.5    4.1    2.5   36.89 ?    379 </t>
  </si>
  <si>
    <t xml:space="preserve"> 7 K    119.485    409.0   34.7   25.5    0.97       64 </t>
  </si>
  <si>
    <t xml:space="preserve"> 8 Mn   146.243      2.8    2.0    2.1   17.45      293 </t>
  </si>
  <si>
    <t xml:space="preserve"> 9 Al    90.995   1093.2   18.1    9.0    0.68      167 </t>
  </si>
  <si>
    <t xml:space="preserve">10 P    197.118     28.6    3.1    3.0    4.62      155 </t>
  </si>
  <si>
    <t xml:space="preserve">11 Mg   107.534    581.5   38.5    0.0    0.96      170 </t>
  </si>
  <si>
    <t xml:space="preserve">12 Ca   107.121   2395.9   35.7   40.3    0.46       93 </t>
  </si>
  <si>
    <t xml:space="preserve">13 Ti    88.305    556.7    0.0   51.0    0.99      133 </t>
  </si>
  <si>
    <t xml:space="preserve"> Na      0.3997    0.0039    0.4770    0.9925     0.9872     2.1313     0.9958</t>
  </si>
  <si>
    <t xml:space="preserve"> S       0.7694    0.0038    0.8214    0.9618     1.0240     1.2314     0.9888</t>
  </si>
  <si>
    <t xml:space="preserve"> Fe      0.9810    0.0000    0.9970    0.8100     1.0558     1.1729     0.9987</t>
  </si>
  <si>
    <t xml:space="preserve"> Si      0.7022    0.0013    0.7706    0.9869     1.0096     1.3008     1.0134</t>
  </si>
  <si>
    <t xml:space="preserve"> Cl      0.8318    0.0070    0.8814    0.9126     1.0305     1.1980     0.9846</t>
  </si>
  <si>
    <t xml:space="preserve"> F       0.1901    0.0014    0.2496    1.0181     0.9748     4.0308     1.0158</t>
  </si>
  <si>
    <t xml:space="preserve"> K       0.9096    0.0177    0.9485    0.9035     1.0415     1.1009     0.9950</t>
  </si>
  <si>
    <t xml:space="preserve"> Mn      0.9753    0.0000    0.9940    0.7983     1.0562     1.1931     1.0405</t>
  </si>
  <si>
    <t xml:space="preserve"> Al      0.6477    0.0095    0.7265    0.9682     1.0019     1.4056     1.0045</t>
  </si>
  <si>
    <t xml:space="preserve"> P       0.6867    0.0021    0.7440    0.9458     1.0170     1.3944     0.9893</t>
  </si>
  <si>
    <t xml:space="preserve"> Mg      0.5365    0.0070    0.6150    1.0073     0.9944     1.6120     1.0064</t>
  </si>
  <si>
    <t xml:space="preserve"> Ca      0.9295    0.0063    0.9628    0.9178     1.0459     1.0751     1.0002</t>
  </si>
  <si>
    <t xml:space="preserve"> Ti      0.9484    0.0108    0.9758    0.8279     1.0524     1.1636     1.0017</t>
  </si>
  <si>
    <t xml:space="preserve"> Na       2.86      3.86      2.82      3.80     1.111   0.9958   0.02877   1.45159  </t>
  </si>
  <si>
    <t xml:space="preserve"> S        0.0170    0.0424    0.0167    0.0418   0.0047  0.9888   0.000172  0.031899  </t>
  </si>
  <si>
    <t xml:space="preserve"> Fe      10.38     13.35     10.23     13.16     1.657   0.9987   0.10396   0.99934  </t>
  </si>
  <si>
    <t xml:space="preserve"> Si      21.33     45.63     21.02     44.96     6.771   1.0134   0.21066   0.87935  </t>
  </si>
  <si>
    <t xml:space="preserve"> Cl       0.1697    0.1697    0.1672    0.1672   0.0427  0.9846   0.001723  0.118748  </t>
  </si>
  <si>
    <t xml:space="preserve"> F        0.1186    0.1186    0.1169    0.1169   0.0557  1.0158   0.001168  0.245345  </t>
  </si>
  <si>
    <t xml:space="preserve"> K        1.51      1.82      1.49      1.79     0.344   0.9950   0.01517   2.21807  </t>
  </si>
  <si>
    <t xml:space="preserve"> Mn       0.1753    0.2263    0.1727    0.2230   0.0285  1.0405   0.001685  0.005002  </t>
  </si>
  <si>
    <t xml:space="preserve"> Al       8.26     15.62      8.14     15.39     2.731   1.0045   0.08230   1.23747  </t>
  </si>
  <si>
    <t xml:space="preserve"> P        0.3485    0.7986    0.3434    0.7869   0.1003  0.9893   0.003523  2.060017  </t>
  </si>
  <si>
    <t xml:space="preserve"> Mg       3.07      5.09      3.02      5.01     1.125   1.0064   0.03049   0.99026  </t>
  </si>
  <si>
    <t xml:space="preserve"> Ca       8.19     11.46      8.07     11.30     1.823   1.0002   0.08192   1.22440  </t>
  </si>
  <si>
    <t xml:space="preserve"> Ti       1.98      3.30      1.95      3.25     0.368   1.0017   0.01973   0.80679  </t>
  </si>
  <si>
    <t xml:space="preserve"> O       43.07       -       42.44       -      24.000      -         -        </t>
  </si>
  <si>
    <t>Total:  101.48    101.48    100.00    100.00    16.162</t>
  </si>
  <si>
    <t xml:space="preserve">Unknown Specimen No. 86 </t>
  </si>
  <si>
    <t xml:space="preserve"> UNK No.      :   86            Comment : UnknA-Flow1-2_7                          </t>
  </si>
  <si>
    <t xml:space="preserve"> Stage        :    X=   52.6935  Y=   87.8840  Z=   11.4480 </t>
  </si>
  <si>
    <t xml:space="preserve"> Dated on Dec 20 21:13 2016 </t>
  </si>
  <si>
    <t xml:space="preserve"> 1 Na   129.476    308.9    0.0   19.6    1.86      167 </t>
  </si>
  <si>
    <t xml:space="preserve"> 2 S    171.948      1.6    4.7    3.9   36.08 ?    100 </t>
  </si>
  <si>
    <t xml:space="preserve"> 3 Fe   134.739    192.0    3.0    3.1    1.64      399 </t>
  </si>
  <si>
    <t xml:space="preserve"> 4 Si    77.822   3256.9   29.6   17.6    0.39      218 </t>
  </si>
  <si>
    <t xml:space="preserve"> 5 Cl   151.478     26.0    7.3    7.5    4.49       43 </t>
  </si>
  <si>
    <t xml:space="preserve"> 6 F    199.140      2.3    3.4    3.1   24.28      365 </t>
  </si>
  <si>
    <t xml:space="preserve"> 7 K    119.485    416.1   32.4   22.9    0.96       61 </t>
  </si>
  <si>
    <t xml:space="preserve"> 8 Mn   146.243      3.0    2.1    1.9   16.01      287 </t>
  </si>
  <si>
    <t xml:space="preserve"> 9 Al    90.995   1080.2   16.0    8.5    0.69      158 </t>
  </si>
  <si>
    <t xml:space="preserve">10 P    197.118     25.8    3.8    3.1    4.95      163 </t>
  </si>
  <si>
    <t xml:space="preserve">11 Mg   107.534    567.7   42.3    0.0    0.97      178 </t>
  </si>
  <si>
    <t xml:space="preserve">12 Ca   107.121   2417.4   35.4   36.1    0.46       90 </t>
  </si>
  <si>
    <t xml:space="preserve">13 Ti    88.305    556.5    0.0   53.2    0.99      135 </t>
  </si>
  <si>
    <t xml:space="preserve"> Na      0.3972    0.0038    0.4741    0.9932     0.9869     2.1437     1.0016</t>
  </si>
  <si>
    <t xml:space="preserve"> S       0.7694    0.0038    0.8214    0.9624     1.0237     1.2309     0.9884</t>
  </si>
  <si>
    <t xml:space="preserve"> Fe      0.9810    0.0000    0.9970    0.8106     1.0556     1.1723     0.9982</t>
  </si>
  <si>
    <t xml:space="preserve"> Si      0.7025    0.0013    0.7709    0.9876     1.0092     1.2997     1.0126</t>
  </si>
  <si>
    <t xml:space="preserve"> Cl      0.8318    0.0070    0.8814    0.9133     1.0302     1.1975     0.9842</t>
  </si>
  <si>
    <t xml:space="preserve"> F       0.1903    0.0014    0.2499    1.0188     0.9745     4.0246     1.0142</t>
  </si>
  <si>
    <t xml:space="preserve"> K       0.9096    0.0178    0.9485    0.9041     1.0412     1.1003     0.9944</t>
  </si>
  <si>
    <t xml:space="preserve"> Mn      0.9753    0.0000    0.9940    0.7989     1.0560     1.1925     1.0400</t>
  </si>
  <si>
    <t xml:space="preserve"> Al      0.6470    0.0096    0.7257    0.9689     1.0016     1.4066     1.0052</t>
  </si>
  <si>
    <t xml:space="preserve"> P       0.6865    0.0021    0.7438    0.9465     1.0167     1.3943     0.9891</t>
  </si>
  <si>
    <t xml:space="preserve"> Mg      0.5350    0.0070    0.6132    1.0081     0.9941     1.6161     1.0089</t>
  </si>
  <si>
    <t xml:space="preserve"> Ca      0.9295    0.0065    0.9628    0.9184     1.0456     1.0746     0.9997</t>
  </si>
  <si>
    <t xml:space="preserve"> Ti      0.9484    0.0111    0.9758    0.8285     1.0522     1.1627     1.0009</t>
  </si>
  <si>
    <t xml:space="preserve"> Na       2.75      3.71      2.69      3.63     1.062   1.0016   0.02748   1.38648  </t>
  </si>
  <si>
    <t xml:space="preserve"> S        0.0122    0.0305    0.0119    0.0298   0.0034  0.9884   0.000124  0.022965  </t>
  </si>
  <si>
    <t xml:space="preserve"> Fe      10.80     13.89     10.57     13.59     1.715   0.9982   0.10821   1.04013  </t>
  </si>
  <si>
    <t xml:space="preserve"> Si      21.57     46.14     21.10     45.15     6.813   1.0126   0.21328   0.89031  </t>
  </si>
  <si>
    <t xml:space="preserve"> Cl       0.1587    0.1587    0.1553    0.1553   0.0397  0.9842   0.001613  0.111141  </t>
  </si>
  <si>
    <t xml:space="preserve"> F        0.1813    0.1813    0.1774    0.1774   0.0847  1.0142   0.001787  0.375507  </t>
  </si>
  <si>
    <t xml:space="preserve"> K        1.53      1.85      1.50      1.81     0.348   0.9944   0.01544   2.25668  </t>
  </si>
  <si>
    <t xml:space="preserve"> Mn       0.1917    0.2475    0.1876    0.2422   0.0310  1.0400   0.001843  0.005472  </t>
  </si>
  <si>
    <t xml:space="preserve"> Al       8.17     15.44      7.99     15.11     2.687   1.0052   0.08132   1.22267  </t>
  </si>
  <si>
    <t xml:space="preserve"> P        0.3152    0.7223    0.3084    0.7068   0.0903  0.9891   0.003187  1.863488  </t>
  </si>
  <si>
    <t xml:space="preserve"> Mg       3.00      4.98      2.94      4.87     1.096   1.0089   0.02977   0.96682  </t>
  </si>
  <si>
    <t xml:space="preserve"> Ca       8.26     11.56      8.09     11.31     1.829   0.9997   0.08266   1.23543  </t>
  </si>
  <si>
    <t xml:space="preserve"> Ti       1.97      3.29      1.93      3.22     0.366   1.0009   0.01972   0.80651  </t>
  </si>
  <si>
    <t xml:space="preserve"> O       43.28       -       42.35       -      24.000      -         -        </t>
  </si>
  <si>
    <t>Total:  102.19    102.19    100.00    100.00    16.165</t>
  </si>
  <si>
    <t xml:space="preserve">Unknown Specimen No. 87 </t>
  </si>
  <si>
    <t xml:space="preserve"> UNK No.      :   87            Comment : UnknA-Flow1-2_8                          </t>
  </si>
  <si>
    <t xml:space="preserve"> Stage        :    X=   52.1480  Y=   88.0415  Z=   11.4480 </t>
  </si>
  <si>
    <t xml:space="preserve"> Dated on Dec 20 21:16 2016 </t>
  </si>
  <si>
    <t xml:space="preserve"> 1 Na   129.476    321.7    0.0   18.4    1.81      162 </t>
  </si>
  <si>
    <t xml:space="preserve"> 2 S    171.948      2.4    4.7    6.1   28.53      115 </t>
  </si>
  <si>
    <t xml:space="preserve"> 3 Fe   134.739    188.8    3.8    2.8    1.65      403 </t>
  </si>
  <si>
    <t xml:space="preserve"> 4 Si    77.822   3177.0   35.9   21.3    0.40      240 </t>
  </si>
  <si>
    <t xml:space="preserve"> 5 Cl   151.478     28.7    8.5    8.7    4.32       46 </t>
  </si>
  <si>
    <t xml:space="preserve"> 6 F    199.140      1.0    4.1    3.9   56.75 ?    403 </t>
  </si>
  <si>
    <t xml:space="preserve"> 7 K    119.485    404.8   34.0   21.9    0.97       62 </t>
  </si>
  <si>
    <t xml:space="preserve"> 8 Mn   146.243      3.2    2.5    2.4   16.39      319 </t>
  </si>
  <si>
    <t xml:space="preserve"> 9 Al    90.995   1080.9   16.1   11.5    0.69      167 </t>
  </si>
  <si>
    <t xml:space="preserve">10 P    197.118     24.0    2.1    2.4    4.99      134 </t>
  </si>
  <si>
    <t xml:space="preserve">11 Mg   107.534    564.1   39.8    0.0    0.97      172 </t>
  </si>
  <si>
    <t xml:space="preserve">12 Ca   107.121   2423.2   32.2   34.4    0.46       87 </t>
  </si>
  <si>
    <t xml:space="preserve">13 Ti    88.305    549.5    0.0   48.1    0.99      129 </t>
  </si>
  <si>
    <t xml:space="preserve"> Na      0.3977    0.0038    0.4746    0.9933     0.9868     2.1411     1.0004</t>
  </si>
  <si>
    <t xml:space="preserve"> S       0.7696    0.0038    0.8217    0.9625     1.0237     1.2303     0.9879</t>
  </si>
  <si>
    <t xml:space="preserve"> Fe      0.9809    0.0000    0.9969    0.8106     1.0556     1.1722     0.9982</t>
  </si>
  <si>
    <t xml:space="preserve"> Si      0.7015    0.0013    0.7698    0.9877     1.0092     1.3015     1.0140</t>
  </si>
  <si>
    <t xml:space="preserve"> Cl      0.8320    0.0071    0.8816    0.9134     1.0302     1.1970     0.9838</t>
  </si>
  <si>
    <t xml:space="preserve"> F       0.1902    0.0014    0.2497    1.0189     0.9745     4.0269     1.0148</t>
  </si>
  <si>
    <t xml:space="preserve"> K       0.9097    0.0180    0.9486    0.9042     1.0412     1.0999     0.9941</t>
  </si>
  <si>
    <t xml:space="preserve"> Mn      0.9753    0.0000    0.9939    0.7990     1.0560     1.1925     1.0400</t>
  </si>
  <si>
    <t xml:space="preserve"> Al      0.6465    0.0094    0.7251    0.9690     1.0016     1.4077     1.0060</t>
  </si>
  <si>
    <t xml:space="preserve"> P       0.6868    0.0021    0.7441    0.9466     1.0166     1.3936     0.9887</t>
  </si>
  <si>
    <t xml:space="preserve"> Mg      0.5345    0.0070    0.6127    1.0082     0.9940     1.6174     1.0097</t>
  </si>
  <si>
    <t xml:space="preserve"> Ca      0.9296    0.0064    0.9629    0.9185     1.0456     1.0744     0.9995</t>
  </si>
  <si>
    <t xml:space="preserve"> Ti      0.9482    0.0111    0.9756    0.8285     1.0521     1.1629     1.0011</t>
  </si>
  <si>
    <t xml:space="preserve"> Na       2.86      3.86      2.84      3.82     1.120   1.0004   0.02862   1.44396  </t>
  </si>
  <si>
    <t xml:space="preserve"> S        0.0180    0.0449    0.0178    0.0445   0.0050  0.9879   0.000182  0.033840  </t>
  </si>
  <si>
    <t xml:space="preserve"> Fe      10.62     13.66     10.53     13.54     1.711   0.9982   0.10642   1.02301  </t>
  </si>
  <si>
    <t xml:space="preserve"> Si      21.08     45.10     20.89     44.70     6.753   1.0140   0.20805   0.86847  </t>
  </si>
  <si>
    <t xml:space="preserve"> Cl       0.1752    0.1752    0.1736    0.1736   0.0445  0.9838   0.001781  0.122718  </t>
  </si>
  <si>
    <t xml:space="preserve"> F        0.0784    0.0784    0.0776    0.0776   0.0371  1.0148   0.000772  0.162208  </t>
  </si>
  <si>
    <t xml:space="preserve"> K        1.49      1.80      1.48      1.78     0.344   0.9941   0.01502   2.19564  </t>
  </si>
  <si>
    <t xml:space="preserve"> Mn       0.2017    0.2605    0.1999    0.2581   0.0330  1.0400   0.001940  0.005759  </t>
  </si>
  <si>
    <t xml:space="preserve"> Al       8.18     15.46      8.11     15.33     2.729   1.0060   0.08137   1.22349  </t>
  </si>
  <si>
    <t xml:space="preserve"> P        0.2928    0.6709    0.2901    0.6649   0.0851  0.9887   0.002961  1.731868  </t>
  </si>
  <si>
    <t xml:space="preserve"> Mg       2.99      4.95      2.96      4.91     1.105   1.0097   0.02958   0.96076  </t>
  </si>
  <si>
    <t xml:space="preserve"> Ca       8.28     11.59      8.21     11.48     1.859   0.9995   0.08286   1.23839  </t>
  </si>
  <si>
    <t xml:space="preserve"> Ti       1.95      3.25      1.93      3.22     0.366   1.0011   0.01947   0.79641  </t>
  </si>
  <si>
    <t xml:space="preserve"> O       42.68       -       42.30       -      24.000      -         -        </t>
  </si>
  <si>
    <t>Total:  100.91    100.91    100.00    100.00    16.192</t>
  </si>
  <si>
    <t xml:space="preserve">Unknown Specimen No. 88 </t>
  </si>
  <si>
    <t xml:space="preserve"> UNK No.      :   88            Comment : UnknA-Flow1-2_9                          </t>
  </si>
  <si>
    <t xml:space="preserve"> Stage        :    X=   52.4130  Y=   87.3855  Z=   11.4445 </t>
  </si>
  <si>
    <t xml:space="preserve"> Dated on Dec 20 21:20 2016 </t>
  </si>
  <si>
    <t xml:space="preserve"> 1 Na   129.476    310.0    0.0   19.6    1.85      167 </t>
  </si>
  <si>
    <t xml:space="preserve"> 2 S    171.948      1.6    6.6    4.8   40.88 ?    115 </t>
  </si>
  <si>
    <t xml:space="preserve"> 3 Fe   134.739    185.5    2.5    2.7    1.67      370 </t>
  </si>
  <si>
    <t xml:space="preserve"> 4 Si    77.822   3216.5   29.3   21.0    0.40      224 </t>
  </si>
  <si>
    <t xml:space="preserve"> 5 Cl   151.478     26.2    7.8    7.3    4.47       43 </t>
  </si>
  <si>
    <t xml:space="preserve"> 6 F    199.140      1.3    3.2    2.9   39.03 ?    353 </t>
  </si>
  <si>
    <t xml:space="preserve"> 7 K    119.485    402.0   33.9   22.5    0.98       62 </t>
  </si>
  <si>
    <t xml:space="preserve"> 8 Mn   146.243      3.4    1.3    1.8   13.90      255 </t>
  </si>
  <si>
    <t xml:space="preserve"> 9 Al    90.995   1075.0   12.9    9.3    0.69      150 </t>
  </si>
  <si>
    <t xml:space="preserve">10 P    197.118     25.4    2.6    4.4    5.08      171 </t>
  </si>
  <si>
    <t xml:space="preserve">11 Mg   107.534    575.4   39.4    0.0    0.96      172 </t>
  </si>
  <si>
    <t xml:space="preserve">12 Ca   107.121   2462.7   33.6   37.7    0.46       90 </t>
  </si>
  <si>
    <t xml:space="preserve">13 Ti    88.305    572.2    0.0   44.8    0.97      124 </t>
  </si>
  <si>
    <t xml:space="preserve"> Na      0.3984    0.0038    0.4755    0.9930     0.9870     2.1377     0.9988</t>
  </si>
  <si>
    <t xml:space="preserve"> S       0.7697    0.0039    0.8218    0.9622     1.0238     1.2305     0.9880</t>
  </si>
  <si>
    <t xml:space="preserve"> Si      0.7027    0.0013    0.7711    0.9873     1.0093     1.2997     1.0125</t>
  </si>
  <si>
    <t xml:space="preserve"> Cl      0.8321    0.0071    0.8817    0.9130     1.0303     1.1971     0.9839</t>
  </si>
  <si>
    <t xml:space="preserve"> F       0.1896    0.0014    0.2489    1.0186     0.9746     4.0421     1.0186</t>
  </si>
  <si>
    <t xml:space="preserve"> K       0.9098    0.0182    0.9487    0.9039     1.0413     1.0999     0.9940</t>
  </si>
  <si>
    <t xml:space="preserve"> Mn      0.9752    0.0000    0.9938    0.7987     1.0561     1.1929     1.0404</t>
  </si>
  <si>
    <t xml:space="preserve"> Al      0.6474    0.0095    0.7261    0.9686     1.0017     1.4059     1.0047</t>
  </si>
  <si>
    <t xml:space="preserve"> P       0.6870    0.0021    0.7443    0.9462     1.0167     1.3935     0.9886</t>
  </si>
  <si>
    <t xml:space="preserve"> Mg      0.5359    0.0070    0.6143    1.0078     0.9941     1.6135     1.0073</t>
  </si>
  <si>
    <t xml:space="preserve"> Ca      0.9298    0.0065    0.9630    0.9182     1.0457     1.0745     0.9996</t>
  </si>
  <si>
    <t xml:space="preserve"> Ti      0.9482    0.0108    0.9755    0.8283     1.0522     1.1636     1.0017</t>
  </si>
  <si>
    <t xml:space="preserve"> Na       2.75      3.71      2.72      3.66     1.071   0.9988   0.02758   1.39141  </t>
  </si>
  <si>
    <t xml:space="preserve"> S        0.0121    0.0301    0.0119    0.0297   0.0034  0.9880   0.000122  0.022710  </t>
  </si>
  <si>
    <t xml:space="preserve"> Fe      10.44     13.43     10.30     13.25     1.671   0.9985   0.10456   1.00508  </t>
  </si>
  <si>
    <t xml:space="preserve"> Si      21.31     45.59     21.02     44.98     6.782   1.0125   0.21064   0.87927  </t>
  </si>
  <si>
    <t xml:space="preserve"> Cl       0.1602    0.1602    0.1581    0.1581   0.0404  0.9839   0.001629  0.112247  </t>
  </si>
  <si>
    <t xml:space="preserve"> F        0.1042    0.1042    0.1028    0.1028   0.0490  1.0186   0.001023  0.214993  </t>
  </si>
  <si>
    <t xml:space="preserve"> K        1.48      1.79      1.46      1.76     0.339   0.9940   0.01491   2.18030  </t>
  </si>
  <si>
    <t xml:space="preserve"> Mn       0.2139    0.2762    0.2110    0.2725   0.0348  1.0404   0.002056  0.006104  </t>
  </si>
  <si>
    <t xml:space="preserve"> Al       8.13     15.36      8.02     15.15     2.693   1.0047   0.08093   1.21683  </t>
  </si>
  <si>
    <t xml:space="preserve"> P        0.3094    0.7090    0.3052    0.6995   0.0893  0.9886   0.003130  1.830132  </t>
  </si>
  <si>
    <t xml:space="preserve"> Mg       3.04      5.04      3.00      4.97     1.117   1.0073   0.03017   0.97995  </t>
  </si>
  <si>
    <t xml:space="preserve"> Ca       8.42     11.78      8.30     11.62     1.877   0.9996   0.08421   1.25856  </t>
  </si>
  <si>
    <t xml:space="preserve"> Ti       2.03      3.39      2.00      3.34     0.379   1.0017   0.02028   0.82928  </t>
  </si>
  <si>
    <t xml:space="preserve"> O       42.96       -       42.38       -      24.000      -         -        </t>
  </si>
  <si>
    <t>Total:  101.35    101.35    100.00    100.00    16.146</t>
  </si>
  <si>
    <t xml:space="preserve">Unknown Specimen No. 89 </t>
  </si>
  <si>
    <t xml:space="preserve"> UNK No.      :   89            Comment : UnknA-Flow1-1_1                          </t>
  </si>
  <si>
    <t xml:space="preserve"> Stage        :    X=   45.2025  Y=   92.5070  Z=   11.4585 </t>
  </si>
  <si>
    <t xml:space="preserve"> Dated on Dec 20 21:23 2016 </t>
  </si>
  <si>
    <t xml:space="preserve"> 1 Na   129.476    322.0    0.0   16.9    1.81      155 </t>
  </si>
  <si>
    <t xml:space="preserve"> 2 S    171.948      1.6    7.1    5.4   42.85 ?    121 </t>
  </si>
  <si>
    <t xml:space="preserve"> 3 Fe   134.739    188.3    2.8    3.2    1.66      399 </t>
  </si>
  <si>
    <t xml:space="preserve"> 4 Si    77.822   3200.4   33.5   20.7    0.40      233 </t>
  </si>
  <si>
    <t xml:space="preserve"> 5 Cl   151.478     24.3    8.9    7.4    4.78       45 </t>
  </si>
  <si>
    <t xml:space="preserve"> 6 F    199.140      0.7    3.7    2.6   70.93 ?    364 </t>
  </si>
  <si>
    <t xml:space="preserve"> 7 K    119.485    405.2   36.1   24.3    0.98       64 </t>
  </si>
  <si>
    <t xml:space="preserve"> 8 Mn   146.243      4.0    1.4    1.7   12.17      257 </t>
  </si>
  <si>
    <t xml:space="preserve"> 9 Al    90.995   1078.3   18.3    9.7    0.69      169 </t>
  </si>
  <si>
    <t xml:space="preserve">10 P    197.118     23.3    3.4    3.6    5.30      167 </t>
  </si>
  <si>
    <t xml:space="preserve">11 Mg   107.534    586.7   40.2    0.0    0.95      173 </t>
  </si>
  <si>
    <t xml:space="preserve">12 Ca   107.121   2389.3   34.1   37.4    0.46       90 </t>
  </si>
  <si>
    <t xml:space="preserve">13 Ti    88.305    561.1    0.0   49.0    0.98      130 </t>
  </si>
  <si>
    <t xml:space="preserve"> Na      0.3980    0.0038    0.4750    0.9931     0.9869     2.1395     0.9996</t>
  </si>
  <si>
    <t xml:space="preserve"> S       0.7694    0.0038    0.8215    0.9624     1.0238     1.2309     0.9884</t>
  </si>
  <si>
    <t xml:space="preserve"> Fe      0.9810    0.0000    0.9970    0.8105     1.0556     1.1723     0.9982</t>
  </si>
  <si>
    <t xml:space="preserve"> Si      0.7015    0.0013    0.7698    0.9875     1.0093     1.3017     1.0141</t>
  </si>
  <si>
    <t xml:space="preserve"> Cl      0.8318    0.0070    0.8814    0.9132     1.0303     1.1975     0.9842</t>
  </si>
  <si>
    <t xml:space="preserve"> F       0.1901    0.0014    0.2496    1.0188     0.9745     4.0289     1.0153</t>
  </si>
  <si>
    <t xml:space="preserve"> K       0.9097    0.0178    0.9486    0.9041     1.0413     1.1003     0.9944</t>
  </si>
  <si>
    <t xml:space="preserve"> Mn      0.9753    0.0000    0.9940    0.7988     1.0561     1.1925     1.0400</t>
  </si>
  <si>
    <t xml:space="preserve"> Al      0.6461    0.0095    0.7247    0.9688     1.0017     1.4086     1.0067</t>
  </si>
  <si>
    <t xml:space="preserve"> P       0.6864    0.0021    0.7437    0.9464     1.0167     1.3945     0.9893</t>
  </si>
  <si>
    <t xml:space="preserve"> Mg      0.5349    0.0069    0.6131    1.0080     0.9941     1.6164     1.0091</t>
  </si>
  <si>
    <t xml:space="preserve"> Ca      0.9296    0.0065    0.9629    0.9184     1.0457     1.0744     0.9995</t>
  </si>
  <si>
    <t xml:space="preserve"> Ti      0.9485    0.0111    0.9759    0.8284     1.0522     1.1626     1.0009</t>
  </si>
  <si>
    <t xml:space="preserve"> Na       2.86      3.86      2.83      3.81     1.115   0.9996   0.02865   1.44530  </t>
  </si>
  <si>
    <t xml:space="preserve"> S        0.0120    0.0301    0.0119    0.0297   0.0034  0.9884   0.000122  0.022633 ?</t>
  </si>
  <si>
    <t xml:space="preserve"> Fe      10.59     13.63     10.46     13.46     1.698   0.9982   0.10615   1.02033  </t>
  </si>
  <si>
    <t xml:space="preserve"> Si      21.24     45.43     20.97     44.86     6.769   1.0141   0.20959   0.87488  </t>
  </si>
  <si>
    <t xml:space="preserve"> Cl       0.1489    0.1489    0.1470    0.1470   0.0376  0.9842   0.001513  0.104247  </t>
  </si>
  <si>
    <t xml:space="preserve"> F        0.0567    0.0567    0.0560    0.0560   0.0267  1.0153   0.000559  0.117391  </t>
  </si>
  <si>
    <t xml:space="preserve"> K        1.49      1.80      1.48      1.78     0.342   0.9944   0.01503   2.19774  </t>
  </si>
  <si>
    <t xml:space="preserve"> Mn       0.2570    0.3318    0.2538    0.3277   0.0419  1.0400   0.002471  0.007337  </t>
  </si>
  <si>
    <t xml:space="preserve"> Al       8.17     15.44      8.07     15.24     2.711   1.0067   0.08118   1.22053  </t>
  </si>
  <si>
    <t xml:space="preserve"> P        0.2846    0.6522    0.2810    0.6440   0.0823  0.9893   0.002877  1.682285  </t>
  </si>
  <si>
    <t xml:space="preserve"> Mg       3.10      5.15      3.07      5.08     1.143   1.0091   0.03077   0.99922  </t>
  </si>
  <si>
    <t xml:space="preserve"> Ca       8.17     11.43      8.06     11.28     1.824   0.9995   0.08170   1.22104  </t>
  </si>
  <si>
    <t xml:space="preserve"> Ti       1.99      3.32      1.96      3.28     0.372   1.0009   0.01988   0.81310  </t>
  </si>
  <si>
    <t xml:space="preserve"> O       42.89       -       42.35       -      24.000      -         -        </t>
  </si>
  <si>
    <t>Total:  101.27    101.27    100.00    100.00    16.166</t>
  </si>
  <si>
    <t xml:space="preserve">Unknown Specimen No. 90 </t>
  </si>
  <si>
    <t xml:space="preserve"> UNK No.      :   90            Comment : UnknA-Flow1-1_2                          </t>
  </si>
  <si>
    <t xml:space="preserve"> Stage        :    X=   45.3805  Y=   93.0610  Z=   11.4610 </t>
  </si>
  <si>
    <t xml:space="preserve"> Dated on Dec 20 21:27 2016 </t>
  </si>
  <si>
    <t xml:space="preserve"> 1 Na   129.476    295.9    0.0   17.9    1.89      159 </t>
  </si>
  <si>
    <t xml:space="preserve"> 2 S    171.948      2.3    5.0    3.9   26.00      102 </t>
  </si>
  <si>
    <t xml:space="preserve"> 3 Fe   134.739    195.8    3.0    2.6    1.62      377 </t>
  </si>
  <si>
    <t xml:space="preserve"> 4 Si    77.822   3212.3   33.4   20.5    0.40      233 </t>
  </si>
  <si>
    <t xml:space="preserve"> 5 Cl   151.478     23.7    8.5    9.8    5.00       48 </t>
  </si>
  <si>
    <t xml:space="preserve"> 6 F    199.140      1.5    4.4    2.7   36.68 ?    390 </t>
  </si>
  <si>
    <t xml:space="preserve"> 7 K    119.485    424.2   36.0   25.3    0.95       64 </t>
  </si>
  <si>
    <t xml:space="preserve"> 8 Mn   146.243      2.7    2.3    2.5   18.54      317 </t>
  </si>
  <si>
    <t xml:space="preserve"> 9 Al    90.995   1083.9   16.9    9.2    0.69      163 </t>
  </si>
  <si>
    <t xml:space="preserve">10 P    197.118     25.7    2.2    3.2    4.89      149 </t>
  </si>
  <si>
    <t xml:space="preserve">11 Mg   107.534    567.4   39.5    0.0    0.97      172 </t>
  </si>
  <si>
    <t xml:space="preserve">12 Ca   107.121   2354.0   35.8   35.6    0.47       90 </t>
  </si>
  <si>
    <t xml:space="preserve">13 Ti    88.305    551.3    0.0   46.9    0.99      127 </t>
  </si>
  <si>
    <t xml:space="preserve"> Na      0.3959    0.0038    0.4725    0.9937     0.9867     2.1503     1.0047</t>
  </si>
  <si>
    <t xml:space="preserve"> S       0.7691    0.0038    0.8212    0.9629     1.0235     1.2310     0.9885</t>
  </si>
  <si>
    <t xml:space="preserve"> Fe      0.9810    0.0000    0.9970    0.8109     1.0555     1.1718     0.9978</t>
  </si>
  <si>
    <t xml:space="preserve"> Si      0.7014    0.0013    0.7697    0.9880     1.0090     1.3014     1.0139</t>
  </si>
  <si>
    <t xml:space="preserve"> Cl      0.8316    0.0070    0.8811    0.9137     1.0301     1.1975     0.9842</t>
  </si>
  <si>
    <t xml:space="preserve"> F       0.1907    0.0014    0.2504    1.0193     0.9743     4.0149     1.0118</t>
  </si>
  <si>
    <t xml:space="preserve"> K       0.9096    0.0176    0.9484    0.9045     1.0411     1.1003     0.9945</t>
  </si>
  <si>
    <t xml:space="preserve"> Mn      0.9754    0.0000    0.9941    0.7992     1.0559     1.1920     1.0396</t>
  </si>
  <si>
    <t xml:space="preserve"> Al      0.6463    0.0095    0.7248    0.9693     1.0014     1.4080     1.0062</t>
  </si>
  <si>
    <t xml:space="preserve"> P       0.6862    0.0021    0.7435    0.9469     1.0165     1.3945     0.9893</t>
  </si>
  <si>
    <t xml:space="preserve"> Mg      0.5342    0.0070    0.6124    1.0085     0.9939     1.6179     1.0100</t>
  </si>
  <si>
    <t xml:space="preserve"> Ca      0.9294    0.0066    0.9626    0.9188     1.0455     1.0743     0.9995</t>
  </si>
  <si>
    <t xml:space="preserve"> Ti      0.9485    0.0114    0.9759    0.8288     1.0520     1.1618     1.0002</t>
  </si>
  <si>
    <t xml:space="preserve"> Na       2.64      3.56      2.61      3.51     1.028   1.0047   0.02632   1.32808  </t>
  </si>
  <si>
    <t xml:space="preserve"> S        0.0177    0.0442    0.0175    0.0436   0.0049  0.9885   0.000179  0.033297  </t>
  </si>
  <si>
    <t xml:space="preserve"> Fe      11.01     14.16     10.85     13.96     1.762   0.9978   0.11034   1.06066  </t>
  </si>
  <si>
    <t xml:space="preserve"> Si      21.31     45.59     21.01     44.93     6.783   1.0139   0.21037   0.87814  </t>
  </si>
  <si>
    <t xml:space="preserve"> Cl       0.1449    0.1449    0.1428    0.1428   0.0365  0.9842   0.001472  0.101445  </t>
  </si>
  <si>
    <t xml:space="preserve"> F        0.1222    0.1222    0.1205    0.1205   0.0575  1.0118   0.001208  0.253765  </t>
  </si>
  <si>
    <t xml:space="preserve"> K        1.57      1.89      1.54      1.86     0.358   0.9945   0.01574   2.30077  </t>
  </si>
  <si>
    <t xml:space="preserve"> Mn       0.1725    0.2227    0.1700    0.2195   0.0281  1.0396   0.001659  0.004926  </t>
  </si>
  <si>
    <t xml:space="preserve"> Al       8.21     15.51      8.09     15.29     2.720   1.0062   0.08160   1.22687  </t>
  </si>
  <si>
    <t xml:space="preserve"> P        0.3139    0.7192    0.3094    0.7089   0.0906  0.9893   0.003173  1.855374  </t>
  </si>
  <si>
    <t xml:space="preserve"> Mg       3.00      4.98      2.96      4.91     1.105   1.0100   0.02975   0.96622  </t>
  </si>
  <si>
    <t xml:space="preserve"> Ca       8.04     11.26      7.93     11.09     1.795   0.9995   0.08049   1.20299  </t>
  </si>
  <si>
    <t xml:space="preserve"> Ti       1.95      3.26      1.93      3.21     0.365   1.0002   0.01954   0.79902  </t>
  </si>
  <si>
    <t xml:space="preserve"> O       42.95       -       42.33       -      24.000      -         -        </t>
  </si>
  <si>
    <t>Total:  101.45    101.45    100.00    100.00    16.133</t>
  </si>
  <si>
    <t xml:space="preserve">Unknown Specimen No. 91 </t>
  </si>
  <si>
    <t xml:space="preserve"> UNK No.      :   91            Comment : UnknA-Flow1-1_3                          </t>
  </si>
  <si>
    <t xml:space="preserve"> Stage        :    X=   46.0355  Y=   92.6190  Z=   11.4610 </t>
  </si>
  <si>
    <t xml:space="preserve"> Dated on Dec 20 21:30 2016 </t>
  </si>
  <si>
    <t xml:space="preserve">Curr.(A) : 1.010E-08 </t>
  </si>
  <si>
    <t xml:space="preserve"> 1 Na   129.476    320.1    0.0   19.3    1.82      165 </t>
  </si>
  <si>
    <t xml:space="preserve"> 2 S    171.948      2.2    5.0    5.0   29.17      109 </t>
  </si>
  <si>
    <t xml:space="preserve"> 3 Fe   134.739    176.5    3.0    2.7    1.71      381 </t>
  </si>
  <si>
    <t xml:space="preserve"> 4 Si    77.822   3195.9   33.6   24.2    0.40      239 </t>
  </si>
  <si>
    <t xml:space="preserve"> 5 Cl   151.478     22.4    9.6    8.5    5.18       47 </t>
  </si>
  <si>
    <t xml:space="preserve"> 6 F    199.140      1.3    3.3    2.7   38.43 ?    353 </t>
  </si>
  <si>
    <t xml:space="preserve"> 7 K    119.485    381.9   33.3   24.5    1.01       62 </t>
  </si>
  <si>
    <t xml:space="preserve"> 8 Mn   146.243      3.5    1.8    1.9   13.92      276 </t>
  </si>
  <si>
    <t xml:space="preserve"> 9 Al    90.995   1082.9   17.8    9.1    0.69      166 </t>
  </si>
  <si>
    <t xml:space="preserve">10 P    197.118     28.8    2.9    2.4    4.54      143 </t>
  </si>
  <si>
    <t xml:space="preserve">11 Mg   107.534    573.0   36.1    0.0    0.96      164 </t>
  </si>
  <si>
    <t xml:space="preserve">12 Ca   107.121   2529.8   34.8   34.9    0.45       89 </t>
  </si>
  <si>
    <t xml:space="preserve">13 Ti    88.305    553.1    0.0   55.1    1.00      138 </t>
  </si>
  <si>
    <t xml:space="preserve"> Na      0.4009    0.0039    0.4785    0.9921     0.9873     2.1255     0.9931</t>
  </si>
  <si>
    <t xml:space="preserve"> S       0.7700    0.0039    0.8221    0.9614     1.0241     1.2307     0.9882</t>
  </si>
  <si>
    <t xml:space="preserve"> Fe      0.9808    0.0000    0.9968    0.8097     1.0558     1.1735     0.9992</t>
  </si>
  <si>
    <t xml:space="preserve"> Si      0.7033    0.0014    0.7718    0.9865     1.0096     1.2991     1.0121</t>
  </si>
  <si>
    <t xml:space="preserve"> Cl      0.8323    0.0072    0.8818    0.9123     1.0306     1.1974     0.9841</t>
  </si>
  <si>
    <t xml:space="preserve"> F       0.1890    0.0014    0.2481    1.0177     0.9748     4.0572     1.0224</t>
  </si>
  <si>
    <t xml:space="preserve"> K       0.9100    0.0186    0.9489    0.9032     1.0416     1.0999     0.9940</t>
  </si>
  <si>
    <t xml:space="preserve"> Mn      0.9751    0.0000    0.9937    0.7981     1.0563     1.1938     1.0411</t>
  </si>
  <si>
    <t xml:space="preserve"> Al      0.6490    0.0096    0.7278    0.9678     1.0020     1.4033     1.0028</t>
  </si>
  <si>
    <t xml:space="preserve"> P       0.6874    0.0021    0.7449    0.9455     1.0171     1.3932     0.9884</t>
  </si>
  <si>
    <t xml:space="preserve"> Mg      0.5377    0.0070    0.6164    1.0070     0.9945     1.6088     1.0043</t>
  </si>
  <si>
    <t xml:space="preserve"> Ca      0.9300    0.0062    0.9633    0.9175     1.0460     1.0750     1.0001</t>
  </si>
  <si>
    <t xml:space="preserve"> Ti      0.9479    0.0104    0.9753    0.8276     1.0525     1.1651     1.0030</t>
  </si>
  <si>
    <t xml:space="preserve"> Na       2.82      3.81      2.81      3.78     1.103   0.9931   0.02845   1.43536  </t>
  </si>
  <si>
    <t xml:space="preserve"> S        0.0167    0.0416    0.0166    0.0414   0.0047  0.9882   0.000169  0.031366  </t>
  </si>
  <si>
    <t xml:space="preserve"> Fe       9.93     12.77      9.86     12.68     1.596   0.9992   0.09938   0.95527  </t>
  </si>
  <si>
    <t xml:space="preserve"> Si      21.15     45.25     21.01     44.94     6.762   1.0121   0.20908   0.87279  </t>
  </si>
  <si>
    <t xml:space="preserve"> Cl       0.1370    0.1370    0.1361    0.1361   0.0347  0.9841   0.001392  0.095955  </t>
  </si>
  <si>
    <t xml:space="preserve"> F        0.1067    0.1067    0.1060    0.1060   0.0504  1.0224   0.001044  0.219238  </t>
  </si>
  <si>
    <t xml:space="preserve"> K        1.41      1.69      1.40      1.68     0.323   0.9940   0.01415   2.06903  </t>
  </si>
  <si>
    <t xml:space="preserve"> Mn       0.2242    0.2895    0.2227    0.2875   0.0366  1.0411   0.002154  0.006395  </t>
  </si>
  <si>
    <t xml:space="preserve"> Al       8.17     15.43      8.11     15.32     2.718   1.0028   0.08144   1.22453  </t>
  </si>
  <si>
    <t xml:space="preserve"> P        0.3503    0.8026    0.3478    0.7971   0.1016  0.9884   0.003544  2.072386  </t>
  </si>
  <si>
    <t xml:space="preserve"> Mg       3.01      5.00      2.99      4.96     1.113   1.0043   0.03001   0.97480  </t>
  </si>
  <si>
    <t xml:space="preserve"> Ca       8.64     12.09      8.58     12.01     1.936   1.0001   0.08642   1.29157  </t>
  </si>
  <si>
    <t xml:space="preserve"> Ti       1.96      3.28      1.95      3.25     0.368   1.0030   0.01958   0.80078  </t>
  </si>
  <si>
    <t xml:space="preserve"> O       42.76       -       42.47       -      24.000      -         -        </t>
  </si>
  <si>
    <t>Total:  100.70    100.70    100.00    100.00    16.148</t>
  </si>
  <si>
    <t xml:space="preserve">Unknown Specimen No. 92 </t>
  </si>
  <si>
    <t xml:space="preserve"> UNK No.      :   92            Comment : UnknA-Flow1-1_4                          </t>
  </si>
  <si>
    <t xml:space="preserve"> Stage        :    X=   45.0220  Y=   94.2845  Z=   11.4645 </t>
  </si>
  <si>
    <t xml:space="preserve"> Dated on Dec 20 21:33 2016 </t>
  </si>
  <si>
    <t xml:space="preserve"> 1 Na   129.476    326.6    0.0   16.3    1.79      152 </t>
  </si>
  <si>
    <t xml:space="preserve"> 2 S    171.948      1.4    5.3    5.7   46.37 ?    114 </t>
  </si>
  <si>
    <t xml:space="preserve"> 3 Fe   134.739    184.6    2.9    2.3    1.67      360 </t>
  </si>
  <si>
    <t xml:space="preserve"> 4 Si    77.822   3175.8   28.5   21.0    0.40      221 </t>
  </si>
  <si>
    <t xml:space="preserve"> 5 Cl   151.478     23.5    8.8    8.9    4.99       47 </t>
  </si>
  <si>
    <t xml:space="preserve"> 6 F    199.140      0.5    3.3    2.7   90.37 ?    351 </t>
  </si>
  <si>
    <t xml:space="preserve"> 7 K    119.485    433.0   37.1   22.9    0.94       64 </t>
  </si>
  <si>
    <t xml:space="preserve"> 8 Mn   146.243      2.5    1.5    1.9   17.62      267 </t>
  </si>
  <si>
    <t xml:space="preserve"> 9 Al    90.995   1070.4   16.7    7.8    0.69      159 </t>
  </si>
  <si>
    <t xml:space="preserve">10 P    197.118     25.3    3.2    2.8    4.95      152 </t>
  </si>
  <si>
    <t xml:space="preserve">11 Mg   107.534    563.2   39.6    0.0    0.97      172 </t>
  </si>
  <si>
    <t xml:space="preserve">12 Ca   107.121   2346.1   36.0   39.3    0.47       93 </t>
  </si>
  <si>
    <t xml:space="preserve">13 Ti    88.305    563.6    0.0   48.0    0.98      129 </t>
  </si>
  <si>
    <t xml:space="preserve"> Na      0.3989    0.0038    0.4762    0.9929     0.9870     2.1348     0.9974</t>
  </si>
  <si>
    <t xml:space="preserve"> S       0.7694    0.0038    0.8215    0.9621     1.0239     1.2310     0.9885</t>
  </si>
  <si>
    <t xml:space="preserve"> Fe      0.9810    0.0000    0.9969    0.8103     1.0557     1.1726     0.9985</t>
  </si>
  <si>
    <t xml:space="preserve"> Si      0.7021    0.0013    0.7705    0.9873     1.0094     1.3007     1.0133</t>
  </si>
  <si>
    <t xml:space="preserve"> Cl      0.8319    0.0071    0.8814    0.9130     1.0304     1.1976     0.9843</t>
  </si>
  <si>
    <t xml:space="preserve"> F       0.1901    0.0014    0.2497    1.0185     0.9746     4.0296     1.0155</t>
  </si>
  <si>
    <t xml:space="preserve"> K       0.9097    0.0176    0.9486    0.9038     1.0414     1.1006     0.9947</t>
  </si>
  <si>
    <t xml:space="preserve"> Mn      0.9753    0.0000    0.9939    0.7986     1.0561     1.1928     1.0403</t>
  </si>
  <si>
    <t xml:space="preserve"> Al      0.6472    0.0095    0.7258    0.9686     1.0018     1.4066     1.0052</t>
  </si>
  <si>
    <t xml:space="preserve"> P       0.6866    0.0021    0.7439    0.9461     1.0168     1.3944     0.9892</t>
  </si>
  <si>
    <t xml:space="preserve"> Mg      0.5354    0.0070    0.6137    1.0077     0.9942     1.6151     1.0083</t>
  </si>
  <si>
    <t xml:space="preserve"> Ca      0.9293    0.0064    0.9626    0.9182     1.0458     1.0750     1.0001</t>
  </si>
  <si>
    <t xml:space="preserve"> Ti      0.9484    0.0109    0.9758    0.8282     1.0523     1.1632     1.0014</t>
  </si>
  <si>
    <t xml:space="preserve"> Na       2.90      3.90      2.89      3.90     1.139   0.9974   0.02903   1.46451  </t>
  </si>
  <si>
    <t xml:space="preserve"> S        0.0106    0.0265    0.0106    0.0264   0.0030  0.9885   0.000107  0.019930 ?</t>
  </si>
  <si>
    <t xml:space="preserve"> Fe      10.38     13.35     10.37     13.34     1.681   0.9985   0.10394   0.99915  </t>
  </si>
  <si>
    <t xml:space="preserve"> Si      21.05     45.04     21.03     44.99     6.781   1.0133   0.20777   0.86729  </t>
  </si>
  <si>
    <t xml:space="preserve"> Cl       0.1435    0.1435    0.1434    0.1434   0.0366  0.9843   0.001458  0.100499  </t>
  </si>
  <si>
    <t xml:space="preserve"> F        0.0424    0.0424    0.0424    0.0424   0.0202  1.0155   0.000418  0.087743  </t>
  </si>
  <si>
    <t xml:space="preserve"> K        1.60      1.92      1.59      1.92     0.369   0.9947   0.01605   2.34616  </t>
  </si>
  <si>
    <t xml:space="preserve"> Mn       0.1616    0.2087    0.1615    0.2085   0.0266  1.0403   0.001554  0.004613  </t>
  </si>
  <si>
    <t xml:space="preserve"> Al       8.09     15.29      8.08     15.27     2.714   1.0052   0.08050   1.21040  </t>
  </si>
  <si>
    <t xml:space="preserve"> P        0.3083    0.7066    0.3080    0.7058   0.0901  0.9892   0.003117  1.822916  </t>
  </si>
  <si>
    <t xml:space="preserve"> Mg       2.97      4.93      2.97      4.93     1.107   1.0083   0.02950   0.95819  </t>
  </si>
  <si>
    <t xml:space="preserve"> Ca       8.01     11.21      8.01     11.20     1.809   1.0001   0.08014   1.19779  </t>
  </si>
  <si>
    <t xml:space="preserve"> Ti       2.00      3.33      2.00      3.33     0.377   1.0014   0.01995   0.81599  </t>
  </si>
  <si>
    <t xml:space="preserve"> O       42.44       -       42.40       -      24.000      -         -        </t>
  </si>
  <si>
    <t>Total:  100.11    100.11    100.00    100.00    16.155</t>
  </si>
  <si>
    <t xml:space="preserve">Unknown Specimen No. 93 </t>
  </si>
  <si>
    <t xml:space="preserve"> UNK No.      :   93            Comment : UnknA-Flow1-1_5                          </t>
  </si>
  <si>
    <t xml:space="preserve"> Stage        :    X=   45.3670  Y=   95.0965  Z=   11.4645 </t>
  </si>
  <si>
    <t xml:space="preserve"> Dated on Dec 20 21:37 2016 </t>
  </si>
  <si>
    <t xml:space="preserve"> 1 Na   129.476    330.7    0.0   19.0    1.79      164 </t>
  </si>
  <si>
    <t xml:space="preserve"> 2 S    171.948      1.7    6.1    4.7   37.34 ?    112 </t>
  </si>
  <si>
    <t xml:space="preserve"> 3 Fe   134.739    172.7    2.5    3.4    1.73      402 </t>
  </si>
  <si>
    <t xml:space="preserve"> 4 Si    77.822   3234.0   30.9   20.4    0.40      227 </t>
  </si>
  <si>
    <t xml:space="preserve"> 5 Cl   151.478     26.8    8.9    7.3    4.46       45 </t>
  </si>
  <si>
    <t xml:space="preserve"> 6 F    199.140      0.8    4.3    2.7   67.98 ?    387 </t>
  </si>
  <si>
    <t xml:space="preserve"> 7 K    119.485    435.2   31.4   22.9    0.93       60 </t>
  </si>
  <si>
    <t xml:space="preserve"> 8 Mn   146.243      3.0    2.2    2.1   16.53      297 </t>
  </si>
  <si>
    <t xml:space="preserve"> 9 Al    90.995   1070.4   19.3    9.4    0.69      172 </t>
  </si>
  <si>
    <t xml:space="preserve">10 P    197.118     25.6    2.5    3.3    4.93      154 </t>
  </si>
  <si>
    <t xml:space="preserve">11 Mg   107.534    572.4   38.9    0.0    0.97      170 </t>
  </si>
  <si>
    <t xml:space="preserve">12 Ca   107.121   2402.5   35.1   37.4    0.46       91 </t>
  </si>
  <si>
    <t xml:space="preserve">13 Ti    88.305    564.2    0.0   46.3    0.98      126 </t>
  </si>
  <si>
    <t xml:space="preserve"> Na      0.4026    0.0039    0.4806    0.9916     0.9875     2.1169     0.9891</t>
  </si>
  <si>
    <t xml:space="preserve"> S       0.7696    0.0038    0.8217    0.9609     1.0244     1.2316     0.9890</t>
  </si>
  <si>
    <t xml:space="preserve"> Fe      0.9809    0.0000    0.9968    0.8093     1.0559     1.1739     0.9995</t>
  </si>
  <si>
    <t xml:space="preserve"> Si      0.7044    0.0013    0.7729    0.9860     1.0099     1.2976     1.0109</t>
  </si>
  <si>
    <t xml:space="preserve"> Cl      0.8320    0.0071    0.8816    0.9118     1.0309     1.1983     0.9848</t>
  </si>
  <si>
    <t xml:space="preserve"> F       0.1891    0.0014    0.2483    1.0171     0.9751     4.0558     1.0221</t>
  </si>
  <si>
    <t xml:space="preserve"> K       0.9098    0.0178    0.9487    0.9027     1.0418     1.1013     0.9953</t>
  </si>
  <si>
    <t xml:space="preserve"> Mn      0.9752    0.0000    0.9938    0.7976     1.0564     1.1941     1.0414</t>
  </si>
  <si>
    <t xml:space="preserve"> Al      0.6498    0.0097    0.7288    0.9673     1.0023     1.4016     1.0016</t>
  </si>
  <si>
    <t xml:space="preserve"> P       0.6868    0.0021    0.7442    0.9449     1.0173     1.3949     0.9896</t>
  </si>
  <si>
    <t xml:space="preserve"> Mg      0.5388    0.0071    0.6176    1.0064     0.9947     1.6059     1.0026</t>
  </si>
  <si>
    <t xml:space="preserve"> Ca      0.9294    0.0062    0.9626    0.9170     1.0462     1.0762     1.0012</t>
  </si>
  <si>
    <t xml:space="preserve"> Ti      0.9481    0.0102    0.9755    0.8272     1.0527     1.1654     1.0033</t>
  </si>
  <si>
    <t xml:space="preserve"> Na       2.91      3.92      2.90      3.90     1.136   0.9891   0.02942   1.48439  </t>
  </si>
  <si>
    <t xml:space="preserve"> S        0.0130    0.0326    0.0130    0.0324   0.0037  0.9890   0.000132  0.024508  </t>
  </si>
  <si>
    <t xml:space="preserve"> Fe       9.73     12.51      9.68     12.46     1.564   0.9995   0.09733   0.93558  </t>
  </si>
  <si>
    <t xml:space="preserve"> Si      21.40     45.78     21.30     45.57     6.841   1.0109   0.21178   0.88406  </t>
  </si>
  <si>
    <t xml:space="preserve"> Cl       0.1641    0.1641    0.1633    0.1633   0.0416  0.9848   0.001666  0.114824  </t>
  </si>
  <si>
    <t xml:space="preserve"> F        0.0634    0.0634    0.0631    0.0631   0.0300  1.0221   0.000620  0.130336  </t>
  </si>
  <si>
    <t xml:space="preserve"> K        1.61      1.94      1.60      1.93     0.369   0.9953   0.01615   2.36054  </t>
  </si>
  <si>
    <t xml:space="preserve"> Mn       0.1893    0.2444    0.1884    0.2432   0.0309  1.0414   0.001817  0.005396  </t>
  </si>
  <si>
    <t xml:space="preserve"> Al       8.07     15.25      8.03     15.18     2.686   1.0016   0.08059   1.21168  </t>
  </si>
  <si>
    <t xml:space="preserve"> P        0.3124    0.7160    0.3110    0.7126   0.0906  0.9896   0.003157  1.846359  </t>
  </si>
  <si>
    <t xml:space="preserve"> Mg       3.01      4.99      2.99      4.97     1.111   1.0026   0.03001   0.97475  </t>
  </si>
  <si>
    <t xml:space="preserve"> Ca       8.22     11.51      8.19     11.45     1.842   1.0012   0.08215   1.22778  </t>
  </si>
  <si>
    <t xml:space="preserve"> Ti       2.01      3.35      2.00      3.33     0.376   1.0033   0.01999   0.81760  </t>
  </si>
  <si>
    <t xml:space="preserve"> O       42.77       -       42.57       -      24.000      -         -        </t>
  </si>
  <si>
    <t>Total:  100.47    100.47    100.00    100.00    16.122</t>
  </si>
  <si>
    <t xml:space="preserve">Unknown Specimen No. 94 </t>
  </si>
  <si>
    <t xml:space="preserve"> UNK No.      :   94            Comment : UnknA-Flow1-1_6                          </t>
  </si>
  <si>
    <t xml:space="preserve"> Stage        :    X=   45.8280  Y=   95.4250  Z=   11.4655 </t>
  </si>
  <si>
    <t xml:space="preserve"> Dated on Dec 20 21:40 2016 </t>
  </si>
  <si>
    <t xml:space="preserve"> 1 Na   129.476    316.4    0.0   18.4    1.83      162 </t>
  </si>
  <si>
    <t xml:space="preserve"> 2 S    171.948      3.3    5.1    4.7   20.28      108 </t>
  </si>
  <si>
    <t xml:space="preserve"> 3 Fe   134.739    192.9    3.1    3.0    1.64      397 </t>
  </si>
  <si>
    <t xml:space="preserve"> 4 Si    77.822   3205.1   33.9   21.7    0.40      236 </t>
  </si>
  <si>
    <t xml:space="preserve"> 5 Cl   151.478     27.8    8.3    8.3    4.38       46 </t>
  </si>
  <si>
    <t xml:space="preserve"> 6 F    199.140      0.4    4.0    3.6  126.01 ?    395 </t>
  </si>
  <si>
    <t xml:space="preserve"> 7 K    119.485    453.5   37.5   24.9    0.92       65 </t>
  </si>
  <si>
    <t xml:space="preserve"> 8 Mn   146.243      3.4    2.5    1.9   15.05      299 </t>
  </si>
  <si>
    <t xml:space="preserve"> 9 Al    90.995   1084.4   15.1   10.0    0.69      160 </t>
  </si>
  <si>
    <t xml:space="preserve">10 P    197.118     29.0    3.2    1.9    4.48      137 </t>
  </si>
  <si>
    <t xml:space="preserve">11 Mg   107.534    545.2   36.4    0.0    0.99      165 </t>
  </si>
  <si>
    <t xml:space="preserve">12 Ca   107.121   2215.5   31.9   37.8    0.48       89 </t>
  </si>
  <si>
    <t xml:space="preserve">13 Ti    88.305    558.2    0.0   47.9    0.99      128 </t>
  </si>
  <si>
    <t xml:space="preserve"> Na      0.3969    0.0038    0.4738    0.9934     0.9869     2.1448     1.0021</t>
  </si>
  <si>
    <t xml:space="preserve"> S       0.7687    0.0037    0.8207    0.9626     1.0237     1.2319     0.9892</t>
  </si>
  <si>
    <t xml:space="preserve"> Fe      0.9812    0.0000    0.9971    0.8107     1.0556     1.1718     0.9978</t>
  </si>
  <si>
    <t xml:space="preserve"> Si      0.7015    0.0013    0.7698    0.9878     1.0092     1.3014     1.0139</t>
  </si>
  <si>
    <t xml:space="preserve"> Cl      0.8312    0.0068    0.8807    0.9135     1.0302     1.1983     0.9849</t>
  </si>
  <si>
    <t xml:space="preserve"> F       0.1909    0.0014    0.2506    1.0190     0.9745     4.0125     1.0112</t>
  </si>
  <si>
    <t xml:space="preserve"> K       0.9093    0.0168    0.9482    0.9043     1.0412     1.1016     0.9956</t>
  </si>
  <si>
    <t xml:space="preserve"> Mn      0.9755    0.0000    0.9942    0.7990     1.0560     1.1920     1.0396</t>
  </si>
  <si>
    <t xml:space="preserve"> Al      0.6467    0.0095    0.7254    0.9691     1.0016     1.4069     1.0054</t>
  </si>
  <si>
    <t xml:space="preserve"> P       0.6859    0.0020    0.7431    0.9467     1.0167     1.3954     0.9899</t>
  </si>
  <si>
    <t xml:space="preserve"> Mg      0.5341    0.0070    0.6122    1.0083     0.9941     1.6184     1.0104</t>
  </si>
  <si>
    <t xml:space="preserve"> Ca      0.9288    0.0066    0.9621    0.9186     1.0456     1.0750     1.0001</t>
  </si>
  <si>
    <t xml:space="preserve"> Ti      0.9489    0.0115    0.9763    0.8286     1.0522     1.1614     0.9998</t>
  </si>
  <si>
    <t xml:space="preserve"> Na       2.82      3.80      2.80      3.77     1.101   1.0021   0.02812   1.41875  </t>
  </si>
  <si>
    <t xml:space="preserve"> S        0.0248    0.0618    0.0246    0.0614   0.0069  0.9892   0.000250  0.046513  </t>
  </si>
  <si>
    <t xml:space="preserve"> Fe      10.84     13.94     10.76     13.84     1.744   0.9978   0.10862   1.04416  </t>
  </si>
  <si>
    <t xml:space="preserve"> Si      21.25     45.46     21.10     45.13     6.799   1.0139   0.20969   0.87531  </t>
  </si>
  <si>
    <t xml:space="preserve"> Cl       0.1697    0.1697    0.1685    0.1685   0.0430  0.9849   0.001723  0.118756  </t>
  </si>
  <si>
    <t xml:space="preserve"> F        0.0335    0.0335    0.0333    0.0333   0.0159  1.0112   0.000331  0.069617 ?</t>
  </si>
  <si>
    <t xml:space="preserve"> K        1.67      2.02      1.66      2.00     0.385   0.9956   0.01681   2.45723  </t>
  </si>
  <si>
    <t xml:space="preserve"> Mn       0.2136    0.2758    0.2121    0.2738   0.0349  1.0396   0.002055  0.006101  </t>
  </si>
  <si>
    <t xml:space="preserve"> Al       8.20     15.49      8.14     15.38     2.731   1.0054   0.08156   1.22622  </t>
  </si>
  <si>
    <t xml:space="preserve"> P        0.3538    0.8109    0.3513    0.8050   0.1027  0.9899   0.003575  2.090399  </t>
  </si>
  <si>
    <t xml:space="preserve"> Mg       2.89      4.78      2.86      4.75     1.067   1.0104   0.02856   0.92753  </t>
  </si>
  <si>
    <t xml:space="preserve"> Ca       7.57     10.59      7.51     10.51     1.697   1.0001   0.07568   1.13112  </t>
  </si>
  <si>
    <t xml:space="preserve"> Ti       1.98      3.30      1.96      3.27     0.371   0.9998   0.01976   0.80809  </t>
  </si>
  <si>
    <t xml:space="preserve"> O       42.72       -       42.42       -      24.000      -         -        </t>
  </si>
  <si>
    <t>Total:  100.73    100.73    100.00    100.00    16.099</t>
  </si>
  <si>
    <t xml:space="preserve">Unknown Specimen No. 95 </t>
  </si>
  <si>
    <t xml:space="preserve"> UNK No.      :   95            Comment : UnknA-Flow1-1_7                          </t>
  </si>
  <si>
    <t xml:space="preserve"> Stage        :    X=   49.6345  Y=   94.0160  Z=   11.4645 </t>
  </si>
  <si>
    <t xml:space="preserve"> Dated on Dec 20 21:44 2016 </t>
  </si>
  <si>
    <t xml:space="preserve"> 1 Na   129.476    297.4    0.0   18.3    1.89      161 </t>
  </si>
  <si>
    <t xml:space="preserve"> 2 S    171.948      3.2    4.7    5.6   21.15      112 </t>
  </si>
  <si>
    <t xml:space="preserve"> 3 Fe   134.739    187.3    2.6    2.7    1.66      372 </t>
  </si>
  <si>
    <t xml:space="preserve"> 4 Si    77.822   3196.6   33.4   21.8    0.40      235 </t>
  </si>
  <si>
    <t xml:space="preserve"> 5 Cl   151.478     23.1    9.2    6.9    4.94       45 </t>
  </si>
  <si>
    <t xml:space="preserve"> 6 F    199.140      0.4    3.5    3.9  116.91 ?    385 </t>
  </si>
  <si>
    <t xml:space="preserve"> 7 K    119.485    394.9   34.6   22.5    0.99       62 </t>
  </si>
  <si>
    <t xml:space="preserve"> 8 Mn   146.243      3.6    2.4    1.5   13.92      281 </t>
  </si>
  <si>
    <t xml:space="preserve"> 9 Al    90.995   1076.2   14.1    7.6    0.69      149 </t>
  </si>
  <si>
    <t xml:space="preserve">10 P    197.118     26.0    3.3    3.7    4.97      167 </t>
  </si>
  <si>
    <t xml:space="preserve">11 Mg   107.534    573.4   39.9    0.0    0.97      172 </t>
  </si>
  <si>
    <t xml:space="preserve">12 Ca   107.121   2437.6   36.3   34.0    0.46       89 </t>
  </si>
  <si>
    <t xml:space="preserve">13 Ti    88.305    558.6    0.0   45.9    0.98      126 </t>
  </si>
  <si>
    <t xml:space="preserve"> Na      0.3976    0.0038    0.4746    0.9932     0.9869     2.1415     1.0006</t>
  </si>
  <si>
    <t xml:space="preserve"> S       0.7695    0.0038    0.8216    0.9624     1.0237     1.2308     0.9883</t>
  </si>
  <si>
    <t xml:space="preserve"> Fe      0.9809    0.0000    0.9969    0.8105     1.0556     1.1725     0.9983</t>
  </si>
  <si>
    <t xml:space="preserve"> Si      0.7023    0.0013    0.7706    0.9875     1.0092     1.3003     1.0130</t>
  </si>
  <si>
    <t xml:space="preserve"> Cl      0.8319    0.0071    0.8814    0.9132     1.0302     1.1974     0.9841</t>
  </si>
  <si>
    <t xml:space="preserve"> F       0.1896    0.0014    0.2490    1.0188     0.9745     4.0401     1.0181</t>
  </si>
  <si>
    <t xml:space="preserve"> K       0.9097    0.0181    0.9486    0.9041     1.0412     1.0999     0.9941</t>
  </si>
  <si>
    <t xml:space="preserve"> Mn      0.9752    0.0000    0.9939    0.7988     1.0560     1.1927     1.0402</t>
  </si>
  <si>
    <t xml:space="preserve"> Al      0.6473    0.0095    0.7259    0.9688     1.0016     1.4062     1.0049</t>
  </si>
  <si>
    <t xml:space="preserve"> P       0.6867    0.0021    0.7441    0.9464     1.0166     1.3939     0.9889</t>
  </si>
  <si>
    <t xml:space="preserve"> Mg      0.5358    0.0070    0.6142    1.0080     0.9940     1.6137     1.0075</t>
  </si>
  <si>
    <t xml:space="preserve"> Ca      0.9297    0.0065    0.9630    0.9184     1.0456     1.0744     0.9995</t>
  </si>
  <si>
    <t xml:space="preserve"> Ti      0.9482    0.0110    0.9756    0.8284     1.0522     1.1631     1.0013</t>
  </si>
  <si>
    <t xml:space="preserve"> Na       2.64      3.56      2.62      3.54     1.033   1.0006   0.02643   1.33350  </t>
  </si>
  <si>
    <t xml:space="preserve"> S        0.0244    0.0610    0.0243    0.0606   0.0068  0.9883   0.000247  0.045970  </t>
  </si>
  <si>
    <t xml:space="preserve"> Fe      10.53     13.55     10.45     13.45     1.694   0.9983   0.10548   1.01392  </t>
  </si>
  <si>
    <t xml:space="preserve"> Si      21.18     45.30     21.02     44.96     6.773   1.0130   0.20913   0.87298  </t>
  </si>
  <si>
    <t xml:space="preserve"> Cl       0.1409    0.1409    0.1399    0.1399   0.0357  0.9841   0.001432  0.098686  </t>
  </si>
  <si>
    <t xml:space="preserve"> F        0.0354    0.0354    0.0351    0.0351   0.0167  1.0181   0.000347  0.073000 ?</t>
  </si>
  <si>
    <t xml:space="preserve"> K        1.46      1.75      1.44      1.74     0.334   0.9941   0.01464   2.13996  </t>
  </si>
  <si>
    <t xml:space="preserve"> Mn       0.2257    0.2915    0.2241    0.2893   0.0369  1.0402   0.002170  0.006443  </t>
  </si>
  <si>
    <t xml:space="preserve"> Al       8.13     15.37      8.07     15.25     2.708   1.0049   0.08094   1.21697  </t>
  </si>
  <si>
    <t xml:space="preserve"> P        0.3162    0.7245    0.3138    0.7192   0.0917  0.9889   0.003197  1.869748  </t>
  </si>
  <si>
    <t xml:space="preserve"> Mg       3.03      5.02      3.00      4.98     1.118   1.0075   0.03004   0.97557  </t>
  </si>
  <si>
    <t xml:space="preserve"> Ca       8.32     11.64      8.26     11.56     1.866   0.9995   0.08327   1.24449  </t>
  </si>
  <si>
    <t xml:space="preserve"> Ti       1.98      3.30      1.97      3.28     0.371   1.0013   0.01977   0.80867  </t>
  </si>
  <si>
    <t xml:space="preserve"> O       42.74       -       42.42       -      24.000      -         -        </t>
  </si>
  <si>
    <t>Total:  100.75    100.75    100.00    100.00    16.086</t>
  </si>
  <si>
    <t xml:space="preserve">Unknown Specimen No. 96 </t>
  </si>
  <si>
    <t xml:space="preserve"> UNK No.      :   96            Comment : UnknA-Flow1-1_8                          </t>
  </si>
  <si>
    <t xml:space="preserve"> Stage        :    X=   49.6010  Y=   93.7530  Z=   11.4645 </t>
  </si>
  <si>
    <t xml:space="preserve"> Dated on Dec 20 21:47 2016 </t>
  </si>
  <si>
    <t xml:space="preserve"> 1 Na   129.476    312.7    0.0   16.5    1.83      153 </t>
  </si>
  <si>
    <t xml:space="preserve"> 2 S    171.948      2.9    5.1    4.1   21.71      104 </t>
  </si>
  <si>
    <t xml:space="preserve"> 3 Fe   134.739    182.6    4.1    2.6    1.68      400 </t>
  </si>
  <si>
    <t xml:space="preserve"> 4 Si    77.822   3134.7   29.7   20.3    0.40      223 </t>
  </si>
  <si>
    <t xml:space="preserve"> 5 Cl   151.478     30.0    9.1    6.8    4.12       44 </t>
  </si>
  <si>
    <t xml:space="preserve"> 6 F    199.140     -0.0    3.9    3.5  100.00 ?    392 </t>
  </si>
  <si>
    <t xml:space="preserve"> 7 K    119.485    411.7   31.9   22.5    0.96       60 </t>
  </si>
  <si>
    <t xml:space="preserve"> 8 Mn   146.243      2.0    2.1    2.7   24.01      316 </t>
  </si>
  <si>
    <t xml:space="preserve"> 9 Al    90.995   1018.7   12.8    8.8    0.71      148 </t>
  </si>
  <si>
    <t xml:space="preserve">10 P    197.118     24.7    2.9    3.1    5.04      154 </t>
  </si>
  <si>
    <t xml:space="preserve">11 Mg   107.534    592.8   36.7    0.0    0.95      165 </t>
  </si>
  <si>
    <t xml:space="preserve">12 Ca   107.121   2350.0   36.9   39.0    0.47       93 </t>
  </si>
  <si>
    <t xml:space="preserve">13 Ti    88.305    568.3    0.0   47.5    0.98      128 </t>
  </si>
  <si>
    <t xml:space="preserve"> Na      0.3986    0.0039    0.4758    0.9930     0.9869     2.1364     0.9982</t>
  </si>
  <si>
    <t xml:space="preserve"> S       0.7697    0.0039    0.8218    0.9622     1.0238     1.2305     0.9881</t>
  </si>
  <si>
    <t xml:space="preserve"> Fe      0.9809    0.0000    0.9968    0.8104     1.0556     1.1726     0.9985</t>
  </si>
  <si>
    <t xml:space="preserve"> Si      0.7028    0.0013    0.7712    0.9874     1.0093     1.2994     1.0123</t>
  </si>
  <si>
    <t xml:space="preserve"> K       0.9097    0.0179    0.9486    0.9039     1.0413     1.1003     0.9944</t>
  </si>
  <si>
    <t xml:space="preserve"> Al      0.6460    0.0095    0.7245    0.9687     1.0017     1.4090     1.0069</t>
  </si>
  <si>
    <t xml:space="preserve"> P       0.6869    0.0021    0.7443    0.9463     1.0167     1.3936     0.9887</t>
  </si>
  <si>
    <t xml:space="preserve"> Mg      0.5355    0.0069    0.6139    1.0078     0.9941     1.6146     1.0080</t>
  </si>
  <si>
    <t xml:space="preserve"> Ca      0.9295    0.0065    0.9628    0.9182     1.0457     1.0748     0.9999</t>
  </si>
  <si>
    <t xml:space="preserve"> Ti      0.9483    0.0109    0.9757    0.8283     1.0522     1.1634     1.0015</t>
  </si>
  <si>
    <t xml:space="preserve"> Na       2.77      3.74      2.81      3.79     1.108   0.9982   0.02779   1.40214  </t>
  </si>
  <si>
    <t xml:space="preserve"> S        0.0221    0.0552    0.0224    0.0559   0.0063  0.9881   0.000224  0.041562  </t>
  </si>
  <si>
    <t xml:space="preserve"> Fe      10.27     13.21     10.41     13.39     1.689   0.9985   0.10285   0.98863  </t>
  </si>
  <si>
    <t xml:space="preserve"> Si      20.78     44.45     21.05     45.04     6.792   1.0123   0.20508   0.85607  </t>
  </si>
  <si>
    <t xml:space="preserve"> Cl       0.1830    0.1830    0.1855    0.1855   0.0474  0.9840   0.001860  0.128202  </t>
  </si>
  <si>
    <t xml:space="preserve"> K        1.52      1.83      1.54      1.85     0.356   0.9944   0.01526   2.23076  </t>
  </si>
  <si>
    <t xml:space="preserve"> Mn       0.1266    0.1635    0.1283    0.1657   0.0212  1.0404   0.001217  0.003614  </t>
  </si>
  <si>
    <t xml:space="preserve"> Al       7.72     14.58      7.82     14.78     2.626   1.0069   0.07662   1.15197  </t>
  </si>
  <si>
    <t xml:space="preserve"> P        0.3006    0.6888    0.3046    0.6980   0.0891  0.9887   0.003040  1.777886  </t>
  </si>
  <si>
    <t xml:space="preserve"> Mg       3.13      5.19      3.17      5.26     1.183   1.0080   0.03106   1.00862  </t>
  </si>
  <si>
    <t xml:space="preserve"> Ca       8.03     11.23      8.13     11.38     1.839   0.9999   0.08028   1.19979  </t>
  </si>
  <si>
    <t xml:space="preserve"> Ti       2.01      3.36      2.04      3.41     0.386   1.0015   0.02012   0.82273  </t>
  </si>
  <si>
    <t xml:space="preserve"> O       41.82       -       42.38       -      24.000      -         -        </t>
  </si>
  <si>
    <t>Total:   98.69     98.69    100.00    100.00    16.142</t>
  </si>
  <si>
    <t xml:space="preserve">Unknown Specimen No. 97 </t>
  </si>
  <si>
    <t xml:space="preserve"> UNK No.      :   97            Comment : UnknA-Flow1-1_9                          </t>
  </si>
  <si>
    <t xml:space="preserve"> Stage        :    X=   50.3505  Y=   94.1420  Z=   11.4675 </t>
  </si>
  <si>
    <t xml:space="preserve"> Dated on Dec 20 21:51 2016 </t>
  </si>
  <si>
    <t xml:space="preserve"> 1 Na   129.476    284.3    0.0   17.4    1.93      157 </t>
  </si>
  <si>
    <t xml:space="preserve"> 2 S    171.948      3.1    5.1    5.1   21.76      110 </t>
  </si>
  <si>
    <t xml:space="preserve"> 3 Fe   134.739    187.2    2.6    1.9    1.65      332 </t>
  </si>
  <si>
    <t xml:space="preserve"> 4 Si    77.822   3163.7   32.3   19.4    0.40      228 </t>
  </si>
  <si>
    <t xml:space="preserve"> 5 Cl   151.478     22.4    9.1    7.2    5.06       45 </t>
  </si>
  <si>
    <t xml:space="preserve"> 6 F    199.140      0.5    3.2    2.7   87.45 ?    350 </t>
  </si>
  <si>
    <t xml:space="preserve"> 7 K    119.485    397.0   34.4   23.9    0.98       63 </t>
  </si>
  <si>
    <t xml:space="preserve"> 8 Mn   146.243      2.3    2.2    1.9   20.07      289 </t>
  </si>
  <si>
    <t xml:space="preserve"> 9 Al    90.995   1046.7   16.0    9.8    0.70      162 </t>
  </si>
  <si>
    <t xml:space="preserve">10 P    197.118     24.5    3.0    3.7    5.14      165 </t>
  </si>
  <si>
    <t xml:space="preserve">11 Mg   107.534    591.1   38.9    0.0    0.95      170 </t>
  </si>
  <si>
    <t xml:space="preserve">12 Ca   107.121   2457.1   31.6   37.2    0.46       89 </t>
  </si>
  <si>
    <t xml:space="preserve">13 Ti    88.305    564.8    0.0   48.9    0.98      130 </t>
  </si>
  <si>
    <t xml:space="preserve"> Na      0.3971    0.0039    0.4740    0.9934     0.9867     2.1443     1.0019</t>
  </si>
  <si>
    <t xml:space="preserve"> S       0.7698    0.0039    0.8220    0.9626     1.0236     1.2301     0.9877</t>
  </si>
  <si>
    <t xml:space="preserve"> Fe      0.9808    0.0000    0.9968    0.8106     1.0555     1.1725     0.9983</t>
  </si>
  <si>
    <t xml:space="preserve"> Si      0.7025    0.0013    0.7709    0.9877     1.0091     1.2997     1.0126</t>
  </si>
  <si>
    <t xml:space="preserve"> Cl      0.8321    0.0072    0.8817    0.9134     1.0301     1.1968     0.9836</t>
  </si>
  <si>
    <t xml:space="preserve"> F       0.1896    0.0014    0.2490    1.0190     0.9744     4.0400     1.0181</t>
  </si>
  <si>
    <t xml:space="preserve"> K       0.9099    0.0184    0.9488    0.9042     1.0411     1.0994     0.9936</t>
  </si>
  <si>
    <t xml:space="preserve"> Mn      0.9751    0.0000    0.9938    0.7990     1.0559     1.1928     1.0402</t>
  </si>
  <si>
    <t xml:space="preserve"> Al      0.6465    0.0095    0.7251    0.9690     1.0015     1.4077     1.0060</t>
  </si>
  <si>
    <t xml:space="preserve"> P       0.6870    0.0021    0.7444    0.9466     1.0165     1.3931     0.9883</t>
  </si>
  <si>
    <t xml:space="preserve"> Mg      0.5358    0.0069    0.6142    1.0082     0.9939     1.6136     1.0074</t>
  </si>
  <si>
    <t xml:space="preserve"> Ca      0.9298    0.0065    0.9631    0.9186     1.0455     1.0742     0.9993</t>
  </si>
  <si>
    <t xml:space="preserve"> Ti      0.9480    0.0110    0.9754    0.8286     1.0521     1.1633     1.0015</t>
  </si>
  <si>
    <t xml:space="preserve"> Na       2.53      3.41      2.53      3.42     0.999   1.0019   0.02526   1.27472  </t>
  </si>
  <si>
    <t xml:space="preserve"> S        0.0232    0.0580    0.0233    0.0581   0.0066  0.9877   0.000235  0.043714  </t>
  </si>
  <si>
    <t xml:space="preserve"> Fe      10.52     13.54     10.54     13.56     1.710   0.9983   0.10542   1.01332  </t>
  </si>
  <si>
    <t xml:space="preserve"> Si      20.96     44.84     20.99     44.89     6.771   1.0126   0.20698   0.86399  </t>
  </si>
  <si>
    <t xml:space="preserve"> Cl       0.1367    0.1367    0.1369    0.1369   0.0350  0.9836   0.001390  0.095775  </t>
  </si>
  <si>
    <t xml:space="preserve"> F        0.0438    0.0438    0.0439    0.0439   0.0209  1.0181   0.000431  0.090454  </t>
  </si>
  <si>
    <t xml:space="preserve"> K        1.46      1.76      1.46      1.76     0.339   0.9936   0.01471   2.15122  </t>
  </si>
  <si>
    <t xml:space="preserve"> Mn       0.1452    0.1875    0.1454    0.1878   0.0240  1.0402   0.001396  0.004145  </t>
  </si>
  <si>
    <t xml:space="preserve"> Al       7.92     14.96      7.93     14.98     2.664   1.0060   0.07872   1.18361  </t>
  </si>
  <si>
    <t xml:space="preserve"> P        0.2979    0.6826    0.2983    0.6835   0.0873  0.9883   0.003014  1.762575  </t>
  </si>
  <si>
    <t xml:space="preserve"> Mg       3.12      5.17      3.12      5.18     1.164   1.0074   0.03097   1.00572  </t>
  </si>
  <si>
    <t xml:space="preserve"> Ca       8.39     11.74      8.40     11.75     1.899   0.9993   0.08393   1.25443  </t>
  </si>
  <si>
    <t xml:space="preserve"> Ti       2.00      3.34      2.00      3.34     0.379   1.0015   0.01999   0.81773  </t>
  </si>
  <si>
    <t xml:space="preserve"> O       42.32       -       42.37       -      24.000      -         -        </t>
  </si>
  <si>
    <t>Total:   99.87     99.87    100.00    100.00    16.099</t>
  </si>
  <si>
    <t xml:space="preserve">Unknown Specimen No. 98 </t>
  </si>
  <si>
    <t xml:space="preserve"> UNK No.      :   98            Comment : VGA99_                                   </t>
  </si>
  <si>
    <t xml:space="preserve"> Stage        :    X=   42.5430  Y=   29.6570  Z=   11.3995 </t>
  </si>
  <si>
    <t xml:space="preserve"> Dated on Dec 20 21:54 2016 </t>
  </si>
  <si>
    <t xml:space="preserve"> 1 Na   129.476    227.2    0.0   17.0    2.18      155 </t>
  </si>
  <si>
    <t xml:space="preserve"> 2 S    171.948      2.2    4.5    5.4   29.48      109 </t>
  </si>
  <si>
    <t xml:space="preserve"> 3 Fe   134.739    182.7    3.3    3.3    1.69      414 </t>
  </si>
  <si>
    <t xml:space="preserve"> 4 Si    77.822   3601.9   31.5   21.7    0.38      230 </t>
  </si>
  <si>
    <t xml:space="preserve"> 5 Cl   151.478      3.4    7.1    8.7   23.34       45 </t>
  </si>
  <si>
    <t xml:space="preserve"> 6 F    199.140      1.0    4.4    2.9   55.40 ?    395 </t>
  </si>
  <si>
    <t xml:space="preserve"> 7 K    119.485    182.9   29.8   21.4    1.53       59 </t>
  </si>
  <si>
    <t xml:space="preserve"> 8 Mn   146.243      2.5    2.0    2.2   19.09      296 </t>
  </si>
  <si>
    <t xml:space="preserve"> 9 Al    90.995    845.5   14.8    9.4    0.78      157 </t>
  </si>
  <si>
    <t xml:space="preserve">10 P    197.118     13.0    2.3    3.4    7.57      153 </t>
  </si>
  <si>
    <t xml:space="preserve">11 Mg   107.534    596.3   38.9    0.0    0.95      170 </t>
  </si>
  <si>
    <t xml:space="preserve">12 Ca   107.121   1950.0   32.0   34.5    0.52       87 </t>
  </si>
  <si>
    <t xml:space="preserve">13 Ti    88.305    684.7    0.0   46.4    0.88      126 </t>
  </si>
  <si>
    <t xml:space="preserve"> Na      0.3982    0.0040    0.4753    0.9904     0.9879     2.1422     1.0009</t>
  </si>
  <si>
    <t xml:space="preserve"> S       0.7655    0.0030    0.8173    0.9598     1.0247     1.2403     0.9960</t>
  </si>
  <si>
    <t xml:space="preserve"> Fe      0.9816    0.0000    0.9976    0.8084     1.0561     1.1741     0.9997</t>
  </si>
  <si>
    <t xml:space="preserve"> Si      0.7131    0.0010    0.7826    0.9848     1.0102     1.2831     0.9996</t>
  </si>
  <si>
    <t xml:space="preserve"> Cl      0.8288    0.0058    0.8782    0.9107     1.0312     1.2056     0.9908</t>
  </si>
  <si>
    <t xml:space="preserve"> F       0.1899    0.0014    0.2493    1.0159     0.9754     4.0427     1.0188</t>
  </si>
  <si>
    <t xml:space="preserve"> K       0.9083    0.0160    0.9471    0.9016     1.0421     1.1060     0.9996</t>
  </si>
  <si>
    <t xml:space="preserve"> Mn      0.9761    0.0000    0.9948    0.7968     1.0566     1.1941     1.0414</t>
  </si>
  <si>
    <t xml:space="preserve"> Al      0.6495    0.0109    0.7285    0.9661     1.0026     1.4019     1.0018</t>
  </si>
  <si>
    <t xml:space="preserve"> P       0.6809    0.0016    0.7378    0.9438     1.0177     1.4089     0.9995</t>
  </si>
  <si>
    <t xml:space="preserve"> Mg      0.5398    0.0072    0.6188    1.0052     0.9951     1.6041     1.0014</t>
  </si>
  <si>
    <t xml:space="preserve"> Ca      0.9306    0.0073    0.9639    0.9159     1.0464     1.0746     0.9997</t>
  </si>
  <si>
    <t xml:space="preserve"> Ti      0.9511    0.0114    0.9786    0.8262     1.0529     1.1614     0.9998</t>
  </si>
  <si>
    <t xml:space="preserve"> Na       2.02      2.72      2.05      2.77     0.786   1.0009   0.02019   1.01855  </t>
  </si>
  <si>
    <t xml:space="preserve"> S        0.0167    0.0418    0.0170    0.0424   0.0047  0.9960   0.000168  0.031228  </t>
  </si>
  <si>
    <t xml:space="preserve"> Fe      10.29     13.24     10.44     13.44     1.648   0.9997   0.10290   0.98911  </t>
  </si>
  <si>
    <t xml:space="preserve"> Si      23.58     50.44     23.93     51.20     7.508   0.9996   0.23565   0.98366  </t>
  </si>
  <si>
    <t xml:space="preserve"> Cl       0.0212    0.0212    0.0215    0.0215   0.0053  0.9908   0.000214  0.014747  </t>
  </si>
  <si>
    <t xml:space="preserve"> F        0.0798    0.0798    0.0810    0.0810   0.0376  1.0188   0.000784  0.164648  </t>
  </si>
  <si>
    <t xml:space="preserve"> K        0.6775    0.8161    0.6877    0.8284   0.1550  0.9996   0.006778  0.990896  </t>
  </si>
  <si>
    <t xml:space="preserve"> Mn       0.1581    0.2041    0.1605    0.2072   0.0257  1.0414   0.001518  0.004507  </t>
  </si>
  <si>
    <t xml:space="preserve"> Al       6.37     12.04      6.47     12.22     2.112   1.0018   0.06359   0.95610  </t>
  </si>
  <si>
    <t xml:space="preserve"> P        0.1596    0.3658    0.1620    0.3713   0.0461  0.9995   0.001597  0.933937  </t>
  </si>
  <si>
    <t xml:space="preserve"> Mg       3.13      5.19      3.18      5.27     1.151   1.0014   0.03124   1.01450  </t>
  </si>
  <si>
    <t xml:space="preserve"> Ca       6.66      9.32      6.76      9.46     1.486   0.9997   0.06661   0.99554  </t>
  </si>
  <si>
    <t xml:space="preserve"> Ti       2.42      4.04      2.46      4.10     0.452   0.9998   0.02424   0.99129  </t>
  </si>
  <si>
    <t xml:space="preserve"> O       42.93       -       43.58       -      24.000      -         -        </t>
  </si>
  <si>
    <t>Total:   98.52     98.52    100.00    100.00    15.418</t>
  </si>
  <si>
    <t xml:space="preserve">Unknown Specimen No. 99 </t>
  </si>
  <si>
    <t xml:space="preserve"> UNK No.      :   99            Comment : VGA99_                                   </t>
  </si>
  <si>
    <t xml:space="preserve"> Stage        :    X=   42.4110  Y=   29.5230  Z=   11.3995 </t>
  </si>
  <si>
    <t xml:space="preserve"> Dated on Dec 20 21:58 2016 </t>
  </si>
  <si>
    <t xml:space="preserve"> 1 Na   129.476    243.9    0.0   17.3    2.10      157 </t>
  </si>
  <si>
    <t xml:space="preserve"> 2 S    171.948      0.9    5.9    5.5   69.23 ?    116 </t>
  </si>
  <si>
    <t xml:space="preserve"> 3 Fe   134.739    182.2    3.5    3.2    1.69      413 </t>
  </si>
  <si>
    <t xml:space="preserve"> 4 Si    77.822   3606.0   31.5   17.6    0.38      223 </t>
  </si>
  <si>
    <t xml:space="preserve"> 5 Cl   151.478      5.3    8.1    7.4   15.82       44 </t>
  </si>
  <si>
    <t xml:space="preserve"> 6 F    199.140      1.0    3.5    3.2   52.08 ?    372 </t>
  </si>
  <si>
    <t xml:space="preserve"> 7 K    119.485    181.8   28.7   20.9    1.53       58 </t>
  </si>
  <si>
    <t xml:space="preserve"> 8 Mn   146.243      2.4    2.2    1.7   19.08      283 </t>
  </si>
  <si>
    <t xml:space="preserve"> 9 Al    90.995    837.9   13.7    8.9    0.78      151 </t>
  </si>
  <si>
    <t xml:space="preserve">10 P    197.118     15.9    3.0    2.2    6.45      140 </t>
  </si>
  <si>
    <t xml:space="preserve">11 Mg   107.534    595.8   37.6    0.0    0.94      167 </t>
  </si>
  <si>
    <t xml:space="preserve">12 Ca   107.121   1969.4   34.1   35.1    0.51       88 </t>
  </si>
  <si>
    <t xml:space="preserve">13 Ti    88.305    703.5    0.0   45.4    0.87      125 </t>
  </si>
  <si>
    <t xml:space="preserve"> Na      0.3985    0.0039    0.4756    0.9904     0.9879     2.1405     1.0001</t>
  </si>
  <si>
    <t xml:space="preserve"> S       0.7657    0.0030    0.8175    0.9598     1.0247     1.2400     0.9957</t>
  </si>
  <si>
    <t xml:space="preserve"> Fe      0.9815    0.0000    0.9975    0.8084     1.0561     1.1741     0.9998</t>
  </si>
  <si>
    <t xml:space="preserve"> Si      0.7133    0.0011    0.7827    0.9848     1.0103     1.2827     0.9993</t>
  </si>
  <si>
    <t xml:space="preserve"> Cl      0.8290    0.0058    0.8784    0.9108     1.0312     1.2053     0.9906</t>
  </si>
  <si>
    <t xml:space="preserve"> F       0.1898    0.0014    0.2492    1.0159     0.9754     4.0447     1.0193</t>
  </si>
  <si>
    <t xml:space="preserve"> K       0.9083    0.0161    0.9472    0.9017     1.0421     1.1058     0.9994</t>
  </si>
  <si>
    <t xml:space="preserve"> Mn      0.9760    0.0000    0.9947    0.7968     1.0566     1.1941     1.0414</t>
  </si>
  <si>
    <t xml:space="preserve"> Al      0.6491    0.0109    0.7280    0.9662     1.0026     1.4027     1.0024</t>
  </si>
  <si>
    <t xml:space="preserve"> P       0.6813    0.0017    0.7382    0.9438     1.0177     1.4080     0.9989</t>
  </si>
  <si>
    <t xml:space="preserve"> Mg      0.5393    0.0071    0.6182    1.0052     0.9951     1.6058     1.0025</t>
  </si>
  <si>
    <t xml:space="preserve"> Ca      0.9306    0.0073    0.9639    0.9160     1.0465     1.0745     0.9996</t>
  </si>
  <si>
    <t xml:space="preserve"> Ti      0.9511    0.0113    0.9786    0.8262     1.0529     1.1615     0.9999</t>
  </si>
  <si>
    <t xml:space="preserve"> Na       2.17      2.92      2.19      2.96     0.841   1.0001   0.02167   1.09346  </t>
  </si>
  <si>
    <t xml:space="preserve"> S        0.0071    0.0177    0.0072    0.0179   0.0020  0.9957   0.000071  0.013250 ?</t>
  </si>
  <si>
    <t xml:space="preserve"> Fe      10.26     13.20     10.38     13.35     1.639   0.9998   0.10262   0.98641  </t>
  </si>
  <si>
    <t xml:space="preserve"> Si      23.59     50.47     23.86     51.05     7.493   0.9993   0.23591   0.98478  </t>
  </si>
  <si>
    <t xml:space="preserve"> Cl       0.0323    0.0323    0.0327    0.0327   0.0081  0.9906   0.000326  0.022482  </t>
  </si>
  <si>
    <t xml:space="preserve"> F        0.0800    0.0800    0.0810    0.0810   0.0376  1.0193   0.000785  0.164980  </t>
  </si>
  <si>
    <t xml:space="preserve"> K        0.6733    0.8111    0.6810    0.8203   0.1536  0.9994   0.006737  0.984972  </t>
  </si>
  <si>
    <t xml:space="preserve"> Mn       0.1523    0.1967    0.1540    0.1989   0.0247  1.0414   0.001462  0.004342  </t>
  </si>
  <si>
    <t xml:space="preserve"> Al       6.32     11.94      6.39     12.08     2.089   1.0024   0.06302   0.94751  </t>
  </si>
  <si>
    <t xml:space="preserve"> P        0.1951    0.4470    0.1973    0.4521   0.0562  0.9989   0.001953  1.141979  </t>
  </si>
  <si>
    <t xml:space="preserve"> Mg       3.13      5.19      3.17      5.25     1.148   1.0025   0.03121   1.01373  </t>
  </si>
  <si>
    <t xml:space="preserve"> Ca       6.72      9.41      6.80      9.52     1.497   0.9996   0.06727   1.00545  </t>
  </si>
  <si>
    <t xml:space="preserve"> Ti       2.49      4.15      2.52      4.20     0.464   0.9999   0.02490   1.01848  </t>
  </si>
  <si>
    <t xml:space="preserve"> O       43.05       -       43.54       -      24.000      -         -        </t>
  </si>
  <si>
    <t>Total:   98.87     98.87    100.00    100.00    15.454</t>
  </si>
  <si>
    <t xml:space="preserve">Unknown Specimen No. 100 </t>
  </si>
  <si>
    <t xml:space="preserve"> UNK No.      :  100            Comment : VG-2_                                    </t>
  </si>
  <si>
    <t xml:space="preserve"> Stage        :    X=   60.0080  Y=   33.5315  Z=   11.3665 </t>
  </si>
  <si>
    <t xml:space="preserve"> Dated on Dec 20 22:01 2016 </t>
  </si>
  <si>
    <t xml:space="preserve"> 1 Na   129.476    241.0    0.0   17.0    2.11      155 </t>
  </si>
  <si>
    <t xml:space="preserve"> 2 S    171.948     18.8    4.4    5.1    5.20      107 </t>
  </si>
  <si>
    <t xml:space="preserve"> 3 Fe   134.739    164.1    2.6    2.7    1.78      372 </t>
  </si>
  <si>
    <t xml:space="preserve"> 4 Si    77.822   3601.2   29.9   19.1    0.38      222 </t>
  </si>
  <si>
    <t xml:space="preserve"> 5 Cl   151.478      3.6    8.5    8.9   23.59       47 </t>
  </si>
  <si>
    <t xml:space="preserve"> 6 F    199.140      0.1    3.9    2.5  391.26 ?    370 </t>
  </si>
  <si>
    <t xml:space="preserve"> 7 K    119.485     43.1   23.8   20.9    3.99       54 </t>
  </si>
  <si>
    <t xml:space="preserve"> 8 Mn   146.243      2.3    2.2    1.7   19.59      281 </t>
  </si>
  <si>
    <t xml:space="preserve"> 9 Al    90.995    955.3   13.7   11.1    0.73      158 </t>
  </si>
  <si>
    <t xml:space="preserve">10 P    197.118      7.9    2.4    2.5   10.17      139 </t>
  </si>
  <si>
    <t xml:space="preserve">11 Mg   107.534    834.9   42.6    0.0    0.79      178 </t>
  </si>
  <si>
    <t xml:space="preserve">12 Ca   107.121   2343.3   31.1   34.3    0.47       86 </t>
  </si>
  <si>
    <t xml:space="preserve">13 Ti    88.305    313.9    0.0   45.1    1.35      125 </t>
  </si>
  <si>
    <t xml:space="preserve"> Na      0.3998    0.0041    0.4772    0.9895     0.9876     2.1358     0.9979</t>
  </si>
  <si>
    <t xml:space="preserve"> S       0.7678    0.0035    0.8198    0.9589     1.0244     1.2374     0.9936</t>
  </si>
  <si>
    <t xml:space="preserve"> Fe      0.9812    0.0000    0.9972    0.8076     1.0560     1.1758     1.0012</t>
  </si>
  <si>
    <t xml:space="preserve"> Si      0.7146    0.0012    0.7841    0.9839     1.0100     1.2818     0.9986</t>
  </si>
  <si>
    <t xml:space="preserve"> Cl      0.8301    0.0067    0.8795    0.9099     1.0309     1.2040     0.9895</t>
  </si>
  <si>
    <t xml:space="preserve"> F       0.1883    0.0013    0.2472    1.0150     0.9751     4.0821     1.0287</t>
  </si>
  <si>
    <t xml:space="preserve"> K       0.9090    0.0200    0.9479    0.9008     1.0418     1.1021     0.9960</t>
  </si>
  <si>
    <t xml:space="preserve"> Mn      0.9757    0.0000    0.9943    0.7960     1.0564     1.1960     1.0430</t>
  </si>
  <si>
    <t xml:space="preserve"> Al      0.6525    0.0109    0.7318    0.9653     1.0023     1.3972     0.9985</t>
  </si>
  <si>
    <t xml:space="preserve"> P       0.6834    0.0020    0.7405    0.9430     1.0174     1.4049     0.9967</t>
  </si>
  <si>
    <t xml:space="preserve"> Mg      0.5461    0.0072    0.6260    1.0043     0.9948     1.5874     0.9910</t>
  </si>
  <si>
    <t xml:space="preserve"> Ca      0.9324    0.0055    0.9658    0.9151     1.0462     1.0757     1.0007</t>
  </si>
  <si>
    <t xml:space="preserve"> Ti      0.9476    0.0106    0.9750    0.8254     1.0527     1.1679     1.0054</t>
  </si>
  <si>
    <t xml:space="preserve"> Na       2.13      2.87      2.13      2.87     0.812   0.9979   0.02144   1.08152  </t>
  </si>
  <si>
    <t xml:space="preserve"> S        0.1434    0.3582    0.1435    0.3582   0.0392  0.9936   0.001444  0.268350  </t>
  </si>
  <si>
    <t xml:space="preserve"> Fe       9.27     11.93      9.27     11.93     1.455   1.0012   0.09250   0.88918  </t>
  </si>
  <si>
    <t xml:space="preserve"> Si      23.55     50.39     23.55     50.39     7.348   0.9986   0.23583   0.98443  </t>
  </si>
  <si>
    <t xml:space="preserve"> Cl       0.0218    0.0218    0.0219    0.0219   0.0054  0.9895   0.000221  0.015218  </t>
  </si>
  <si>
    <t xml:space="preserve"> F        0.0102    0.0102    0.0102    0.0102   0.0047  1.0287   0.000099  0.020850 ?</t>
  </si>
  <si>
    <t xml:space="preserve"> K        0.1592    0.1917    0.1592    0.1918   0.0357  0.9960   0.001598  0.233633  </t>
  </si>
  <si>
    <t xml:space="preserve"> Mn       0.1466    0.1893    0.1466    0.1893   0.0234  1.0430   0.001405  0.004173  </t>
  </si>
  <si>
    <t xml:space="preserve"> Al       7.17     13.55      7.17     13.55     2.328   0.9985   0.07192   1.08131  </t>
  </si>
  <si>
    <t xml:space="preserve"> P        0.0976    0.2236    0.0976    0.2236   0.0276  0.9967   0.000979  0.572457  </t>
  </si>
  <si>
    <t xml:space="preserve"> Mg       4.33      7.17      4.33      7.17     1.559   0.9910   0.04378   1.42194  </t>
  </si>
  <si>
    <t xml:space="preserve"> Ca       8.03     11.23      8.03     11.23     1.755   1.0007   0.08013   1.19753  </t>
  </si>
  <si>
    <t xml:space="preserve"> Ti       1.12      1.87      1.12      1.87     0.205   1.0054   0.01112   0.45497  </t>
  </si>
  <si>
    <t xml:space="preserve"> O       43.82       -       43.82       -      24.000      -         -        </t>
  </si>
  <si>
    <t>Total:  100.00    100.00    100.00    100.00    15.598</t>
  </si>
  <si>
    <t xml:space="preserve">Unknown Specimen No. 101 </t>
  </si>
  <si>
    <t xml:space="preserve"> UNK No.      :  101            Comment : VG-2_                                    </t>
  </si>
  <si>
    <t xml:space="preserve"> Stage        :    X=   59.9040  Y=   33.6340  Z=   11.3690 </t>
  </si>
  <si>
    <t xml:space="preserve"> Dated on Dec 20 22:05 2016 </t>
  </si>
  <si>
    <t xml:space="preserve"> 1 Na   129.476    237.6    0.0   17.8    2.13      159 </t>
  </si>
  <si>
    <t xml:space="preserve"> 2 S    171.948     18.0    6.3    4.9    5.47      114 </t>
  </si>
  <si>
    <t xml:space="preserve"> 3 Fe   134.739    164.6    3.3    2.5    1.77      378 </t>
  </si>
  <si>
    <t xml:space="preserve"> 4 Si    77.822   3635.3   29.7   17.0    0.37      217 </t>
  </si>
  <si>
    <t xml:space="preserve"> 5 Cl   151.478      5.0    7.4    7.5   16.20       43 </t>
  </si>
  <si>
    <t xml:space="preserve"> 6 F    199.140      1.2    2.1    3.3   38.18 ?    324 </t>
  </si>
  <si>
    <t xml:space="preserve"> 7 K    119.485     46.1   22.1   20.5    3.75       53 </t>
  </si>
  <si>
    <t xml:space="preserve"> 8 Mn   146.243      1.9    2.5    2.0   24.55      302 </t>
  </si>
  <si>
    <t xml:space="preserve"> 9 Al    90.995    983.1   20.0   10.2    0.72      176 </t>
  </si>
  <si>
    <t xml:space="preserve">10 P    197.118      6.8    1.8    3.2   11.59      145 </t>
  </si>
  <si>
    <t xml:space="preserve">11 Mg   107.534    823.5   43.9    0.0    0.80      181 </t>
  </si>
  <si>
    <t xml:space="preserve">12 Ca   107.121   2342.1   30.4   33.0    0.47       85 </t>
  </si>
  <si>
    <t xml:space="preserve">13 Ti    88.305    316.1    0.0   42.8    1.34      121 </t>
  </si>
  <si>
    <t xml:space="preserve"> Na      0.4104    0.0043    0.4898    0.9857     0.9895     2.0842     0.9738</t>
  </si>
  <si>
    <t xml:space="preserve"> S       0.7656    0.0030    0.8174    0.9554     1.0263     1.2439     0.9988</t>
  </si>
  <si>
    <t xml:space="preserve"> Fe      0.9821    0.0000    0.9981    0.8049     1.0570     1.1776     1.0027</t>
  </si>
  <si>
    <t xml:space="preserve"> Si      0.7104    0.0010    0.7795    0.9803     1.0120     1.2919     1.0065</t>
  </si>
  <si>
    <t xml:space="preserve"> Cl      0.8284    0.0056    0.8778    0.9066     1.0328     1.2099     0.9944</t>
  </si>
  <si>
    <t xml:space="preserve"> F       0.1913    0.0014    0.2512    1.0111     0.9769     4.0249     1.0143</t>
  </si>
  <si>
    <t xml:space="preserve"> K       0.9080    0.0168    0.9469    0.8976     1.0435     1.1089     1.0022</t>
  </si>
  <si>
    <t xml:space="preserve"> Mn      0.9768    0.0000    0.9955    0.7933     1.0575     1.1974     1.0443</t>
  </si>
  <si>
    <t xml:space="preserve"> Al      0.6524    0.0107    0.7317    0.9617     1.0043     1.4001     1.0006</t>
  </si>
  <si>
    <t xml:space="preserve"> P       0.6805    0.0017    0.7373    0.9395     1.0193     1.4139     1.0030</t>
  </si>
  <si>
    <t xml:space="preserve"> Mg      0.5515    0.0074    0.6322    1.0005     0.9968     1.5745     0.9829</t>
  </si>
  <si>
    <t xml:space="preserve"> Ca      0.9317    0.0051    0.9651    0.9118     1.0478     1.0791     1.0038</t>
  </si>
  <si>
    <t xml:space="preserve"> Ti      0.9499    0.0100    0.9773    0.8226     1.0541     1.1683     1.0058</t>
  </si>
  <si>
    <t xml:space="preserve"> Na       2.06      2.77      2.03      2.74     0.774   0.9738   0.02111   1.06520  </t>
  </si>
  <si>
    <t xml:space="preserve"> S        0.1378    0.3441    0.1364    0.3406   0.0372  0.9988   0.001379  0.256411  </t>
  </si>
  <si>
    <t xml:space="preserve"> Fe       9.29     11.95      9.20     11.83     1.441   1.0027   0.09267   0.89077  </t>
  </si>
  <si>
    <t xml:space="preserve"> Si      23.92     51.17     23.67     50.64     7.375   1.0065   0.23783   0.99279  </t>
  </si>
  <si>
    <t xml:space="preserve"> Cl       0.0311    0.0311    0.0307    0.0307   0.0076  0.9944   0.000312  0.021520  </t>
  </si>
  <si>
    <t xml:space="preserve"> F        0.0970    0.0970    0.0960    0.0960   0.0442  1.0143   0.000956  0.200836  </t>
  </si>
  <si>
    <t xml:space="preserve"> K        0.1711    0.2061    0.1693    0.2040   0.0379  1.0022   0.001707  0.249562  </t>
  </si>
  <si>
    <t xml:space="preserve"> Mn       0.1188    0.1534    0.1176    0.1518   0.0187  1.0443   0.001137  0.003377  </t>
  </si>
  <si>
    <t xml:space="preserve"> Al       7.40     13.98      7.32     13.83     2.374   1.0006   0.07394   1.11165  </t>
  </si>
  <si>
    <t xml:space="preserve"> P        0.0843    0.1933    0.0835    0.1913   0.0236  1.0030   0.000841  0.491736  </t>
  </si>
  <si>
    <t xml:space="preserve"> Mg       4.24      7.03      4.20      6.96     1.510   0.9829   0.04314   1.40110  </t>
  </si>
  <si>
    <t xml:space="preserve"> Ca       8.03     11.24      7.95     11.12     1.735   1.0038   0.08001   1.19572  </t>
  </si>
  <si>
    <t xml:space="preserve"> Ti       1.13      1.88      1.11      1.86     0.204   1.0058   0.01119   0.45771  </t>
  </si>
  <si>
    <t xml:space="preserve"> O       44.34       -       43.88       -      24.000      -         -        </t>
  </si>
  <si>
    <t>Total:  101.04    101.04    100.00    100.00    15.583</t>
  </si>
  <si>
    <t xml:space="preserve">Unknown Specimen No. 102 </t>
  </si>
  <si>
    <t xml:space="preserve"> UNK No.      :  102            Comment : KE3_                                     </t>
  </si>
  <si>
    <t xml:space="preserve"> Stage        :    X=   47.6990  Y=   23.2535  Z=   11.4000 </t>
  </si>
  <si>
    <t xml:space="preserve"> Dated on Dec 20 22:08 2016 </t>
  </si>
  <si>
    <t xml:space="preserve"> 1 Na   129.476    590.4    0.0   20.6    1.32      171 </t>
  </si>
  <si>
    <t xml:space="preserve"> 2 S    171.948      2.4    4.7    4.0   25.65      101 </t>
  </si>
  <si>
    <t xml:space="preserve"> 3 Fe   134.739    108.3    2.8    2.1    2.20      347 </t>
  </si>
  <si>
    <t xml:space="preserve"> 4 Si    77.822   5280.2   42.1   25.5    0.31      261 </t>
  </si>
  <si>
    <t xml:space="preserve"> 5 Cl   151.478     62.4    9.2    6.3    2.58       44 </t>
  </si>
  <si>
    <t xml:space="preserve"> 6 F    199.140      4.6    3.9    2.6   13.46      371 </t>
  </si>
  <si>
    <t xml:space="preserve"> 7 K    119.485    927.5   47.6   23.3    0.62       70 </t>
  </si>
  <si>
    <t xml:space="preserve"> 8 Mn   146.243      2.3    2.0    1.6   19.25      271 </t>
  </si>
  <si>
    <t xml:space="preserve"> 9 Al    90.995    650.4   13.7    9.9    0.89      154 </t>
  </si>
  <si>
    <t xml:space="preserve">10 P    197.118     -0.3    3.3    2.8  100.00 ?    153 </t>
  </si>
  <si>
    <t xml:space="preserve">11 Mg   107.534      2.5   20.3    0.0   42.69 ?    123 </t>
  </si>
  <si>
    <t xml:space="preserve">12 Ca   107.121     86.5   25.5   26.3    3.05       77 </t>
  </si>
  <si>
    <t xml:space="preserve">13 Ti    88.305     49.3    0.0   45.2    4.41      125 </t>
  </si>
  <si>
    <t xml:space="preserve"> Na      0.4417    0.0044    0.5272    0.9737     0.9949     1.9492     0.9107</t>
  </si>
  <si>
    <t xml:space="preserve"> S       0.7538    0.0020    0.8048    0.9441     1.0317     1.2732     1.0223</t>
  </si>
  <si>
    <t xml:space="preserve"> Fe      0.9847    0.0000    1.0007    0.7960     1.0597     1.1846     1.0087</t>
  </si>
  <si>
    <t xml:space="preserve"> Si      0.7537    0.0007    0.8271    0.9685     1.0175     1.2260     0.9552</t>
  </si>
  <si>
    <t xml:space="preserve"> Cl      0.8199    0.0032    0.8688    0.8960     1.0380     1.2337     1.0140</t>
  </si>
  <si>
    <t xml:space="preserve"> F       0.1957    0.0014    0.2570    0.9986     0.9819     3.9628     0.9987</t>
  </si>
  <si>
    <t xml:space="preserve"> K       0.9023    0.0021    0.9409    0.8872     1.0483     1.1404     1.0307</t>
  </si>
  <si>
    <t xml:space="preserve"> Mn      0.9801    0.0000    0.9988    0.7845     1.0606     1.2034     1.0495</t>
  </si>
  <si>
    <t xml:space="preserve"> Al      0.6897    0.0169    0.7735    0.9501     1.0099     1.3250     0.9469</t>
  </si>
  <si>
    <t xml:space="preserve"> Mg      0.5621    0.0095    0.6443    0.9884     1.0023     1.5519     0.9689</t>
  </si>
  <si>
    <t xml:space="preserve"> Ca      0.9190    0.0026    0.9519    0.9014     1.0523     1.1047     1.0277</t>
  </si>
  <si>
    <t xml:space="preserve"> Ti      0.9551    0.0077    0.9827    0.8132     1.0580     1.1736     1.0103</t>
  </si>
  <si>
    <t xml:space="preserve"> Na       4.78      6.44      4.79      6.46     1.728   0.9107   0.05247   2.64723  </t>
  </si>
  <si>
    <t xml:space="preserve"> S        0.0185    0.0463    0.0186    0.0464   0.0048  1.0223   0.000181  0.033718  </t>
  </si>
  <si>
    <t xml:space="preserve"> Fe       6.15      7.92      6.17      7.94     0.916   1.0087   0.06100   0.58639  </t>
  </si>
  <si>
    <t xml:space="preserve"> Si      33.00     70.60     33.10     70.80     9.769   0.9552   0.34545   1.44200  </t>
  </si>
  <si>
    <t xml:space="preserve"> Cl       0.3928    0.3928    0.3940    0.3940   0.0921  1.0140   0.003874  0.267008  </t>
  </si>
  <si>
    <t xml:space="preserve"> F        0.3668    0.3668    0.3679    0.3679   0.1605  0.9987   0.003673  0.771678  </t>
  </si>
  <si>
    <t xml:space="preserve"> K        3.54      4.27      3.55      4.28     0.753   1.0307   0.03437   5.02538  </t>
  </si>
  <si>
    <t xml:space="preserve"> Mn       0.1468    0.1896    0.1472    0.1901   0.0222  1.0495   0.001399  0.004154  </t>
  </si>
  <si>
    <t xml:space="preserve"> Al       4.63      8.75      4.65      8.78     1.427   0.9469   0.04892   0.73546  </t>
  </si>
  <si>
    <t xml:space="preserve"> Mg       0.0127    0.0210    0.0127    0.0211   0.0043  0.9689   0.000131  0.004255  </t>
  </si>
  <si>
    <t xml:space="preserve"> Ca       0.3037    0.4249    0.3045    0.4261   0.0630  1.0277   0.002955  0.044161  </t>
  </si>
  <si>
    <t xml:space="preserve"> Ti       0.1762    0.2939    0.1767    0.2947   0.0306  1.0103   0.001744  0.071316  </t>
  </si>
  <si>
    <t xml:space="preserve"> O       46.19       -       46.32       -      24.000      -         -        </t>
  </si>
  <si>
    <t>Total:   99.72     99.72    100.00    100.00    14.971</t>
  </si>
  <si>
    <t xml:space="preserve">Unknown Specimen No. 103 </t>
  </si>
  <si>
    <t xml:space="preserve"> UNK No.      :  103            Comment : KE3_                                     </t>
  </si>
  <si>
    <t xml:space="preserve"> Stage        :    X=   47.7890  Y=   23.5415  Z=   11.3985 </t>
  </si>
  <si>
    <t xml:space="preserve"> Dated on Dec 20 22:12 2016 </t>
  </si>
  <si>
    <t xml:space="preserve"> 1 Na   129.476    573.1    0.0   23.6    1.35      183 </t>
  </si>
  <si>
    <t xml:space="preserve"> 2 S    171.948      2.2    6.0    4.5   29.64      110 </t>
  </si>
  <si>
    <t xml:space="preserve"> 3 Fe   134.739    104.4    2.2    2.4    2.24      348 </t>
  </si>
  <si>
    <t xml:space="preserve"> 4 Si    77.822   5264.1   44.2   23.5    0.31      262 </t>
  </si>
  <si>
    <t xml:space="preserve"> 5 Cl   151.478     59.7    9.5    7.7    2.68       46 </t>
  </si>
  <si>
    <t xml:space="preserve"> 6 F    199.140      5.4    4.5    2.9   12.35      396 </t>
  </si>
  <si>
    <t xml:space="preserve"> 7 K    119.485    932.3   47.9   23.2    0.62       70 </t>
  </si>
  <si>
    <t xml:space="preserve"> 8 Mn   146.243      4.0    1.9    1.7   12.57      269 </t>
  </si>
  <si>
    <t xml:space="preserve"> 9 Al    90.995    647.0   13.6   11.5    0.90      159 </t>
  </si>
  <si>
    <t xml:space="preserve">10 P    197.118      0.0    2.0    3.1 4264.93 ?    146 </t>
  </si>
  <si>
    <t xml:space="preserve">11 Mg   107.534      2.0   23.0    0.0   55.90 ?    131 </t>
  </si>
  <si>
    <t xml:space="preserve">12 Ca   107.121     92.0   26.1   27.5    2.94       78 </t>
  </si>
  <si>
    <t xml:space="preserve">13 Ti    88.305     56.9    0.0   41.0    3.89      119 </t>
  </si>
  <si>
    <t xml:space="preserve"> Na      0.4419    0.0044    0.5274    0.9736     0.9950     1.9485     0.9104</t>
  </si>
  <si>
    <t xml:space="preserve"> S       0.7539    0.0020    0.8049    0.9440     1.0317     1.2731     1.0222</t>
  </si>
  <si>
    <t xml:space="preserve"> Si      0.7543    0.0007    0.8277    0.9684     1.0176     1.2251     0.9544</t>
  </si>
  <si>
    <t xml:space="preserve"> Cl      0.8200    0.0033    0.8689    0.8959     1.0380     1.2336     1.0139</t>
  </si>
  <si>
    <t xml:space="preserve"> F       0.1951    0.0014    0.2561    0.9985     0.9819     3.9766     1.0021</t>
  </si>
  <si>
    <t xml:space="preserve"> K       0.9024    0.0021    0.9410    0.8871     1.0483     1.1403     1.0306</t>
  </si>
  <si>
    <t xml:space="preserve"> Mn      0.9800    0.0000    0.9988    0.7844     1.0606     1.2035     1.0496</t>
  </si>
  <si>
    <t xml:space="preserve"> Al      0.6905    0.0170    0.7744    0.9500     1.0100     1.3235     0.9458</t>
  </si>
  <si>
    <t xml:space="preserve"> Mg      0.5630    0.0095    0.6454    0.9883     1.0024     1.5494     0.9673</t>
  </si>
  <si>
    <t xml:space="preserve"> Ti      0.9551    0.0076    0.9826    0.8132     1.0581     1.1739     1.0105</t>
  </si>
  <si>
    <t xml:space="preserve"> Na       4.64      6.25      4.67      6.30     1.685   0.9104   0.05093   2.56957  </t>
  </si>
  <si>
    <t xml:space="preserve"> S        0.0170    0.0425    0.0171    0.0428   0.0044  1.0222   0.000166  0.030914  </t>
  </si>
  <si>
    <t xml:space="preserve"> Fe       5.93      7.63      5.98      7.69     0.887   1.0088   0.05877   0.56497  </t>
  </si>
  <si>
    <t xml:space="preserve"> Si      32.89     70.37     33.15     70.92     9.780   0.9544   0.34439   1.43760  </t>
  </si>
  <si>
    <t xml:space="preserve"> Cl       0.3754    0.3754    0.3784    0.3784   0.0884  1.0139   0.003703  0.255182  </t>
  </si>
  <si>
    <t xml:space="preserve"> F        0.4310    0.4310    0.4344    0.4344   0.1894  1.0021   0.004300  0.903458  </t>
  </si>
  <si>
    <t xml:space="preserve"> K        3.56      4.29      3.59      4.32     0.761   1.0306   0.03455   5.05130  </t>
  </si>
  <si>
    <t xml:space="preserve"> Mn       0.2548    0.3291    0.2569    0.3317   0.0387  1.0496   0.002428  0.007209  </t>
  </si>
  <si>
    <t xml:space="preserve"> Al       4.60      8.70      4.64      8.77     1.425   0.9458   0.04866   0.73169  </t>
  </si>
  <si>
    <t xml:space="preserve"> P        0.0002    0.0004    0.0002    0.0004   0.0000  1.0326   0.000002  0.000901 ?</t>
  </si>
  <si>
    <t xml:space="preserve"> Mg       0.0101    0.0168    0.0102    0.0169   0.0035  0.9673   0.000105  0.003403 ?</t>
  </si>
  <si>
    <t xml:space="preserve"> Ca       0.3228    0.4517    0.3254    0.4553   0.0673  1.0278   0.003141  0.046945  </t>
  </si>
  <si>
    <t xml:space="preserve"> Ti       0.2034    0.3393    0.2050    0.3419   0.0355  1.0105   0.002013  0.082321  </t>
  </si>
  <si>
    <t xml:space="preserve"> O       45.98       -       46.34       -      24.000      -         -        </t>
  </si>
  <si>
    <t>Total:   99.22     99.22    100.00    100.00    14.964</t>
  </si>
  <si>
    <t xml:space="preserve">Unknown Specimen No. 104 </t>
  </si>
  <si>
    <t xml:space="preserve"> UNK No.      :  104            Comment : Scap                                     </t>
  </si>
  <si>
    <t xml:space="preserve"> Stage        :    X=   21.2490  Y=   23.5585  Z=   11.5265 </t>
  </si>
  <si>
    <t xml:space="preserve"> Dated on Dec 20 22:15 2016 </t>
  </si>
  <si>
    <t xml:space="preserve"> 1 Na   129.476    513.2    0.0   22.7    1.43      179 </t>
  </si>
  <si>
    <t xml:space="preserve"> 2 S    171.948     72.4    5.1    4.6    2.28      107 </t>
  </si>
  <si>
    <t xml:space="preserve"> 3 Fe   134.739      1.2    2.3    2.1   43.60 ?    335 </t>
  </si>
  <si>
    <t xml:space="preserve"> 4 Si    77.822   3615.3   31.3   19.5    0.37      226 </t>
  </si>
  <si>
    <t xml:space="preserve"> 5 Cl   151.478    232.7    8.1    7.5    1.24       44 </t>
  </si>
  <si>
    <t xml:space="preserve"> 6 F    199.140     -0.3    3.7    2.8  100.00 ?    368 </t>
  </si>
  <si>
    <t xml:space="preserve"> 7 K    119.485    191.4   25.8   20.3    1.48       55 </t>
  </si>
  <si>
    <t xml:space="preserve"> 8 Mn   146.243      0.3    1.9    1.3  124.46 ?    257 </t>
  </si>
  <si>
    <t xml:space="preserve"> 9 Al    90.995   1964.1   16.7   10.5    0.51      166 </t>
  </si>
  <si>
    <t xml:space="preserve">10 P    197.118      1.6    2.2    2.1   33.99 ?    130 </t>
  </si>
  <si>
    <t xml:space="preserve">11 Mg   107.534     -3.2   23.6    0.0  100.00 ?    133 </t>
  </si>
  <si>
    <t xml:space="preserve">12 Ca   107.121   2874.9   29.3   35.7    0.42       86 </t>
  </si>
  <si>
    <t xml:space="preserve">13 Ti    88.305      0.4    0.0   39.6  353.56 ?    117 </t>
  </si>
  <si>
    <t xml:space="preserve"> Na      0.4765    0.0050    0.5687    0.9699     0.9963     1.8105     0.8459</t>
  </si>
  <si>
    <t xml:space="preserve"> Si      0.7196    0.0016    0.7896    0.9648     1.0189     1.2862     1.0020</t>
  </si>
  <si>
    <t xml:space="preserve"> Cl      0.8304    0.0063    0.8798    0.8925     1.0393     1.2177     1.0008</t>
  </si>
  <si>
    <t xml:space="preserve"> K       0.9056    0.0169    0.9444    0.8838     1.0495     1.1226     1.0146</t>
  </si>
  <si>
    <t xml:space="preserve"> Al      0.7193    0.0121    0.8067    0.9464     1.0113     1.2797     0.9145</t>
  </si>
  <si>
    <t xml:space="preserve"> P       0.6856    0.0027    0.7428    0.9247     1.0262     1.4147     1.0037</t>
  </si>
  <si>
    <t xml:space="preserve"> Ca      0.9285    0.0000    0.9618    0.8980     1.0534     1.0991     1.0225</t>
  </si>
  <si>
    <t xml:space="preserve"> Na       3.86      5.20      3.88      5.23     1.419   0.8459   0.04561   2.30111  </t>
  </si>
  <si>
    <t xml:space="preserve"> S        0.5561    1.3888    0.5597    1.3976   0.1467  1.0012   0.005555  1.032451  </t>
  </si>
  <si>
    <t xml:space="preserve"> Fe       0.0706    0.0908    0.0711    0.0914   0.0107  1.0154   0.000695  0.006684  </t>
  </si>
  <si>
    <t xml:space="preserve"> Si      23.71     50.72     23.86     51.04     7.137   1.0020   0.23653   0.98733  </t>
  </si>
  <si>
    <t xml:space="preserve"> Cl       1.45      1.45      1.45      1.45     0.345   1.0008   0.01444   0.99520  </t>
  </si>
  <si>
    <t xml:space="preserve"> K        0.7196    0.8669    0.7242    0.8724   0.1556  1.0146   0.007093  1.036961  </t>
  </si>
  <si>
    <t xml:space="preserve"> Mn       0.0176    0.0227    0.0177    0.0229   0.0027  1.0576   0.000166  0.000494 ?</t>
  </si>
  <si>
    <t xml:space="preserve"> Al      13.51     25.53     13.60     25.69     4.235   0.9145   0.14772   2.22109  </t>
  </si>
  <si>
    <t xml:space="preserve"> P        0.0199    0.0457    0.0201    0.0460   0.0054  1.0037   0.000199  0.116179  </t>
  </si>
  <si>
    <t xml:space="preserve"> Ca      10.04     14.05     10.11     14.14     2.119   1.0225   0.09821   1.46773  </t>
  </si>
  <si>
    <t xml:space="preserve"> Ti       0.0015    0.0024    0.0015    0.0025   0.0003  1.0321   0.000014  0.000579 ?</t>
  </si>
  <si>
    <t xml:space="preserve"> O       45.41       -       45.70       -      24.000      -         -        </t>
  </si>
  <si>
    <t>Total:   99.37     99.37    100.00    100.00    15.576</t>
  </si>
  <si>
    <t xml:space="preserve">Unknown Specimen No. 105 </t>
  </si>
  <si>
    <t xml:space="preserve"> UNK No.      :  105            Comment : Scap                                     </t>
  </si>
  <si>
    <t xml:space="preserve"> Stage        :    X=   21.2340  Y=   23.6265  Z=   11.5285 </t>
  </si>
  <si>
    <t xml:space="preserve"> Dated on Dec 20 22:19 2016 </t>
  </si>
  <si>
    <t xml:space="preserve"> 1 Na   129.476    504.2    0.0   19.9    1.44      168 </t>
  </si>
  <si>
    <t xml:space="preserve"> 2 S    171.948     67.5    5.9    5.5    2.40      116 </t>
  </si>
  <si>
    <t xml:space="preserve"> 3 Fe   134.739      1.4    2.5    1.8   38.46 ?    324 </t>
  </si>
  <si>
    <t xml:space="preserve"> 4 Si    77.822   3614.7   31.9   19.2    0.37      227 </t>
  </si>
  <si>
    <t xml:space="preserve"> 5 Cl   151.478    229.7    9.1    7.3    1.25       45 </t>
  </si>
  <si>
    <t xml:space="preserve"> 6 F    199.140      0.2    2.7    2.2  237.36 ?    318 </t>
  </si>
  <si>
    <t xml:space="preserve"> 7 K    119.485    185.6   26.1   20.8    1.51       56 </t>
  </si>
  <si>
    <t xml:space="preserve"> 8 Mn   146.243      0.6    1.5    1.4   53.76 ?    246 </t>
  </si>
  <si>
    <t xml:space="preserve"> 9 Al    90.995   1983.0   19.6   11.5    0.51      178 </t>
  </si>
  <si>
    <t xml:space="preserve">10 P    197.118      0.6    2.4    2.6   93.71 ?    141 </t>
  </si>
  <si>
    <t xml:space="preserve">11 Mg   107.534      1.2   19.3    0.0   87.93 ?    120 </t>
  </si>
  <si>
    <t xml:space="preserve">12 Ca   107.121   2874.0   28.1   33.9    0.42       84 </t>
  </si>
  <si>
    <t xml:space="preserve">13 Ti    88.305      2.6    0.0   38.9   55.40 ?    116 </t>
  </si>
  <si>
    <t xml:space="preserve"> Na      0.4763    0.0051    0.5684    0.9699     0.9963     1.8113     0.8463</t>
  </si>
  <si>
    <t xml:space="preserve"> S       0.7696    0.0044    0.8217    0.9405     1.0330     1.2472     1.0014</t>
  </si>
  <si>
    <t xml:space="preserve"> Fe      0.9812    0.0000    0.9971    0.7931     1.0604     1.1925     1.0154</t>
  </si>
  <si>
    <t xml:space="preserve"> Si      0.7190    0.0016    0.7890    0.9648     1.0189     1.2872     1.0028</t>
  </si>
  <si>
    <t xml:space="preserve"> Cl      0.8304    0.0063    0.8798    0.8926     1.0393     1.2177     1.0008</t>
  </si>
  <si>
    <t xml:space="preserve"> F       0.1813    0.0011    0.2380    0.9947     0.9831     4.2916     1.0815</t>
  </si>
  <si>
    <t xml:space="preserve"> K       0.9057    0.0170    0.9444    0.8839     1.0495     1.1225     1.0145</t>
  </si>
  <si>
    <t xml:space="preserve"> Mn      0.9755    0.0000    0.9942    0.7816     1.0613     1.2126     1.0575</t>
  </si>
  <si>
    <t xml:space="preserve"> P       0.6852    0.0027    0.7425    0.9248     1.0262     1.4154     1.0041</t>
  </si>
  <si>
    <t xml:space="preserve"> Mg      0.5982    0.0108    0.6857    0.9846     1.0037     1.4600     0.9115</t>
  </si>
  <si>
    <t xml:space="preserve"> Ca      0.9286    0.0001    0.9619    0.8980     1.0534     1.0990     1.0224</t>
  </si>
  <si>
    <t xml:space="preserve"> Ti      0.9448    0.0001    0.9721    0.8102     1.0590     1.1988     1.0320</t>
  </si>
  <si>
    <t xml:space="preserve"> Na       3.79      5.11      3.81      5.14     1.393   0.8463   0.04481   2.26070  </t>
  </si>
  <si>
    <t xml:space="preserve"> S        0.5186    1.2951    0.5215    1.3023   0.1367  1.0014   0.005179  0.962581  </t>
  </si>
  <si>
    <t xml:space="preserve"> Fe       0.0784    0.1009    0.0789    0.1015   0.0119  1.0154   0.000772  0.007425  </t>
  </si>
  <si>
    <t xml:space="preserve"> Si      23.72     50.75     23.86     51.03     7.134   1.0028   0.23648   0.98716  </t>
  </si>
  <si>
    <t xml:space="preserve"> Cl       1.43      1.43      1.43      1.43     0.340   1.0008   0.01425   0.98236  </t>
  </si>
  <si>
    <t xml:space="preserve"> F        0.0152    0.0152    0.0153    0.0153   0.0068  1.0815   0.000141  0.029532 ?</t>
  </si>
  <si>
    <t xml:space="preserve"> K        0.6977    0.8404    0.7015    0.8451   0.1507  1.0145   0.006877  1.005397  </t>
  </si>
  <si>
    <t xml:space="preserve"> Mn       0.0414    0.0535    0.0417    0.0538   0.0064  1.0575   0.000392  0.001163  </t>
  </si>
  <si>
    <t xml:space="preserve"> Al      13.64     25.77     13.71     25.91     4.270   0.9142   0.14914   2.24242  </t>
  </si>
  <si>
    <t xml:space="preserve"> P        0.0071    0.0163    0.0072    0.0164   0.0019  1.0041   0.000071  0.041428 ?</t>
  </si>
  <si>
    <t xml:space="preserve"> Mg       0.0055    0.0091    0.0055    0.0092   0.0019  0.9115   0.000060  0.001957 ?</t>
  </si>
  <si>
    <t xml:space="preserve"> Ca      10.04     14.05     10.09     14.12     2.116   1.0224   0.09818   1.46731  </t>
  </si>
  <si>
    <t xml:space="preserve"> Ti       0.0095    0.0158    0.0095    0.0159   0.0017  1.0320   0.000092  0.003764 ?</t>
  </si>
  <si>
    <t xml:space="preserve"> O       45.46       -       45.71       -      24.000      -         -        </t>
  </si>
  <si>
    <t>Total:   99.45     99.45    100.00    100.00    15.571</t>
  </si>
  <si>
    <t xml:space="preserve">Intensity &amp; Mass%      Group : Olivine         Sample : 010317Fr         Page 1 </t>
  </si>
  <si>
    <t xml:space="preserve"> Group        : Olivine         Sample  : 010317Fr       </t>
  </si>
  <si>
    <t xml:space="preserve"> UNK No.      :    1            Comment : SC-Olivine                               </t>
  </si>
  <si>
    <t xml:space="preserve"> Stage        :    X=   17.1570  Y=   25.6005  Z=   11.6455 </t>
  </si>
  <si>
    <t xml:space="preserve"> Acc. Voltage :    15.0 (kV)    Probe Dia. : 0    Scan : Off </t>
  </si>
  <si>
    <t xml:space="preserve"> Dated on Mar  2 02:12 2017 </t>
  </si>
  <si>
    <t xml:space="preserve">Curr.(A) : 9.833E-08 </t>
  </si>
  <si>
    <t xml:space="preserve"> 1 Mg   107.540  65873.2  299.4  243.4    0.09       39 </t>
  </si>
  <si>
    <t xml:space="preserve"> 2 Mn   146.037     71.6   89.7   81.0    2.82       33 </t>
  </si>
  <si>
    <t xml:space="preserve"> 3 Fe   134.743   1378.6    0.0   20.3    0.61       99 </t>
  </si>
  <si>
    <t xml:space="preserve"> 4 Si    77.808  25670.1  181.2  107.2    0.14       59 </t>
  </si>
  <si>
    <t xml:space="preserve"> 5 Ca   107.775    212.1  269.3  234.4    1.64       14 </t>
  </si>
  <si>
    <t xml:space="preserve"> 6 Cr   159.160     12.3   63.4   61.1   17.37       48 </t>
  </si>
  <si>
    <t xml:space="preserve"> 7 Ni   115.404     54.2   36.4   32.5    2.64       64 </t>
  </si>
  <si>
    <t xml:space="preserve"> 8 Al    90.986     17.9   79.2   64.9   11.42       24 </t>
  </si>
  <si>
    <t xml:space="preserve"> Mg      0.6099    0.0036    0.6991    0.9841     1.0040     1.4425     1.0040</t>
  </si>
  <si>
    <t xml:space="preserve"> Mn      0.9835    0.0008    1.0023    0.7813     1.0615     1.2020     1.0483</t>
  </si>
  <si>
    <t xml:space="preserve"> Fe      0.9873    0.0012    1.0034    0.7929     1.0606     1.1839     0.9983</t>
  </si>
  <si>
    <t xml:space="preserve"> Si      0.6646    0.0001    0.7293    0.9643     1.0193     1.3948     1.0035</t>
  </si>
  <si>
    <t xml:space="preserve"> Ca      0.9308    0.0034    0.9641    0.8976     1.0537     1.0929     1.0187</t>
  </si>
  <si>
    <t xml:space="preserve"> Cr      0.9784    0.0293    0.9996    0.7992     1.0616     1.1455     1.0733</t>
  </si>
  <si>
    <t xml:space="preserve"> Ni      0.9874    0.0000    0.9993    0.7999     1.0558     1.1849     1.1311</t>
  </si>
  <si>
    <t xml:space="preserve"> Al      0.5431    0.0066    0.6091    0.9459     1.0117     1.7042     1.4152</t>
  </si>
  <si>
    <t xml:space="preserve"> Mg      30.02     49.78     30.10     49.91    10.975   1.0040   0.29893   1.00345  </t>
  </si>
  <si>
    <t xml:space="preserve"> Mn       0.1144    0.1478    0.1147    0.1481   0.0185  1.0483   0.001092  0.003241  </t>
  </si>
  <si>
    <t xml:space="preserve"> Fe       7.43      9.56      7.45      9.58     1.182   0.9983   0.07443   1.00379  </t>
  </si>
  <si>
    <t xml:space="preserve"> Si      18.57     39.72     18.62     39.83     5.875   1.0035   0.18503   0.97041  </t>
  </si>
  <si>
    <t xml:space="preserve"> Ca       0.0732    0.1024    0.0733    0.1026   0.0162  1.0187   0.000718  0.002105  </t>
  </si>
  <si>
    <t xml:space="preserve"> Cr       0.0213    0.0311    0.0214    0.0312   0.0036  1.0733   0.000198  0.000290  </t>
  </si>
  <si>
    <t xml:space="preserve"> Ni       0.2886    0.3672    0.2893    0.3682   0.0437  1.1311   0.002551  0.003247  </t>
  </si>
  <si>
    <t xml:space="preserve"> Al       0.0167    0.0316    0.0167    0.0316   0.0055  1.4152   0.000118  0.000223  </t>
  </si>
  <si>
    <t xml:space="preserve"> O       43.21       -       43.32       -      24.000      -         -        </t>
  </si>
  <si>
    <t>Total:   99.75     99.75    100.00    100.00    18.120</t>
  </si>
  <si>
    <t xml:space="preserve"> UNK No.      :    2            Comment : SC-Olivine                               </t>
  </si>
  <si>
    <t xml:space="preserve"> Stage        :    X=   17.1395  Y=   25.6175  Z=   11.6455 </t>
  </si>
  <si>
    <t xml:space="preserve"> Dated on Mar  2 02:15 2017 </t>
  </si>
  <si>
    <t xml:space="preserve">Curr.(A) : 9.864E-08 </t>
  </si>
  <si>
    <t xml:space="preserve"> 1 Mg   107.540  65862.0  289.9  242.5    0.09       39 </t>
  </si>
  <si>
    <t xml:space="preserve"> 2 Mn   146.037     68.7   92.8   80.0    2.94       33 </t>
  </si>
  <si>
    <t xml:space="preserve"> 3 Fe   134.743   1390.3    0.0   20.0    0.60       98 </t>
  </si>
  <si>
    <t xml:space="preserve"> 4 Si    77.808  25777.6  190.6  103.1    0.14       59 </t>
  </si>
  <si>
    <t xml:space="preserve"> 5 Ca   107.775    203.3  271.3  235.8    1.71       14 </t>
  </si>
  <si>
    <t xml:space="preserve"> 6 Cr   159.160      6.4   63.1   66.4   33.24       49 </t>
  </si>
  <si>
    <t xml:space="preserve"> 7 Ni   115.404     56.4   36.4   31.9    2.56       64 </t>
  </si>
  <si>
    <t xml:space="preserve"> 8 Al    90.986     18.7   79.8   64.8   10.94       24 </t>
  </si>
  <si>
    <t xml:space="preserve"> Mg      0.6095    0.0037    0.6987    0.9841     1.0040     1.4433     1.0046</t>
  </si>
  <si>
    <t xml:space="preserve"> Mn      0.9835    0.0008    1.0023    0.7814     1.0615     1.2019     1.0482</t>
  </si>
  <si>
    <t xml:space="preserve"> Fe      0.9873    0.0012    1.0034    0.7929     1.0605     1.1837     0.9981</t>
  </si>
  <si>
    <t xml:space="preserve"> Si      0.6647    0.0001    0.7294    0.9644     1.0192     1.3946     1.0033</t>
  </si>
  <si>
    <t xml:space="preserve"> Ca      0.9308    0.0034    0.9641    0.8977     1.0537     1.0928     1.0186</t>
  </si>
  <si>
    <t xml:space="preserve"> Cr      0.9784    0.0295    0.9996    0.7993     1.0616     1.1453     1.0731</t>
  </si>
  <si>
    <t xml:space="preserve"> Ni      0.9874    0.0000    0.9993    0.8000     1.0558     1.1848     1.1310</t>
  </si>
  <si>
    <t xml:space="preserve"> Al      0.5432    0.0066    0.6092    0.9460     1.0117     1.7038     1.4148</t>
  </si>
  <si>
    <t xml:space="preserve"> Mg      29.94     49.65     30.04     49.81    10.953   1.0046   0.29794   1.00013  </t>
  </si>
  <si>
    <t xml:space="preserve"> Mn       0.1094    0.1413    0.1098    0.1417   0.0177  1.0482   0.001044  0.003099  </t>
  </si>
  <si>
    <t xml:space="preserve"> Fe       7.47      9.61      7.49      9.64     1.189   0.9981   0.07483   1.00912  </t>
  </si>
  <si>
    <t xml:space="preserve"> Si      18.59     39.76     18.64     39.88     5.884   1.0033   0.18522   0.97141  </t>
  </si>
  <si>
    <t xml:space="preserve"> Ca       0.0699    0.0978    0.0701    0.0981   0.0155  1.0186   0.000686  0.002011  </t>
  </si>
  <si>
    <t xml:space="preserve"> Cr       0.0111    0.0162    0.0111    0.0163   0.0019  1.0731   0.000103  0.000151  </t>
  </si>
  <si>
    <t xml:space="preserve"> Ni       0.2994    0.3810    0.3004    0.3822   0.0454  1.1310   0.002647  0.003369  </t>
  </si>
  <si>
    <t xml:space="preserve"> Al       0.0174    0.0330    0.0175    0.0331   0.0057  1.4148   0.000123  0.000233  </t>
  </si>
  <si>
    <t xml:space="preserve"> O       43.18       -       43.32       -      24.000      -         -        </t>
  </si>
  <si>
    <t>Total:   99.69     99.69    100.00    100.00    18.112</t>
  </si>
  <si>
    <t xml:space="preserve"> UNK No.      :    3            Comment : SC-Olivine                               </t>
  </si>
  <si>
    <t xml:space="preserve"> Stage        :    X=   17.1125  Y=   25.6300  Z=   11.6455 </t>
  </si>
  <si>
    <t xml:space="preserve"> Dated on Mar  2 02:18 2017 </t>
  </si>
  <si>
    <t xml:space="preserve">Curr.(A) : 9.863E-08 </t>
  </si>
  <si>
    <t xml:space="preserve"> 1 Mg   107.540  65831.4  294.8  232.3    0.09       39 </t>
  </si>
  <si>
    <t xml:space="preserve"> 2 Mn   146.037     70.0   91.2   79.8    2.88       33 </t>
  </si>
  <si>
    <t xml:space="preserve"> 3 Fe   134.743   1373.4    0.0   22.6    0.61      104 </t>
  </si>
  <si>
    <t xml:space="preserve"> 4 Si    77.808  25699.5  192.2  104.8    0.14       59 </t>
  </si>
  <si>
    <t xml:space="preserve"> 5 Ca   107.775    216.0  272.7  231.8    1.62       14 </t>
  </si>
  <si>
    <t xml:space="preserve"> 6 Cr   159.160      7.1   66.4   63.8   30.17       49 </t>
  </si>
  <si>
    <t xml:space="preserve"> 7 Ni   115.404     51.3   35.8   32.1    2.75       64 </t>
  </si>
  <si>
    <t xml:space="preserve"> 8 Al    90.986     19.6   78.3   65.5   10.46       24 </t>
  </si>
  <si>
    <t xml:space="preserve"> Mg      0.6102    0.0037    0.6995    0.9840     1.0041     1.4417     1.0035</t>
  </si>
  <si>
    <t xml:space="preserve"> Mn      0.9835    0.0007    1.0023    0.7812     1.0616     1.2022     1.0485</t>
  </si>
  <si>
    <t xml:space="preserve"> Fe      0.9873    0.0011    1.0034    0.7928     1.0606     1.1840     0.9984</t>
  </si>
  <si>
    <t xml:space="preserve"> Si      0.6648    0.0001    0.7295    0.9642     1.0193     1.3946     1.0033</t>
  </si>
  <si>
    <t xml:space="preserve"> Ca      0.9308    0.0034    0.9641    0.8975     1.0537     1.0930     1.0188</t>
  </si>
  <si>
    <t xml:space="preserve"> Cr      0.9784    0.0292    0.9996    0.7991     1.0616     1.1457     1.0735</t>
  </si>
  <si>
    <t xml:space="preserve"> Ni      0.9875    0.0000    0.9993    0.7999     1.0558     1.1850     1.1312</t>
  </si>
  <si>
    <t xml:space="preserve"> Al      0.5433    0.0066    0.6093    0.9458     1.0117     1.7037     1.4147</t>
  </si>
  <si>
    <t xml:space="preserve"> Mg      29.91     49.60     30.09     49.90    10.969   1.0035   0.29783   0.99977  </t>
  </si>
  <si>
    <t xml:space="preserve"> Mn       0.1115    0.1440    0.1122    0.1449   0.0181  1.0485   0.001064  0.003158  </t>
  </si>
  <si>
    <t xml:space="preserve"> Fe       7.38      9.50      7.43      9.55     1.178   0.9984   0.07392   0.99696  </t>
  </si>
  <si>
    <t xml:space="preserve"> Si      18.54     39.65     18.65     39.89     5.882   1.0033   0.18468   0.96857  </t>
  </si>
  <si>
    <t xml:space="preserve"> Ca       0.0742    0.1039    0.0747    0.1045   0.0165  1.0188   0.000729  0.002136  </t>
  </si>
  <si>
    <t xml:space="preserve"> Cr       0.0123    0.0179    0.0123    0.0180   0.0021  1.0735   0.000114  0.000167  </t>
  </si>
  <si>
    <t xml:space="preserve"> Ni       0.2726    0.3469    0.2743    0.3490   0.0414  1.1312   0.002410  0.003067  </t>
  </si>
  <si>
    <t xml:space="preserve"> Al       0.0182    0.0344    0.0183    0.0346   0.0060  1.4147   0.000129  0.000243  </t>
  </si>
  <si>
    <t xml:space="preserve"> O       43.07       -       43.34       -      24.000      -         -        </t>
  </si>
  <si>
    <t>Total:   99.39     99.39    100.00    100.00    18.113</t>
  </si>
  <si>
    <t xml:space="preserve"> UNK No.      :    4            Comment : UnkA-C20-S2-1MI_1_1                      </t>
  </si>
  <si>
    <t xml:space="preserve"> Stage        :    X=   77.1335  Y=   71.5765  Z=   11.3665 </t>
  </si>
  <si>
    <t xml:space="preserve"> Dated on Mar  2 02:22 2017 </t>
  </si>
  <si>
    <t xml:space="preserve">Curr.(A) : 9.849E-08 </t>
  </si>
  <si>
    <t xml:space="preserve"> 1 Mg   107.540  58573.5  293.9  225.6    0.09       38 </t>
  </si>
  <si>
    <t xml:space="preserve"> 2 Mn   146.037    118.2   95.2   86.9    1.90       34 </t>
  </si>
  <si>
    <t xml:space="preserve"> 3 Fe   134.743   2107.3    0.0   21.6    0.49      102 </t>
  </si>
  <si>
    <t xml:space="preserve"> 4 Si    77.808  25077.5  188.4  110.2    0.14       60 </t>
  </si>
  <si>
    <t xml:space="preserve"> 5 Ca   107.775    739.5  289.1  244.5    0.63       14 </t>
  </si>
  <si>
    <t xml:space="preserve"> 6 Cr   159.160     14.3   70.1   66.3   15.67       50 </t>
  </si>
  <si>
    <t xml:space="preserve"> 7 Ni   115.404     30.3   37.1   34.2    4.30       65 </t>
  </si>
  <si>
    <t xml:space="preserve"> 8 Al    90.986     20.3   83.4   63.3   10.24       24 </t>
  </si>
  <si>
    <t xml:space="preserve"> Mg      0.5825    0.0035    0.6677    0.9928     1.0005     1.5026     1.0458</t>
  </si>
  <si>
    <t xml:space="preserve"> Mn      0.9833    0.0004    1.0021    0.7877     1.0596     1.1951     1.0423</t>
  </si>
  <si>
    <t xml:space="preserve"> Fe      0.9871    0.0006    1.0032    0.7993     1.0588     1.1771     0.9926</t>
  </si>
  <si>
    <t xml:space="preserve"> Si      0.6618    0.0001    0.7262    0.9728     1.0157     1.3935     1.0025</t>
  </si>
  <si>
    <t xml:space="preserve"> Ca      0.9308    0.0051    0.9641    0.9052     1.0508     1.0849     1.0113</t>
  </si>
  <si>
    <t xml:space="preserve"> Cr      0.9782    0.0434    0.9994    0.8058     1.0595     1.1233     1.0525</t>
  </si>
  <si>
    <t xml:space="preserve"> Ni      0.9848    0.0000    0.9966    0.8064     1.0544     1.1801     1.1265</t>
  </si>
  <si>
    <t xml:space="preserve"> Al      0.5400    0.0064    0.6057    0.9543     1.0081     1.7054     1.4161</t>
  </si>
  <si>
    <t xml:space="preserve"> Mg      27.75     46.01     27.73     45.97    10.356   1.0458   0.26537   0.89081  </t>
  </si>
  <si>
    <t xml:space="preserve"> Mn       0.1875    0.2421    0.1873    0.2419   0.0310  1.0423   0.001799  0.005341  </t>
  </si>
  <si>
    <t xml:space="preserve"> Fe      11.27     14.50     11.26     14.49     1.831   0.9926   0.11359   1.53187  </t>
  </si>
  <si>
    <t xml:space="preserve"> Si      18.09     38.70     18.07     38.66     5.842   1.0025   0.18046   0.94647  </t>
  </si>
  <si>
    <t xml:space="preserve"> Ca       0.2527    0.3536    0.2525    0.3533   0.0572  1.0113   0.002499  0.007325  </t>
  </si>
  <si>
    <t xml:space="preserve"> Cr       0.0243    0.0355    0.0242    0.0354   0.0042  1.0525   0.000231  0.000337  </t>
  </si>
  <si>
    <t xml:space="preserve"> Ni       0.1605    0.2042    0.1604    0.2040   0.0248  1.1265   0.001425  0.001813  </t>
  </si>
  <si>
    <t xml:space="preserve"> Al       0.0190    0.0358    0.0189    0.0358   0.0064  1.4161   0.000134  0.000253  </t>
  </si>
  <si>
    <t xml:space="preserve"> O       42.33       -       42.29       -      24.000      -         -        </t>
  </si>
  <si>
    <t>Total:  100.09    100.09    100.00    100.00    18.153</t>
  </si>
  <si>
    <t xml:space="preserve"> UNK No.      :    5            Comment : UnkA-C20-S2-1MI_1_2                      </t>
  </si>
  <si>
    <t xml:space="preserve"> Stage        :    X=   77.1195  Y=   71.6215  Z=   11.3665 </t>
  </si>
  <si>
    <t xml:space="preserve"> Dated on Mar  2 02:25 2017 </t>
  </si>
  <si>
    <t xml:space="preserve">Curr.(A) : 9.852E-08 </t>
  </si>
  <si>
    <t xml:space="preserve"> 1 Mg   107.540  58045.4  301.6  232.2    0.09       39 </t>
  </si>
  <si>
    <t xml:space="preserve"> 2 Mn   146.037    125.9   93.3   85.5    1.80       34 </t>
  </si>
  <si>
    <t xml:space="preserve"> 3 Fe   134.743   2164.0    0.0   21.4    0.48      101 </t>
  </si>
  <si>
    <t xml:space="preserve"> 4 Si    77.808  24965.4  180.8  100.0    0.14       58 </t>
  </si>
  <si>
    <t xml:space="preserve"> 5 Ca   107.775    738.7  282.2  242.9    0.62       14 </t>
  </si>
  <si>
    <t xml:space="preserve"> 6 Cr   159.160      9.8   70.1   72.5   22.90       51 </t>
  </si>
  <si>
    <t xml:space="preserve"> 7 Ni   115.404     29.2   38.1   34.0    4.45       66 </t>
  </si>
  <si>
    <t xml:space="preserve"> 8 Al    90.986     19.2   79.5   67.8   10.73       24 </t>
  </si>
  <si>
    <t xml:space="preserve"> Mg      0.5805    0.0034    0.6654    0.9935     1.0002     1.5073     1.0491</t>
  </si>
  <si>
    <t xml:space="preserve"> Mn      0.9833    0.0004    1.0021    0.7882     1.0594     1.1946     1.0418</t>
  </si>
  <si>
    <t xml:space="preserve"> Fe      0.9872    0.0005    1.0032    0.7998     1.0587     1.1765     0.9921</t>
  </si>
  <si>
    <t xml:space="preserve"> Si      0.6614    0.0001    0.7258    0.9735     1.0154     1.3937     1.0026</t>
  </si>
  <si>
    <t xml:space="preserve"> Ca      0.9308    0.0052    0.9641    0.9058     1.0506     1.0843     1.0107</t>
  </si>
  <si>
    <t xml:space="preserve"> Cr      0.9782    0.0445    0.9994    0.8063     1.0593     1.1215     1.0508</t>
  </si>
  <si>
    <t xml:space="preserve"> Ni      0.9846    0.0000    0.9964    0.8069     1.0543     1.1797     1.1262</t>
  </si>
  <si>
    <t xml:space="preserve"> Al      0.5396    0.0064    0.6052    0.9549     1.0078     1.7060     1.4167</t>
  </si>
  <si>
    <t xml:space="preserve"> Mg      27.58     45.73     27.58     45.73    10.322   1.0491   0.26290   0.88251  </t>
  </si>
  <si>
    <t xml:space="preserve"> Mn       0.1996    0.2578    0.1996    0.2578   0.0331  1.0418   0.001916  0.005690  </t>
  </si>
  <si>
    <t xml:space="preserve"> Fe      11.57     14.88     11.57     14.88     1.885   0.9921   0.11661   1.57262  </t>
  </si>
  <si>
    <t xml:space="preserve"> Si      18.01     38.52     18.01     38.52     5.833   1.0026   0.17960   0.94195  </t>
  </si>
  <si>
    <t xml:space="preserve"> Ca       0.2523    0.3530    0.2522    0.3529   0.0573  1.0107   0.002496  0.007315  </t>
  </si>
  <si>
    <t xml:space="preserve"> Cr       0.0167    0.0244    0.0167    0.0244   0.0029  1.0508   0.000159  0.000232  </t>
  </si>
  <si>
    <t xml:space="preserve"> Ni       0.1546    0.1967    0.1546    0.1967   0.0240  1.1262   0.001373  0.001747  </t>
  </si>
  <si>
    <t xml:space="preserve"> Al       0.0180    0.0340    0.0180    0.0340   0.0061  1.4167   0.000127  0.000240  </t>
  </si>
  <si>
    <t xml:space="preserve"> O       42.21       -       42.20       -      24.000      -         -        </t>
  </si>
  <si>
    <t>Total:  100.00    100.00    100.00    100.00    18.163</t>
  </si>
  <si>
    <t xml:space="preserve"> UNK No.      :    6            Comment : UnkA-C20-S2-1MI_1_3                      </t>
  </si>
  <si>
    <t xml:space="preserve"> Stage        :    X=   77.1695  Y=   71.6055  Z=   11.3665 </t>
  </si>
  <si>
    <t xml:space="preserve"> Dated on Mar  2 02:29 2017 </t>
  </si>
  <si>
    <t xml:space="preserve">Curr.(A) : 9.856E-08 </t>
  </si>
  <si>
    <t xml:space="preserve"> 1 Mg   107.540  59335.6  285.8  228.3    0.09       38 </t>
  </si>
  <si>
    <t xml:space="preserve"> 2 Mn   146.037    107.8   97.7   86.7    2.06       35 </t>
  </si>
  <si>
    <t xml:space="preserve"> 3 Fe   134.743   2022.4    0.0   25.2    0.50      110 </t>
  </si>
  <si>
    <t xml:space="preserve"> 4 Si    77.808  25810.0  186.5  111.1    0.14       59 </t>
  </si>
  <si>
    <t xml:space="preserve"> 5 Ca   107.775    703.9  283.2  238.9    0.65       14 </t>
  </si>
  <si>
    <t xml:space="preserve"> 6 Cr   159.160     10.7   68.9   69.6   20.85       51 </t>
  </si>
  <si>
    <t xml:space="preserve"> 7 Ni   115.404     31.0   37.3   32.7    4.19       65 </t>
  </si>
  <si>
    <t xml:space="preserve"> 8 Al    90.986     14.1   83.0   67.3   14.59       24 </t>
  </si>
  <si>
    <t xml:space="preserve"> Mg      0.5860    0.0035    0.6718    0.9915     1.0010     1.4946     1.0403</t>
  </si>
  <si>
    <t xml:space="preserve"> Mn      0.9833    0.0004    1.0021    0.7868     1.0599     1.1962     1.0433</t>
  </si>
  <si>
    <t xml:space="preserve"> Fe      0.9872    0.0006    1.0032    0.7984     1.0591     1.1782     0.9935</t>
  </si>
  <si>
    <t xml:space="preserve"> Si      0.6636    0.0001    0.7282    0.9716     1.0162     1.3908     1.0006</t>
  </si>
  <si>
    <t xml:space="preserve"> Ca      0.9307    0.0049    0.9640    0.9041     1.0512     1.0862     1.0124</t>
  </si>
  <si>
    <t xml:space="preserve"> Cr      0.9782    0.0414    0.9994    0.8049     1.0598     1.1265     1.0555</t>
  </si>
  <si>
    <t xml:space="preserve"> Ni      0.9851    0.0000    0.9970    0.8055     1.0546     1.1808     1.1272</t>
  </si>
  <si>
    <t xml:space="preserve"> Al      0.5420    0.0065    0.6079    0.9531     1.0086     1.7001     1.4118</t>
  </si>
  <si>
    <t xml:space="preserve"> Mg      27.92     46.30     27.71     45.95    10.296   1.0403   0.26863   0.90176  </t>
  </si>
  <si>
    <t xml:space="preserve"> Mn       0.1711    0.2209    0.1699    0.2193   0.0279  1.0433   0.001640  0.004870  </t>
  </si>
  <si>
    <t xml:space="preserve"> Fe      10.82     13.92     10.74     13.82     1.737   0.9935   0.10894   1.46913  </t>
  </si>
  <si>
    <t xml:space="preserve"> Si      18.56     39.71     18.43     39.41     5.924   1.0006   0.18560   0.97342  </t>
  </si>
  <si>
    <t xml:space="preserve"> Ca       0.2407    0.3368    0.2389    0.3343   0.0538  1.0124   0.002377  0.006968  </t>
  </si>
  <si>
    <t xml:space="preserve"> Cr       0.0182    0.0266    0.0181    0.0264   0.0031  1.0555   0.000172  0.000252  </t>
  </si>
  <si>
    <t xml:space="preserve"> Ni       0.1640    0.2088    0.1628    0.2072   0.0251  1.1272   0.001455  0.001852  </t>
  </si>
  <si>
    <t xml:space="preserve"> Al       0.0131    0.0248    0.0131    0.0247   0.0044  1.4118   0.000093  0.000176  </t>
  </si>
  <si>
    <t xml:space="preserve"> O       42.83       -       42.52       -      24.000      -         -        </t>
  </si>
  <si>
    <t>Total:  100.74    100.74    100.00    100.00    18.072</t>
  </si>
  <si>
    <t xml:space="preserve"> UNK No.      :    7            Comment : UnkA-C20-S2-1MI_2_1                      </t>
  </si>
  <si>
    <t xml:space="preserve"> Stage        :    X=   68.7100  Y=   72.8815  Z=   11.3785 </t>
  </si>
  <si>
    <t xml:space="preserve"> Dated on Mar  2 02:32 2017 </t>
  </si>
  <si>
    <t xml:space="preserve">Curr.(A) : 9.858E-08 </t>
  </si>
  <si>
    <t xml:space="preserve"> 1 Mg   107.540  57018.8  296.8  233.2    0.09       39 </t>
  </si>
  <si>
    <t xml:space="preserve"> 2 Mn   146.037    122.4   94.0   87.8    1.85       34 </t>
  </si>
  <si>
    <t xml:space="preserve"> 3 Fe   134.743   2229.4    0.0   25.5    0.48      111 </t>
  </si>
  <si>
    <t xml:space="preserve"> 4 Si    77.808  26057.1  194.3  110.9    0.14       60 </t>
  </si>
  <si>
    <t xml:space="preserve"> 5 Ca   107.775    715.4  292.7  247.7    0.64       14 </t>
  </si>
  <si>
    <t xml:space="preserve"> 6 Cr   159.160      7.2   69.1   61.9   29.95       49 </t>
  </si>
  <si>
    <t xml:space="preserve"> 7 Ni   115.404     26.8   35.9   34.5    4.75       65 </t>
  </si>
  <si>
    <t xml:space="preserve"> 8 Al    90.986     20.1   87.5   65.6   10.56       25 </t>
  </si>
  <si>
    <t xml:space="preserve"> Mg      0.5786    0.0035    0.6633    0.9938     1.0000     1.5116     1.0521</t>
  </si>
  <si>
    <t xml:space="preserve"> Mn      0.9833    0.0003    1.0021    0.7885     1.0593     1.1943     1.0416</t>
  </si>
  <si>
    <t xml:space="preserve"> Fe      0.9871    0.0005    1.0032    0.8001     1.0586     1.1763     0.9919</t>
  </si>
  <si>
    <t xml:space="preserve"> Si      0.6637    0.0002    0.7283    0.9738     1.0152     1.3885     0.9989</t>
  </si>
  <si>
    <t xml:space="preserve"> Ca      0.9306    0.0053    0.9639    0.9061     1.0504     1.0841     1.0105</t>
  </si>
  <si>
    <t xml:space="preserve"> Cr      0.9781    0.0453    0.9993    0.8066     1.0592     1.1205     1.0499</t>
  </si>
  <si>
    <t xml:space="preserve"> Ni      0.9844    0.0000    0.9963    0.8072     1.0542     1.1796     1.1260</t>
  </si>
  <si>
    <t xml:space="preserve"> Al      0.5423    0.0066    0.6082    0.9553     1.0076     1.6969     1.4091</t>
  </si>
  <si>
    <t xml:space="preserve"> Mg      27.12     44.96     26.82     44.47    10.013   1.0521   0.25809   0.86637  </t>
  </si>
  <si>
    <t xml:space="preserve"> Mn       0.1939    0.2504    0.1918    0.2477   0.0317  1.0416   0.001862  0.005528  </t>
  </si>
  <si>
    <t xml:space="preserve"> Fe      11.91     15.32     11.78     15.15     1.914   0.9919   0.12006   1.61915  </t>
  </si>
  <si>
    <t xml:space="preserve"> Si      18.70     40.00     18.50     39.56     5.976   0.9989   0.18734   0.98254  </t>
  </si>
  <si>
    <t xml:space="preserve"> Ca       0.2441    0.3416    0.2414    0.3378   0.0547  1.0105   0.002416  0.007080  </t>
  </si>
  <si>
    <t xml:space="preserve"> Cr       0.0121    0.0176    0.0119    0.0174   0.0021  1.0499   0.000115  0.000168  </t>
  </si>
  <si>
    <t xml:space="preserve"> Ni       0.1417    0.1803    0.1401    0.1783   0.0217  1.1260   0.001258  0.001601  </t>
  </si>
  <si>
    <t xml:space="preserve"> Al       0.0186    0.0352    0.0184    0.0348   0.0062  1.4091   0.000132  0.000250  </t>
  </si>
  <si>
    <t xml:space="preserve"> O       42.78       -       42.31       -      24.000      -         -        </t>
  </si>
  <si>
    <t>Total:  101.11    101.11    100.00    100.00    18.020</t>
  </si>
  <si>
    <t xml:space="preserve"> UNK No.      :    8            Comment : UnkA-C20-S2-1MI_2_2                      </t>
  </si>
  <si>
    <t xml:space="preserve"> Stage        :    X=   68.7200  Y=   72.9650  Z=   11.3785 </t>
  </si>
  <si>
    <t xml:space="preserve"> Dated on Mar  2 02:35 2017 </t>
  </si>
  <si>
    <t xml:space="preserve">Curr.(A) : 9.860E-08 </t>
  </si>
  <si>
    <t xml:space="preserve"> 1 Mg   107.540  56802.8  292.4  216.8    0.09       38 </t>
  </si>
  <si>
    <t xml:space="preserve"> 2 Mn   146.037    123.4   98.3   86.5    1.85       35 </t>
  </si>
  <si>
    <t xml:space="preserve"> 3 Fe   134.743   2215.7    0.0   23.4    0.48      106 </t>
  </si>
  <si>
    <t xml:space="preserve"> 4 Si    77.808  24937.8  185.8  107.9    0.14       59 </t>
  </si>
  <si>
    <t xml:space="preserve"> 5 Ca   107.775    721.5  285.4  240.5    0.64       14 </t>
  </si>
  <si>
    <t xml:space="preserve"> 6 Cr   159.160      4.5   71.6   68.5   49.21 ?     51 </t>
  </si>
  <si>
    <t xml:space="preserve"> 7 Ni   115.404     28.8   36.9   34.7    4.50       65 </t>
  </si>
  <si>
    <t xml:space="preserve"> 8 Al    90.986     22.2   80.5   67.0    9.41       24 </t>
  </si>
  <si>
    <t xml:space="preserve"> Mg      0.5781    0.0034    0.6627    0.9942     0.9999     1.5128     1.0530</t>
  </si>
  <si>
    <t xml:space="preserve"> Mn      0.9833    0.0003    1.0021    0.7888     1.0593     1.1940     1.0413</t>
  </si>
  <si>
    <t xml:space="preserve"> Fe      0.9872    0.0005    1.0032    0.8004     1.0585     1.1759     0.9916</t>
  </si>
  <si>
    <t xml:space="preserve"> Si      0.6616    0.0002    0.7260    0.9742     1.0151     1.3926     1.0019</t>
  </si>
  <si>
    <t xml:space="preserve"> Ca      0.9307    0.0054    0.9640    0.9064     1.0503     1.0837     1.0101</t>
  </si>
  <si>
    <t xml:space="preserve"> Cr      0.9782    0.0458    0.9993    0.8069     1.0591     1.1196     1.0490</t>
  </si>
  <si>
    <t xml:space="preserve"> Ni      0.9844    0.0000    0.9962    0.8074     1.0542     1.1793     1.1258</t>
  </si>
  <si>
    <t xml:space="preserve"> Al      0.5399    0.0064    0.6055    0.9556     1.0075     1.7044     1.4153</t>
  </si>
  <si>
    <t xml:space="preserve"> Mg      27.09     44.92     27.25     45.18    10.211   1.0530   0.25706   0.86291  </t>
  </si>
  <si>
    <t xml:space="preserve"> Mn       0.1954    0.2524    0.1966    0.2539   0.0326  1.0413   0.001877  0.005573  </t>
  </si>
  <si>
    <t xml:space="preserve"> Fe      11.83     15.22     11.90     15.31     1.941   0.9916   0.11930   1.60889  </t>
  </si>
  <si>
    <t xml:space="preserve"> Si      17.97     38.43     18.07     38.66     5.861   1.0019   0.17926   0.94014  </t>
  </si>
  <si>
    <t xml:space="preserve"> Ca       0.2460    0.3443    0.2475    0.3463   0.0563  1.0101   0.002436  0.007139  </t>
  </si>
  <si>
    <t xml:space="preserve"> Cr       0.0075    0.0110    0.0076    0.0111   0.0013  1.0490   0.000072  0.000105  </t>
  </si>
  <si>
    <t xml:space="preserve"> Ni       0.1520    0.1934    0.1529    0.1946   0.0237  1.1258   0.001350  0.001718  </t>
  </si>
  <si>
    <t xml:space="preserve"> Al       0.0207    0.0391    0.0208    0.0393   0.0070  1.4153   0.000146  0.000276  </t>
  </si>
  <si>
    <t xml:space="preserve"> O       41.90       -       42.15       -      24.000      -         -        </t>
  </si>
  <si>
    <t>Total:   99.41     99.41    100.00    100.00    18.135</t>
  </si>
  <si>
    <t xml:space="preserve"> UNK No.      :    9            Comment : UnkA-C20-S2-1MI_2_3                      </t>
  </si>
  <si>
    <t xml:space="preserve"> Stage        :    X=   68.8040  Y=   72.9400  Z=   11.3820 </t>
  </si>
  <si>
    <t xml:space="preserve"> Dated on Mar  2 02:39 2017 </t>
  </si>
  <si>
    <t xml:space="preserve"> 1 Mg   107.540  56209.7  285.8  223.8    0.09       38 </t>
  </si>
  <si>
    <t xml:space="preserve"> 2 Mn   146.037    120.4   95.9   88.1    1.88       34 </t>
  </si>
  <si>
    <t xml:space="preserve"> 3 Fe   134.743   2238.0    0.0   23.7    0.48      107 </t>
  </si>
  <si>
    <t xml:space="preserve"> 4 Si    77.808  25405.5  189.2  113.1    0.14       60 </t>
  </si>
  <si>
    <t xml:space="preserve"> 5 Ca   107.775    705.8  285.6  243.8    0.65       14 </t>
  </si>
  <si>
    <t xml:space="preserve"> 6 Cr   159.160      2.0   70.7   71.3  109.87 ?     51 </t>
  </si>
  <si>
    <t xml:space="preserve"> 7 Ni   115.404     29.2   36.7   32.9    4.39       64 </t>
  </si>
  <si>
    <t xml:space="preserve"> 8 Al    90.986     27.8   85.6   69.5    7.80       25 </t>
  </si>
  <si>
    <t xml:space="preserve"> Mg      0.5773    0.0035    0.6618    0.9943     0.9998     1.5146     1.0542</t>
  </si>
  <si>
    <t xml:space="preserve"> Mn      0.9833    0.0004    1.0021    0.7889     1.0592     1.1939     1.0412</t>
  </si>
  <si>
    <t xml:space="preserve"> Fe      0.9871    0.0005    1.0032    0.8005     1.0585     1.1758     0.9915</t>
  </si>
  <si>
    <t xml:space="preserve"> Si      0.6627    0.0002    0.7273    0.9743     1.0150     1.3902     1.0001</t>
  </si>
  <si>
    <t xml:space="preserve"> Ca      0.9306    0.0054    0.9640    0.9066     1.0503     1.0837     1.0101</t>
  </si>
  <si>
    <t xml:space="preserve"> Ni      0.9843    0.0000    0.9961    0.8075     1.0541     1.1793     1.1257</t>
  </si>
  <si>
    <t xml:space="preserve"> Al      0.5412    0.0065    0.6070    0.9558     1.0074     1.6999     1.4116</t>
  </si>
  <si>
    <t xml:space="preserve"> Mg      26.83     44.49     26.89     44.59    10.063   1.0542   0.25443   0.85408  </t>
  </si>
  <si>
    <t xml:space="preserve"> Mn       0.1907    0.2462    0.1911    0.2468   0.0316  1.0412   0.001832  0.005438  </t>
  </si>
  <si>
    <t xml:space="preserve"> Fe      11.95     15.37     11.98     15.41     1.951   0.9915   0.12053   1.62542  </t>
  </si>
  <si>
    <t xml:space="preserve"> Si      18.27     39.08     18.31     39.17     5.931   1.0001   0.18266   0.95797  </t>
  </si>
  <si>
    <t xml:space="preserve"> Ca       0.2407    0.3368    0.2413    0.3376   0.0548  1.0101   0.002383  0.006985  </t>
  </si>
  <si>
    <t xml:space="preserve"> Cr       0.0034    0.0049    0.0034    0.0049   0.0006  1.0487   0.000032  0.000047 ?</t>
  </si>
  <si>
    <t xml:space="preserve"> Ni       0.1545    0.1965    0.1548    0.1970   0.0240  1.1257   0.001372  0.001746  </t>
  </si>
  <si>
    <t xml:space="preserve"> Al       0.0258    0.0488    0.0259    0.0489   0.0087  1.4116   0.000183  0.000346  </t>
  </si>
  <si>
    <t xml:space="preserve"> O       42.11       -       42.21       -      24.000      -         -        </t>
  </si>
  <si>
    <t>Total:   99.78     99.78    100.00    100.00    18.065</t>
  </si>
  <si>
    <t xml:space="preserve"> UNK No.      :   10            Comment : UnkA-C20-S2-1MI_3_1                      </t>
  </si>
  <si>
    <t xml:space="preserve"> Stage        :    X=   72.7655  Y=   75.8770  Z=   11.3680 </t>
  </si>
  <si>
    <t xml:space="preserve"> Dated on Mar  2 02:42 2017 </t>
  </si>
  <si>
    <t xml:space="preserve"> 1 Mg   107.540  61117.8  299.6  235.8    0.09       39 </t>
  </si>
  <si>
    <t xml:space="preserve"> 2 Mn   146.037    100.7   94.6   84.4    2.16       34 </t>
  </si>
  <si>
    <t xml:space="preserve"> 3 Fe   134.743   1852.8    0.0   23.0    0.52      105 </t>
  </si>
  <si>
    <t xml:space="preserve"> 4 Si    77.808  25278.0  187.1  106.6    0.14       59 </t>
  </si>
  <si>
    <t xml:space="preserve"> 5 Ca   107.775    749.0  276.4  238.9    0.62       14 </t>
  </si>
  <si>
    <t xml:space="preserve"> 6 Cr   159.160     16.8   67.6   65.8   13.35       50 </t>
  </si>
  <si>
    <t xml:space="preserve"> 7 Ni   115.404     30.0   36.8   33.2    4.31       65 </t>
  </si>
  <si>
    <t xml:space="preserve"> 8 Al    90.986     25.6   81.1   63.2    8.17       24 </t>
  </si>
  <si>
    <t xml:space="preserve"> Mg      0.5921    0.0035    0.6787    0.9897     1.0017     1.4809     1.0308</t>
  </si>
  <si>
    <t xml:space="preserve"> Mn      0.9833    0.0004    1.0021    0.7855     1.0603     1.1977     1.0446</t>
  </si>
  <si>
    <t xml:space="preserve"> Fe      0.9872    0.0006    1.0032    0.7970     1.0594     1.1797     0.9948</t>
  </si>
  <si>
    <t xml:space="preserve"> Si      0.6629    0.0001    0.7274    0.9698     1.0169     1.3937     1.0027</t>
  </si>
  <si>
    <t xml:space="preserve"> Ca      0.9308    0.0045    0.9641    0.9025     1.0518     1.0876     1.0138</t>
  </si>
  <si>
    <t xml:space="preserve"> Cr      0.9782    0.0383    0.9994    0.8035     1.0602     1.1312     1.0599</t>
  </si>
  <si>
    <t xml:space="preserve"> Ni      0.9857    0.0000    0.9975    0.8041     1.0549     1.1818     1.1282</t>
  </si>
  <si>
    <t xml:space="preserve"> Al      0.5413    0.0065    0.6071    0.9513     1.0094     1.7045     1.4154</t>
  </si>
  <si>
    <t xml:space="preserve"> Mg      28.52     47.30     28.55     47.34    10.575   1.0308   0.27670   0.92884  </t>
  </si>
  <si>
    <t xml:space="preserve"> Mn       0.1599    0.2065    0.1601    0.2067   0.0262  1.0446   0.001531  0.004546  </t>
  </si>
  <si>
    <t xml:space="preserve"> Fe       9.93     12.77      9.94     12.78     1.602   0.9948   0.09980   1.34593  </t>
  </si>
  <si>
    <t xml:space="preserve"> Si      18.23     38.99     18.24     39.02     5.848   1.0027   0.18178   0.95336  </t>
  </si>
  <si>
    <t xml:space="preserve"> Ca       0.2565    0.3588    0.2567    0.3591   0.0577  1.0138   0.002530  0.007414  </t>
  </si>
  <si>
    <t xml:space="preserve"> Cr       0.0286    0.0418    0.0286    0.0418   0.0050  1.0599   0.000270  0.000394  </t>
  </si>
  <si>
    <t xml:space="preserve"> Ni       0.1587    0.2019    0.1588    0.2021   0.0244  1.1282   0.001407  0.001790  </t>
  </si>
  <si>
    <t xml:space="preserve"> Al       0.0239    0.0451    0.0239    0.0452   0.0080  1.4154   0.000169  0.000319  </t>
  </si>
  <si>
    <t xml:space="preserve"> O       42.61       -       42.64       -      24.000      -         -        </t>
  </si>
  <si>
    <t>Total:   99.92     99.92    100.00    100.00    18.146</t>
  </si>
  <si>
    <t xml:space="preserve"> UNK No.      :   11            Comment : UnkA-C20-S2-1MI_3_2                      </t>
  </si>
  <si>
    <t xml:space="preserve"> Stage        :    X=   72.7940  Y=   75.8490  Z=   11.3680 </t>
  </si>
  <si>
    <t xml:space="preserve"> Dated on Mar  2 02:46 2017 </t>
  </si>
  <si>
    <t xml:space="preserve">Curr.(A) : 9.857E-08 </t>
  </si>
  <si>
    <t xml:space="preserve"> 1 Mg   107.540  61005.2  290.2  225.2    0.09       38 </t>
  </si>
  <si>
    <t xml:space="preserve"> 2 Mn   146.037    106.4   94.3   81.8    2.05       34 </t>
  </si>
  <si>
    <t xml:space="preserve"> 3 Fe   134.743   1881.9    0.0   21.1    0.52      101 </t>
  </si>
  <si>
    <t xml:space="preserve"> 4 Si    77.808  25302.3  194.1  111.6    0.14       60 </t>
  </si>
  <si>
    <t xml:space="preserve"> 5 Ca   107.775    744.0  278.2  241.8    0.62       14 </t>
  </si>
  <si>
    <t xml:space="preserve"> 6 Cr   159.160     12.8   71.5   70.5   17.73       51 </t>
  </si>
  <si>
    <t xml:space="preserve"> 7 Ni   115.404     31.5   36.8   32.7    4.12       64 </t>
  </si>
  <si>
    <t xml:space="preserve"> 8 Al    90.986     13.8   84.7   65.3   14.95       24 </t>
  </si>
  <si>
    <t xml:space="preserve"> Mg      0.5911    0.0035    0.6775    0.9900     1.0016     1.4832     1.0324</t>
  </si>
  <si>
    <t xml:space="preserve"> Mn      0.9833    0.0004    1.0021    0.7857     1.0602     1.1974     1.0443</t>
  </si>
  <si>
    <t xml:space="preserve"> Fe      0.9872    0.0006    1.0032    0.7973     1.0594     1.1794     0.9945</t>
  </si>
  <si>
    <t xml:space="preserve"> Si      0.6627    0.0001    0.7273    0.9701     1.0168     1.3937     1.0027</t>
  </si>
  <si>
    <t xml:space="preserve"> Ca      0.9308    0.0046    0.9641    0.9028     1.0517     1.0874     1.0135</t>
  </si>
  <si>
    <t xml:space="preserve"> Cr      0.9782    0.0389    0.9994    0.8037     1.0601     1.1304     1.0591</t>
  </si>
  <si>
    <t xml:space="preserve"> Ni      0.9856    0.0000    0.9974    0.8044     1.0548     1.1816     1.1280</t>
  </si>
  <si>
    <t xml:space="preserve"> Al      0.5411    0.0064    0.6068    0.9516     1.0092     1.7049     1.4157</t>
  </si>
  <si>
    <t xml:space="preserve"> Mg      28.51     47.27     28.48     47.22    10.558   1.0324   0.27616   0.92704  </t>
  </si>
  <si>
    <t xml:space="preserve"> Mn       0.1689    0.2181    0.1688    0.2179   0.0277  1.0443   0.001618  0.004803  </t>
  </si>
  <si>
    <t xml:space="preserve"> Fe      10.08     12.97     10.07     12.95     1.625   0.9945   0.10136   1.36694  </t>
  </si>
  <si>
    <t xml:space="preserve"> Si      18.24     39.02     18.22     38.98     5.847   1.0027   0.18193   0.95418  </t>
  </si>
  <si>
    <t xml:space="preserve"> Ca       0.2547    0.3563    0.2544    0.3560   0.0572  1.0135   0.002513  0.007364  </t>
  </si>
  <si>
    <t xml:space="preserve"> Cr       0.0218    0.0319    0.0218    0.0318   0.0038  1.0591   0.000206  0.000301  </t>
  </si>
  <si>
    <t xml:space="preserve"> Ni       0.1669    0.2124    0.1667    0.2122   0.0256  1.1280   0.001480  0.001883  </t>
  </si>
  <si>
    <t xml:space="preserve"> Al       0.0128    0.0242    0.0128    0.0242   0.0043  1.4157   0.000090  0.000171  </t>
  </si>
  <si>
    <t xml:space="preserve"> O       42.65       -       42.60       -      24.000      -         -        </t>
  </si>
  <si>
    <t>Total:  100.10    100.10    100.00    100.00    18.149</t>
  </si>
  <si>
    <t xml:space="preserve"> UNK No.      :   12            Comment : UnkA-C20-S2-1MI_3_3                      </t>
  </si>
  <si>
    <t xml:space="preserve"> Stage        :    X=   72.8180  Y=   75.9045  Z=   11.3680 </t>
  </si>
  <si>
    <t xml:space="preserve"> Dated on Mar  2 02:49 2017 </t>
  </si>
  <si>
    <t xml:space="preserve"> 1 Mg   107.540  61035.4  303.5  228.8    0.09       39 </t>
  </si>
  <si>
    <t xml:space="preserve"> 2 Mn   146.037    101.6   93.7   83.9    2.13       34 </t>
  </si>
  <si>
    <t xml:space="preserve"> 3 Fe   134.743   1862.9    0.0   22.2    0.52      103 </t>
  </si>
  <si>
    <t xml:space="preserve"> 4 Si    77.808  26131.0  185.6  114.6    0.14       60 </t>
  </si>
  <si>
    <t xml:space="preserve"> 5 Ca   107.775    735.6  280.7  240.7    0.63       14 </t>
  </si>
  <si>
    <t xml:space="preserve"> 6 Cr   159.160     17.5   68.2   65.5   12.83       50 </t>
  </si>
  <si>
    <t xml:space="preserve"> 7 Ni   115.404     31.1   38.3   32.5    4.19       65 </t>
  </si>
  <si>
    <t xml:space="preserve"> 8 Al    90.986     19.6   81.3   61.4   10.45       24 </t>
  </si>
  <si>
    <t xml:space="preserve"> Mg      0.5921    0.0036    0.6787    0.9896     1.0018     1.4810     1.0308</t>
  </si>
  <si>
    <t xml:space="preserve"> Mn      0.9833    0.0004    1.0021    0.7854     1.0603     1.1979     1.0447</t>
  </si>
  <si>
    <t xml:space="preserve"> Fe      0.9872    0.0006    1.0032    0.7969     1.0594     1.1799     0.9949</t>
  </si>
  <si>
    <t xml:space="preserve"> Si      0.6646    0.0001    0.7293    0.9697     1.0170     1.3903     1.0002</t>
  </si>
  <si>
    <t xml:space="preserve"> Ca      0.9307    0.0045    0.9641    0.9024     1.0519     1.0879     1.0141</t>
  </si>
  <si>
    <t xml:space="preserve"> Cr      0.9782    0.0381    0.9994    0.8034     1.0602     1.1316     1.0603</t>
  </si>
  <si>
    <t xml:space="preserve"> Ni      0.9857    0.0000    0.9976    0.8040     1.0549     1.1819     1.1283</t>
  </si>
  <si>
    <t xml:space="preserve"> Al      0.5432    0.0066    0.6092    0.9512     1.0094     1.6984     1.4103</t>
  </si>
  <si>
    <t xml:space="preserve"> Mg      28.43     47.14     28.16     46.69    10.401   1.0308   0.27613   0.92693  </t>
  </si>
  <si>
    <t xml:space="preserve"> Mn       0.1613    0.2082    0.1597    0.2062   0.0261  1.0447   0.001544  0.004583  </t>
  </si>
  <si>
    <t xml:space="preserve"> Fe       9.97     12.83      9.88     12.71     1.589   0.9949   0.10028   1.35234  </t>
  </si>
  <si>
    <t xml:space="preserve"> Si      18.77     40.15     18.59     39.77     5.943   1.0002   0.18778   0.98483  </t>
  </si>
  <si>
    <t xml:space="preserve"> Ca       0.2517    0.3522    0.2493    0.3488   0.0559  1.0141   0.002483  0.007276  </t>
  </si>
  <si>
    <t xml:space="preserve"> Cr       0.0298    0.0436    0.0295    0.0432   0.0051  1.0603   0.000281  0.000411  </t>
  </si>
  <si>
    <t xml:space="preserve"> Ni       0.1649    0.2098    0.1633    0.2078   0.0250  1.1283   0.001462  0.001860  </t>
  </si>
  <si>
    <t xml:space="preserve"> Al       0.0182    0.0344    0.0180    0.0341   0.0060  1.4103   0.000129  0.000244  </t>
  </si>
  <si>
    <t xml:space="preserve"> O       43.17       -       42.76       -      24.000      -         -        </t>
  </si>
  <si>
    <t>Total:  100.97    100.97    100.00    100.00    18.051</t>
  </si>
  <si>
    <t xml:space="preserve"> UNK No.      :   13            Comment : UnkA-C20-S2-1MI_4_1                      </t>
  </si>
  <si>
    <t xml:space="preserve"> Stage        :    X=   67.2910  Y=   76.8800  Z=   11.3765 </t>
  </si>
  <si>
    <t xml:space="preserve"> Dated on Mar  2 02:52 2017 </t>
  </si>
  <si>
    <t xml:space="preserve">Curr.(A) : 9.825E-08 </t>
  </si>
  <si>
    <t xml:space="preserve"> 1 Mg   107.540  61230.6  297.9  231.6    0.09       39 </t>
  </si>
  <si>
    <t xml:space="preserve"> 2 Mn   146.037    102.7   91.9   82.3    2.10       34 </t>
  </si>
  <si>
    <t xml:space="preserve"> 3 Fe   134.743   1866.4    0.0   23.5    0.52      107 </t>
  </si>
  <si>
    <t xml:space="preserve"> 4 Si    77.808  25922.5  177.4  116.1    0.14       59 </t>
  </si>
  <si>
    <t xml:space="preserve"> 5 Ca   107.775    752.4  277.1  235.4    0.61       14 </t>
  </si>
  <si>
    <t xml:space="preserve"> 6 Cr   159.160     13.3   68.3   67.1   16.76       50 </t>
  </si>
  <si>
    <t xml:space="preserve"> 7 Ni   115.404     32.4   36.2   32.7    4.01       64 </t>
  </si>
  <si>
    <t xml:space="preserve"> 8 Al    90.986     20.0   83.1   64.8   10.40       24 </t>
  </si>
  <si>
    <t xml:space="preserve"> Mg      0.5920    0.0036    0.6786    0.9896     1.0017     1.4813     1.0310</t>
  </si>
  <si>
    <t xml:space="preserve"> Mn      0.9833    0.0004    1.0021    0.7854     1.0603     1.1978     1.0446</t>
  </si>
  <si>
    <t xml:space="preserve"> Fe      0.9872    0.0006    1.0032    0.7970     1.0594     1.1798     0.9948</t>
  </si>
  <si>
    <t xml:space="preserve"> Si      0.6640    0.0001    0.7286    0.9698     1.0170     1.3914     1.0010</t>
  </si>
  <si>
    <t xml:space="preserve"> Ca      0.9308    0.0045    0.9641    0.9025     1.0518     1.0878     1.0140</t>
  </si>
  <si>
    <t xml:space="preserve"> Cr      0.9782    0.0382    0.9994    0.8034     1.0602     1.1314     1.0601</t>
  </si>
  <si>
    <t xml:space="preserve"> Ni      0.9857    0.0000    0.9975    0.8041     1.0549     1.1819     1.1282</t>
  </si>
  <si>
    <t xml:space="preserve"> Al      0.5425    0.0066    0.6085    0.9513     1.0094     1.7004     1.4120</t>
  </si>
  <si>
    <t xml:space="preserve"> Mg      28.63     47.47     28.27     46.88    10.456   1.0310   0.27809   0.93349  </t>
  </si>
  <si>
    <t xml:space="preserve"> Mn       0.1637    0.2114    0.1617    0.2088   0.0265  1.0446   0.001567  0.004653  </t>
  </si>
  <si>
    <t xml:space="preserve"> Fe      10.03     12.90      9.91     12.75     1.595   0.9948   0.10085   1.36010  </t>
  </si>
  <si>
    <t xml:space="preserve"> Si      18.70     40.01     18.47     39.52     5.912   1.0010   0.18700   0.98075  </t>
  </si>
  <si>
    <t xml:space="preserve"> Ca       0.2585    0.3616    0.2553    0.3572   0.0573  1.0140   0.002549  0.007471  </t>
  </si>
  <si>
    <t xml:space="preserve"> Cr       0.0227    0.0332    0.0224    0.0328   0.0039  1.0601   0.000214  0.000313  </t>
  </si>
  <si>
    <t xml:space="preserve"> Ni       0.1721    0.2190    0.1700    0.2163   0.0260  1.1282   0.001525  0.001941  </t>
  </si>
  <si>
    <t xml:space="preserve"> Al       0.0187    0.0353    0.0185    0.0349   0.0061  1.4120   0.000132  0.000250  </t>
  </si>
  <si>
    <t xml:space="preserve"> O       43.25       -       42.72       -      24.000      -         -        </t>
  </si>
  <si>
    <t>Total:  101.24    101.24    100.00    100.00    18.083</t>
  </si>
  <si>
    <t xml:space="preserve"> UNK No.      :   14            Comment : UnkA-C20-S2-1MI_4_2                      </t>
  </si>
  <si>
    <t xml:space="preserve"> Stage        :    X=   67.3285  Y=   76.8445  Z=   11.3765 </t>
  </si>
  <si>
    <t xml:space="preserve"> Dated on Mar  2 02:56 2017 </t>
  </si>
  <si>
    <t xml:space="preserve">Curr.(A) : 9.843E-08 </t>
  </si>
  <si>
    <t xml:space="preserve"> 1 Mg   107.540  60802.4  299.9  238.9    0.09       39 </t>
  </si>
  <si>
    <t xml:space="preserve"> 2 Mn   146.037     98.9   95.7   87.9    2.20       34 </t>
  </si>
  <si>
    <t xml:space="preserve"> 3 Fe   134.743   1890.0    0.0   25.0    0.52      110 </t>
  </si>
  <si>
    <t xml:space="preserve"> 4 Si    77.808  26001.7  187.5  106.9    0.14       59 </t>
  </si>
  <si>
    <t xml:space="preserve"> 5 Ca   107.775    735.1  274.3  239.1    0.62       14 </t>
  </si>
  <si>
    <t xml:space="preserve"> 6 Cr   159.160     13.4   65.8   65.4   16.42       49 </t>
  </si>
  <si>
    <t xml:space="preserve"> 7 Ni   115.404     32.5   37.2   32.1    4.01       64 </t>
  </si>
  <si>
    <t xml:space="preserve"> 8 Al    90.986     13.0   82.2   64.1   15.65       24 </t>
  </si>
  <si>
    <t xml:space="preserve"> Mg      0.5910    0.0036    0.6775    0.9899     1.0016     1.4834     1.0325</t>
  </si>
  <si>
    <t xml:space="preserve"> Mn      0.9833    0.0004    1.0021    0.7856     1.0602     1.1976     1.0444</t>
  </si>
  <si>
    <t xml:space="preserve"> Fe      0.9872    0.0006    1.0032    0.7972     1.0594     1.1795     0.9946</t>
  </si>
  <si>
    <t xml:space="preserve"> Si      0.6642    0.0001    0.7289    0.9700     1.0168     1.3908     1.0005</t>
  </si>
  <si>
    <t xml:space="preserve"> Ca      0.9307    0.0045    0.9641    0.9027     1.0517     1.0876     1.0138</t>
  </si>
  <si>
    <t xml:space="preserve"> Cr      0.9782    0.0387    0.9994    0.8036     1.0602     1.1307     1.0594</t>
  </si>
  <si>
    <t xml:space="preserve"> Ni      0.9856    0.0000    0.9975    0.8043     1.0548     1.1817     1.1281</t>
  </si>
  <si>
    <t xml:space="preserve"> Al      0.5428    0.0066    0.6087    0.9515     1.0092     1.6994     1.4112</t>
  </si>
  <si>
    <t xml:space="preserve"> Mg      28.42     47.13     28.13     46.64    10.404   1.0325   0.27564   0.92527  </t>
  </si>
  <si>
    <t xml:space="preserve"> Mn       0.1573    0.2032    0.1557    0.2011   0.0255  1.0444   0.001507  0.004473  </t>
  </si>
  <si>
    <t xml:space="preserve"> Fe      10.14     13.04     10.03     12.91     1.615   0.9946   0.10194   1.37478  </t>
  </si>
  <si>
    <t xml:space="preserve"> Si      18.72     40.05     18.53     39.63     5.931   1.0005   0.18723   0.98195  </t>
  </si>
  <si>
    <t xml:space="preserve"> Ca       0.2520    0.3526    0.2494    0.3490   0.0560  1.0138   0.002486  0.007286  </t>
  </si>
  <si>
    <t xml:space="preserve"> Cr       0.0228    0.0334    0.0226    0.0330   0.0039  1.0594   0.000216  0.000315  </t>
  </si>
  <si>
    <t xml:space="preserve"> Ni       0.1724    0.2194    0.1706    0.2171   0.0261  1.1281   0.001528  0.001945  </t>
  </si>
  <si>
    <t xml:space="preserve"> Al       0.0120    0.0227    0.0119    0.0225   0.0040  1.4112   0.000085  0.000161  </t>
  </si>
  <si>
    <t xml:space="preserve"> O       43.15       -       42.70       -      24.000      -         -        </t>
  </si>
  <si>
    <t>Total:  101.05    101.05    100.00    100.00    18.065</t>
  </si>
  <si>
    <t xml:space="preserve"> UNK No.      :   15            Comment : UnkA-C20-S2-1MI_4_3                      </t>
  </si>
  <si>
    <t xml:space="preserve"> Stage        :    X=   67.3065  Y=   76.8170  Z=   11.3765 </t>
  </si>
  <si>
    <t xml:space="preserve"> Dated on Mar  2 02:59 2017 </t>
  </si>
  <si>
    <t xml:space="preserve"> 1 Mg   107.540  61591.7  303.1  224.7    0.09       39 </t>
  </si>
  <si>
    <t xml:space="preserve"> 2 Mn   146.037     99.7   92.8   87.3    2.17       34 </t>
  </si>
  <si>
    <t xml:space="preserve"> 3 Fe   134.743   1824.9    0.0   23.4    0.53      106 </t>
  </si>
  <si>
    <t xml:space="preserve"> 4 Si    77.808  25125.1  180.4  107.7    0.14       58 </t>
  </si>
  <si>
    <t xml:space="preserve"> 5 Ca   107.775    741.5  274.5  236.3    0.62       14 </t>
  </si>
  <si>
    <t xml:space="preserve"> 6 Cr   159.160     16.2   68.3   67.4   13.91       50 </t>
  </si>
  <si>
    <t xml:space="preserve"> 7 Ni   115.404     32.4   36.0   32.4    4.01       64 </t>
  </si>
  <si>
    <t xml:space="preserve"> 8 Al    90.986     21.5   82.7   63.3    9.66       24 </t>
  </si>
  <si>
    <t xml:space="preserve"> Mg      0.5931    0.0035    0.6799    0.9894     1.0019     1.4786     1.0292</t>
  </si>
  <si>
    <t xml:space="preserve"> Mn      0.9833    0.0004    1.0022    0.7852     1.0603     1.1979     1.0448</t>
  </si>
  <si>
    <t xml:space="preserve"> Fe      0.9872    0.0006    1.0033    0.7968     1.0595     1.1799     0.9949</t>
  </si>
  <si>
    <t xml:space="preserve"> Si      0.6625    0.0001    0.7270    0.9695     1.0171     1.3948     1.0034</t>
  </si>
  <si>
    <t xml:space="preserve"> Ca      0.9309    0.0045    0.9642    0.9023     1.0519     1.0879     1.0140</t>
  </si>
  <si>
    <t xml:space="preserve"> Cr      0.9782    0.0379    0.9994    0.8033     1.0603     1.1319     1.0606</t>
  </si>
  <si>
    <t xml:space="preserve"> Ni      0.9858    0.0000    0.9976    0.8039     1.0549     1.1820     1.1283</t>
  </si>
  <si>
    <t xml:space="preserve"> Al      0.5408    0.0064    0.6065    0.9511     1.0095     1.7063     1.4169</t>
  </si>
  <si>
    <t xml:space="preserve"> Mg      28.71     47.60     28.76     47.68    10.650   1.0292   0.27885   0.93605  </t>
  </si>
  <si>
    <t xml:space="preserve"> Mn       0.1584    0.2045    0.1587    0.2049   0.0260  1.0448   0.001516  0.004501  </t>
  </si>
  <si>
    <t xml:space="preserve"> Fe       9.78     12.58      9.80     12.60     1.580   0.9949   0.09830   1.32569  </t>
  </si>
  <si>
    <t xml:space="preserve"> Si      18.13     38.79     18.16     38.86     5.822   1.0034   0.18068   0.94759  </t>
  </si>
  <si>
    <t xml:space="preserve"> Ca       0.2540    0.3553    0.2544    0.3560   0.0571  1.0140   0.002504  0.007340  </t>
  </si>
  <si>
    <t xml:space="preserve"> Cr       0.0276    0.0403    0.0276    0.0404   0.0048  1.0606   0.000260  0.000380  </t>
  </si>
  <si>
    <t xml:space="preserve"> Ni       0.1715    0.2182    0.1718    0.2186   0.0263  1.1283   0.001520  0.001934  </t>
  </si>
  <si>
    <t xml:space="preserve"> Al       0.0201    0.0380    0.0201    0.0380   0.0067  1.4169   0.000142  0.000268  </t>
  </si>
  <si>
    <t xml:space="preserve"> O       42.57       -       42.65       -      24.000      -         -        </t>
  </si>
  <si>
    <t>Total:   99.82     99.82    100.00    100.00    18.172</t>
  </si>
  <si>
    <t xml:space="preserve"> UNK No.      :   16            Comment : UnkA-C20-S2-1MI_5_1                      </t>
  </si>
  <si>
    <t xml:space="preserve"> Stage        :    X=   74.9655  Y=   83.9710  Z=   11.3565 </t>
  </si>
  <si>
    <t xml:space="preserve"> Dated on Mar  2 03:02 2017 </t>
  </si>
  <si>
    <t xml:space="preserve"> 1 Mg   107.540  58861.5  298.4  227.3    0.09       39 </t>
  </si>
  <si>
    <t xml:space="preserve"> 2 Mn   146.037    114.6   95.6   84.8    1.94       34 </t>
  </si>
  <si>
    <t xml:space="preserve"> 3 Fe   134.743   2077.6    0.0   24.1    0.49      108 </t>
  </si>
  <si>
    <t xml:space="preserve"> 4 Si    77.808  25929.8  187.6  115.7    0.14       60 </t>
  </si>
  <si>
    <t xml:space="preserve"> 5 Ca   107.775    679.1  285.6  243.7    0.66       14 </t>
  </si>
  <si>
    <t xml:space="preserve"> 6 Cr   159.160     27.6   70.7   66.0    8.47       50 </t>
  </si>
  <si>
    <t xml:space="preserve"> 7 Ni   115.404     29.2   38.2   33.5    4.44       65 </t>
  </si>
  <si>
    <t xml:space="preserve"> 8 Al    90.986     21.0   84.0   64.4    9.98       24 </t>
  </si>
  <si>
    <t xml:space="preserve"> Mg      0.5841    0.0035    0.6695    0.9921     1.0007     1.4991     1.0434</t>
  </si>
  <si>
    <t xml:space="preserve"> Mn      0.9833    0.0004    1.0021    0.7872     1.0597     1.1957     1.0428</t>
  </si>
  <si>
    <t xml:space="preserve"> Fe      0.9871    0.0005    1.0032    0.7988     1.0589     1.1777     0.9931</t>
  </si>
  <si>
    <t xml:space="preserve"> Si      0.6636    0.0001    0.7282    0.9722     1.0159     1.3902     1.0001</t>
  </si>
  <si>
    <t xml:space="preserve"> Ca      0.9307    0.0050    0.9640    0.9047     1.0510     1.0856     1.0119</t>
  </si>
  <si>
    <t xml:space="preserve"> Cr      0.9782    0.0423    0.9994    0.8053     1.0596     1.1250     1.0541</t>
  </si>
  <si>
    <t xml:space="preserve"> Ni      0.9850    0.0000    0.9968    0.8059     1.0545     1.1805     1.1269</t>
  </si>
  <si>
    <t xml:space="preserve"> Al      0.5421    0.0065    0.6080    0.9537     1.0083     1.6992     1.4110</t>
  </si>
  <si>
    <t xml:space="preserve"> Mg      27.76     46.04     27.47     45.56    10.220   1.0434   0.26643   0.89437  </t>
  </si>
  <si>
    <t xml:space="preserve"> Mn       0.1817    0.2346    0.1798    0.2322   0.0296  1.0428   0.001742  0.005173  </t>
  </si>
  <si>
    <t xml:space="preserve"> Fe      11.11     14.29     10.99     14.14     1.780   0.9931   0.11189   1.50895  </t>
  </si>
  <si>
    <t xml:space="preserve"> Si      18.63     39.86     18.44     39.45     5.936   1.0001   0.18643   0.97774  </t>
  </si>
  <si>
    <t xml:space="preserve"> Ca       0.2320    0.3247    0.2296    0.3213   0.0518  1.0119   0.002293  0.006721  </t>
  </si>
  <si>
    <t xml:space="preserve"> Cr       0.0468    0.0684    0.0463    0.0677   0.0081  1.0541   0.000444  0.000649  </t>
  </si>
  <si>
    <t xml:space="preserve"> Ni       0.1547    0.1969    0.1531    0.1948   0.0236  1.1269   0.001373  0.001747  </t>
  </si>
  <si>
    <t xml:space="preserve"> Al       0.0195    0.0368    0.0193    0.0364   0.0065  1.4110   0.000138  0.000261  </t>
  </si>
  <si>
    <t xml:space="preserve"> O       42.91       -       42.46       -      24.000      -         -        </t>
  </si>
  <si>
    <t>Total:  101.05    101.05    100.00    100.00    18.056</t>
  </si>
  <si>
    <t xml:space="preserve"> UNK No.      :   17            Comment : UnkA-C20-S2-1MI_5_2                      </t>
  </si>
  <si>
    <t xml:space="preserve"> Stage        :    X=   75.0080  Y=   83.9955  Z=   11.3565 </t>
  </si>
  <si>
    <t xml:space="preserve"> Dated on Mar  2 03:06 2017 </t>
  </si>
  <si>
    <t xml:space="preserve">Curr.(A) : 9.859E-08 </t>
  </si>
  <si>
    <t xml:space="preserve"> 1 Mg   107.540  58897.9  295.4  231.7    0.09       39 </t>
  </si>
  <si>
    <t xml:space="preserve"> 2 Mn   146.037    111.0   99.0   85.4    2.01       35 </t>
  </si>
  <si>
    <t xml:space="preserve"> 3 Fe   134.743   2078.6    0.0   21.8    0.49      102 </t>
  </si>
  <si>
    <t xml:space="preserve"> 4 Si    77.808  25246.8  188.1  111.4    0.14       60 </t>
  </si>
  <si>
    <t xml:space="preserve"> 5 Ca   107.775    673.9  282.3  241.3    0.67       14 </t>
  </si>
  <si>
    <t xml:space="preserve"> 6 Cr   159.160     11.3   69.3   69.7   19.87       51 </t>
  </si>
  <si>
    <t xml:space="preserve"> 7 Ni   115.404     31.6   37.7   33.3    4.14       65 </t>
  </si>
  <si>
    <t xml:space="preserve"> 8 Al    90.986     15.9   80.7   65.0   12.84       24 </t>
  </si>
  <si>
    <t xml:space="preserve"> Mg      0.5837    0.0035    0.6691    0.9923     1.0007     1.4998     1.0439</t>
  </si>
  <si>
    <t xml:space="preserve"> Mn      0.9833    0.0004    1.0021    0.7874     1.0597     1.1955     1.0426</t>
  </si>
  <si>
    <t xml:space="preserve"> Fe      0.9872    0.0006    1.0032    0.7990     1.0589     1.1774     0.9928</t>
  </si>
  <si>
    <t xml:space="preserve"> Si      0.6622    0.0001    0.7266    0.9724     1.0159     1.3930     1.0022</t>
  </si>
  <si>
    <t xml:space="preserve"> Ca      0.9307    0.0050    0.9641    0.9048     1.0510     1.0853     1.0117</t>
  </si>
  <si>
    <t xml:space="preserve"> Cr      0.9782    0.0428    0.9994    0.8055     1.0596     1.1243     1.0534</t>
  </si>
  <si>
    <t xml:space="preserve"> Ni      0.9849    0.0000    0.9967    0.8061     1.0545     1.1804     1.1268</t>
  </si>
  <si>
    <t xml:space="preserve"> Al      0.5405    0.0064    0.6061    0.9539     1.0083     1.7045     1.4154</t>
  </si>
  <si>
    <t xml:space="preserve"> Mg      27.82     46.13     27.78     46.06    10.359   1.0439   0.26657   0.89483  </t>
  </si>
  <si>
    <t xml:space="preserve"> Mn       0.1760    0.2272    0.1757    0.2269   0.0290  1.0426   0.001688  0.005012  </t>
  </si>
  <si>
    <t xml:space="preserve"> Fe      11.11     14.30     11.10     14.27     1.801   0.9928   0.11193   1.50949  </t>
  </si>
  <si>
    <t xml:space="preserve"> Si      18.19     38.91     18.16     38.85     5.860   1.0022   0.18150   0.95189  </t>
  </si>
  <si>
    <t xml:space="preserve"> Ca       0.2302    0.3221    0.2298    0.3216   0.0520  1.0117   0.002275  0.006669  </t>
  </si>
  <si>
    <t xml:space="preserve"> Cr       0.0191    0.0279    0.0191    0.0279   0.0033  1.0534   0.000181  0.000265  </t>
  </si>
  <si>
    <t xml:space="preserve"> Ni       0.1672    0.2127    0.1669    0.2124   0.0258  1.1268   0.001484  0.001888  </t>
  </si>
  <si>
    <t xml:space="preserve"> Al       0.0148    0.0280    0.0148    0.0280   0.0050  1.4154   0.000105  0.000198  </t>
  </si>
  <si>
    <t xml:space="preserve"> O       42.42       -       42.36       -      24.000      -         -        </t>
  </si>
  <si>
    <t>Total:  100.15    100.15    100.00    100.00    18.135</t>
  </si>
  <si>
    <t xml:space="preserve"> UNK No.      :   18            Comment : UnkA-C20-S2-1MI_5_3                      </t>
  </si>
  <si>
    <t xml:space="preserve"> Stage        :    X=   75.0010  Y=   83.9600  Z=   11.3565 </t>
  </si>
  <si>
    <t xml:space="preserve"> Dated on Mar  2 03:09 2017 </t>
  </si>
  <si>
    <t xml:space="preserve"> 1 Mg   107.540  58967.9  301.7  231.5    0.09       39 </t>
  </si>
  <si>
    <t xml:space="preserve"> 2 Mn   146.037    113.3   96.3   86.7    1.97       34 </t>
  </si>
  <si>
    <t xml:space="preserve"> 3 Fe   134.743   2091.8    0.0   23.8    0.49      107 </t>
  </si>
  <si>
    <t xml:space="preserve"> 4 Si    77.808  25190.1  188.3  111.0    0.14       60 </t>
  </si>
  <si>
    <t xml:space="preserve"> 5 Ca   107.775    664.1  285.6  241.7    0.67       14 </t>
  </si>
  <si>
    <t xml:space="preserve"> 6 Cr   159.160      6.1   74.7   66.1   36.00 ?     51 </t>
  </si>
  <si>
    <t xml:space="preserve"> 7 Ni   115.404     31.3   36.2   33.5    4.14       64 </t>
  </si>
  <si>
    <t xml:space="preserve"> 8 Al    90.986     15.8   80.9   66.0   12.95       24 </t>
  </si>
  <si>
    <t xml:space="preserve"> Mg      0.5834    0.0035    0.6688    0.9925     1.0006     1.5006     1.0444</t>
  </si>
  <si>
    <t xml:space="preserve"> Mn      0.9833    0.0004    1.0021    0.7875     1.0596     1.1954     1.0425</t>
  </si>
  <si>
    <t xml:space="preserve"> Fe      0.9872    0.0006    1.0033    0.7991     1.0589     1.1773     0.9927</t>
  </si>
  <si>
    <t xml:space="preserve"> Si      0.6619    0.0001    0.7263    0.9725     1.0158     1.3935     1.0025</t>
  </si>
  <si>
    <t xml:space="preserve"> Ca      0.9308    0.0050    0.9641    0.9049     1.0509     1.0852     1.0115</t>
  </si>
  <si>
    <t xml:space="preserve"> Cr      0.9782    0.0431    0.9994    0.8056     1.0595     1.1239     1.0531</t>
  </si>
  <si>
    <t xml:space="preserve"> Ni      0.9849    0.0000    0.9967    0.8062     1.0545     1.1803     1.1267</t>
  </si>
  <si>
    <t xml:space="preserve"> Al      0.5402    0.0064    0.6058    0.9540     1.0082     1.7053     1.4161</t>
  </si>
  <si>
    <t xml:space="preserve"> Mg      27.87     46.22     27.80     46.10    10.375   1.0444   0.26697   0.89617  </t>
  </si>
  <si>
    <t xml:space="preserve"> Mn       0.1797    0.2320    0.1792    0.2314   0.0296  1.0425   0.001723  0.005117  </t>
  </si>
  <si>
    <t xml:space="preserve"> Fe      11.18     14.39     11.16     14.35     1.812   0.9927   0.11267   1.51951  </t>
  </si>
  <si>
    <t xml:space="preserve"> Si      18.16     38.84     18.11     38.74     5.848   1.0025   0.18114   0.95004  </t>
  </si>
  <si>
    <t xml:space="preserve"> Ca       0.2269    0.3174    0.2263    0.3166   0.0512  1.0115   0.002243  0.006573  </t>
  </si>
  <si>
    <t xml:space="preserve"> Cr       0.0104    0.0152    0.0103    0.0151   0.0018  1.0531   0.000099  0.000144  </t>
  </si>
  <si>
    <t xml:space="preserve"> Ni       0.1657    0.2109    0.1653    0.2104   0.0255  1.1267   0.001471  0.001872  </t>
  </si>
  <si>
    <t xml:space="preserve"> Al       0.0148    0.0279    0.0147    0.0278   0.0050  1.4161   0.000104  0.000197  </t>
  </si>
  <si>
    <t xml:space="preserve"> O       42.44       -       42.33       -      24.000      -         -        </t>
  </si>
  <si>
    <t>Total:  100.25    100.25    100.00    100.00    18.148</t>
  </si>
  <si>
    <t xml:space="preserve"> UNK No.      :   19            Comment : UnkA-C20-S2-1MI_6_1                      </t>
  </si>
  <si>
    <t xml:space="preserve"> Stage        :    X=   68.9840  Y=   83.6875  Z=   11.3695 </t>
  </si>
  <si>
    <t xml:space="preserve"> Dated on Mar  2 03:13 2017 </t>
  </si>
  <si>
    <t xml:space="preserve"> 1 Mg   107.540  61086.9  299.4  236.6    0.09       39 </t>
  </si>
  <si>
    <t xml:space="preserve"> 2 Mn   146.037    106.2   93.5   81.4    2.05       34 </t>
  </si>
  <si>
    <t xml:space="preserve"> 3 Fe   134.743   1854.5    0.0   22.0    0.52      103 </t>
  </si>
  <si>
    <t xml:space="preserve"> 4 Si    77.808  25150.0  183.4  115.1    0.14       59 </t>
  </si>
  <si>
    <t xml:space="preserve"> 5 Ca   107.775    733.4  278.3  236.5    0.63       14 </t>
  </si>
  <si>
    <t xml:space="preserve"> 6 Cr   159.160     15.9   68.7   65.8   14.11       50 </t>
  </si>
  <si>
    <t xml:space="preserve"> 7 Ni   115.404     32.7   35.6   34.5    4.00       65 </t>
  </si>
  <si>
    <t xml:space="preserve"> 8 Al    90.986     16.3   84.0   64.3   12.67       24 </t>
  </si>
  <si>
    <t xml:space="preserve"> Mg      0.5918    0.0035    0.6784    0.9898     1.0017     1.4815     1.0312</t>
  </si>
  <si>
    <t xml:space="preserve"> Mn      0.9833    0.0004    1.0022    0.7855     1.0602     1.1976     1.0445</t>
  </si>
  <si>
    <t xml:space="preserve"> Fe      0.9872    0.0006    1.0032    0.7971     1.0594     1.1796     0.9946</t>
  </si>
  <si>
    <t xml:space="preserve"> Si      0.6626    0.0001    0.7271    0.9699     1.0169     1.3943     1.0030</t>
  </si>
  <si>
    <t xml:space="preserve"> Ca      0.9308    0.0045    0.9642    0.9026     1.0518     1.0875     1.0137</t>
  </si>
  <si>
    <t xml:space="preserve"> Cr      0.9782    0.0385    0.9994    0.8036     1.0602     1.1310     1.0597</t>
  </si>
  <si>
    <t xml:space="preserve"> Ni      0.9857    0.0000    0.9975    0.8042     1.0549     1.1817     1.1281</t>
  </si>
  <si>
    <t xml:space="preserve"> Al      0.5409    0.0064    0.6066    0.9514     1.0093     1.7057     1.4164</t>
  </si>
  <si>
    <t xml:space="preserve"> Mg      28.51     47.27     28.60     47.42    10.600   1.0312   0.27637   0.92771  </t>
  </si>
  <si>
    <t xml:space="preserve"> Mn       0.1687    0.2178    0.1692    0.2185   0.0277  1.0445   0.001615  0.004795  </t>
  </si>
  <si>
    <t xml:space="preserve"> Fe       9.93     12.77      9.96     12.81     1.607   0.9946   0.09982   1.34618  </t>
  </si>
  <si>
    <t xml:space="preserve"> Si      18.13     38.79     18.19     38.91     5.834   1.0030   0.18073   0.94786  </t>
  </si>
  <si>
    <t xml:space="preserve"> Ca       0.2509    0.3511    0.2517    0.3521   0.0566  1.0137   0.002475  0.007254  </t>
  </si>
  <si>
    <t xml:space="preserve"> Cr       0.0270    0.0395    0.0271    0.0396   0.0047  1.0597   0.000255  0.000373  </t>
  </si>
  <si>
    <t xml:space="preserve"> Ni       0.1732    0.2204    0.1737    0.2211   0.0267  1.1281   0.001535  0.001954  </t>
  </si>
  <si>
    <t xml:space="preserve"> Al       0.0152    0.0288    0.0153    0.0288   0.0051  1.4164   0.000107  0.000203  </t>
  </si>
  <si>
    <t xml:space="preserve"> O       42.49       -       42.62       -      24.000      -         -        </t>
  </si>
  <si>
    <t>Total:   99.69     99.69    100.00    100.00    18.161</t>
  </si>
  <si>
    <t xml:space="preserve"> UNK No.      :   20            Comment : UnkA-C20-S2-1MI_6_2                      </t>
  </si>
  <si>
    <t xml:space="preserve"> Stage        :    X=   69.0020  Y=   83.7145  Z=   11.3695 </t>
  </si>
  <si>
    <t xml:space="preserve"> Dated on Mar  2 03:16 2017 </t>
  </si>
  <si>
    <t xml:space="preserve"> 1 Mg   107.540  61327.8  286.7  232.4    0.09       38 </t>
  </si>
  <si>
    <t xml:space="preserve"> 2 Mn   146.037     96.9   91.3   85.6    2.21       34 </t>
  </si>
  <si>
    <t xml:space="preserve"> 3 Fe   134.743   1846.6    0.0   21.8    0.52      102 </t>
  </si>
  <si>
    <t xml:space="preserve"> 4 Si    77.808  25193.1  182.4  102.9    0.14       58 </t>
  </si>
  <si>
    <t xml:space="preserve"> 5 Ca   107.775    736.6  277.6  239.0    0.62       14 </t>
  </si>
  <si>
    <t xml:space="preserve"> 6 Cr   159.160     16.0   69.8   65.9   14.02       50 </t>
  </si>
  <si>
    <t xml:space="preserve"> 7 Ni   115.404     32.1   37.9   32.3    4.07       65 </t>
  </si>
  <si>
    <t xml:space="preserve"> 8 Al    90.986     15.2   84.1   66.0   13.63       24 </t>
  </si>
  <si>
    <t xml:space="preserve"> Mg      0.5923    0.0035    0.6790    0.9896     1.0018     1.4804     1.0304</t>
  </si>
  <si>
    <t xml:space="preserve"> Mn      0.9833    0.0004    1.0022    0.7854     1.0603     1.1978     1.0446</t>
  </si>
  <si>
    <t xml:space="preserve"> Si      0.6626    0.0001    0.7271    0.9697     1.0170     1.3943     1.0031</t>
  </si>
  <si>
    <t xml:space="preserve"> Ca      0.9308    0.0045    0.9642    0.9025     1.0519     1.0877     1.0139</t>
  </si>
  <si>
    <t xml:space="preserve"> Cr      0.9782    0.0383    0.9994    0.8034     1.0602     1.1313     1.0600</t>
  </si>
  <si>
    <t xml:space="preserve"> Ni      0.9857    0.0000    0.9976    0.8041     1.0549     1.1818     1.1282</t>
  </si>
  <si>
    <t xml:space="preserve"> Al      0.5409    0.0064    0.6067    0.9513     1.0094     1.7057     1.4164</t>
  </si>
  <si>
    <t xml:space="preserve"> Mg      28.60     47.43     28.65     47.50    10.613   1.0304   0.27754   0.93166  </t>
  </si>
  <si>
    <t xml:space="preserve"> Mn       0.1539    0.1987    0.1541    0.1990   0.0253  1.0446   0.001473  0.004374  </t>
  </si>
  <si>
    <t xml:space="preserve"> Fe       9.89     12.72      9.91     12.74     1.597   0.9948   0.09942   1.34086  </t>
  </si>
  <si>
    <t xml:space="preserve"> Si      18.17     38.86     18.19     38.92     5.834   1.0031   0.18109   0.94977  </t>
  </si>
  <si>
    <t xml:space="preserve"> Ca       0.2521    0.3528    0.2525    0.3533   0.0567  1.0139   0.002487  0.007288  </t>
  </si>
  <si>
    <t xml:space="preserve"> Cr       0.0273    0.0400    0.0274    0.0400   0.0047  1.0600   0.000258  0.000377  </t>
  </si>
  <si>
    <t xml:space="preserve"> Ni       0.1701    0.2165    0.1704    0.2168   0.0261  1.1282   0.001508  0.001919  </t>
  </si>
  <si>
    <t xml:space="preserve"> Al       0.0142    0.0268    0.0142    0.0268   0.0047  1.4164   0.000100  0.000189  </t>
  </si>
  <si>
    <t xml:space="preserve"> O       42.57       -       42.64       -      24.000      -         -        </t>
  </si>
  <si>
    <t>Total:   99.85     99.85    100.00    100.00    18.162</t>
  </si>
  <si>
    <t xml:space="preserve"> UNK No.      :   21            Comment : UnkA-C20-S2-1MI_6_3                      </t>
  </si>
  <si>
    <t xml:space="preserve"> Stage        :    X=   69.0210  Y=   83.6925  Z=   11.3695 </t>
  </si>
  <si>
    <t xml:space="preserve"> Dated on Mar  2 03:19 2017 </t>
  </si>
  <si>
    <t xml:space="preserve">Curr.(A) : 9.865E-08 </t>
  </si>
  <si>
    <t xml:space="preserve"> 1 Mg   107.540  60885.1  295.2  226.2    0.09       38 </t>
  </si>
  <si>
    <t xml:space="preserve"> 2 Mn   146.037    106.0   94.3   80.9    2.06       34 </t>
  </si>
  <si>
    <t xml:space="preserve"> 3 Fe   134.743   1894.3    0.0   24.6    0.52      109 </t>
  </si>
  <si>
    <t xml:space="preserve"> 4 Si    77.808  25163.2  187.0  104.4    0.14       59 </t>
  </si>
  <si>
    <t xml:space="preserve"> 5 Ca   107.775    772.0  283.2  241.9    0.61       14 </t>
  </si>
  <si>
    <t xml:space="preserve"> 6 Cr   159.160     12.5   67.0   68.5   17.74       50 </t>
  </si>
  <si>
    <t xml:space="preserve"> 7 Ni   115.404     32.7   36.6   32.5    3.98       64 </t>
  </si>
  <si>
    <t xml:space="preserve"> 8 Al    90.986     17.7   80.9   64.4   11.55       24 </t>
  </si>
  <si>
    <t xml:space="preserve"> Mg      0.5905    0.0035    0.6769    0.9902     1.0015     1.4845     1.0333</t>
  </si>
  <si>
    <t xml:space="preserve"> Mn      0.9833    0.0004    1.0021    0.7858     1.0601     1.1973     1.0442</t>
  </si>
  <si>
    <t xml:space="preserve"> Fe      0.9872    0.0006    1.0032    0.7974     1.0593     1.1792     0.9943</t>
  </si>
  <si>
    <t xml:space="preserve"> Si      0.6624    0.0001    0.7269    0.9703     1.0167     1.3943     1.0031</t>
  </si>
  <si>
    <t xml:space="preserve"> Ca      0.9308    0.0046    0.9642    0.9030     1.0517     1.0872     1.0134</t>
  </si>
  <si>
    <t xml:space="preserve"> Cr      0.9782    0.0392    0.9994    0.8039     1.0601     1.1299     1.0587</t>
  </si>
  <si>
    <t xml:space="preserve"> Ni      0.9855    0.0000    0.9974    0.8045     1.0548     1.1815     1.1279</t>
  </si>
  <si>
    <t xml:space="preserve"> Al      0.5407    0.0064    0.6064    0.9518     1.0091     1.7058     1.4165</t>
  </si>
  <si>
    <t xml:space="preserve"> Mg      28.46     47.19     28.49     47.24    10.572   1.0333   0.27540   0.92446  </t>
  </si>
  <si>
    <t xml:space="preserve"> Mn       0.1682    0.2171    0.1683    0.2174   0.0276  1.0442   0.001611  0.004782  </t>
  </si>
  <si>
    <t xml:space="preserve"> Fe      10.14     13.04     10.15     13.05     1.639   0.9943   0.10194   1.37485  </t>
  </si>
  <si>
    <t xml:space="preserve"> Si      18.14     38.79     18.15     38.84     5.830   1.0031   0.18079   0.94816  </t>
  </si>
  <si>
    <t xml:space="preserve"> Ca       0.2640    0.3694    0.2643    0.3698   0.0595  1.0134   0.002605  0.007635  </t>
  </si>
  <si>
    <t xml:space="preserve"> Cr       0.0213    0.0311    0.0213    0.0312   0.0037  1.0587   0.000201  0.000294  </t>
  </si>
  <si>
    <t xml:space="preserve"> Ni       0.1733    0.2205    0.1734    0.2207   0.0267  1.1279   0.001536  0.001955  </t>
  </si>
  <si>
    <t xml:space="preserve"> Al       0.0166    0.0313    0.0166    0.0313   0.0055  1.4165   0.000117  0.000221  </t>
  </si>
  <si>
    <t xml:space="preserve"> O       42.52       -       42.57       -      24.000      -         -        </t>
  </si>
  <si>
    <t>Total:   99.90     99.90    100.00    100.00    18.165</t>
  </si>
  <si>
    <t xml:space="preserve"> UNK No.      :   22            Comment : UnkA-C20-S2-1MI_7_1                      </t>
  </si>
  <si>
    <t xml:space="preserve"> Stage        :    X=   71.3150  Y=   85.0000  Z=   11.3645 </t>
  </si>
  <si>
    <t xml:space="preserve"> Dated on Mar  2 03:23 2017 </t>
  </si>
  <si>
    <t xml:space="preserve"> 1 Mg   107.540  59056.1  289.9  225.7    0.09       38 </t>
  </si>
  <si>
    <t xml:space="preserve"> 2 Mn   146.037    114.2   91.6   84.8    1.93       34 </t>
  </si>
  <si>
    <t xml:space="preserve"> 3 Fe   134.743   2060.2    0.0   23.6    0.50      107 </t>
  </si>
  <si>
    <t xml:space="preserve"> 4 Si    77.808  25102.6  187.7  104.9    0.14       59 </t>
  </si>
  <si>
    <t xml:space="preserve"> 5 Ca   107.775    715.4  279.9  239.8    0.64       14 </t>
  </si>
  <si>
    <t xml:space="preserve"> 6 Cr   159.160     15.7   74.2   70.5   14.69       52 </t>
  </si>
  <si>
    <t xml:space="preserve"> 7 Ni   115.404     33.4   38.4   32.3    3.95       65 </t>
  </si>
  <si>
    <t xml:space="preserve"> 8 Al    90.986     17.0   82.3   62.3   12.03       24 </t>
  </si>
  <si>
    <t xml:space="preserve"> Mg      0.5842    0.0035    0.6697    0.9922     1.0007     1.4988     1.0432</t>
  </si>
  <si>
    <t xml:space="preserve"> Mn      0.9833    0.0004    1.0021    0.7873     1.0597     1.1955     1.0427</t>
  </si>
  <si>
    <t xml:space="preserve"> Fe      0.9872    0.0006    1.0032    0.7989     1.0589     1.1775     0.9929</t>
  </si>
  <si>
    <t xml:space="preserve"> Si      0.6619    0.0001    0.7264    0.9723     1.0159     1.3936     1.0026</t>
  </si>
  <si>
    <t xml:space="preserve"> Ca      0.9308    0.0050    0.9641    0.9047     1.0510     1.0854     1.0117</t>
  </si>
  <si>
    <t xml:space="preserve"> Cr      0.9782    0.0425    0.9994    0.8054     1.0596     1.1247     1.0538</t>
  </si>
  <si>
    <t xml:space="preserve"> Ni      0.9850    0.0000    0.9968    0.8060     1.0545     1.1804     1.1268</t>
  </si>
  <si>
    <t xml:space="preserve"> Al      0.5402    0.0064    0.6059    0.9537     1.0083     1.7054     1.4162</t>
  </si>
  <si>
    <t xml:space="preserve"> Mg      27.89     46.25     27.89     46.24    10.402   1.0432   0.26737   0.89751  </t>
  </si>
  <si>
    <t xml:space="preserve"> Mn       0.1812    0.2340    0.1812    0.2340   0.0299  1.0427   0.001738  0.005160  </t>
  </si>
  <si>
    <t xml:space="preserve"> Fe      11.02     14.17     11.02     14.17     1.789   0.9929   0.11097   1.49660  </t>
  </si>
  <si>
    <t xml:space="preserve"> Si      18.10     38.72     18.10     38.71     5.841   1.0026   0.18051   0.94674  </t>
  </si>
  <si>
    <t xml:space="preserve"> Ca       0.2445    0.3421    0.2445    0.3420   0.0553  1.0117   0.002416  0.007082  </t>
  </si>
  <si>
    <t xml:space="preserve"> Cr       0.0267    0.0390    0.0267    0.0390   0.0047  1.0538   0.000253  0.000370  </t>
  </si>
  <si>
    <t xml:space="preserve"> Ni       0.1766    0.2248    0.1766    0.2248   0.0273  1.1268   0.001568  0.001995  </t>
  </si>
  <si>
    <t xml:space="preserve"> Al       0.0159    0.0300    0.0159    0.0300   0.0053  1.4162   0.000112  0.000212  </t>
  </si>
  <si>
    <t xml:space="preserve"> O       42.36       -       42.35       -      24.000      -         -        </t>
  </si>
  <si>
    <t>Total:  100.01    100.01    100.00    100.00    18.154</t>
  </si>
  <si>
    <t xml:space="preserve"> UNK No.      :   23            Comment : UnkA-C20-S2-1MI_7_2                      </t>
  </si>
  <si>
    <t xml:space="preserve"> Stage        :    X=   71.3070  Y=   84.9730  Z=   11.3645 </t>
  </si>
  <si>
    <t xml:space="preserve"> Dated on Mar  2 03:26 2017 </t>
  </si>
  <si>
    <t xml:space="preserve">Curr.(A) : 9.861E-08 </t>
  </si>
  <si>
    <t xml:space="preserve"> 1 Mg   107.540  59280.0  307.0  230.1    0.09       39 </t>
  </si>
  <si>
    <t xml:space="preserve"> 2 Mn   146.037    116.6   94.9   84.5    1.91       34 </t>
  </si>
  <si>
    <t xml:space="preserve"> 3 Fe   134.743   2068.5    0.0   22.0    0.49      103 </t>
  </si>
  <si>
    <t xml:space="preserve"> 4 Si    77.808  25199.2  192.2  115.1    0.14       60 </t>
  </si>
  <si>
    <t xml:space="preserve"> 5 Ca   107.775    705.2  284.4  246.7    0.65       14 </t>
  </si>
  <si>
    <t xml:space="preserve"> 6 Cr   159.160      9.0   69.9   68.9   24.54       51 </t>
  </si>
  <si>
    <t xml:space="preserve"> 7 Ni   115.404     33.6   35.8   34.6    3.92       65 </t>
  </si>
  <si>
    <t xml:space="preserve"> 8 Al    90.986     16.0   85.6   67.4   13.09       25 </t>
  </si>
  <si>
    <t xml:space="preserve"> Mg      0.5842    0.0035    0.6696    0.9922     1.0007     1.4988     1.0432</t>
  </si>
  <si>
    <t xml:space="preserve"> Si      0.6619    0.0001    0.7263    0.9723     1.0159     1.3937     1.0026</t>
  </si>
  <si>
    <t xml:space="preserve"> Al      0.5402    0.0064    0.6058    0.9537     1.0083     1.7056     1.4163</t>
  </si>
  <si>
    <t xml:space="preserve"> Mg      27.97     46.38     27.89     46.25    10.402   1.0432   0.26825   0.90046  </t>
  </si>
  <si>
    <t xml:space="preserve"> Mn       0.1849    0.2387    0.1843    0.2380   0.0304  1.0427   0.001773  0.005265  </t>
  </si>
  <si>
    <t xml:space="preserve"> Fe      11.06     14.22     11.02     14.18     1.789   0.9929   0.11136   1.50185  </t>
  </si>
  <si>
    <t xml:space="preserve"> Si      18.16     38.84     18.10     38.72     5.843   1.0026   0.18112   0.94990  </t>
  </si>
  <si>
    <t xml:space="preserve"> Ca       0.2408    0.3370    0.2401    0.3360   0.0543  1.0117   0.002381  0.006977  </t>
  </si>
  <si>
    <t xml:space="preserve"> Cr       0.0154    0.0224    0.0153    0.0224   0.0027  1.0538   0.000146  0.000213  </t>
  </si>
  <si>
    <t xml:space="preserve"> Ni       0.1779    0.2264    0.1774    0.2257   0.0274  1.1268   0.001579  0.002009  </t>
  </si>
  <si>
    <t xml:space="preserve"> Al       0.0149    0.0282    0.0149    0.0281   0.0050  1.4163   0.000105  0.000199  </t>
  </si>
  <si>
    <t xml:space="preserve"> O       42.48       -       42.35       -      24.000      -         -        </t>
  </si>
  <si>
    <t>Total:  100.30    100.30    100.00    100.00    18.154</t>
  </si>
  <si>
    <t xml:space="preserve"> UNK No.      :   24            Comment : UnkA-C20-S2-1MI_7_3                      </t>
  </si>
  <si>
    <t xml:space="preserve"> Stage        :    X=   71.3485  Y=   84.9825  Z=   11.3645 </t>
  </si>
  <si>
    <t xml:space="preserve"> Dated on Mar  2 03:30 2017 </t>
  </si>
  <si>
    <t xml:space="preserve">Curr.(A) : 9.862E-08 </t>
  </si>
  <si>
    <t xml:space="preserve"> 1 Mg   107.540  59229.3  303.2  234.0    0.09       39 </t>
  </si>
  <si>
    <t xml:space="preserve"> 2 Mn   146.037    110.9   94.6   86.0    2.00       34 </t>
  </si>
  <si>
    <t xml:space="preserve"> 3 Fe   134.743   2039.0    0.0   27.1    0.50      114 </t>
  </si>
  <si>
    <t xml:space="preserve"> 4 Si    77.808  25926.5  191.6  109.2    0.14       60 </t>
  </si>
  <si>
    <t xml:space="preserve"> 5 Ca   107.775    705.1  281.5  244.7    0.65       14 </t>
  </si>
  <si>
    <t xml:space="preserve"> 6 Cr   159.160      9.3   70.1   68.8   23.87       51 </t>
  </si>
  <si>
    <t xml:space="preserve"> 7 Ni   115.404     32.8   36.6   32.6    3.98       64 </t>
  </si>
  <si>
    <t xml:space="preserve"> 8 Al    90.986     22.3   83.4   66.4    9.43       24 </t>
  </si>
  <si>
    <t xml:space="preserve"> Mg      0.5855    0.0035    0.6711    0.9917     1.0009     1.4959     1.0412</t>
  </si>
  <si>
    <t xml:space="preserve"> Mn      0.9833    0.0004    1.0021    0.7869     1.0598     1.1961     1.0431</t>
  </si>
  <si>
    <t xml:space="preserve"> Fe      0.9872    0.0006    1.0032    0.7985     1.0590     1.1780     0.9933</t>
  </si>
  <si>
    <t xml:space="preserve"> Si      0.6637    0.0001    0.7283    0.9717     1.0161     1.3904     1.0003</t>
  </si>
  <si>
    <t xml:space="preserve"> Ca      0.9307    0.0049    0.9640    0.9042     1.0512     1.0860     1.0123</t>
  </si>
  <si>
    <t xml:space="preserve"> Cr      0.9782    0.0416    0.9994    0.8050     1.0597     1.1261     1.0551</t>
  </si>
  <si>
    <t xml:space="preserve"> Ni      0.9851    0.0000    0.9969    0.8056     1.0546     1.1807     1.1271</t>
  </si>
  <si>
    <t xml:space="preserve"> Al      0.5422    0.0065    0.6081    0.9532     1.0085     1.6994     1.4112</t>
  </si>
  <si>
    <t xml:space="preserve"> Mg      27.87     46.21     27.61     45.79    10.260   1.0412   0.26799   0.89959  </t>
  </si>
  <si>
    <t xml:space="preserve"> Mn       0.1759    0.2271    0.1743    0.2250   0.0287  1.0431   0.001686  0.005007  </t>
  </si>
  <si>
    <t xml:space="preserve"> Fe      10.90     14.02     10.80     13.89     1.747   0.9933   0.10976   1.48031  </t>
  </si>
  <si>
    <t xml:space="preserve"> Si      18.63     39.85     18.45     39.48     5.935   1.0003   0.18633   0.97722  </t>
  </si>
  <si>
    <t xml:space="preserve"> Ca       0.2410    0.3371    0.2387    0.3340   0.0538  1.0123   0.002380  0.006976  </t>
  </si>
  <si>
    <t xml:space="preserve"> Cr       0.0158    0.0231    0.0157    0.0229   0.0027  1.0551   0.000150  0.000219  </t>
  </si>
  <si>
    <t xml:space="preserve"> Ni       0.1733    0.2206    0.1717    0.2185   0.0264  1.1271   0.001538  0.001957  </t>
  </si>
  <si>
    <t xml:space="preserve"> Al       0.0208    0.0392    0.0206    0.0389   0.0069  1.4112   0.000147  0.000278  </t>
  </si>
  <si>
    <t xml:space="preserve"> O       42.91       -       42.51       -      24.000      -         -        </t>
  </si>
  <si>
    <t>Total:  100.93    100.93    100.00    100.00    18.061</t>
  </si>
  <si>
    <t xml:space="preserve"> UNK No.      :   25            Comment : SC-Olivine                               </t>
  </si>
  <si>
    <t xml:space="preserve"> Stage        :    X=   17.1735  Y=   25.6145  Z=   11.6455 </t>
  </si>
  <si>
    <t xml:space="preserve"> Dated on Mar  2 03:33 2017 </t>
  </si>
  <si>
    <t xml:space="preserve">Curr.(A) : 9.866E-08 </t>
  </si>
  <si>
    <t xml:space="preserve"> 1 Mg   107.540  66008.8  303.4  243.0    0.09       39 </t>
  </si>
  <si>
    <t xml:space="preserve"> 2 Mn   146.037     69.8   92.1   82.4    2.91       34 </t>
  </si>
  <si>
    <t xml:space="preserve"> 3 Fe   134.743   1376.1    0.0   21.3    0.61      101 </t>
  </si>
  <si>
    <t xml:space="preserve"> 4 Si    77.808  25701.1  186.6  102.8    0.14       59 </t>
  </si>
  <si>
    <t xml:space="preserve"> 5 Ca   107.775    206.3  275.8  230.0    1.69       14 </t>
  </si>
  <si>
    <t xml:space="preserve"> 6 Cr   159.160      2.8   67.3   63.2   74.31 ?     49 </t>
  </si>
  <si>
    <t xml:space="preserve"> 7 Ni   115.404     52.2   35.7   32.8    2.72       64 </t>
  </si>
  <si>
    <t xml:space="preserve"> 8 Al    90.986     17.9   82.5   64.5   11.54       24 </t>
  </si>
  <si>
    <t xml:space="preserve"> Mn      0.9835    0.0007    1.0023    0.7812     1.0616     1.2022     1.0484</t>
  </si>
  <si>
    <t xml:space="preserve"> Si      0.6646    0.0001    0.7293    0.9642     1.0193     1.3949     1.0035</t>
  </si>
  <si>
    <t xml:space="preserve"> Al      0.5431    0.0066    0.6092    0.9458     1.0117     1.7042     1.4152</t>
  </si>
  <si>
    <t xml:space="preserve"> Mg      29.98     49.71     30.13     49.96    10.983   1.0035   0.29854   1.00216  </t>
  </si>
  <si>
    <t xml:space="preserve"> Mn       0.1113    0.1437    0.1118    0.1444   0.0180  1.0484   0.001061  0.003151  </t>
  </si>
  <si>
    <t xml:space="preserve"> Fe       7.39      9.51      7.43      9.56     1.179   0.9984   0.07405   0.99862  </t>
  </si>
  <si>
    <t xml:space="preserve"> Si      18.53     39.65     18.63     39.85     5.876   1.0035   0.18463   0.96833  </t>
  </si>
  <si>
    <t xml:space="preserve"> Ca       0.0709    0.0992    0.0713    0.0997   0.0158  1.0188   0.000696  0.002040  </t>
  </si>
  <si>
    <t xml:space="preserve"> Cr       0.0049    0.0072    0.0049    0.0072   0.0008  1.0735   0.000046  0.000067  </t>
  </si>
  <si>
    <t xml:space="preserve"> Ni       0.2771    0.3527    0.2785    0.3545   0.0420  1.1312   0.002450  0.003118  </t>
  </si>
  <si>
    <t xml:space="preserve"> Al       0.0166    0.0314    0.0167    0.0316   0.0055  1.4152   0.000117  0.000222  </t>
  </si>
  <si>
    <t xml:space="preserve"> O       43.11       -       43.33       -      24.000      -         -        </t>
  </si>
  <si>
    <t>Total:   99.50     99.50    100.00    100.00    18.121</t>
  </si>
  <si>
    <t xml:space="preserve"> UNK No.      :   26            Comment : SC-Olivine                               </t>
  </si>
  <si>
    <t xml:space="preserve"> Stage        :    X=   17.1980  Y=   25.6310  Z=   11.6455 </t>
  </si>
  <si>
    <t xml:space="preserve"> Dated on Mar  2 03:37 2017 </t>
  </si>
  <si>
    <t xml:space="preserve"> 1 Mg   107.540  66078.7  313.4  242.4    0.09       40 </t>
  </si>
  <si>
    <t xml:space="preserve"> 2 Mn   146.037     72.5   89.2   84.7    2.81       33 </t>
  </si>
  <si>
    <t xml:space="preserve"> 3 Fe   134.743   1365.1    0.0   22.6    0.61      104 </t>
  </si>
  <si>
    <t xml:space="preserve"> 4 Si    77.808  25675.7  189.4  107.2    0.14       59 </t>
  </si>
  <si>
    <t xml:space="preserve"> 5 Ca   107.775    216.8  268.5  227.6    1.60       14 </t>
  </si>
  <si>
    <t xml:space="preserve"> 6 Cr   159.160      5.6   68.7   62.2   37.91 ?     49 </t>
  </si>
  <si>
    <t xml:space="preserve"> 7 Ni   115.404     54.0   34.1   33.2    2.63       63 </t>
  </si>
  <si>
    <t xml:space="preserve"> 8 Al    90.986     18.2   81.7   64.5   11.30       24 </t>
  </si>
  <si>
    <t xml:space="preserve"> Mg      0.6105    0.0037    0.6998    0.9839     1.0041     1.4411     1.0031</t>
  </si>
  <si>
    <t xml:space="preserve"> Mn      0.9835    0.0008    1.0023    0.7812     1.0616     1.2022     1.0485</t>
  </si>
  <si>
    <t xml:space="preserve"> Fe      0.9873    0.0012    1.0034    0.7927     1.0606     1.1840     0.9984</t>
  </si>
  <si>
    <t xml:space="preserve"> Si      0.6646    0.0001    0.7293    0.9642     1.0194     1.3950     1.0036</t>
  </si>
  <si>
    <t xml:space="preserve"> Ca      0.9308    0.0034    0.9641    0.8975     1.0538     1.0930     1.0188</t>
  </si>
  <si>
    <t xml:space="preserve"> Cr      0.9784    0.0290    0.9996    0.7991     1.0617     1.1460     1.0738</t>
  </si>
  <si>
    <t xml:space="preserve"> Ni      0.9875    0.0000    0.9993    0.7998     1.0558     1.1850     1.1312</t>
  </si>
  <si>
    <t xml:space="preserve"> Al      0.5431    0.0066    0.6091    0.9458     1.0118     1.7044     1.4153</t>
  </si>
  <si>
    <t xml:space="preserve"> Mg      30.00     49.74     30.16     50.02    10.994   1.0031   0.29886   1.00322  </t>
  </si>
  <si>
    <t xml:space="preserve"> Mn       0.1154    0.1491    0.1161    0.1499   0.0187  1.0485   0.001101  0.003269  </t>
  </si>
  <si>
    <t xml:space="preserve"> Fe       7.33      9.44      7.37      9.49     1.170   0.9984   0.07346   0.99065  </t>
  </si>
  <si>
    <t xml:space="preserve"> Si      18.52     39.61     18.62     39.83     5.873   1.0036   0.18445   0.96737  </t>
  </si>
  <si>
    <t xml:space="preserve"> Ca       0.0745    0.1043    0.0749    0.1049   0.0166  1.0188   0.000732  0.002144  </t>
  </si>
  <si>
    <t xml:space="preserve"> Cr       0.0097    0.0142    0.0098    0.0143   0.0017  1.0738   0.000090  0.000132  </t>
  </si>
  <si>
    <t xml:space="preserve"> Ni       0.2864    0.3645    0.2880    0.3665   0.0435  1.1312   0.002532  0.003222  </t>
  </si>
  <si>
    <t xml:space="preserve"> Al       0.0170    0.0321    0.0171    0.0323   0.0056  1.4153   0.000120  0.000227  </t>
  </si>
  <si>
    <t xml:space="preserve"> O       43.10       -       43.34       -      24.000      -         -        </t>
  </si>
  <si>
    <t>Total:   99.45     99.45    100.00    100.00    18.123</t>
  </si>
  <si>
    <t xml:space="preserve"> UNK No.      :   27            Comment : SC-Olivine                               </t>
  </si>
  <si>
    <t xml:space="preserve"> Stage        :    X=   17.2185  Y=   25.6435  Z=   11.6455 </t>
  </si>
  <si>
    <t xml:space="preserve"> Dated on Mar  2 03:40 2017 </t>
  </si>
  <si>
    <t xml:space="preserve">Curr.(A) : 9.869E-08 </t>
  </si>
  <si>
    <t xml:space="preserve"> 1 Mg   107.540  66044.4  302.7  243.3    0.09       39 </t>
  </si>
  <si>
    <t xml:space="preserve"> 2 Mn   146.037     66.5   92.4   82.9    3.04       34 </t>
  </si>
  <si>
    <t xml:space="preserve"> 3 Fe   134.743   1379.5    0.0   21.4    0.61      101 </t>
  </si>
  <si>
    <t xml:space="preserve"> 4 Si    77.808  25574.5  172.8  116.6    0.14       58 </t>
  </si>
  <si>
    <t xml:space="preserve"> 5 Ca   107.775    215.3  272.9  232.6    1.62       14 </t>
  </si>
  <si>
    <t xml:space="preserve"> 6 Cr   159.160      7.5   67.9   64.4   28.66       49 </t>
  </si>
  <si>
    <t xml:space="preserve"> 7 Ni   115.404     51.2   36.6   30.9    2.75       63 </t>
  </si>
  <si>
    <t xml:space="preserve"> 8 Al    90.986     20.9   80.7   63.7    9.87       24 </t>
  </si>
  <si>
    <t xml:space="preserve"> Mg      0.6101    0.0036    0.6994    0.9840     1.0041     1.4419     1.0036</t>
  </si>
  <si>
    <t xml:space="preserve"> Mn      0.9835    0.0007    1.0023    0.7813     1.0615     1.2021     1.0484</t>
  </si>
  <si>
    <t xml:space="preserve"> Fe      0.9873    0.0011    1.0034    0.7928     1.0606     1.1840     0.9983</t>
  </si>
  <si>
    <t xml:space="preserve"> Si      0.6643    0.0001    0.7290    0.9643     1.0193     1.3954     1.0039</t>
  </si>
  <si>
    <t xml:space="preserve"> Ca      0.9308    0.0034    0.9642    0.8976     1.0537     1.0929     1.0187</t>
  </si>
  <si>
    <t xml:space="preserve"> Cr      0.9784    0.0293    0.9996    0.7992     1.0616     1.1456     1.0733</t>
  </si>
  <si>
    <t xml:space="preserve"> Al      0.5428    0.0066    0.6088    0.9459     1.0117     1.7052     1.4160</t>
  </si>
  <si>
    <t xml:space="preserve"> Mg      29.99     49.74     30.19     50.05    11.009   1.0036   0.29861   1.00239  </t>
  </si>
  <si>
    <t xml:space="preserve"> Mn       0.1059    0.1368    0.1066    0.1377   0.0172  1.0484   0.001010  0.003000  </t>
  </si>
  <si>
    <t xml:space="preserve"> Fe       7.41      9.53      7.46      9.59     1.184   0.9983   0.07421   1.00079  </t>
  </si>
  <si>
    <t xml:space="preserve"> Si      18.45     39.46     18.56     39.71     5.859   1.0039   0.18367   0.96327  </t>
  </si>
  <si>
    <t xml:space="preserve"> Ca       0.0740    0.1035    0.0745    0.1042   0.0165  1.0187   0.000726  0.002129  </t>
  </si>
  <si>
    <t xml:space="preserve"> Cr       0.0130    0.0190    0.0131    0.0191   0.0022  1.0733   0.000121  0.000177  </t>
  </si>
  <si>
    <t xml:space="preserve"> Ni       0.2718    0.3459    0.2735    0.3481   0.0413  1.1311   0.002403  0.003058  </t>
  </si>
  <si>
    <t xml:space="preserve"> Al       0.0195    0.0368    0.0196    0.0370   0.0064  1.4160   0.000138  0.000260  </t>
  </si>
  <si>
    <t xml:space="preserve"> O       43.03       -       43.31       -      24.000      -         -        </t>
  </si>
  <si>
    <t>Total:   99.37     99.37    100.00    100.00    18.136</t>
  </si>
  <si>
    <t xml:space="preserve"> UNK No.      :   28            Comment : UnkA-C20-S2-3MI_1_1                      </t>
  </si>
  <si>
    <t xml:space="preserve"> Stage        :    X=   48.5250  Y=   74.7525  Z=   11.4205 </t>
  </si>
  <si>
    <t xml:space="preserve"> Dated on Mar  2 03:43 2017 </t>
  </si>
  <si>
    <t xml:space="preserve"> 1 Mg   107.540  61040.3  288.3  234.7    0.09       38 </t>
  </si>
  <si>
    <t xml:space="preserve"> 2 Mn   146.037     96.9   94.1   85.5    2.22       34 </t>
  </si>
  <si>
    <t xml:space="preserve"> 3 Fe   134.743   1820.4    0.0   23.4    0.53      106 </t>
  </si>
  <si>
    <t xml:space="preserve"> 4 Si    77.808  26298.0  179.8  109.0    0.14       58 </t>
  </si>
  <si>
    <t xml:space="preserve"> 5 Ca   107.775    692.3  275.9  237.7    0.65       14 </t>
  </si>
  <si>
    <t xml:space="preserve"> 6 Cr   159.160     21.5   66.8   63.9   10.48       49 </t>
  </si>
  <si>
    <t xml:space="preserve"> 7 Ni   115.404     32.8   37.1   31.8    3.97       64 </t>
  </si>
  <si>
    <t xml:space="preserve"> 8 Al    90.986     25.3   79.9   67.4    8.30       24 </t>
  </si>
  <si>
    <t xml:space="preserve"> Mg      0.5934    0.0036    0.6802    0.9891     1.0020     1.4781     1.0288</t>
  </si>
  <si>
    <t xml:space="preserve"> Mn      0.9833    0.0004    1.0021    0.7850     1.0604     1.1983     1.0450</t>
  </si>
  <si>
    <t xml:space="preserve"> Fe      0.9871    0.0006    1.0032    0.7966     1.0595     1.1803     0.9952</t>
  </si>
  <si>
    <t xml:space="preserve"> Si      0.6652    0.0001    0.7300    0.9692     1.0172     1.3894     0.9995</t>
  </si>
  <si>
    <t xml:space="preserve"> Ca      0.9307    0.0044    0.9640    0.9020     1.0520     1.0884     1.0145</t>
  </si>
  <si>
    <t xml:space="preserve"> Cr      0.9782    0.0373    0.9994    0.8030     1.0604     1.1329     1.0615</t>
  </si>
  <si>
    <t xml:space="preserve"> Ni      0.9859    0.0000    0.9977    0.8037     1.0550     1.1822     1.1285</t>
  </si>
  <si>
    <t xml:space="preserve"> Al      0.5440    0.0067    0.6101    0.9507     1.0096     1.6963     1.4086</t>
  </si>
  <si>
    <t xml:space="preserve"> Mg      28.40     47.08     28.14     46.67    10.376   1.0288   0.27632   0.92757  </t>
  </si>
  <si>
    <t xml:space="preserve"> Mn       0.1541    0.1990    0.1527    0.1972   0.0249  1.0450   0.001475  0.004378  </t>
  </si>
  <si>
    <t xml:space="preserve"> Fe       9.76     12.55      9.67     12.44     1.552   0.9952   0.09804   1.32224  </t>
  </si>
  <si>
    <t xml:space="preserve"> Si      18.89     40.41     18.72     40.05     5.974   0.9995   0.18909   0.99172  </t>
  </si>
  <si>
    <t xml:space="preserve"> Ca       0.2372    0.3319    0.2351    0.3289   0.0526  1.0145   0.002338  0.006852  </t>
  </si>
  <si>
    <t xml:space="preserve"> Cr       0.0367    0.0536    0.0364    0.0531   0.0063  1.0615   0.000346  0.000505  </t>
  </si>
  <si>
    <t xml:space="preserve"> Ni       0.1738    0.2212    0.1723    0.2192   0.0263  1.1285   0.001540  0.001960  </t>
  </si>
  <si>
    <t xml:space="preserve"> Al       0.0235    0.0444    0.0233    0.0440   0.0077  1.4086   0.000167  0.000315  </t>
  </si>
  <si>
    <t xml:space="preserve"> O       43.23       -       42.84       -      24.000      -         -        </t>
  </si>
  <si>
    <t>Total:  100.89    100.89    100.00    100.00    18.019</t>
  </si>
  <si>
    <t xml:space="preserve"> UNK No.      :   29            Comment : UnkA-C20-S2-3MI_1_2                      </t>
  </si>
  <si>
    <t xml:space="preserve"> Stage        :    X=   48.5675  Y=   74.7530  Z=   11.4205 </t>
  </si>
  <si>
    <t xml:space="preserve"> Dated on Mar  2 03:47 2017 </t>
  </si>
  <si>
    <t xml:space="preserve"> 1 Mg   107.540  60675.8  292.9  231.3    0.09       38 </t>
  </si>
  <si>
    <t xml:space="preserve"> 2 Mn   146.037    107.0   93.6   83.6    2.04       34 </t>
  </si>
  <si>
    <t xml:space="preserve"> 3 Fe   134.743   1865.3    0.0   26.2    0.52      112 </t>
  </si>
  <si>
    <t xml:space="preserve"> 4 Si    77.808  26279.9  190.8  115.5    0.14       60 </t>
  </si>
  <si>
    <t xml:space="preserve"> 5 Ca   107.775    782.5  277.5  247.1    0.60       14 </t>
  </si>
  <si>
    <t xml:space="preserve"> 6 Cr   159.160     12.1   67.3   65.0   18.10       49 </t>
  </si>
  <si>
    <t xml:space="preserve"> 7 Ni   115.404     32.7   37.7   33.4    4.03       65 </t>
  </si>
  <si>
    <t xml:space="preserve"> 8 Al    90.986     22.6   81.1   62.9    9.18       24 </t>
  </si>
  <si>
    <t xml:space="preserve"> Mg      0.5918    0.0036    0.6783    0.9896     1.0017     1.4817     1.0313</t>
  </si>
  <si>
    <t xml:space="preserve"> Mn      0.9833    0.0004    1.0021    0.7854     1.0603     1.1978     1.0447</t>
  </si>
  <si>
    <t xml:space="preserve"> Fe      0.9871    0.0006    1.0032    0.7970     1.0594     1.1798     0.9948</t>
  </si>
  <si>
    <t xml:space="preserve"> Si      0.6650    0.0001    0.7298    0.9697     1.0169     1.3893     0.9995</t>
  </si>
  <si>
    <t xml:space="preserve"> Ca      0.9307    0.0045    0.9640    0.9025     1.0518     1.0879     1.0140</t>
  </si>
  <si>
    <t xml:space="preserve"> Al      0.5438    0.0067    0.6099    0.9513     1.0094     1.6965     1.4087</t>
  </si>
  <si>
    <t xml:space="preserve"> Mg      28.27     46.88     28.00     46.44    10.341   1.0313   0.27448   0.92138  </t>
  </si>
  <si>
    <t xml:space="preserve"> Mn       0.1699    0.2194    0.1683    0.2173   0.0275  1.0447   0.001627  0.004830  </t>
  </si>
  <si>
    <t xml:space="preserve"> Fe       9.99     12.85      9.89     12.72     1.590   0.9948   0.10039   1.35389  </t>
  </si>
  <si>
    <t xml:space="preserve"> Si      18.86     40.35     18.68     39.96     5.970   0.9995   0.18883   0.99034  </t>
  </si>
  <si>
    <t xml:space="preserve"> Ca       0.2678    0.3747    0.2652    0.3711   0.0594  1.0140   0.002641  0.007739  </t>
  </si>
  <si>
    <t xml:space="preserve"> Cr       0.0207    0.0302    0.0205    0.0299   0.0035  1.0603   0.000195  0.000285  </t>
  </si>
  <si>
    <t xml:space="preserve"> Ni       0.1729    0.2200    0.1712    0.2179   0.0262  1.1282   0.001532  0.001950  </t>
  </si>
  <si>
    <t xml:space="preserve"> Al       0.0209    0.0396    0.0207    0.0392   0.0069  1.4087   0.000149  0.000281  </t>
  </si>
  <si>
    <t xml:space="preserve"> O       43.19       -       42.78       -      24.000      -         -        </t>
  </si>
  <si>
    <t>Total:  100.96    100.96    100.00    100.00    18.025</t>
  </si>
  <si>
    <t xml:space="preserve"> UNK No.      :   30            Comment : UnkA-C20-S2-3MI_1_3                      </t>
  </si>
  <si>
    <t xml:space="preserve"> Stage        :    X=   48.5400  Y=   74.7070  Z=   11.4205 </t>
  </si>
  <si>
    <t xml:space="preserve"> Dated on Mar  2 03:50 2017 </t>
  </si>
  <si>
    <t xml:space="preserve">Curr.(A) : 9.868E-08 </t>
  </si>
  <si>
    <t xml:space="preserve"> 1 Mg   107.540  61379.0  287.0  235.7    0.09       38 </t>
  </si>
  <si>
    <t xml:space="preserve"> 2 Mn   146.037     93.6   98.6   86.3    2.31       35 </t>
  </si>
  <si>
    <t xml:space="preserve"> 3 Fe   134.743   1799.2    0.0   24.5    0.53      108 </t>
  </si>
  <si>
    <t xml:space="preserve"> 4 Si    77.808  26411.8  191.3  113.5    0.14       60 </t>
  </si>
  <si>
    <t xml:space="preserve"> 5 Ca   107.775    650.6  277.0  236.0    0.68       14 </t>
  </si>
  <si>
    <t xml:space="preserve"> 6 Cr   159.160     13.3   72.7   66.0   16.93       50 </t>
  </si>
  <si>
    <t xml:space="preserve"> 7 Ni   115.404     32.1   36.6   34.9    4.09       65 </t>
  </si>
  <si>
    <t xml:space="preserve"> 8 Al    90.986     18.7   83.9   64.5   11.13       24 </t>
  </si>
  <si>
    <t xml:space="preserve"> Mg      0.5944    0.0036    0.6814    0.9887     1.0021     1.4758     1.0272</t>
  </si>
  <si>
    <t xml:space="preserve"> Mn      0.9833    0.0004    1.0021    0.7847     1.0605     1.1986     1.0453</t>
  </si>
  <si>
    <t xml:space="preserve"> Fe      0.9872    0.0006    1.0032    0.7963     1.0596     1.1806     0.9955</t>
  </si>
  <si>
    <t xml:space="preserve"> Si      0.6654    0.0001    0.7302    0.9689     1.0173     1.3892     0.9994</t>
  </si>
  <si>
    <t xml:space="preserve"> Ca      0.9307    0.0043    0.9640    0.9017     1.0521     1.0887     1.0148</t>
  </si>
  <si>
    <t xml:space="preserve"> Cr      0.9782    0.0369    0.9994    0.8028     1.0604     1.1336     1.0622</t>
  </si>
  <si>
    <t xml:space="preserve"> Ni      0.9860    0.0000    0.9978    0.8034     1.0550     1.1824     1.1287</t>
  </si>
  <si>
    <t xml:space="preserve"> Al      0.5442    0.0067    0.6104    0.9504     1.0097     1.6959     1.4083</t>
  </si>
  <si>
    <t xml:space="preserve"> Mg      28.48     47.22     28.21     46.78    10.390   1.0272   0.27755   0.93168  </t>
  </si>
  <si>
    <t xml:space="preserve"> Mn       0.1487    0.1920    0.1473    0.1903   0.0240  1.0453   0.001423  0.004224  </t>
  </si>
  <si>
    <t xml:space="preserve"> Fe       9.63     12.39      9.55     12.28     1.530   0.9955   0.09680   1.30543  </t>
  </si>
  <si>
    <t xml:space="preserve"> Si      18.95     40.53     18.77     40.16     5.983   0.9994   0.18970   0.99490  </t>
  </si>
  <si>
    <t xml:space="preserve"> Ca       0.2227    0.3117    0.2207    0.3088   0.0493  1.0148   0.002195  0.006433  </t>
  </si>
  <si>
    <t xml:space="preserve"> Cr       0.0227    0.0331    0.0225    0.0328   0.0039  1.0622   0.000213  0.000312  </t>
  </si>
  <si>
    <t xml:space="preserve"> Ni       0.1702    0.2166    0.1686    0.2146   0.0257  1.1287   0.001508  0.001919  </t>
  </si>
  <si>
    <t xml:space="preserve"> Al       0.0173    0.0327    0.0171    0.0324   0.0057  1.4083   0.000123  0.000232  </t>
  </si>
  <si>
    <t xml:space="preserve"> O       43.29       -       42.89       -      24.000      -         -        </t>
  </si>
  <si>
    <t>Total:  100.93    100.93    100.00    100.00    18.012</t>
  </si>
  <si>
    <t xml:space="preserve"> UNK No.      :   31            Comment : UnkA-C20-S2-3MI_2_1                      </t>
  </si>
  <si>
    <t xml:space="preserve"> Stage        :    X=   45.0275  Y=   75.5070  Z=   11.4185 </t>
  </si>
  <si>
    <t xml:space="preserve"> Dated on Mar  2 03:54 2017 </t>
  </si>
  <si>
    <t xml:space="preserve"> 1 Mg   107.540  58665.4  295.9  230.4    0.09       38 </t>
  </si>
  <si>
    <t xml:space="preserve"> 2 Mn   146.037    111.9   98.6   87.0    2.00       35 </t>
  </si>
  <si>
    <t xml:space="preserve"> 3 Fe   134.743   2068.0    0.0   23.1    0.49      105 </t>
  </si>
  <si>
    <t xml:space="preserve"> 4 Si    77.808  26181.6  193.0  112.7    0.14       60 </t>
  </si>
  <si>
    <t xml:space="preserve"> 5 Ca   107.775    740.8  277.8  238.6    0.62       14 </t>
  </si>
  <si>
    <t xml:space="preserve"> 6 Cr   159.160      8.1   72.4   69.4   27.61       51 </t>
  </si>
  <si>
    <t xml:space="preserve"> 7 Ni   115.404     34.6   38.1   33.9    3.85       65 </t>
  </si>
  <si>
    <t xml:space="preserve"> 8 Al    90.986     20.9   82.7   65.3    9.97       24 </t>
  </si>
  <si>
    <t xml:space="preserve"> Mg      0.5843    0.0036    0.6698    0.9920     1.0008     1.4986     1.0431</t>
  </si>
  <si>
    <t xml:space="preserve"> Mn      0.9833    0.0004    1.0021    0.7871     1.0597     1.1958     1.0429</t>
  </si>
  <si>
    <t xml:space="preserve"> Fe      0.9871    0.0007    1.0032    0.7987     1.0590     1.1777     0.9931</t>
  </si>
  <si>
    <t xml:space="preserve"> Si      0.6643    0.0001    0.7289    0.9720     1.0160     1.3889     0.9992</t>
  </si>
  <si>
    <t xml:space="preserve"> Ca      0.9307    0.0049    0.9640    0.9045     1.0510     1.0858     1.0121</t>
  </si>
  <si>
    <t xml:space="preserve"> Cr      0.9781    0.0421    0.9993    0.8052     1.0596     1.1254     1.0545</t>
  </si>
  <si>
    <t xml:space="preserve"> Ni      0.9850    0.0000    0.9968    0.8058     1.0545     1.1806     1.1270</t>
  </si>
  <si>
    <t xml:space="preserve"> Al      0.5429    0.0066    0.6089    0.9535     1.0084     1.6968     1.4090</t>
  </si>
  <si>
    <t xml:space="preserve"> Mg      27.64     45.83     27.34     45.34    10.159   1.0431   0.26533   0.89067  </t>
  </si>
  <si>
    <t xml:space="preserve"> Mn       0.1773    0.2290    0.1754    0.2265   0.0288  1.0429   0.001701  0.005049  </t>
  </si>
  <si>
    <t xml:space="preserve"> Fe      11.05     14.21     10.93     14.06     1.768   0.9931   0.11128   1.50073  </t>
  </si>
  <si>
    <t xml:space="preserve"> Si      18.78     40.18     18.58     39.74     5.974   0.9992   0.18808   0.98643  </t>
  </si>
  <si>
    <t xml:space="preserve"> Ca       0.2530    0.3540    0.2503    0.3502   0.0564  1.0121   0.002500  0.007326  </t>
  </si>
  <si>
    <t xml:space="preserve"> Cr       0.0137    0.0200    0.0136    0.0198   0.0024  1.0545   0.000130  0.000190  </t>
  </si>
  <si>
    <t xml:space="preserve"> Ni       0.1830    0.2329    0.1811    0.2304   0.0279  1.1270   0.001624  0.002067  </t>
  </si>
  <si>
    <t xml:space="preserve"> Al       0.0194    0.0366    0.0192    0.0362   0.0064  1.4090   0.000138  0.000260  </t>
  </si>
  <si>
    <t xml:space="preserve"> O       42.98       -       42.51       -      24.000      -         -        </t>
  </si>
  <si>
    <t>Total:  101.09    101.09    100.00    100.00    18.022</t>
  </si>
  <si>
    <t xml:space="preserve"> UNK No.      :   32            Comment : UnkA-C20-S2-3MI_2_2                      </t>
  </si>
  <si>
    <t xml:space="preserve"> Stage        :    X=   45.0275  Y=   75.4745  Z=   11.4185 </t>
  </si>
  <si>
    <t xml:space="preserve"> Dated on Mar  2 03:57 2017 </t>
  </si>
  <si>
    <t xml:space="preserve"> 1 Mg   107.540  59180.9  296.7  229.8    0.09       38 </t>
  </si>
  <si>
    <t xml:space="preserve"> 2 Mn   146.037    113.4   95.8   84.8    1.96       34 </t>
  </si>
  <si>
    <t xml:space="preserve"> 3 Fe   134.743   2030.3    0.0   22.3    0.50      103 </t>
  </si>
  <si>
    <t xml:space="preserve"> 4 Si    77.808  26222.4  186.0  108.3    0.14       59 </t>
  </si>
  <si>
    <t xml:space="preserve"> 5 Ca   107.775    731.3  279.7  240.5    0.63       14 </t>
  </si>
  <si>
    <t xml:space="preserve"> 6 Cr   159.160     11.5   68.5   68.1   19.26       50 </t>
  </si>
  <si>
    <t xml:space="preserve"> 7 Ni   115.404     35.4   36.8   33.3    3.74       64 </t>
  </si>
  <si>
    <t xml:space="preserve"> 8 Al    90.986     21.0   80.4   65.4    9.86       24 </t>
  </si>
  <si>
    <t xml:space="preserve"> Mg      0.5857    0.0036    0.6714    0.9915     1.0009     1.4954     1.0409</t>
  </si>
  <si>
    <t xml:space="preserve"> Mn      0.9833    0.0004    1.0021    0.7868     1.0598     1.1962     1.0432</t>
  </si>
  <si>
    <t xml:space="preserve"> Fe      0.9871    0.0007    1.0032    0.7984     1.0590     1.1781     0.9934</t>
  </si>
  <si>
    <t xml:space="preserve"> Si      0.6643    0.0001    0.7290    0.9716     1.0162     1.3892     0.9994</t>
  </si>
  <si>
    <t xml:space="preserve"> Ca      0.9307    0.0049    0.9640    0.9041     1.0512     1.0862     1.0125</t>
  </si>
  <si>
    <t xml:space="preserve"> Cr      0.9782    0.0413    0.9993    0.8049     1.0598     1.1266     1.0556</t>
  </si>
  <si>
    <t xml:space="preserve"> Al      0.5430    0.0066    0.6090    0.9531     1.0086     1.6970     1.4092</t>
  </si>
  <si>
    <t xml:space="preserve"> Mg      27.81     46.12     27.48     45.57    10.201   1.0409   0.26761   0.89831  </t>
  </si>
  <si>
    <t xml:space="preserve"> Mn       0.1798    0.2321    0.1776    0.2294   0.0292  1.0432   0.001723  0.005116  </t>
  </si>
  <si>
    <t xml:space="preserve"> Fe      10.85     13.96     10.72     13.79     1.732   0.9934   0.10923   1.47305  </t>
  </si>
  <si>
    <t xml:space="preserve"> Si      18.81     40.23     18.59     39.76     5.970   0.9994   0.18834   0.98777  </t>
  </si>
  <si>
    <t xml:space="preserve"> Ca       0.2498    0.3495    0.2468    0.3454   0.0556  1.0125   0.002467  0.007230  </t>
  </si>
  <si>
    <t xml:space="preserve"> Cr       0.0196    0.0286    0.0193    0.0283   0.0034  1.0556   0.000185  0.000271  </t>
  </si>
  <si>
    <t xml:space="preserve"> Ni       0.1872    0.2383    0.1850    0.2355   0.0284  1.1272   0.001661  0.002114  </t>
  </si>
  <si>
    <t xml:space="preserve"> Al       0.0195    0.0368    0.0192    0.0363   0.0064  1.4092   0.000138  0.000261  </t>
  </si>
  <si>
    <t xml:space="preserve"> O       43.07       -       42.56       -      24.000      -         -        </t>
  </si>
  <si>
    <t>Total:  101.19    101.19    100.00    100.00    18.025</t>
  </si>
  <si>
    <t xml:space="preserve"> UNK No.      :   33            Comment : UnkA-C20-S2-3MI_2_3                      </t>
  </si>
  <si>
    <t xml:space="preserve"> Stage        :    X=   45.1195  Y=   75.4570  Z=   11.4185 </t>
  </si>
  <si>
    <t xml:space="preserve"> Dated on Mar  2 04:00 2017 </t>
  </si>
  <si>
    <t xml:space="preserve"> 1 Mg   107.540  59855.1  296.1  239.9    0.09       39 </t>
  </si>
  <si>
    <t xml:space="preserve"> 2 Mn   146.037    111.0   94.0   88.8    2.00       34 </t>
  </si>
  <si>
    <t xml:space="preserve"> 3 Fe   134.743   2026.1    0.0   24.8    0.50      109 </t>
  </si>
  <si>
    <t xml:space="preserve"> 4 Si    77.808  26049.6  187.1  110.4    0.14       59 </t>
  </si>
  <si>
    <t xml:space="preserve"> 5 Ca   107.775    710.8  283.7  236.1    0.64       14 </t>
  </si>
  <si>
    <t xml:space="preserve"> 6 Cr   159.160     11.5   68.1   65.5   19.19       50 </t>
  </si>
  <si>
    <t xml:space="preserve"> 7 Ni   115.404     36.3   35.2   32.2    3.62       63 </t>
  </si>
  <si>
    <t xml:space="preserve"> 8 Al    90.986     16.4   84.7   67.1   12.72       24 </t>
  </si>
  <si>
    <t xml:space="preserve"> Mg      0.5862    0.0035    0.6719    0.9914     1.0010     1.4943     1.0401</t>
  </si>
  <si>
    <t xml:space="preserve"> Mn      0.9833    0.0004    1.0021    0.7867     1.0599     1.1962     1.0432</t>
  </si>
  <si>
    <t xml:space="preserve"> Fe      0.9872    0.0007    1.0032    0.7983     1.0591     1.1781     0.9934</t>
  </si>
  <si>
    <t xml:space="preserve"> Si      0.6636    0.0001    0.7283    0.9715     1.0162     1.3907     1.0005</t>
  </si>
  <si>
    <t xml:space="preserve"> Ca      0.9307    0.0048    0.9640    0.9040     1.0512     1.0862     1.0125</t>
  </si>
  <si>
    <t xml:space="preserve"> Cr      0.9782    0.0412    0.9994    0.8048     1.0598     1.1268     1.0558</t>
  </si>
  <si>
    <t xml:space="preserve"> Ni      0.9852    0.0000    0.9970    0.8054     1.0546     1.1809     1.1272</t>
  </si>
  <si>
    <t xml:space="preserve"> Al      0.5421    0.0065    0.6080    0.9530     1.0086     1.6999     1.4116</t>
  </si>
  <si>
    <t xml:space="preserve"> Mg      28.12     46.62     27.71     45.95    10.292   1.0401   0.27082   0.90910  </t>
  </si>
  <si>
    <t xml:space="preserve"> Mn       0.1761    0.2274    0.1736    0.2241   0.0285  1.0432   0.001688  0.005012  </t>
  </si>
  <si>
    <t xml:space="preserve"> Fe      10.83     13.94     10.68     13.74     1.726   0.9934   0.10907   1.47093  </t>
  </si>
  <si>
    <t xml:space="preserve"> Si      18.71     40.03     18.44     39.46     5.929   1.0005   0.18721   0.98186  </t>
  </si>
  <si>
    <t xml:space="preserve"> Ca       0.2429    0.3399    0.2394    0.3350   0.0539  1.0125   0.002399  0.007032  </t>
  </si>
  <si>
    <t xml:space="preserve"> Cr       0.0194    0.0284    0.0192    0.0280   0.0033  1.0558   0.000184  0.000269  </t>
  </si>
  <si>
    <t xml:space="preserve"> Ni       0.1923    0.2447    0.1895    0.2412   0.0292  1.1272   0.001706  0.002171  </t>
  </si>
  <si>
    <t xml:space="preserve"> Al       0.0152    0.0288    0.0150    0.0284   0.0050  1.4116   0.000108  0.000204  </t>
  </si>
  <si>
    <t xml:space="preserve"> O       43.15       -       42.53       -      24.000      -         -        </t>
  </si>
  <si>
    <t>Total:  101.46    101.46    100.00    100.00    18.067</t>
  </si>
  <si>
    <t xml:space="preserve"> UNK No.      :   34            Comment : UnkA-C20-S2-3MI_3_1                      </t>
  </si>
  <si>
    <t xml:space="preserve"> Stage        :    X=   46.2925  Y=   76.5485  Z=   11.4170 </t>
  </si>
  <si>
    <t xml:space="preserve"> Dated on Mar  2 04:04 2017 </t>
  </si>
  <si>
    <t xml:space="preserve"> 1 Mg   107.540  56930.2  295.1  225.9    0.09       38 </t>
  </si>
  <si>
    <t xml:space="preserve"> 2 Mn   146.037    123.9   93.0   88.0    1.82       34 </t>
  </si>
  <si>
    <t xml:space="preserve"> 3 Fe   134.743   2264.2    0.0   24.6    0.47      109 </t>
  </si>
  <si>
    <t xml:space="preserve"> 4 Si    77.808  26107.7  192.8  117.8    0.14       61 </t>
  </si>
  <si>
    <t xml:space="preserve"> 5 Ca   107.775    732.2  289.2  247.6    0.63       14 </t>
  </si>
  <si>
    <t xml:space="preserve"> 6 Cr   159.160      3.8   71.9   66.1   56.95 ?     50 </t>
  </si>
  <si>
    <t xml:space="preserve"> 7 Ni   115.404     32.5   36.9   34.1    4.04       65 </t>
  </si>
  <si>
    <t xml:space="preserve"> 8 Al    90.986     20.3   84.9   70.4   10.43       25 </t>
  </si>
  <si>
    <t xml:space="preserve"> Mg      0.5774    0.0035    0.6619    0.9942     0.9998     1.5144     1.0541</t>
  </si>
  <si>
    <t xml:space="preserve"> Mn      0.9833    0.0004    1.0021    0.7888     1.0592     1.1939     1.0413</t>
  </si>
  <si>
    <t xml:space="preserve"> Fe      0.9871    0.0006    1.0032    0.8004     1.0585     1.1759     0.9915</t>
  </si>
  <si>
    <t xml:space="preserve"> Si      0.6635    0.0002    0.7281    0.9742     1.0150     1.3886     0.9990</t>
  </si>
  <si>
    <t xml:space="preserve"> Ca      0.9306    0.0054    0.9639    0.9065     1.0503     1.0838     1.0103</t>
  </si>
  <si>
    <t xml:space="preserve"> Cr      0.9781    0.0458    0.9993    0.8069     1.0591     1.1196     1.0491</t>
  </si>
  <si>
    <t xml:space="preserve"> Ni      0.9843    0.0000    0.9962    0.8075     1.0542     1.1793     1.1258</t>
  </si>
  <si>
    <t xml:space="preserve"> Al      0.5421    0.0066    0.6080    0.9557     1.0075     1.6972     1.4094</t>
  </si>
  <si>
    <t xml:space="preserve"> Mg      27.09     44.92     26.73     44.32     9.990   1.0541   0.25743   0.86415  </t>
  </si>
  <si>
    <t xml:space="preserve"> Mn       0.1961    0.2532    0.1934    0.2498   0.0320  1.0413   0.001883  0.005591  </t>
  </si>
  <si>
    <t xml:space="preserve"> Fe      12.07     15.53     11.91     15.33     1.938   0.9915   0.12181   1.64281  </t>
  </si>
  <si>
    <t xml:space="preserve"> Si      18.72     40.04     18.47     39.50     5.973   0.9990   0.18751   0.98345  </t>
  </si>
  <si>
    <t xml:space="preserve"> Ca       0.2495    0.3491    0.2462    0.3445   0.0558  1.0103   0.002470  0.007239  </t>
  </si>
  <si>
    <t xml:space="preserve"> Cr       0.0065    0.0094    0.0064    0.0093   0.0011  1.0491   0.000062  0.000090  </t>
  </si>
  <si>
    <t xml:space="preserve"> Ni       0.1714    0.2182    0.1691    0.2152   0.0262  1.1258   0.001523  0.001938  </t>
  </si>
  <si>
    <t xml:space="preserve"> Al       0.0189    0.0357    0.0186    0.0352   0.0063  1.4094   0.000134  0.000253  </t>
  </si>
  <si>
    <t xml:space="preserve"> O       42.83       -       42.26       -      24.000      -         -        </t>
  </si>
  <si>
    <t>Total:  101.36    101.36    100.00    100.00    18.023</t>
  </si>
  <si>
    <t xml:space="preserve"> UNK No.      :   35            Comment : UnkA-C20-S2-3MI_3_2                      </t>
  </si>
  <si>
    <t xml:space="preserve"> Stage        :    X=   46.3345  Y=   76.5560  Z=   11.4170 </t>
  </si>
  <si>
    <t xml:space="preserve"> Dated on Mar  2 04:07 2017 </t>
  </si>
  <si>
    <t xml:space="preserve"> 1 Mg   107.540  56882.9  304.4  238.3    0.09       39 </t>
  </si>
  <si>
    <t xml:space="preserve"> 2 Mn   146.037    127.0   97.1   88.6    1.80       35 </t>
  </si>
  <si>
    <t xml:space="preserve"> 3 Fe   134.743   2298.7    0.0   22.8    0.47      105 </t>
  </si>
  <si>
    <t xml:space="preserve"> 4 Si    77.808  26030.1  186.7  118.3    0.14       60 </t>
  </si>
  <si>
    <t xml:space="preserve"> 5 Ca   107.775    730.9  288.1  240.1    0.63       14 </t>
  </si>
  <si>
    <t xml:space="preserve"> 6 Cr   159.160      4.2   70.4   67.0   52.17 ?     50 </t>
  </si>
  <si>
    <t xml:space="preserve"> 7 Ni   115.404     29.0   36.0   33.9    4.43       64 </t>
  </si>
  <si>
    <t xml:space="preserve"> 8 Al    90.986     18.0   82.7   67.4   11.56       24 </t>
  </si>
  <si>
    <t xml:space="preserve"> Mg      0.5765    0.0035    0.6608    0.9946     0.9997     1.5166     1.0556</t>
  </si>
  <si>
    <t xml:space="preserve"> Mn      0.9833    0.0003    1.0021    0.7890     1.0592     1.1937     1.0410</t>
  </si>
  <si>
    <t xml:space="preserve"> Fe      0.9871    0.0005    1.0032    0.8007     1.0584     1.1756     0.9913</t>
  </si>
  <si>
    <t xml:space="preserve"> Si      0.6632    0.0002    0.7277    0.9745     1.0149     1.3891     0.9993</t>
  </si>
  <si>
    <t xml:space="preserve"> Ca      0.9306    0.0054    0.9639    0.9068     1.0502     1.0835     1.0099</t>
  </si>
  <si>
    <t xml:space="preserve"> Cr      0.9781    0.0464    0.9993    0.8072     1.0590     1.1187     1.0482</t>
  </si>
  <si>
    <t xml:space="preserve"> Ni      0.9842    0.0000    0.9961    0.8077     1.0541     1.1792     1.1256</t>
  </si>
  <si>
    <t xml:space="preserve"> Al      0.5417    0.0065    0.6075    0.9560     1.0073     1.6982     1.4102</t>
  </si>
  <si>
    <t xml:space="preserve"> Mg      27.11     44.96     26.71     44.28     9.995   1.0556   0.25735   0.86387  </t>
  </si>
  <si>
    <t xml:space="preserve"> Mn       0.2010    0.2596    0.1980    0.2557   0.0328  1.0410   0.001931  0.005734  </t>
  </si>
  <si>
    <t xml:space="preserve"> Fe      12.26     15.77     12.08     15.54     1.967   0.9913   0.12373   1.66863  </t>
  </si>
  <si>
    <t xml:space="preserve"> Si      18.67     39.95     18.39     39.35     5.958   0.9993   0.18705   0.98103  </t>
  </si>
  <si>
    <t xml:space="preserve"> Ca       0.2491    0.3486    0.2454    0.3433   0.0557  1.0099   0.002467  0.007230  </t>
  </si>
  <si>
    <t xml:space="preserve"> Cr       0.0070    0.0103    0.0069    0.0101   0.0012  1.0482   0.000067  0.000098  </t>
  </si>
  <si>
    <t xml:space="preserve"> Ni       0.1529    0.1946    0.1506    0.1917   0.0233  1.1256   0.001359  0.001729  </t>
  </si>
  <si>
    <t xml:space="preserve"> Al       0.0167    0.0316    0.0165    0.0311   0.0056  1.4102   0.000119  0.000224  </t>
  </si>
  <si>
    <t xml:space="preserve"> O       42.85       -       42.21       -      24.000      -         -        </t>
  </si>
  <si>
    <t>Total:  101.53    101.53    100.00    100.00    18.039</t>
  </si>
  <si>
    <t xml:space="preserve"> UNK No.      :   36            Comment : UnkA-C20-S2-3MI_3_3                      </t>
  </si>
  <si>
    <t xml:space="preserve"> Stage        :    X=   46.3150  Y=   76.5035  Z=   11.4170 </t>
  </si>
  <si>
    <t xml:space="preserve"> Dated on Mar  2 04:10 2017 </t>
  </si>
  <si>
    <t xml:space="preserve"> 1 Mg   107.540  56880.8  300.5  229.9    0.09       39 </t>
  </si>
  <si>
    <t xml:space="preserve"> 2 Mn   146.037    123.6   96.2   85.2    1.83       34 </t>
  </si>
  <si>
    <t xml:space="preserve"> 3 Fe   134.743   2300.0    0.0   22.4    0.47      104 </t>
  </si>
  <si>
    <t xml:space="preserve"> 4 Si    77.808  26064.7  191.8  112.0    0.14       60 </t>
  </si>
  <si>
    <t xml:space="preserve"> 5 Ca   107.775    734.1  283.6  242.4    0.63       14 </t>
  </si>
  <si>
    <t xml:space="preserve"> 6 Cr   159.160     10.3   63.7   66.3   21.04       49 </t>
  </si>
  <si>
    <t xml:space="preserve"> 7 Ni   115.404     29.7   38.4   32.4    4.36       65 </t>
  </si>
  <si>
    <t xml:space="preserve"> 8 Al    90.986     21.3   85.2   68.6    9.95       25 </t>
  </si>
  <si>
    <t xml:space="preserve"> Mg      0.5764    0.0035    0.6608    0.9946     0.9997     1.5167     1.0557</t>
  </si>
  <si>
    <t xml:space="preserve"> Mn      0.9833    0.0003    1.0021    0.7891     1.0592     1.1937     1.0410</t>
  </si>
  <si>
    <t xml:space="preserve"> Si      0.6632    0.0002    0.7278    0.9745     1.0149     1.3890     0.9993</t>
  </si>
  <si>
    <t xml:space="preserve"> Ca      0.9306    0.0055    0.9639    0.9068     1.0502     1.0835     1.0099</t>
  </si>
  <si>
    <t xml:space="preserve"> Ni      0.9842    0.0000    0.9961    0.8077     1.0541     1.1791     1.1256</t>
  </si>
  <si>
    <t xml:space="preserve"> Al      0.5417    0.0065    0.6076    0.9560     1.0073     1.6980     1.4100</t>
  </si>
  <si>
    <t xml:space="preserve"> Mg      27.12     44.97     26.68     44.25     9.987   1.0557   0.25742   0.86410  </t>
  </si>
  <si>
    <t xml:space="preserve"> Mn       0.1956    0.2526    0.1925    0.2485   0.0319  1.0410   0.001879  0.005579  </t>
  </si>
  <si>
    <t xml:space="preserve"> Fe      12.27     15.79     12.07     15.53     1.967   0.9913   0.12384   1.67008  </t>
  </si>
  <si>
    <t xml:space="preserve"> Si      18.70     40.01     18.40     39.37     5.960   0.9993   0.18736   0.98263  </t>
  </si>
  <si>
    <t xml:space="preserve"> Ca       0.2503    0.3502    0.2463    0.3446   0.0559  1.0099   0.002478  0.007264  </t>
  </si>
  <si>
    <t xml:space="preserve"> Cr       0.0174    0.0254    0.0171    0.0250   0.0030  1.0482   0.000166  0.000242  </t>
  </si>
  <si>
    <t xml:space="preserve"> Ni       0.1570    0.1998    0.1545    0.1966   0.0239  1.1256   0.001395  0.001775  </t>
  </si>
  <si>
    <t xml:space="preserve"> Al       0.0198    0.0375    0.0195    0.0369   0.0066  1.4100   0.000141  0.000266  </t>
  </si>
  <si>
    <t xml:space="preserve"> O       42.90       -       42.21       -      24.000      -         -        </t>
  </si>
  <si>
    <t>Total:  101.63    101.63    100.00    100.00    18.035</t>
  </si>
  <si>
    <t xml:space="preserve"> UNK No.      :   37            Comment : UnkA-C20-S2-3MI_4_1                      </t>
  </si>
  <si>
    <t xml:space="preserve"> Stage        :    X=   51.4185  Y=   80.8790  Z=   11.4060 </t>
  </si>
  <si>
    <t xml:space="preserve"> Dated on Mar  2 04:14 2017 </t>
  </si>
  <si>
    <t xml:space="preserve"> 1 Mg   107.540  60898.8  298.8  234.6    0.09       39 </t>
  </si>
  <si>
    <t xml:space="preserve"> 2 Mn   146.037    104.9   93.9   83.7    2.08       34 </t>
  </si>
  <si>
    <t xml:space="preserve"> 3 Fe   134.743   1903.4    0.0   22.3    0.52      103 </t>
  </si>
  <si>
    <t xml:space="preserve"> 4 Si    77.808  26184.6  192.8  112.1    0.14       60 </t>
  </si>
  <si>
    <t xml:space="preserve"> 5 Ca   107.775    708.1  279.2  239.5    0.64       14 </t>
  </si>
  <si>
    <t xml:space="preserve"> 6 Cr   159.160     16.8   69.1   68.8   13.51       50 </t>
  </si>
  <si>
    <t xml:space="preserve"> 7 Ni   115.404     32.9   34.6   34.0    3.95       64 </t>
  </si>
  <si>
    <t xml:space="preserve"> 8 Al    90.986     16.3   78.3   64.9   12.44       24 </t>
  </si>
  <si>
    <t xml:space="preserve"> Mg      0.5907    0.0036    0.6771    0.9900     1.0016     1.4840     1.0329</t>
  </si>
  <si>
    <t xml:space="preserve"> Mn      0.9833    0.0004    1.0021    0.7857     1.0602     1.1975     1.0444</t>
  </si>
  <si>
    <t xml:space="preserve"> Si      0.6644    0.0001    0.7291    0.9701     1.0168     1.3904     1.0002</t>
  </si>
  <si>
    <t xml:space="preserve"> Ca      0.9307    0.0046    0.9640    0.9028     1.0517     1.0875     1.0137</t>
  </si>
  <si>
    <t xml:space="preserve"> Cr      0.9782    0.0388    0.9994    0.8037     1.0601     1.1305     1.0593</t>
  </si>
  <si>
    <t xml:space="preserve"> Ni      0.9856    0.0000    0.9974    0.8043     1.0548     1.1817     1.1280</t>
  </si>
  <si>
    <t xml:space="preserve"> Al      0.5430    0.0066    0.6090    0.9516     1.0092     1.6987     1.4106</t>
  </si>
  <si>
    <t xml:space="preserve"> Mg      28.40     47.10     28.05     46.51    10.374   1.0329   0.27543   0.92458  </t>
  </si>
  <si>
    <t xml:space="preserve"> Mn       0.1664    0.2149    0.1643    0.2122   0.0269  1.0444   0.001593  0.004731  </t>
  </si>
  <si>
    <t xml:space="preserve"> Fe      10.18     13.10     10.06     12.94     1.619   0.9946   0.10242   1.38126  </t>
  </si>
  <si>
    <t xml:space="preserve"> Si      18.80     40.22     18.57     39.71     5.942   1.0002   0.18810   0.98655  </t>
  </si>
  <si>
    <t xml:space="preserve"> Ca       0.2422    0.3389    0.2392    0.3346   0.0537  1.0137   0.002389  0.007002  </t>
  </si>
  <si>
    <t xml:space="preserve"> Cr       0.0286    0.0418    0.0283    0.0413   0.0049  1.0593   0.000270  0.000395  </t>
  </si>
  <si>
    <t xml:space="preserve"> Ni       0.1744    0.2219    0.1722    0.2191   0.0264  1.1280   0.001546  0.001967  </t>
  </si>
  <si>
    <t xml:space="preserve"> Al       0.0151    0.0285    0.0149    0.0281   0.0050  1.4106   0.000107  0.000202  </t>
  </si>
  <si>
    <t xml:space="preserve"> O       43.25       -       42.71       -      24.000      -         -        </t>
  </si>
  <si>
    <t>Total:  101.26    101.26    100.00    100.00    18.053</t>
  </si>
  <si>
    <t xml:space="preserve"> UNK No.      :   38            Comment : UnkA-C20-S2-3MI_4_2                      </t>
  </si>
  <si>
    <t xml:space="preserve"> Stage        :    X=   51.4340  Y=   80.9060  Z=   11.4060 </t>
  </si>
  <si>
    <t xml:space="preserve"> Dated on Mar  2 04:17 2017 </t>
  </si>
  <si>
    <t xml:space="preserve"> 1 Mg   107.540  61147.1  292.3  233.3    0.09       38 </t>
  </si>
  <si>
    <t xml:space="preserve"> 2 Mn   146.037    106.3   91.6   83.8    2.05       34 </t>
  </si>
  <si>
    <t xml:space="preserve"> 3 Fe   134.743   1877.7    0.0   23.7    0.52      107 </t>
  </si>
  <si>
    <t xml:space="preserve"> 4 Si    77.808  26189.3  181.5  109.0    0.14       59 </t>
  </si>
  <si>
    <t xml:space="preserve"> 5 Ca   107.775    706.1  272.7  238.2    0.64       14 </t>
  </si>
  <si>
    <t xml:space="preserve"> 6 Cr   159.160     15.9   70.6   67.2   14.23       50 </t>
  </si>
  <si>
    <t xml:space="preserve"> 7 Ni   115.404     30.5   38.4   33.2    4.28       65 </t>
  </si>
  <si>
    <t xml:space="preserve"> 8 Al    90.986     17.2   81.7   64.9   11.94       24 </t>
  </si>
  <si>
    <t xml:space="preserve"> Mg      0.5917    0.0036    0.6783    0.9897     1.0017     1.4817     1.0313</t>
  </si>
  <si>
    <t xml:space="preserve"> Si      0.6645    0.0001    0.7292    0.9698     1.0169     1.3904     1.0003</t>
  </si>
  <si>
    <t xml:space="preserve"> Ca      0.9307    0.0045    0.9640    0.9025     1.0518     1.0878     1.0140</t>
  </si>
  <si>
    <t xml:space="preserve"> Cr      0.9782    0.0383    0.9994    0.8035     1.0602     1.1313     1.0600</t>
  </si>
  <si>
    <t xml:space="preserve"> Al      0.5431    0.0066    0.6091    0.9513     1.0093     1.6986     1.4105</t>
  </si>
  <si>
    <t xml:space="preserve"> Mg      28.48     47.23     28.14     46.66    10.398   1.0313   0.27661   0.92853  </t>
  </si>
  <si>
    <t xml:space="preserve"> Mn       0.1687    0.2179    0.1667    0.2152   0.0273  1.0446   0.001615  0.004796  </t>
  </si>
  <si>
    <t xml:space="preserve"> Fe      10.05     12.93      9.93     12.77     1.597   0.9948   0.10106   1.36288  </t>
  </si>
  <si>
    <t xml:space="preserve"> Si      18.81     40.23     18.58     39.75     5.942   1.0003   0.18818   0.98693  </t>
  </si>
  <si>
    <t xml:space="preserve"> Ca       0.2416    0.3381    0.2387    0.3340   0.0535  1.0140   0.002383  0.006984  </t>
  </si>
  <si>
    <t xml:space="preserve"> Cr       0.0271    0.0396    0.0268    0.0392   0.0046  1.0600   0.000256  0.000374  </t>
  </si>
  <si>
    <t xml:space="preserve"> Ni       0.1616    0.2057    0.1597    0.2032   0.0244  1.1282   0.001433  0.001823  </t>
  </si>
  <si>
    <t xml:space="preserve"> Al       0.0160    0.0302    0.0158    0.0298   0.0053  1.4105   0.000113  0.000214  </t>
  </si>
  <si>
    <t xml:space="preserve"> O       43.27       -       42.74       -      24.000      -         -        </t>
  </si>
  <si>
    <t>Total:  101.23    101.23    100.00    100.00    18.053</t>
  </si>
  <si>
    <t xml:space="preserve"> UNK No.      :   39            Comment : UnkA-C20-S2-3MI_4_3                      </t>
  </si>
  <si>
    <t xml:space="preserve"> Stage        :    X=   51.4650  Y=   80.8960  Z=   11.4060 </t>
  </si>
  <si>
    <t xml:space="preserve"> Dated on Mar  2 04:21 2017 </t>
  </si>
  <si>
    <t xml:space="preserve"> 1 Mg   107.540  61015.8  295.9  234.0    0.09       39 </t>
  </si>
  <si>
    <t xml:space="preserve"> 2 Mn   146.037     99.7   95.2   86.1    2.18       34 </t>
  </si>
  <si>
    <t xml:space="preserve"> 3 Fe   134.743   1897.5    0.0   21.1    0.52      101 </t>
  </si>
  <si>
    <t xml:space="preserve"> 4 Si    77.808  26184.6  188.1  110.7    0.14       59 </t>
  </si>
  <si>
    <t xml:space="preserve"> 5 Ca   107.775    698.4  278.5  240.0    0.65       14 </t>
  </si>
  <si>
    <t xml:space="preserve"> 6 Cr   159.160      9.8   72.9   68.9   23.01       51 </t>
  </si>
  <si>
    <t xml:space="preserve"> 7 Ni   115.404     29.6   38.4   34.2    4.41       66 </t>
  </si>
  <si>
    <t xml:space="preserve"> 8 Al    90.986     15.0   81.2   63.5   13.55       24 </t>
  </si>
  <si>
    <t xml:space="preserve"> Mg      0.5912    0.0036    0.6777    0.9898     1.0017     1.4830     1.0322</t>
  </si>
  <si>
    <t xml:space="preserve"> Mn      0.9833    0.0004    1.0021    0.7856     1.0602     1.1977     1.0445</t>
  </si>
  <si>
    <t xml:space="preserve"> Fe      0.9872    0.0006    1.0032    0.7971     1.0594     1.1797     0.9947</t>
  </si>
  <si>
    <t xml:space="preserve"> Si      0.6644    0.0001    0.7291    0.9699     1.0169     1.3904     1.0003</t>
  </si>
  <si>
    <t xml:space="preserve"> Ca      0.9307    0.0045    0.9640    0.9027     1.0518     1.0877     1.0138</t>
  </si>
  <si>
    <t xml:space="preserve"> Cr      0.9782    0.0387    0.9994    0.8036     1.0602     1.1307     1.0595</t>
  </si>
  <si>
    <t xml:space="preserve"> Ni      0.9856    0.0000    0.9975    0.8042     1.0549     1.1818     1.1281</t>
  </si>
  <si>
    <t xml:space="preserve"> Al      0.5430    0.0066    0.6090    0.9515     1.0093     1.6987     1.4106</t>
  </si>
  <si>
    <t xml:space="preserve"> Mg      28.44     47.15     28.10     46.59    10.387   1.0322   0.27590   0.92617  </t>
  </si>
  <si>
    <t xml:space="preserve"> Mn       0.1582    0.2042    0.1563    0.2018   0.0256  1.0445   0.001514  0.004496  </t>
  </si>
  <si>
    <t xml:space="preserve"> Fe      10.15     13.06     10.03     12.90     1.614   0.9947   0.10209   1.37675  </t>
  </si>
  <si>
    <t xml:space="preserve"> Si      18.80     40.21     18.57     39.73     5.943   1.0003   0.18807   0.98635  </t>
  </si>
  <si>
    <t xml:space="preserve"> Ca       0.2389    0.3342    0.2360    0.3302   0.0529  1.0138   0.002356  0.006905  </t>
  </si>
  <si>
    <t xml:space="preserve"> Cr       0.0166    0.0243    0.0164    0.0240   0.0028  1.0595   0.000157  0.000229  </t>
  </si>
  <si>
    <t xml:space="preserve"> Ni       0.1566    0.1993    0.1548    0.1969   0.0237  1.1281   0.001389  0.001767  </t>
  </si>
  <si>
    <t xml:space="preserve"> Al       0.0139    0.0262    0.0137    0.0259   0.0046  1.4106   0.000098  0.000186  </t>
  </si>
  <si>
    <t xml:space="preserve"> O       43.24       -       42.72       -      24.000      -         -        </t>
  </si>
  <si>
    <t>Total:  101.21    101.21    100.00    100.00    18.054</t>
  </si>
  <si>
    <t xml:space="preserve"> UNK No.      :   40            Comment : UnkA-C21MI_1_1                           </t>
  </si>
  <si>
    <t xml:space="preserve"> Stage        :    X=   17.6735  Y=   71.9175  Z=   11.4620 </t>
  </si>
  <si>
    <t xml:space="preserve"> Dated on Mar  2 04:24 2017 </t>
  </si>
  <si>
    <t xml:space="preserve"> 1 Mg   107.540  55146.6  302.1  236.2    0.10       39 </t>
  </si>
  <si>
    <t xml:space="preserve"> 2 Mn   146.037    150.5   97.8   86.1    1.58       35 </t>
  </si>
  <si>
    <t xml:space="preserve"> 3 Fe   134.743   2498.3    0.0   25.0    0.45      110 </t>
  </si>
  <si>
    <t xml:space="preserve"> 4 Si    77.808  25747.6  197.3  113.1    0.14       61 </t>
  </si>
  <si>
    <t xml:space="preserve"> 5 Ca   107.775    801.2  292.4  244.5    0.59       14 </t>
  </si>
  <si>
    <t xml:space="preserve"> 6 Cr   159.160      5.7   69.5   70.3   38.69 ?     51 </t>
  </si>
  <si>
    <t xml:space="preserve"> 7 Ni   115.404     24.8   37.8   34.1    5.12       65 </t>
  </si>
  <si>
    <t xml:space="preserve"> 8 Al    90.986     18.4   83.0   63.2   11.19       24 </t>
  </si>
  <si>
    <t xml:space="preserve"> Mg      0.5695    0.0034    0.6529    0.9970     0.9987     1.5330     1.0670</t>
  </si>
  <si>
    <t xml:space="preserve"> Mn      0.9832    0.0003    1.0021    0.7908     1.0586     1.1917     1.0393</t>
  </si>
  <si>
    <t xml:space="preserve"> Fe      0.9871    0.0004    1.0032    0.8024     1.0579     1.1737     0.9897</t>
  </si>
  <si>
    <t xml:space="preserve"> Si      0.6620    0.0002    0.7265    0.9769     1.0139     1.3895     0.9996</t>
  </si>
  <si>
    <t xml:space="preserve"> Ca      0.9306    0.0059    0.9639    0.9089     1.0494     1.0813     1.0079</t>
  </si>
  <si>
    <t xml:space="preserve"> Cr      0.9781    0.0502    0.9993    0.8090     1.0584     1.1128     1.0427</t>
  </si>
  <si>
    <t xml:space="preserve"> Ni      0.9835    0.0000    0.9953    0.8095     1.0537     1.1778     1.1244</t>
  </si>
  <si>
    <t xml:space="preserve"> Al      0.5404    0.0064    0.6061    0.9583     1.0063     1.6999     1.4116</t>
  </si>
  <si>
    <t xml:space="preserve"> Mg      26.59     44.08     26.15     43.36     9.856   1.0670   0.24967   0.83809  </t>
  </si>
  <si>
    <t xml:space="preserve"> Mn       0.2379    0.3071    0.2340    0.3021   0.0390  1.0393   0.002289  0.006795  </t>
  </si>
  <si>
    <t xml:space="preserve"> Fe      13.31     17.13     13.10     16.85     2.148   0.9897   0.13457   1.81482  </t>
  </si>
  <si>
    <t xml:space="preserve"> Si      18.49     39.55     18.19     38.90     5.932   0.9996   0.18515   0.97107  </t>
  </si>
  <si>
    <t xml:space="preserve"> Ca       0.2727    0.3816    0.2683    0.3754   0.0613  1.0079   0.002706  0.007931  </t>
  </si>
  <si>
    <t xml:space="preserve"> Cr       0.0096    0.0140    0.0094    0.0137   0.0017  1.0427   0.000092  0.000134  </t>
  </si>
  <si>
    <t xml:space="preserve"> Ni       0.1310    0.1667    0.1289    0.1640   0.0201  1.1244   0.001165  0.001483  </t>
  </si>
  <si>
    <t xml:space="preserve"> Al       0.0171    0.0323    0.0168    0.0318   0.0057  1.4116   0.000121  0.000229  </t>
  </si>
  <si>
    <t xml:space="preserve"> O       42.61       -       41.91       -      24.000      -         -        </t>
  </si>
  <si>
    <t>Total:  101.66    101.66    100.00    100.00    18.064</t>
  </si>
  <si>
    <t xml:space="preserve"> UNK No.      :   41            Comment : UnkA-C21MI_1_2                           </t>
  </si>
  <si>
    <t xml:space="preserve"> Stage        :    X=   17.7000  Y=   71.9175  Z=   11.4620 </t>
  </si>
  <si>
    <t xml:space="preserve"> Dated on Mar  2 04:27 2017 </t>
  </si>
  <si>
    <t xml:space="preserve"> 1 Mg   107.540  54859.7  297.7  227.2    0.10       38 </t>
  </si>
  <si>
    <t xml:space="preserve"> 2 Mn   146.037    151.8   98.2   87.8    1.57       35 </t>
  </si>
  <si>
    <t xml:space="preserve"> 3 Fe   134.743   2526.7    0.0   22.8    0.45      105 </t>
  </si>
  <si>
    <t xml:space="preserve"> 4 Si    77.808  24959.1  182.9  112.2    0.14       59 </t>
  </si>
  <si>
    <t xml:space="preserve"> 5 Ca   107.775    828.6  294.0  244.8    0.58       14 </t>
  </si>
  <si>
    <t xml:space="preserve"> 6 Cr   159.160      1.0   73.3   72.1  225.78 ?     52 </t>
  </si>
  <si>
    <t xml:space="preserve"> 7 Ni   115.404     23.0   38.2   35.2    5.52       66 </t>
  </si>
  <si>
    <t xml:space="preserve"> 8 Al    90.986     19.2   78.7   67.8   10.74       24 </t>
  </si>
  <si>
    <t xml:space="preserve"> Mg      0.5681    0.0034    0.6512    0.9976     0.9985     1.5365     1.0695</t>
  </si>
  <si>
    <t xml:space="preserve"> Mn      0.9832    0.0003    1.0021    0.7913     1.0585     1.1912     1.0388</t>
  </si>
  <si>
    <t xml:space="preserve"> Fe      0.9871    0.0004    1.0032    0.8029     1.0578     1.1732     0.9892</t>
  </si>
  <si>
    <t xml:space="preserve"> Si      0.6604    0.0002    0.7247    0.9775     1.0137     1.3924     1.0017</t>
  </si>
  <si>
    <t xml:space="preserve"> Ca      0.9307    0.0060    0.9640    0.9094     1.0492     1.0806     1.0073</t>
  </si>
  <si>
    <t xml:space="preserve"> Ni      0.9834    0.0000    0.9952    0.8100     1.0536     1.1775     1.1240</t>
  </si>
  <si>
    <t xml:space="preserve"> Al      0.5385    0.0063    0.6040    0.9589     1.0061     1.7054     1.4162</t>
  </si>
  <si>
    <t xml:space="preserve"> Mg      26.52     43.98     26.37     43.72     9.975   1.0695   0.24819   0.83314  </t>
  </si>
  <si>
    <t xml:space="preserve"> Mn       0.2397    0.3095    0.2382    0.3076   0.0399  1.0388   0.002307  0.006850  </t>
  </si>
  <si>
    <t xml:space="preserve"> Fe      13.45     17.31     13.37     17.20     2.202   0.9892   0.13600   1.83418  </t>
  </si>
  <si>
    <t xml:space="preserve"> Si      17.96     38.42     17.85     38.19     5.845   1.0017   0.17936   0.94066  </t>
  </si>
  <si>
    <t xml:space="preserve"> Ca       0.2817    0.3941    0.2800    0.3918   0.0643  1.0073   0.002796  0.008196  </t>
  </si>
  <si>
    <t xml:space="preserve"> Cr       0.0016    0.0024    0.0016    0.0024   0.0003  1.0411   0.000016  0.000023 ?</t>
  </si>
  <si>
    <t xml:space="preserve"> Ni       0.1212    0.1542    0.1205    0.1533   0.0189  1.1240   0.001078  0.001372  </t>
  </si>
  <si>
    <t xml:space="preserve"> Al       0.0178    0.0337    0.0177    0.0335   0.0060  1.4162   0.000126  0.000238  </t>
  </si>
  <si>
    <t xml:space="preserve"> O       42.00       -       41.75       -      24.000      -         -        </t>
  </si>
  <si>
    <t>Total:  100.60    100.60    100.00    100.00    18.151</t>
  </si>
  <si>
    <t xml:space="preserve"> UNK No.      :   42            Comment : UnkA-C21MI_1_3                           </t>
  </si>
  <si>
    <t xml:space="preserve"> Stage        :    X=   17.6875  Y=   71.8755  Z=   11.4620 </t>
  </si>
  <si>
    <t xml:space="preserve"> Dated on Mar  2 04:31 2017 </t>
  </si>
  <si>
    <t xml:space="preserve"> 1 Mg   107.540  54657.7  302.7  224.6    0.10       39 </t>
  </si>
  <si>
    <t xml:space="preserve"> 2 Mn   146.037    150.8   99.6   85.6    1.58       35 </t>
  </si>
  <si>
    <t xml:space="preserve"> 3 Fe   134.743   2546.1    0.0   25.6    0.45      111 </t>
  </si>
  <si>
    <t xml:space="preserve"> 4 Si    77.808  24828.8  193.0  114.0    0.14       60 </t>
  </si>
  <si>
    <t xml:space="preserve"> 5 Ca   107.775    810.6  291.1  248.6    0.59       14 </t>
  </si>
  <si>
    <t xml:space="preserve"> 6 Cr   159.160      5.7   72.0   68.5   38.96 ?     51 </t>
  </si>
  <si>
    <t xml:space="preserve"> 7 Ni   115.404     22.3   38.7   35.4    5.69       66 </t>
  </si>
  <si>
    <t xml:space="preserve"> 8 Al    90.986     16.8   88.6   66.4   12.58       25 </t>
  </si>
  <si>
    <t xml:space="preserve"> Mg      0.5673    0.0034    0.6503    0.9979     0.9984     1.5383     1.0707</t>
  </si>
  <si>
    <t xml:space="preserve"> Mn      0.9832    0.0003    1.0021    0.7915     1.0584     1.1909     1.0386</t>
  </si>
  <si>
    <t xml:space="preserve"> Fe      0.9871    0.0004    1.0032    0.8031     1.0578     1.1729     0.9890</t>
  </si>
  <si>
    <t xml:space="preserve"> Si      0.6601    0.0002    0.7243    0.9778     1.0136     1.3928     1.0020</t>
  </si>
  <si>
    <t xml:space="preserve"> Ca      0.9307    0.0061    0.9640    0.9097     1.0491     1.0804     1.0070</t>
  </si>
  <si>
    <t xml:space="preserve"> Cr      0.9781    0.0518    0.9993    0.8097     1.0582     1.1104     1.0404</t>
  </si>
  <si>
    <t xml:space="preserve"> Ni      0.9833    0.0000    0.9951    0.8102     1.0536     1.1773     1.1238</t>
  </si>
  <si>
    <t xml:space="preserve"> Al      0.5382    0.0063    0.6036    0.9592     1.0060     1.7063     1.4169</t>
  </si>
  <si>
    <t xml:space="preserve"> Mg      26.46     43.88     26.35     43.69     9.979   1.0707   0.24730   0.83016  </t>
  </si>
  <si>
    <t xml:space="preserve"> Mn       0.2381    0.3074    0.2370    0.3061   0.0397  1.0386   0.002292  0.006806  </t>
  </si>
  <si>
    <t xml:space="preserve"> Fe      13.55     17.44     13.49     17.36     2.224   0.9890   0.13706   1.84840  </t>
  </si>
  <si>
    <t xml:space="preserve"> Si      17.87     38.24     17.80     38.07     5.833   1.0020   0.17844   0.93585  </t>
  </si>
  <si>
    <t xml:space="preserve"> Ca       0.2755    0.3855    0.2743    0.3838   0.0630  1.0070   0.002736  0.008019  </t>
  </si>
  <si>
    <t xml:space="preserve"> Cr       0.0095    0.0138    0.0094    0.0138   0.0017  1.0404   0.000091  0.000133  </t>
  </si>
  <si>
    <t xml:space="preserve"> Ni       0.1175    0.1496    0.1170    0.1489   0.0184  1.1238   0.001046  0.001331  </t>
  </si>
  <si>
    <t xml:space="preserve"> Al       0.0157    0.0296    0.0156    0.0295   0.0053  1.4169   0.000111  0.000209  </t>
  </si>
  <si>
    <t xml:space="preserve"> O       41.89       -       41.71       -      24.000      -         -        </t>
  </si>
  <si>
    <t>Total:  100.44    100.44    100.00    100.00    18.164</t>
  </si>
  <si>
    <t xml:space="preserve"> UNK No.      :   43            Comment : UnkA-C21MI_2_1                           </t>
  </si>
  <si>
    <t xml:space="preserve"> Stage        :    X=   17.4640  Y=   72.3225  Z=   11.4620 </t>
  </si>
  <si>
    <t xml:space="preserve"> Dated on Mar  2 04:34 2017 </t>
  </si>
  <si>
    <t xml:space="preserve"> 1 Mg   107.540  54664.0  297.1  235.2    0.10       39 </t>
  </si>
  <si>
    <t xml:space="preserve"> 2 Mn   146.037    151.8  100.0   87.6    1.57       35 </t>
  </si>
  <si>
    <t xml:space="preserve"> 3 Fe   134.743   2540.2    0.0   26.1    0.45      112 </t>
  </si>
  <si>
    <t xml:space="preserve"> 4 Si    77.808  24899.2  191.9  110.1    0.14       60 </t>
  </si>
  <si>
    <t xml:space="preserve"> 5 Ca   107.775    811.3  294.6  251.7    0.59       14 </t>
  </si>
  <si>
    <t xml:space="preserve"> 6 Cr   159.160      5.7   70.7   65.9   37.93 ?     50 </t>
  </si>
  <si>
    <t xml:space="preserve"> 7 Ni   115.404     23.3   38.0   34.0    5.42       65 </t>
  </si>
  <si>
    <t xml:space="preserve"> 8 Al    90.986     15.9   83.1   65.3   12.96       24 </t>
  </si>
  <si>
    <t xml:space="preserve"> Mg      0.5675    0.0034    0.6505    0.9978     0.9984     1.5379     1.0705</t>
  </si>
  <si>
    <t xml:space="preserve"> Mn      0.9832    0.0003    1.0021    0.7914     1.0584     1.1910     1.0387</t>
  </si>
  <si>
    <t xml:space="preserve"> Fe      0.9871    0.0004    1.0032    0.8031     1.0578     1.1730     0.9891</t>
  </si>
  <si>
    <t xml:space="preserve"> Si      0.6602    0.0002    0.7245    0.9777     1.0136     1.3925     1.0018</t>
  </si>
  <si>
    <t xml:space="preserve"> Ca      0.9307    0.0061    0.9640    0.9096     1.0492     1.0805     1.0071</t>
  </si>
  <si>
    <t xml:space="preserve"> Cr      0.9781    0.0516    0.9993    0.8096     1.0582     1.1106     1.0406</t>
  </si>
  <si>
    <t xml:space="preserve"> Ni      0.9833    0.0000    0.9951    0.8101     1.0536     1.1773     1.1239</t>
  </si>
  <si>
    <t xml:space="preserve"> Al      0.5384    0.0063    0.6038    0.9591     1.0060     1.7058     1.4165</t>
  </si>
  <si>
    <t xml:space="preserve"> Mg      26.45     43.87     26.33     43.66     9.967   1.0705   0.24728   0.83009  </t>
  </si>
  <si>
    <t xml:space="preserve"> Mn       0.2397    0.3095    0.2385    0.3080   0.0400  1.0387   0.002307  0.006851  </t>
  </si>
  <si>
    <t xml:space="preserve"> Fe      13.52     17.39     13.46     17.31     2.217   0.9891   0.13671   1.84376  </t>
  </si>
  <si>
    <t xml:space="preserve"> Si      17.92     38.33     17.83     38.14     5.842   1.0018   0.17891   0.93831  </t>
  </si>
  <si>
    <t xml:space="preserve"> Ca       0.2757    0.3858    0.2744    0.3839   0.0630  1.0071   0.002738  0.008024  </t>
  </si>
  <si>
    <t xml:space="preserve"> Cr       0.0096    0.0140    0.0096    0.0140   0.0017  1.0406   0.000092  0.000135  </t>
  </si>
  <si>
    <t xml:space="preserve"> Ni       0.1227    0.1561    0.1221    0.1554   0.0191  1.1239   0.001091  0.001389  </t>
  </si>
  <si>
    <t xml:space="preserve"> Al       0.0148    0.0280    0.0148    0.0279   0.0050  1.4165   0.000105  0.000198  </t>
  </si>
  <si>
    <t xml:space="preserve"> O       41.93       -       41.73       -      24.000      -         -        </t>
  </si>
  <si>
    <t>Total:  100.48    100.48    100.00    100.00    18.155</t>
  </si>
  <si>
    <t xml:space="preserve"> UNK No.      :   44            Comment : UnkA-C21MI_2_2                           </t>
  </si>
  <si>
    <t xml:space="preserve"> Stage        :    X=   17.4900  Y=   72.2980  Z=   11.4620 </t>
  </si>
  <si>
    <t xml:space="preserve"> Dated on Mar  2 04:38 2017 </t>
  </si>
  <si>
    <t xml:space="preserve"> 1 Mg   107.540  54514.2  299.6  234.1    0.10       39 </t>
  </si>
  <si>
    <t xml:space="preserve"> 2 Mn   146.037    153.9   96.1   87.6    1.55       34 </t>
  </si>
  <si>
    <t xml:space="preserve"> 3 Fe   134.743   2572.3    0.0   24.4    0.44      108 </t>
  </si>
  <si>
    <t xml:space="preserve"> 4 Si    77.808  25021.8  197.1  111.8    0.14       60 </t>
  </si>
  <si>
    <t xml:space="preserve"> 5 Ca   107.775    788.5  293.2  252.5    0.60       14 </t>
  </si>
  <si>
    <t xml:space="preserve"> 6 Cr   159.160      5.2   69.6   68.9   42.31 ?     51 </t>
  </si>
  <si>
    <t xml:space="preserve"> 7 Ni   115.404     21.4   38.9   34.6    5.88       66 </t>
  </si>
  <si>
    <t xml:space="preserve"> 8 Al    90.986     13.8   84.5   66.8   14.94       24 </t>
  </si>
  <si>
    <t xml:space="preserve"> Mg      0.5667    0.0034    0.6496    0.9981     0.9983     1.5399     1.0718</t>
  </si>
  <si>
    <t xml:space="preserve"> Mn      0.9832    0.0002    1.0021    0.7916     1.0584     1.1908     1.0385</t>
  </si>
  <si>
    <t xml:space="preserve"> Fe      0.9871    0.0004    1.0032    0.8033     1.0577     1.1728     0.9889</t>
  </si>
  <si>
    <t xml:space="preserve"> Si      0.6604    0.0002    0.7247    0.9779     1.0135     1.3921     1.0015</t>
  </si>
  <si>
    <t xml:space="preserve"> Ca      0.9307    0.0061    0.9640    0.9098     1.0491     1.0802     1.0069</t>
  </si>
  <si>
    <t xml:space="preserve"> Cr      0.9781    0.0521    0.9993    0.8098     1.0582     1.1099     1.0400</t>
  </si>
  <si>
    <t xml:space="preserve"> Ni      0.9832    0.0000    0.9950    0.8103     1.0536     1.1772     1.1238</t>
  </si>
  <si>
    <t xml:space="preserve"> Al      0.5385    0.0063    0.6039    0.9594     1.0059     1.7051     1.4159</t>
  </si>
  <si>
    <t xml:space="preserve"> Mg      26.41     43.79     26.21     43.45     9.925   1.0718   0.24666   0.82798  </t>
  </si>
  <si>
    <t xml:space="preserve"> Mn       0.2430    0.3137    0.2411    0.3113   0.0404  1.0385   0.002340  0.006947  </t>
  </si>
  <si>
    <t xml:space="preserve"> Fe      13.69     17.61     13.59     17.48     2.239   0.9889   0.13847   1.86749  </t>
  </si>
  <si>
    <t xml:space="preserve"> Si      18.00     38.51     17.86     38.21     5.854   1.0015   0.17982   0.94312  </t>
  </si>
  <si>
    <t xml:space="preserve"> Ca       0.2680    0.3749    0.2659    0.3720   0.0611  1.0069   0.002661  0.007800  </t>
  </si>
  <si>
    <t xml:space="preserve"> Cr       0.0087    0.0127    0.0086    0.0126   0.0015  1.0400   0.000083  0.000122  </t>
  </si>
  <si>
    <t xml:space="preserve"> Ni       0.1128    0.1435    0.1119    0.1424   0.0175  1.1238   0.001003  0.001277  </t>
  </si>
  <si>
    <t xml:space="preserve"> Al       0.0129    0.0244    0.0128    0.0242   0.0044  1.4159   0.000091  0.000172  </t>
  </si>
  <si>
    <t xml:space="preserve"> O       42.04       -       41.71       -      24.000      -         -        </t>
  </si>
  <si>
    <t>Total:  100.78    100.78    100.00    100.00    18.143</t>
  </si>
  <si>
    <t xml:space="preserve"> UNK No.      :   45            Comment : UnkA-C21MI_2_3                           </t>
  </si>
  <si>
    <t xml:space="preserve"> Stage        :    X=   17.5090  Y=   72.3225  Z=   11.4620 </t>
  </si>
  <si>
    <t xml:space="preserve"> Dated on Mar  2 04:41 2017 </t>
  </si>
  <si>
    <t xml:space="preserve"> 1 Mg   107.540  53049.3  308.1  227.5    0.10       39 </t>
  </si>
  <si>
    <t xml:space="preserve"> 2 Mn   146.037    166.7   99.3   89.2    1.47       35 </t>
  </si>
  <si>
    <t xml:space="preserve"> 3 Fe   134.743   2706.2    0.0   26.6    0.43      113 </t>
  </si>
  <si>
    <t xml:space="preserve"> 4 Si    77.808  25662.8  202.7  120.9    0.14       62 </t>
  </si>
  <si>
    <t xml:space="preserve"> 5 Ca   107.775    842.1  291.0  251.5    0.57       14 </t>
  </si>
  <si>
    <t xml:space="preserve"> 6 Cr   159.160     -1.3   73.5   68.0  100.00 ?     51 </t>
  </si>
  <si>
    <t xml:space="preserve"> 7 Ni   115.404     21.2   38.0   34.2    5.90       66 </t>
  </si>
  <si>
    <t xml:space="preserve"> 8 Al    90.986     13.6   84.3   70.7   15.32       25 </t>
  </si>
  <si>
    <t xml:space="preserve"> Mg      0.5624    0.0034    0.6447    0.9994     0.9977     1.5503     1.0790</t>
  </si>
  <si>
    <t xml:space="preserve"> Mn      0.9832    0.0002    1.0020    0.7926     1.0581     1.1897     1.0376</t>
  </si>
  <si>
    <t xml:space="preserve"> Fe      0.9871    0.0004    1.0032    0.8043     1.0574     1.1717     0.9880</t>
  </si>
  <si>
    <t xml:space="preserve"> Si      0.6615    0.0002    0.7259    0.9792     1.0129     1.3886     0.9990</t>
  </si>
  <si>
    <t xml:space="preserve"> Ca      0.9306    0.0064    0.9639    0.9110     1.0486     1.0792     1.0059</t>
  </si>
  <si>
    <t xml:space="preserve"> Ni      0.9828    0.0000    0.9946    0.8113     1.0533     1.1765     1.1231</t>
  </si>
  <si>
    <t xml:space="preserve"> Al      0.5398    0.0064    0.6054    0.9606     1.0053     1.6994     1.4112</t>
  </si>
  <si>
    <t xml:space="preserve"> Mg      25.85     42.86     25.43     42.17     9.645   1.0790   0.24003   0.80573  </t>
  </si>
  <si>
    <t xml:space="preserve"> Mn       0.2630    0.3396    0.2587    0.3341   0.0434  1.0376   0.002535  0.007526  </t>
  </si>
  <si>
    <t xml:space="preserve"> Fe      14.39     18.51     14.15     18.21     2.337   0.9880   0.14568   1.96469  </t>
  </si>
  <si>
    <t xml:space="preserve"> Si      18.41     39.37     18.11     38.73     5.943   0.9990   0.18443   0.96728  </t>
  </si>
  <si>
    <t xml:space="preserve"> Ca       0.2859    0.4001    0.2813    0.3936   0.0647  1.0059   0.002843  0.008331  </t>
  </si>
  <si>
    <t xml:space="preserve"> Cr       0.00      0.00      0.00      0.00     0.000   0.9370   0.00000   0.00000 ?</t>
  </si>
  <si>
    <t xml:space="preserve"> Ni       0.1116    0.1420    0.1097    0.1396   0.0172  1.1231   0.000993  0.001264  </t>
  </si>
  <si>
    <t xml:space="preserve"> Al       0.0126    0.0238    0.0124    0.0235   0.0042  1.4112   0.000089  0.000169  </t>
  </si>
  <si>
    <t xml:space="preserve"> O       42.33       -       41.65       -      24.000      -         -        </t>
  </si>
  <si>
    <t>Total:  101.65    101.65    100.00    100.00    18.054</t>
  </si>
  <si>
    <t xml:space="preserve"> UNK No.      :   46            Comment : UnkA-C21MI_3_1                           </t>
  </si>
  <si>
    <t xml:space="preserve"> Stage        :    X=   17.2805  Y=   72.8710  Z=   11.4620 </t>
  </si>
  <si>
    <t xml:space="preserve"> Dated on Mar  2 04:44 2017 </t>
  </si>
  <si>
    <t xml:space="preserve"> 1 Mg   107.540  58131.8  285.6  231.6    0.09       38 </t>
  </si>
  <si>
    <t xml:space="preserve"> 2 Mn   146.037    152.6   96.4   86.4    1.56       34 </t>
  </si>
  <si>
    <t xml:space="preserve"> 3 Fe   134.743   2152.8    0.0   23.1    0.48      105 </t>
  </si>
  <si>
    <t xml:space="preserve"> 4 Si    77.808  25130.7  190.4  104.1    0.14       59 </t>
  </si>
  <si>
    <t xml:space="preserve"> 5 Ca   107.775    676.4  280.9  235.0    0.66       14 </t>
  </si>
  <si>
    <t xml:space="preserve"> 6 Cr   159.160      5.9   71.9   70.2   37.54 ?     51 </t>
  </si>
  <si>
    <t xml:space="preserve"> 7 Ni   115.404     35.4   39.8   34.5    3.82       67 </t>
  </si>
  <si>
    <t xml:space="preserve"> 8 Al    90.986     12.0   82.5   65.7   16.98       24 </t>
  </si>
  <si>
    <t xml:space="preserve"> Mg      0.5806    0.0034    0.6655    0.9934     1.0002     1.5071     1.0490</t>
  </si>
  <si>
    <t xml:space="preserve"> Mn      0.9833    0.0004    1.0021    0.7882     1.0594     1.1945     1.0418</t>
  </si>
  <si>
    <t xml:space="preserve"> Fe      0.9872    0.0007    1.0032    0.7998     1.0587     1.1764     0.9920</t>
  </si>
  <si>
    <t xml:space="preserve"> Si      0.6616    0.0001    0.7261    0.9734     1.0154     1.3932     1.0023</t>
  </si>
  <si>
    <t xml:space="preserve"> Ca      0.9307    0.0052    0.9640    0.9058     1.0506     1.0844     1.0108</t>
  </si>
  <si>
    <t xml:space="preserve"> Cr      0.9782    0.0443    0.9994    0.8063     1.0593     1.1218     1.0511</t>
  </si>
  <si>
    <t xml:space="preserve"> Al      0.5399    0.0064    0.6055    0.9549     1.0078     1.7053     1.4161</t>
  </si>
  <si>
    <t xml:space="preserve"> Mg      27.60     45.76     27.54     45.67    10.302   1.0490   0.26313   0.88328  </t>
  </si>
  <si>
    <t xml:space="preserve"> Mn       0.2418    0.3122    0.2413    0.3116   0.0399  1.0418   0.002321  0.006891  </t>
  </si>
  <si>
    <t xml:space="preserve"> Fe      11.50     14.79     11.48     14.77     1.869   0.9920   0.11594   1.56353  </t>
  </si>
  <si>
    <t xml:space="preserve"> Si      18.11     38.74     18.07     38.66     5.850   1.0023   0.18068   0.94761  </t>
  </si>
  <si>
    <t xml:space="preserve"> Ca       0.2309    0.3230    0.2304    0.3224   0.0523  1.0108   0.002284  0.006694  </t>
  </si>
  <si>
    <t xml:space="preserve"> Cr       0.0100    0.0146    0.0100    0.0146   0.0017  1.0511   0.000095  0.000139  </t>
  </si>
  <si>
    <t xml:space="preserve"> Ni       0.1872    0.2382    0.1868    0.2377   0.0289  1.1262   0.001662  0.002115  </t>
  </si>
  <si>
    <t xml:space="preserve"> Al       0.0112    0.0211    0.0111    0.0211   0.0038  1.4161   0.000079  0.000149  </t>
  </si>
  <si>
    <t xml:space="preserve"> O       42.31       -       42.23       -      24.000      -         -        </t>
  </si>
  <si>
    <t>Total:  100.20    100.20    100.00    100.00    18.147</t>
  </si>
  <si>
    <t xml:space="preserve"> UNK No.      :   47            Comment : UnkA-C21MI_3_2                           </t>
  </si>
  <si>
    <t xml:space="preserve"> Stage        :    X=   17.2640  Y=   72.8510  Z=   11.4620 </t>
  </si>
  <si>
    <t xml:space="preserve"> Dated on Mar  2 04:48 2017 </t>
  </si>
  <si>
    <t xml:space="preserve"> 1 Mg   107.540  57278.1  295.8  234.5    0.09       39 </t>
  </si>
  <si>
    <t xml:space="preserve"> 2 Mn   146.037    156.2   95.4   83.3    1.52       34 </t>
  </si>
  <si>
    <t xml:space="preserve"> 3 Fe   134.743   2260.3    0.0   24.5    0.47      108 </t>
  </si>
  <si>
    <t xml:space="preserve"> 4 Si    77.808  25976.0  183.4  110.4    0.14       59 </t>
  </si>
  <si>
    <t xml:space="preserve"> 5 Ca   107.775    703.4  282.7  245.8    0.65       14 </t>
  </si>
  <si>
    <t xml:space="preserve"> 6 Cr   159.160      8.0   67.1   67.4   27.14       50 </t>
  </si>
  <si>
    <t xml:space="preserve"> 7 Ni   115.404     32.7   35.9   33.9    3.99       64 </t>
  </si>
  <si>
    <t xml:space="preserve"> 8 Al    90.986     13.0   83.3   64.8   15.66       24 </t>
  </si>
  <si>
    <t xml:space="preserve"> Mg      0.5775    0.0035    0.6620    0.9943     0.9998     1.5143     1.0540</t>
  </si>
  <si>
    <t xml:space="preserve"> Mn      0.9833    0.0004    1.0021    0.7888     1.0592     1.1939     1.0412</t>
  </si>
  <si>
    <t xml:space="preserve"> Fe      0.9871    0.0006    1.0032    0.8004     1.0585     1.1758     0.9915</t>
  </si>
  <si>
    <t xml:space="preserve"> Si      0.6630    0.0002    0.7276    0.9742     1.0150     1.3896     0.9997</t>
  </si>
  <si>
    <t xml:space="preserve"> Ca      0.9306    0.0054    0.9639    0.9065     1.0503     1.0837     1.0102</t>
  </si>
  <si>
    <t xml:space="preserve"> Cr      0.9781    0.0457    0.9993    0.8070     1.0591     1.1197     1.0491</t>
  </si>
  <si>
    <t xml:space="preserve"> Ni      0.9843    0.0000    0.9962    0.8075     1.0542     1.1793     1.1257</t>
  </si>
  <si>
    <t xml:space="preserve"> Al      0.5415    0.0065    0.6073    0.9557     1.0074     1.6991     1.4110</t>
  </si>
  <si>
    <t xml:space="preserve"> Mg      27.25     45.19     26.85     44.53    10.046   1.0540   0.25906   0.86961  </t>
  </si>
  <si>
    <t xml:space="preserve"> Mn       0.2472    0.3192    0.2436    0.3145   0.0403  1.0412   0.002374  0.007049  </t>
  </si>
  <si>
    <t xml:space="preserve"> Fe      12.06     15.51     11.88     15.28     1.934   0.9915   0.12163   1.64026  </t>
  </si>
  <si>
    <t xml:space="preserve"> Si      18.64     39.87     18.36     39.29     5.945   0.9997   0.18661   0.97869  </t>
  </si>
  <si>
    <t xml:space="preserve"> Ca       0.2397    0.3355    0.2362    0.3305   0.0536  1.0102   0.002373  0.006956  </t>
  </si>
  <si>
    <t xml:space="preserve"> Cr       0.0136    0.0198    0.0134    0.0195   0.0023  1.0491   0.000129  0.000189  </t>
  </si>
  <si>
    <t xml:space="preserve"> Ni       0.1729    0.2201    0.1704    0.2168   0.0264  1.1257   0.001536  0.001955  </t>
  </si>
  <si>
    <t xml:space="preserve"> Al       0.0121    0.0229    0.0119    0.0225   0.0040  1.4110   0.000086  0.000162  </t>
  </si>
  <si>
    <t xml:space="preserve"> O       42.86       -       42.23       -      24.000      -         -        </t>
  </si>
  <si>
    <t>Total:  101.49    101.49    100.00    100.00    18.052</t>
  </si>
  <si>
    <t xml:space="preserve"> UNK No.      :   48            Comment : UnkA-C21MI_3_3                           </t>
  </si>
  <si>
    <t xml:space="preserve"> Stage        :    X=   17.2750  Y=   72.8110  Z=   11.4620 </t>
  </si>
  <si>
    <t xml:space="preserve"> Dated on Mar  2 04:51 2017 </t>
  </si>
  <si>
    <t xml:space="preserve">Curr.(A) : 9.851E-08 </t>
  </si>
  <si>
    <t xml:space="preserve"> 1 Mg   107.540  59319.4  301.7  232.5    0.09       39 </t>
  </si>
  <si>
    <t xml:space="preserve"> 2 Mn   146.037    159.8   93.0   83.8    1.49       34 </t>
  </si>
  <si>
    <t xml:space="preserve"> 3 Fe   134.743   2018.7    0.0   24.2    0.50      108 </t>
  </si>
  <si>
    <t xml:space="preserve"> 4 Si    77.808  25137.3  188.4  111.0    0.14       60 </t>
  </si>
  <si>
    <t xml:space="preserve"> 5 Ca   107.775    668.3  279.3  246.3    0.67       14 </t>
  </si>
  <si>
    <t xml:space="preserve"> 6 Cr   159.160     12.2   67.3   64.5   18.02       49 </t>
  </si>
  <si>
    <t xml:space="preserve"> 7 Ni   115.404     36.2   38.3   32.3    3.69       65 </t>
  </si>
  <si>
    <t xml:space="preserve"> 8 Al    90.986     12.5   81.9   67.1   16.25       24 </t>
  </si>
  <si>
    <t xml:space="preserve"> Mg      0.5852    0.0035    0.6708    0.9919     1.0008     1.4965     1.0416</t>
  </si>
  <si>
    <t xml:space="preserve"> Mn      0.9833    0.0004    1.0021    0.7871     1.0598     1.1957     1.0428</t>
  </si>
  <si>
    <t xml:space="preserve"> Fe      0.9872    0.0007    1.0032    0.7987     1.0590     1.1777     0.9930</t>
  </si>
  <si>
    <t xml:space="preserve"> Si      0.6620    0.0001    0.7265    0.9719     1.0160     1.3936     1.0026</t>
  </si>
  <si>
    <t xml:space="preserve"> Ca      0.9308    0.0050    0.9641    0.9045     1.0511     1.0857     1.0120</t>
  </si>
  <si>
    <t xml:space="preserve"> Cr      0.9782    0.0417    0.9994    0.8052     1.0597     1.1258     1.0548</t>
  </si>
  <si>
    <t xml:space="preserve"> Ni      0.9851    0.0000    0.9969    0.8058     1.0545     1.1806     1.1270</t>
  </si>
  <si>
    <t xml:space="preserve"> Al      0.5403    0.0064    0.6060    0.9534     1.0084     1.7054     1.4162</t>
  </si>
  <si>
    <t xml:space="preserve"> Mg      27.99     46.41     27.98     46.39    10.424   1.0416   0.26870   0.90197  </t>
  </si>
  <si>
    <t xml:space="preserve"> Mn       0.2536    0.3274    0.2535    0.3273   0.0418  1.0428   0.002431  0.007219  </t>
  </si>
  <si>
    <t xml:space="preserve"> Fe      10.80     13.90     10.80     13.89     1.752   0.9930   0.10879   1.46721  </t>
  </si>
  <si>
    <t xml:space="preserve"> Si      18.13     38.79     18.13     38.77     5.845   1.0026   0.18086   0.94853  </t>
  </si>
  <si>
    <t xml:space="preserve"> Ca       0.2285    0.3197    0.2284    0.3196   0.0516  1.0120   0.002258  0.006618  </t>
  </si>
  <si>
    <t xml:space="preserve"> Cr       0.0206    0.0302    0.0206    0.0302   0.0036  1.0548   0.000196  0.000286  </t>
  </si>
  <si>
    <t xml:space="preserve"> Ni       0.1915    0.2437    0.1915    0.2437   0.0295  1.1270   0.001700  0.002163  </t>
  </si>
  <si>
    <t xml:space="preserve"> Al       0.0117    0.0221    0.0117    0.0221   0.0039  1.4162   0.000083  0.000156  </t>
  </si>
  <si>
    <t xml:space="preserve"> O       42.41       -       42.39       -      24.000      -         -        </t>
  </si>
  <si>
    <t>Total:  100.04    100.04    100.00    100.00    18.151</t>
  </si>
  <si>
    <t xml:space="preserve"> UNK No.      :   49            Comment : UnkA-C21MI_4_1                           </t>
  </si>
  <si>
    <t xml:space="preserve"> Stage        :    X=   16.4115  Y=   71.7785  Z=   11.4640 </t>
  </si>
  <si>
    <t xml:space="preserve"> Dated on Mar  2 04:55 2017 </t>
  </si>
  <si>
    <t xml:space="preserve"> 1 Mg   107.540  51194.0  308.4  230.1    0.10       39 </t>
  </si>
  <si>
    <t xml:space="preserve"> 2 Mn   146.037    179.8  102.1   90.2    1.39       35 </t>
  </si>
  <si>
    <t xml:space="preserve"> 3 Fe   134.743   2911.2    0.0   24.0    0.42      108 </t>
  </si>
  <si>
    <t xml:space="preserve"> 4 Si    77.808  25728.1  194.5  109.5    0.14       60 </t>
  </si>
  <si>
    <t xml:space="preserve"> 5 Ca   107.775    615.0  296.5  254.1    0.72       14 </t>
  </si>
  <si>
    <t xml:space="preserve"> 6 Cr   159.160      2.8   73.3   68.7   78.26 ?     51 </t>
  </si>
  <si>
    <t xml:space="preserve"> 7 Ni   115.404     19.4   39.4   35.7    6.46       67 </t>
  </si>
  <si>
    <t xml:space="preserve"> 8 Al    90.986     12.9   88.9   70.1   16.35       25 </t>
  </si>
  <si>
    <t xml:space="preserve"> Mg      0.5558    0.0034    0.6371    1.0017     0.9968     1.5667     1.0905</t>
  </si>
  <si>
    <t xml:space="preserve"> Mn      0.9832    0.0002    1.0020    0.7943     1.0576     1.1878     1.0359</t>
  </si>
  <si>
    <t xml:space="preserve"> Fe      0.9871    0.0003    1.0032    0.8059     1.0570     1.1698     0.9864</t>
  </si>
  <si>
    <t xml:space="preserve"> Si      0.6610    0.0002    0.7254    0.9814     1.0120     1.3877     0.9983</t>
  </si>
  <si>
    <t xml:space="preserve"> Ca      0.9304    0.0068    0.9638    0.9130     1.0479     1.0772     1.0041</t>
  </si>
  <si>
    <t xml:space="preserve"> Ni      0.9821    0.0000    0.9939    0.8130     1.0530     1.1753     1.1219</t>
  </si>
  <si>
    <t xml:space="preserve"> Al      0.5393    0.0064    0.6049    0.9628     1.0044     1.6986     1.4106</t>
  </si>
  <si>
    <t xml:space="preserve"> Mg      25.23     41.84     24.72     41.00     9.428   1.0905   0.23194   0.77858  </t>
  </si>
  <si>
    <t xml:space="preserve"> Mn       0.2835    0.3661    0.2778    0.3587   0.0469  1.0359   0.002737  0.008126  </t>
  </si>
  <si>
    <t xml:space="preserve"> Fe      15.47     19.90     15.16     19.50     2.516   0.9864   0.15692   2.11631  </t>
  </si>
  <si>
    <t xml:space="preserve"> Si      18.46     39.49     18.09     38.70     5.970   0.9983   0.18514   0.97102  </t>
  </si>
  <si>
    <t xml:space="preserve"> Ca       0.2087    0.2920    0.2045    0.2862   0.0473  1.0041   0.002079  0.006092  </t>
  </si>
  <si>
    <t xml:space="preserve"> Cr       0.0047    0.0068    0.0046    0.0067   0.0008  1.0315   0.000045  0.000066 ?</t>
  </si>
  <si>
    <t xml:space="preserve"> Ni       0.1025    0.1305    0.1005    0.1279   0.0159  1.1219   0.000914  0.001163  </t>
  </si>
  <si>
    <t xml:space="preserve"> Al       0.0119    0.0226    0.0117    0.0221   0.0040  1.4106   0.000085  0.000160  </t>
  </si>
  <si>
    <t xml:space="preserve"> O       42.27       -       41.43       -      24.000      -         -        </t>
  </si>
  <si>
    <t>Total:  102.05    102.05    100.00    100.00    18.028</t>
  </si>
  <si>
    <t xml:space="preserve"> UNK No.      :   50            Comment : UnkA-C21MI_4_2                           </t>
  </si>
  <si>
    <t xml:space="preserve"> Stage        :    X=   16.5350  Y=   71.7760  Z=   11.4640 </t>
  </si>
  <si>
    <t xml:space="preserve"> Dated on Mar  2 04:58 2017 </t>
  </si>
  <si>
    <t xml:space="preserve"> 1 Mg   107.540  51166.2  289.8  227.7    0.10       38 </t>
  </si>
  <si>
    <t xml:space="preserve"> 2 Mn   146.037    176.8  100.0   94.5    1.41       35 </t>
  </si>
  <si>
    <t xml:space="preserve"> 3 Fe   134.743   2915.4    0.0   24.0    0.42      107 </t>
  </si>
  <si>
    <t xml:space="preserve"> 4 Si    77.808  25758.9  199.9  120.5    0.14       62 </t>
  </si>
  <si>
    <t xml:space="preserve"> 5 Ca   107.775    627.9  298.0  247.9    0.71       14 </t>
  </si>
  <si>
    <t xml:space="preserve"> 6 Cr   159.160     -1.5   77.9   70.3  100.00 ?     52 </t>
  </si>
  <si>
    <t xml:space="preserve"> 7 Ni   115.404     20.4   36.7   35.0    6.09       65 </t>
  </si>
  <si>
    <t xml:space="preserve"> 8 Al    90.986     17.0   87.6   68.1   12.44       25 </t>
  </si>
  <si>
    <t xml:space="preserve"> Mg      0.5557    0.0034    0.6370    1.0017     0.9968     1.5669     1.0906</t>
  </si>
  <si>
    <t xml:space="preserve"> Mn      0.9832    0.0002    1.0020    0.7943     1.0575     1.1878     1.0359</t>
  </si>
  <si>
    <t xml:space="preserve"> Fe      0.9871    0.0003    1.0032    0.8060     1.0570     1.1698     0.9864</t>
  </si>
  <si>
    <t xml:space="preserve"> Si      0.6611    0.0002    0.7254    0.9815     1.0120     1.3876     0.9983</t>
  </si>
  <si>
    <t xml:space="preserve"> Ca      0.9304    0.0068    0.9637    0.9130     1.0478     1.0772     1.0041</t>
  </si>
  <si>
    <t xml:space="preserve"> Al      0.5394    0.0064    0.6050    0.9628     1.0044     1.6984     1.4104</t>
  </si>
  <si>
    <t xml:space="preserve"> Mg      25.18     41.75     24.70     40.96     9.418   1.0906   0.23141   0.77681  </t>
  </si>
  <si>
    <t xml:space="preserve"> Mn       0.2782    0.3593    0.2729    0.3524   0.0460  1.0359   0.002686  0.007975  </t>
  </si>
  <si>
    <t xml:space="preserve"> Fe      15.47     19.90     15.17     19.52     2.518   0.9864   0.15688   2.11570  </t>
  </si>
  <si>
    <t xml:space="preserve"> Si      18.45     39.47     18.10     38.72     5.972   0.9983   0.18505   0.97051  </t>
  </si>
  <si>
    <t xml:space="preserve"> Ca       0.2127    0.2976    0.2087    0.2920   0.0483  1.0041   0.002119  0.006209  </t>
  </si>
  <si>
    <t xml:space="preserve"> Ni       0.1071    0.1363    0.1051    0.1337   0.0166  1.1219   0.000955  0.001215  </t>
  </si>
  <si>
    <t xml:space="preserve"> Al       0.0157    0.0298    0.0154    0.0292   0.0053  1.4104   0.000112  0.000211  </t>
  </si>
  <si>
    <t xml:space="preserve"> O       42.23       -       41.43       -      24.000      -         -        </t>
  </si>
  <si>
    <t>Total:  101.94    101.94    100.00    100.00    18.025</t>
  </si>
  <si>
    <t xml:space="preserve"> UNK No.      :   51            Comment : UnkA-C21MI_4_3                           </t>
  </si>
  <si>
    <t xml:space="preserve"> Stage        :    X=   16.5155  Y=   71.6440  Z=   11.4640 </t>
  </si>
  <si>
    <t xml:space="preserve"> Dated on Mar  2 05:01 2017 </t>
  </si>
  <si>
    <t xml:space="preserve"> 1 Mg   107.540  51170.6  295.7  230.1    0.10       38 </t>
  </si>
  <si>
    <t xml:space="preserve"> 2 Mn   146.037    180.9  100.9   85.6    1.38       35 </t>
  </si>
  <si>
    <t xml:space="preserve"> 3 Fe   134.743   2900.3    0.0   26.5    0.42      113 </t>
  </si>
  <si>
    <t xml:space="preserve"> 4 Si    77.808  25755.2  198.3  116.0    0.14       61 </t>
  </si>
  <si>
    <t xml:space="preserve"> 5 Ca   107.775    661.4  297.2  252.2    0.68       14 </t>
  </si>
  <si>
    <t xml:space="preserve"> 6 Cr   159.160      1.8   68.6   70.7  119.50 ?     51 </t>
  </si>
  <si>
    <t xml:space="preserve"> 7 Ni   115.404     18.7   39.7   35.8    6.70       67 </t>
  </si>
  <si>
    <t xml:space="preserve"> 8 Al    90.986     18.9   86.2   67.4   11.16       25 </t>
  </si>
  <si>
    <t xml:space="preserve"> Mg      0.5561    0.0034    0.6374    1.0016     0.9968     1.5660     1.0900</t>
  </si>
  <si>
    <t xml:space="preserve"> Mn      0.9832    0.0002    1.0020    0.7942     1.0576     1.1879     1.0360</t>
  </si>
  <si>
    <t xml:space="preserve"> Fe      0.9871    0.0003    1.0032    0.8059     1.0570     1.1699     0.9865</t>
  </si>
  <si>
    <t xml:space="preserve"> Si      0.6612    0.0002    0.7256    0.9813     1.0120     1.3875     0.9982</t>
  </si>
  <si>
    <t xml:space="preserve"> Ca      0.9304    0.0068    0.9638    0.9129     1.0479     1.0773     1.0042</t>
  </si>
  <si>
    <t xml:space="preserve"> Ni      0.9822    0.0000    0.9940    0.8129     1.0530     1.1753     1.1220</t>
  </si>
  <si>
    <t xml:space="preserve"> Al      0.5396    0.0064    0.6052    0.9627     1.0044     1.6980     1.4101</t>
  </si>
  <si>
    <t xml:space="preserve"> Mg      25.18     41.76     24.72     40.98     9.420   1.0900   0.23155   0.77727  </t>
  </si>
  <si>
    <t xml:space="preserve"> Mn       0.2849    0.3678    0.2796    0.3610   0.0472  1.0360   0.002750  0.008164  </t>
  </si>
  <si>
    <t xml:space="preserve"> Fe      15.40     19.81     15.11     19.44     2.507   0.9865   0.15614   2.10578  </t>
  </si>
  <si>
    <t xml:space="preserve"> Si      18.46     39.48     18.11     38.75     5.975   0.9982   0.18511   0.97086  </t>
  </si>
  <si>
    <t xml:space="preserve"> Ca       0.2242    0.3137    0.2201    0.3079   0.0509  1.0042   0.002233  0.006544  </t>
  </si>
  <si>
    <t xml:space="preserve"> Cr       0.0030    0.0044    0.0030    0.0044   0.0005  1.0318   0.000029  0.000043 ?</t>
  </si>
  <si>
    <t xml:space="preserve"> Ni       0.0984    0.1252    0.0966    0.1229   0.0152  1.1220   0.000877  0.001116  </t>
  </si>
  <si>
    <t xml:space="preserve"> Al       0.0175    0.0331    0.0172    0.0325   0.0059  1.4101   0.000124  0.000235  </t>
  </si>
  <si>
    <t xml:space="preserve"> O       42.23       -       41.44       -      24.000      -         -        </t>
  </si>
  <si>
    <t>Total:  101.89    101.89    100.00    100.00    18.022</t>
  </si>
  <si>
    <t xml:space="preserve"> UNK No.      :   52            Comment : UnkA-C21MI_4_4                           </t>
  </si>
  <si>
    <t xml:space="preserve"> Stage        :    X=   16.3865  Y=   71.6085  Z=   11.4640 </t>
  </si>
  <si>
    <t xml:space="preserve"> Dated on Mar  2 05:05 2017 </t>
  </si>
  <si>
    <t xml:space="preserve"> 1 Mg   107.540  51285.9  303.5  232.1    0.10       39 </t>
  </si>
  <si>
    <t xml:space="preserve"> 2 Mn   146.037    174.8  101.4   90.3    1.42       35 </t>
  </si>
  <si>
    <t xml:space="preserve"> 3 Fe   134.743   2901.4    0.0   25.7    0.42      111 </t>
  </si>
  <si>
    <t xml:space="preserve"> 4 Si    77.808  24805.9  202.8  110.2    0.14       61 </t>
  </si>
  <si>
    <t xml:space="preserve"> 5 Ca   107.775    624.1  304.0  252.4    0.72       14 </t>
  </si>
  <si>
    <t xml:space="preserve"> 6 Cr   159.160      1.5   72.2   68.5  145.19 ?     51 </t>
  </si>
  <si>
    <t xml:space="preserve"> 7 Ni   115.404     21.3   38.2   34.2    5.87       66 </t>
  </si>
  <si>
    <t xml:space="preserve"> 8 Al    90.986     16.5   85.9   67.1   12.70       25 </t>
  </si>
  <si>
    <t xml:space="preserve"> Mg      0.5553    0.0033    0.6365    1.0020     0.9967     1.5678     1.0913</t>
  </si>
  <si>
    <t xml:space="preserve"> Mn      0.9832    0.0002    1.0021    0.7945     1.0575     1.1875     1.0356</t>
  </si>
  <si>
    <t xml:space="preserve"> Fe      0.9871    0.0004    1.0032    0.8062     1.0569     1.1694     0.9861</t>
  </si>
  <si>
    <t xml:space="preserve"> Si      0.6591    0.0002    0.7233    0.9817     1.0119     1.3914     1.0010</t>
  </si>
  <si>
    <t xml:space="preserve"> Ca      0.9305    0.0069    0.9638    0.9133     1.0478     1.0768     1.0037</t>
  </si>
  <si>
    <t xml:space="preserve"> Ni      0.9821    0.0000    0.9939    0.8132     1.0529     1.1751     1.1217</t>
  </si>
  <si>
    <t xml:space="preserve"> Al      0.5372    0.0062    0.6025    0.9631     1.0043     1.7054     1.4162</t>
  </si>
  <si>
    <t xml:space="preserve"> Mg      25.29     41.94     25.11     41.64     9.608   1.0913   0.23198   0.77871  </t>
  </si>
  <si>
    <t xml:space="preserve"> Mn       0.2751    0.3553    0.2732    0.3527   0.0462  1.0356   0.002657  0.007888  </t>
  </si>
  <si>
    <t xml:space="preserve"> Fe      15.39     19.80     15.28     19.66     2.545   0.9861   0.15614   2.10577  </t>
  </si>
  <si>
    <t xml:space="preserve"> Si      17.83     38.15     17.71     37.87     5.863   1.0010   0.17822   0.93470  </t>
  </si>
  <si>
    <t xml:space="preserve"> Ca       0.2114    0.2958    0.2099    0.2937   0.0487  1.0037   0.002106  0.006172  </t>
  </si>
  <si>
    <t xml:space="preserve"> Cr       0.0025    0.0036    0.0025    0.0036   0.0004  1.0307   0.000024  0.000035 ?</t>
  </si>
  <si>
    <t xml:space="preserve"> Ni       0.1120    0.1426    0.1112    0.1415   0.0176  1.1217   0.000999  0.001271  </t>
  </si>
  <si>
    <t xml:space="preserve"> Al       0.0154    0.0290    0.0153    0.0288   0.0053  1.4162   0.000108  0.000205  </t>
  </si>
  <si>
    <t xml:space="preserve"> O       41.58       -       41.29       -      24.000      -         -        </t>
  </si>
  <si>
    <t>Total:  100.72    100.72    100.00    100.00    18.135</t>
  </si>
  <si>
    <t xml:space="preserve"> UNK No.      :   53            Comment : UnkA-C21MI_5_1                           </t>
  </si>
  <si>
    <t xml:space="preserve"> Stage        :    X=   16.7665  Y=   71.6085  Z=   11.4630 </t>
  </si>
  <si>
    <t xml:space="preserve"> Dated on Mar  2 05:08 2017 </t>
  </si>
  <si>
    <t xml:space="preserve"> 1 Mg   107.540  51112.0  292.9  227.0    0.10       38 </t>
  </si>
  <si>
    <t xml:space="preserve"> 2 Mn   146.037    182.0   96.8   85.9    1.36       34 </t>
  </si>
  <si>
    <t xml:space="preserve"> 3 Fe   134.743   2956.8    0.0   23.9    0.41      107 </t>
  </si>
  <si>
    <t xml:space="preserve"> 4 Si    77.808  25659.5  191.1  117.9    0.14       60 </t>
  </si>
  <si>
    <t xml:space="preserve"> 5 Ca   107.775    617.7  299.8  258.3    0.72       14 </t>
  </si>
  <si>
    <t xml:space="preserve"> 6 Cr   159.160      1.8   72.3   73.7  126.49 ?     52 </t>
  </si>
  <si>
    <t xml:space="preserve"> 7 Ni   115.404     20.7   37.5   33.4    5.98       65 </t>
  </si>
  <si>
    <t xml:space="preserve"> 8 Al    90.986     17.5   87.2   64.9   12.01       25 </t>
  </si>
  <si>
    <t xml:space="preserve"> Mg      0.5545    0.0034    0.6356    1.0022     0.9966     1.5699     1.0927</t>
  </si>
  <si>
    <t xml:space="preserve"> Mn      0.9832    0.0002    1.0020    0.7946     1.0574     1.1874     1.0355</t>
  </si>
  <si>
    <t xml:space="preserve"> Fe      0.9871    0.0003    1.0032    0.8063     1.0569     1.1694     0.9860</t>
  </si>
  <si>
    <t xml:space="preserve"> Si      0.6606    0.0002    0.7249    0.9819     1.0118     1.3883     0.9988</t>
  </si>
  <si>
    <t xml:space="preserve"> Ca      0.9304    0.0069    0.9638    0.9134     1.0477     1.0768     1.0037</t>
  </si>
  <si>
    <t xml:space="preserve"> Ni      0.9820    0.0000    0.9938    0.8134     1.0529     1.1750     1.1216</t>
  </si>
  <si>
    <t xml:space="preserve"> Al      0.5388    0.0064    0.6043    0.9633     1.0042     1.6998     1.4115</t>
  </si>
  <si>
    <t xml:space="preserve"> Mg      25.20     41.79     24.67     40.91     9.424   1.0927   0.23126   0.77631  </t>
  </si>
  <si>
    <t xml:space="preserve"> Mn       0.2864    0.3699    0.2804    0.3621   0.0474  1.0355   0.002766  0.008213  </t>
  </si>
  <si>
    <t xml:space="preserve"> Fe      15.69     20.18     15.35     19.75     2.553   0.9860   0.15917   2.14659  </t>
  </si>
  <si>
    <t xml:space="preserve"> Si      18.39     39.35     18.01     38.52     5.952   0.9988   0.18441   0.96716  </t>
  </si>
  <si>
    <t xml:space="preserve"> Ca       0.2092    0.2928    0.2048    0.2866   0.0475  1.0037   0.002085  0.006110  </t>
  </si>
  <si>
    <t xml:space="preserve"> Cr       0.0029    0.0042    0.0028    0.0041   0.0005  1.0304   0.000028  0.000041 ?</t>
  </si>
  <si>
    <t xml:space="preserve"> Ni       0.1089    0.1385    0.1066    0.1356   0.0169  1.1216   0.000970  0.001235  </t>
  </si>
  <si>
    <t xml:space="preserve"> Al       0.0162    0.0306    0.0159    0.0300   0.0055  1.4115   0.000115  0.000217  </t>
  </si>
  <si>
    <t xml:space="preserve"> O       42.25       -       41.36       -      24.000      -         -        </t>
  </si>
  <si>
    <t>Total:  102.16    102.16    100.00    100.00    18.045</t>
  </si>
  <si>
    <t xml:space="preserve"> UNK No.      :   54            Comment : UnkA-C21MI_5_2                           </t>
  </si>
  <si>
    <t xml:space="preserve"> Stage        :    X=   16.8325  Y=   71.6255  Z=   11.4630 </t>
  </si>
  <si>
    <t xml:space="preserve"> Dated on Mar  2 05:12 2017 </t>
  </si>
  <si>
    <t xml:space="preserve"> 1 Mg   107.540  51148.2  295.7  223.8    0.10       38 </t>
  </si>
  <si>
    <t xml:space="preserve"> 2 Mn   146.037    180.1   98.9   94.2    1.39       35 </t>
  </si>
  <si>
    <t xml:space="preserve"> 3 Fe   134.743   2908.0    0.0   23.2    0.42      105 </t>
  </si>
  <si>
    <t xml:space="preserve"> 4 Si    77.808  25666.6  192.4  116.2    0.14       60 </t>
  </si>
  <si>
    <t xml:space="preserve"> 5 Ca   107.775    618.1  297.5  255.0    0.72       14 </t>
  </si>
  <si>
    <t xml:space="preserve"> 6 Cr   159.160      0.6   72.6   72.7  390.12 ?     52 </t>
  </si>
  <si>
    <t xml:space="preserve"> 7 Ni   115.404     21.9   39.9   34.1    5.78       66 </t>
  </si>
  <si>
    <t xml:space="preserve"> 8 Al    90.986     16.5   85.2   68.5   12.72       25 </t>
  </si>
  <si>
    <t xml:space="preserve"> Mn      0.9832    0.0002    1.0020    0.7943     1.0575     1.1877     1.0359</t>
  </si>
  <si>
    <t xml:space="preserve"> Fe      0.9871    0.0004    1.0032    0.8060     1.0570     1.1697     0.9863</t>
  </si>
  <si>
    <t xml:space="preserve"> Si      0.6609    0.0002    0.7253    0.9815     1.0120     1.3879     0.9985</t>
  </si>
  <si>
    <t xml:space="preserve"> Ca      0.9304    0.0068    0.9638    0.9130     1.0478     1.0772     1.0041</t>
  </si>
  <si>
    <t xml:space="preserve"> Ni      0.9821    0.0000    0.9939    0.8130     1.0530     1.1752     1.1219</t>
  </si>
  <si>
    <t xml:space="preserve"> Al      0.5392    0.0064    0.6048    0.9628     1.0044     1.6990     1.4108</t>
  </si>
  <si>
    <t xml:space="preserve"> Mg      25.17     41.74     24.74     41.02     9.435   1.0906   0.23128   0.77638  </t>
  </si>
  <si>
    <t xml:space="preserve"> Mn       0.2835    0.3661    0.2786    0.3598   0.0470  1.0359   0.002737  0.008126  </t>
  </si>
  <si>
    <t xml:space="preserve"> Fe      15.42     19.84     15.16     19.50     2.516   0.9863   0.15645   2.10986  </t>
  </si>
  <si>
    <t xml:space="preserve"> Si      18.39     39.33     18.07     38.66     5.964   0.9985   0.18435   0.96683  </t>
  </si>
  <si>
    <t xml:space="preserve"> Ca       0.2094    0.2929    0.2058    0.2879   0.0476  1.0041   0.002085  0.006111  </t>
  </si>
  <si>
    <t xml:space="preserve"> Cr       0.0009    0.0013    0.0009    0.0013   0.0002  1.0315   0.000009  0.000013 ?</t>
  </si>
  <si>
    <t xml:space="preserve"> Ni       0.1150    0.1464    0.1131    0.1439   0.0179  1.1219   0.001025  0.001305  </t>
  </si>
  <si>
    <t xml:space="preserve"> Al       0.0153    0.0289    0.0150    0.0284   0.0052  1.4108   0.000108  0.000205  </t>
  </si>
  <si>
    <t xml:space="preserve"> O       42.14       -       41.42       -      24.000      -         -        </t>
  </si>
  <si>
    <t>Total:  101.75    101.75    100.00    100.00    18.033</t>
  </si>
  <si>
    <t xml:space="preserve"> UNK No.      :   55            Comment : UnkA-C21MI_5_3                           </t>
  </si>
  <si>
    <t xml:space="preserve"> Stage        :    X=   16.8365  Y=   71.5455  Z=   11.4630 </t>
  </si>
  <si>
    <t xml:space="preserve"> Dated on Mar  2 05:15 2017 </t>
  </si>
  <si>
    <t xml:space="preserve"> 1 Mg   107.540  50969.1  297.0  238.0    0.10       39 </t>
  </si>
  <si>
    <t xml:space="preserve"> 2 Mn   146.037    183.8   98.9   87.3    1.36       35 </t>
  </si>
  <si>
    <t xml:space="preserve"> 3 Fe   134.743   2959.0    0.0   26.2    0.41      112 </t>
  </si>
  <si>
    <t xml:space="preserve"> 4 Si    77.808  24793.6  204.1  114.3    0.14       61 </t>
  </si>
  <si>
    <t xml:space="preserve"> 5 Ca   107.775    622.9  295.4  252.2    0.71       14 </t>
  </si>
  <si>
    <t xml:space="preserve"> 6 Cr   159.160      4.3   71.4   69.2   51.27 ?     51 </t>
  </si>
  <si>
    <t xml:space="preserve"> 7 Ni   115.404     19.1   39.6   34.2    6.52       66 </t>
  </si>
  <si>
    <t xml:space="preserve"> 8 Al    90.986     19.9   86.0   71.3   10.70       25 </t>
  </si>
  <si>
    <t xml:space="preserve"> Mg      0.5536    0.0033    0.6346    1.0026     0.9964     1.5721     1.0942</t>
  </si>
  <si>
    <t xml:space="preserve"> Mn      0.9832    0.0002    1.0021    0.7950     1.0574     1.1870     1.0352</t>
  </si>
  <si>
    <t xml:space="preserve"> Fe      0.9871    0.0003    1.0032    0.8067     1.0568     1.1690     0.9857</t>
  </si>
  <si>
    <t xml:space="preserve"> Si      0.6589    0.0002    0.7230    0.9824     1.0116     1.3915     1.0011</t>
  </si>
  <si>
    <t xml:space="preserve"> Ca      0.9305    0.0070    0.9638    0.9138     1.0476     1.0763     1.0032</t>
  </si>
  <si>
    <t xml:space="preserve"> Cr      0.9781    0.0596    0.9993    0.8133     1.0570     1.0986     1.0293</t>
  </si>
  <si>
    <t xml:space="preserve"> Ni      0.9819    0.0000    0.9937    0.8137     1.0528     1.1747     1.1214</t>
  </si>
  <si>
    <t xml:space="preserve"> Al      0.5369    0.0062    0.6022    0.9637     1.0040     1.7058     1.4165</t>
  </si>
  <si>
    <t xml:space="preserve"> Mg      25.20     41.79     24.96     41.39     9.568   1.0942   0.23062   0.77414  </t>
  </si>
  <si>
    <t xml:space="preserve"> Mn       0.2892    0.3734    0.2864    0.3698   0.0486  1.0352   0.002793  0.008294  </t>
  </si>
  <si>
    <t xml:space="preserve"> Fe      15.70     20.19     15.55     20.00     2.594   0.9857   0.15929   2.14817  </t>
  </si>
  <si>
    <t xml:space="preserve"> Si      17.83     38.14     17.66     37.77     5.857   1.0011   0.17818   0.93452  </t>
  </si>
  <si>
    <t xml:space="preserve"> Ca       0.2109    0.2951    0.2089    0.2923   0.0486  1.0032   0.002102  0.006162  </t>
  </si>
  <si>
    <t xml:space="preserve"> Cr       0.0071    0.0104    0.0070    0.0103   0.0013  1.0293   0.000069  0.000101  </t>
  </si>
  <si>
    <t xml:space="preserve"> Ni       0.1004    0.1277    0.0994    0.1265   0.0158  1.1214   0.000895  0.001139  </t>
  </si>
  <si>
    <t xml:space="preserve"> Al       0.0186    0.0351    0.0184    0.0348   0.0064  1.4165   0.000131  0.000248  </t>
  </si>
  <si>
    <t xml:space="preserve"> O       41.61       -       41.21       -      24.000      -         -        </t>
  </si>
  <si>
    <t>Total:  100.96    100.96    100.00    100.00    18.139</t>
  </si>
  <si>
    <t xml:space="preserve"> UNK No.      :   56            Comment : UnkA-C21MI_6_1                           </t>
  </si>
  <si>
    <t xml:space="preserve"> Stage        :    X=   16.7705  Y=   71.4320  Z=   11.4630 </t>
  </si>
  <si>
    <t xml:space="preserve"> Dated on Mar  2 05:18 2017 </t>
  </si>
  <si>
    <t xml:space="preserve"> 1 Mg   107.540  51147.9  307.1  226.4    0.10       39 </t>
  </si>
  <si>
    <t xml:space="preserve"> 2 Mn   146.037    180.7   99.2   86.0    1.37       35 </t>
  </si>
  <si>
    <t xml:space="preserve"> 3 Fe   134.743   2917.3    0.0   30.1    0.42      120 </t>
  </si>
  <si>
    <t xml:space="preserve"> 4 Si    77.808  24791.2  190.1  115.8    0.14       60 </t>
  </si>
  <si>
    <t xml:space="preserve"> 5 Ca   107.775    624.8  296.6  251.5    0.71       14 </t>
  </si>
  <si>
    <t xml:space="preserve"> 6 Cr   159.160      4.3   69.5   67.1   50.91 ?     50 </t>
  </si>
  <si>
    <t xml:space="preserve"> 7 Ni   115.404     20.0   39.0   34.1    6.24       66 </t>
  </si>
  <si>
    <t xml:space="preserve"> 8 Al    90.986     14.7   89.5   72.8   14.56       25 </t>
  </si>
  <si>
    <t xml:space="preserve"> Mg      0.5548    0.0033    0.6359    1.0022     0.9966     1.5692     1.0922</t>
  </si>
  <si>
    <t xml:space="preserve"> Mn      0.9832    0.0002    1.0021    0.7947     1.0574     1.1873     1.0355</t>
  </si>
  <si>
    <t xml:space="preserve"> Fe      0.9871    0.0003    1.0032    0.8063     1.0569     1.1693     0.9860</t>
  </si>
  <si>
    <t xml:space="preserve"> Si      0.6591    0.0002    0.7232    0.9819     1.0118     1.3914     1.0010</t>
  </si>
  <si>
    <t xml:space="preserve"> Ca      0.9305    0.0069    0.9638    0.9134     1.0477     1.0767     1.0036</t>
  </si>
  <si>
    <t xml:space="preserve"> Cr      0.9781    0.0589    0.9993    0.8130     1.0571     1.0996     1.0303</t>
  </si>
  <si>
    <t xml:space="preserve"> Ni      0.9820    0.0000    0.9938    0.8134     1.0529     1.1749     1.1216</t>
  </si>
  <si>
    <t xml:space="preserve"> Al      0.5371    0.0062    0.6024    0.9633     1.0042     1.7055     1.4163</t>
  </si>
  <si>
    <t xml:space="preserve"> Mg      25.25     41.86     25.06     41.56     9.595   1.0922   0.23135   0.77662  </t>
  </si>
  <si>
    <t xml:space="preserve"> Mn       0.2843    0.3671    0.2822    0.3644   0.0478  1.0355   0.002746  0.008152  </t>
  </si>
  <si>
    <t xml:space="preserve"> Fe      15.48     19.91     15.36     19.77     2.560   0.9860   0.15700   2.11729  </t>
  </si>
  <si>
    <t xml:space="preserve"> Si      17.82     38.12     17.69     37.85     5.862   1.0010   0.17811   0.93415  </t>
  </si>
  <si>
    <t xml:space="preserve"> Ca       0.2116    0.2960    0.2100    0.2939   0.0488  1.0036   0.002108  0.006179  </t>
  </si>
  <si>
    <t xml:space="preserve"> Cr       0.0070    0.0103    0.0070    0.0102   0.0013  1.0303   0.000068  0.000100  </t>
  </si>
  <si>
    <t xml:space="preserve"> Ni       0.1051    0.1337    0.1043    0.1327   0.0165  1.1216   0.000937  0.001192  </t>
  </si>
  <si>
    <t xml:space="preserve"> Al       0.0136    0.0258    0.0135    0.0256   0.0047  1.4163   0.000096  0.000182  </t>
  </si>
  <si>
    <t xml:space="preserve"> O       41.56       -       41.26       -      24.000      -         -        </t>
  </si>
  <si>
    <t>Total:  100.73    100.73    100.00    100.00    18.136</t>
  </si>
  <si>
    <t xml:space="preserve"> UNK No.      :   57            Comment : UnkA-C21MI_6_2                           </t>
  </si>
  <si>
    <t xml:space="preserve"> Stage        :    X=   16.8275  Y=   71.4210  Z=   11.4630 </t>
  </si>
  <si>
    <t xml:space="preserve"> Dated on Mar  2 05:22 2017 </t>
  </si>
  <si>
    <t xml:space="preserve">Curr.(A) : 9.867E-08 </t>
  </si>
  <si>
    <t xml:space="preserve"> 1 Mg   107.540  51177.6  302.9  239.5    0.10       39 </t>
  </si>
  <si>
    <t xml:space="preserve"> 2 Mn   146.037    179.1   99.7   86.9    1.38       35 </t>
  </si>
  <si>
    <t xml:space="preserve"> 3 Fe   134.743   2912.2    0.0   23.5    0.42      106 </t>
  </si>
  <si>
    <t xml:space="preserve"> 4 Si    77.808  24681.5  190.6  115.1    0.14       60 </t>
  </si>
  <si>
    <t xml:space="preserve"> 5 Ca   107.775    609.6  304.2  256.8    0.73       15 </t>
  </si>
  <si>
    <t xml:space="preserve"> 6 Cr   159.160     -1.0   72.5   70.8  100.00 ?     51 </t>
  </si>
  <si>
    <t xml:space="preserve"> 7 Ni   115.404     19.7   38.3   34.0    6.28       66 </t>
  </si>
  <si>
    <t xml:space="preserve"> 8 Al    90.986     13.9   88.3   70.6   15.17       25 </t>
  </si>
  <si>
    <t xml:space="preserve"> Mg      0.5549    0.0033    0.6360    1.0022     0.9966     1.5689     1.0920</t>
  </si>
  <si>
    <t xml:space="preserve"> Mn      0.9832    0.0002    1.0021    0.7947     1.0575     1.1873     1.0355</t>
  </si>
  <si>
    <t xml:space="preserve"> Si      0.6589    0.0002    0.7230    0.9819     1.0118     1.3919     1.0013</t>
  </si>
  <si>
    <t xml:space="preserve"> Ca      0.9305    0.0069    0.9639    0.9134     1.0477     1.0767     1.0036</t>
  </si>
  <si>
    <t xml:space="preserve"> Al      0.5369    0.0062    0.6021    0.9633     1.0042     1.7063     1.4169</t>
  </si>
  <si>
    <t xml:space="preserve"> Mg      25.26     41.88     25.13     41.66     9.621   1.0920   0.23144   0.77691  </t>
  </si>
  <si>
    <t xml:space="preserve"> Mn       0.2818    0.3639    0.2803    0.3619   0.0475  1.0355   0.002721  0.008080  </t>
  </si>
  <si>
    <t xml:space="preserve"> Fe      15.45     19.87     15.37     19.77     2.561   0.9860   0.15669   2.11318  </t>
  </si>
  <si>
    <t xml:space="preserve"> Si      17.75     37.96     17.65     37.76     5.850   1.0013   0.17729   0.92982  </t>
  </si>
  <si>
    <t xml:space="preserve"> Ca       0.2064    0.2888    0.2053    0.2872   0.0477  1.0036   0.002056  0.006027  </t>
  </si>
  <si>
    <t xml:space="preserve"> Ni       0.1037    0.1320    0.1032    0.1313   0.0164  1.1216   0.000925  0.001177  </t>
  </si>
  <si>
    <t xml:space="preserve"> Al       0.0130    0.0245    0.0129    0.0244   0.0045  1.4169   0.000092  0.000173  </t>
  </si>
  <si>
    <t xml:space="preserve"> O       41.47       -       41.25       -      24.000      -         -        </t>
  </si>
  <si>
    <t>Total:  100.53    100.53    100.00    100.00    18.148</t>
  </si>
  <si>
    <t xml:space="preserve"> UNK No.      :   58            Comment : UnkA-C21MI_6_3                           </t>
  </si>
  <si>
    <t xml:space="preserve"> Stage        :    X=   16.8050  Y=   71.3810  Z=   11.4630 </t>
  </si>
  <si>
    <t xml:space="preserve"> Dated on Mar  2 05:25 2017 </t>
  </si>
  <si>
    <t xml:space="preserve"> 1 Mg   107.540  51049.6  291.0  220.6    0.10       38 </t>
  </si>
  <si>
    <t xml:space="preserve"> 2 Mn   146.037    181.2  101.3   88.6    1.38       35 </t>
  </si>
  <si>
    <t xml:space="preserve"> 3 Fe   134.743   2914.8    0.0   25.6    0.42      111 </t>
  </si>
  <si>
    <t xml:space="preserve"> 4 Si    77.808  24676.8  198.3  109.6    0.14       60 </t>
  </si>
  <si>
    <t xml:space="preserve"> 5 Ca   107.775    639.7  297.0  251.2    0.70       14 </t>
  </si>
  <si>
    <t xml:space="preserve"> 6 Cr   159.160      3.6   70.7   66.4   60.63 ?     50 </t>
  </si>
  <si>
    <t xml:space="preserve"> 7 Ni   115.404     20.6   40.4   34.0    6.10       66 </t>
  </si>
  <si>
    <t xml:space="preserve"> 8 Al    90.986     22.1   85.8   64.2    9.55       24 </t>
  </si>
  <si>
    <t xml:space="preserve"> Mg      0.5546    0.0033    0.6358    1.0023     0.9966     1.5695     1.0924</t>
  </si>
  <si>
    <t xml:space="preserve"> Mn      0.9832    0.0002    1.0021    0.7947     1.0574     1.1872     1.0354</t>
  </si>
  <si>
    <t xml:space="preserve"> Fe      0.9871    0.0003    1.0032    0.8064     1.0569     1.1692     0.9859</t>
  </si>
  <si>
    <t xml:space="preserve"> Si      0.6589    0.0002    0.7230    0.9820     1.0118     1.3917     1.0012</t>
  </si>
  <si>
    <t xml:space="preserve"> Ca      0.9305    0.0069    0.9639    0.9135     1.0477     1.0766     1.0035</t>
  </si>
  <si>
    <t xml:space="preserve"> Cr      0.9781    0.0590    0.9993    0.8130     1.0571     1.0995     1.0302</t>
  </si>
  <si>
    <t xml:space="preserve"> Al      0.5369    0.0062    0.6022    0.9634     1.0042     1.7060     1.4167</t>
  </si>
  <si>
    <t xml:space="preserve"> Mg      25.21     41.80     25.08     41.59     9.605   1.0924   0.23091   0.77512  </t>
  </si>
  <si>
    <t xml:space="preserve"> Mn       0.2851    0.3682    0.2837    0.3663   0.0481  1.0354   0.002754  0.008176  </t>
  </si>
  <si>
    <t xml:space="preserve"> Fe      15.46     19.89     15.38     19.79     2.564   0.9859   0.15686   2.11544  </t>
  </si>
  <si>
    <t xml:space="preserve"> Si      17.75     37.96     17.65     37.77     5.851   1.0012   0.17729   0.92983  </t>
  </si>
  <si>
    <t xml:space="preserve"> Ca       0.2166    0.3031    0.2155    0.3016   0.0501  1.0035   0.002159  0.006327  </t>
  </si>
  <si>
    <t xml:space="preserve"> Cr       0.0059    0.0087    0.0059    0.0086   0.0011  1.0302   0.000057  0.000084  </t>
  </si>
  <si>
    <t xml:space="preserve"> Ni       0.1086    0.1382    0.1080    0.1375   0.0171  1.1216   0.000968  0.001232  </t>
  </si>
  <si>
    <t xml:space="preserve"> Al       0.0206    0.0390    0.0205    0.0388   0.0071  1.4167   0.000146  0.000275  </t>
  </si>
  <si>
    <t xml:space="preserve"> O       41.46       -       41.25       -      24.000      -         -        </t>
  </si>
  <si>
    <t>Total:  100.51    100.51    100.00    100.00    18.145</t>
  </si>
  <si>
    <t xml:space="preserve"> UNK No.      :   59            Comment : SC-Olivine                               </t>
  </si>
  <si>
    <t xml:space="preserve"> Stage        :    X=   17.2255  Y=   25.6705  Z=   11.6455 </t>
  </si>
  <si>
    <t xml:space="preserve"> Dated on Mar  2 05:29 2017 </t>
  </si>
  <si>
    <t xml:space="preserve"> 1 Mg   107.540  66094.7  308.0  232.3    0.09       39 </t>
  </si>
  <si>
    <t xml:space="preserve"> 2 Mn   146.037     72.3   92.2   76.9    2.80       33 </t>
  </si>
  <si>
    <t xml:space="preserve"> 3 Fe   134.743   1381.2    0.0   23.0    0.61      105 </t>
  </si>
  <si>
    <t xml:space="preserve"> 4 Si    77.808  25791.7  180.6  102.8    0.14       58 </t>
  </si>
  <si>
    <t xml:space="preserve"> 5 Ca   107.775    211.7  271.3  230.1    1.64       14 </t>
  </si>
  <si>
    <t xml:space="preserve"> 6 Cr   159.160      2.1   66.8   66.8   99.69 ?     50 </t>
  </si>
  <si>
    <t xml:space="preserve"> 7 Ni   115.404     52.6   36.8   31.2    2.70       64 </t>
  </si>
  <si>
    <t xml:space="preserve"> 8 Al    90.986     19.3   78.6   65.4   10.59       24 </t>
  </si>
  <si>
    <t xml:space="preserve"> Mg      0.6101    0.0037    0.6994    0.9840     1.0041     1.4420     1.0037</t>
  </si>
  <si>
    <t xml:space="preserve"> Si      0.6647    0.0001    0.7294    0.9643     1.0193     1.3947     1.0033</t>
  </si>
  <si>
    <t xml:space="preserve"> Ca      0.9308    0.0034    0.9641    0.8976     1.0537     1.0929     1.0188</t>
  </si>
  <si>
    <t xml:space="preserve"> Ni      0.9875    0.0000    0.9993    0.7999     1.0558     1.1849     1.1311</t>
  </si>
  <si>
    <t xml:space="preserve"> Al      0.5432    0.0066    0.6093    0.9459     1.0117     1.7038     1.4149</t>
  </si>
  <si>
    <t xml:space="preserve"> Mg      30.01     49.76     30.09     49.90    10.970   1.0037   0.29887   1.00326  </t>
  </si>
  <si>
    <t xml:space="preserve"> Mn       0.1151    0.1487    0.1155    0.1491   0.0186  1.0484   0.001098  0.003261  </t>
  </si>
  <si>
    <t xml:space="preserve"> Fe       7.42      9.54      7.44      9.57     1.180   0.9983   0.07431   1.00213  </t>
  </si>
  <si>
    <t xml:space="preserve"> Si      18.59     39.77     18.64     39.88     5.881   1.0033   0.18525   0.97155  </t>
  </si>
  <si>
    <t xml:space="preserve"> Ca       0.0728    0.1018    0.0730    0.1021   0.0161  1.0188   0.000714  0.002093  </t>
  </si>
  <si>
    <t xml:space="preserve"> Cr       0.0037    0.0054    0.0037    0.0054   0.0006  1.0734   0.000034  0.000050 ?</t>
  </si>
  <si>
    <t xml:space="preserve"> Ni       0.2791    0.3552    0.2799    0.3562   0.0422  1.1311   0.002467  0.003140  </t>
  </si>
  <si>
    <t xml:space="preserve"> Al       0.0180    0.0340    0.0180    0.0341   0.0059  1.4149   0.000127  0.000240  </t>
  </si>
  <si>
    <t xml:space="preserve"> O       43.21       -       43.33       -      24.000      -         -        </t>
  </si>
  <si>
    <t>Total:   99.71     99.71    100.00    100.00    18.115</t>
  </si>
  <si>
    <t xml:space="preserve"> UNK No.      :   60            Comment : SC-Olivine                               </t>
  </si>
  <si>
    <t xml:space="preserve"> Stage        :    X=   17.2800  Y=   25.7050  Z=   11.6455 </t>
  </si>
  <si>
    <t xml:space="preserve"> Dated on Mar  2 05:32 2017 </t>
  </si>
  <si>
    <t xml:space="preserve"> 1 Mg   107.540  66371.4  300.6  236.5    0.09       39 </t>
  </si>
  <si>
    <t xml:space="preserve"> 2 Mn   146.037     70.8   90.3   79.4    2.84       33 </t>
  </si>
  <si>
    <t xml:space="preserve"> 3 Fe   134.743   1391.6    0.0   21.1    0.60      101 </t>
  </si>
  <si>
    <t xml:space="preserve"> 4 Si    77.808  25739.1  184.2  105.9    0.14       59 </t>
  </si>
  <si>
    <t xml:space="preserve"> 5 Ca   107.775    214.9  270.8  231.9    1.62       14 </t>
  </si>
  <si>
    <t xml:space="preserve"> 6 Cr   159.160      4.1   67.5   64.9   51.74 ?     49 </t>
  </si>
  <si>
    <t xml:space="preserve"> 7 Ni   115.404     52.5   36.5   31.3    2.70       63 </t>
  </si>
  <si>
    <t xml:space="preserve"> 8 Al    90.986     17.8   80.2   63.5   11.47       24 </t>
  </si>
  <si>
    <t xml:space="preserve"> Mg      0.6099    0.0036    0.6991    0.9841     1.0040     1.4424     1.0040</t>
  </si>
  <si>
    <t xml:space="preserve"> Mn      0.9835    0.0007    1.0023    0.7813     1.0615     1.2021     1.0483</t>
  </si>
  <si>
    <t xml:space="preserve"> Fe      0.9873    0.0011    1.0034    0.7929     1.0606     1.1839     0.9983</t>
  </si>
  <si>
    <t xml:space="preserve"> Si      0.6644    0.0001    0.7290    0.9644     1.0193     1.3953     1.0038</t>
  </si>
  <si>
    <t xml:space="preserve"> Ca      0.9308    0.0034    0.9641    0.8976     1.0537     1.0928     1.0187</t>
  </si>
  <si>
    <t xml:space="preserve"> Cr      0.9784    0.0294    0.9996    0.7992     1.0616     1.1454     1.0732</t>
  </si>
  <si>
    <t xml:space="preserve"> Ni      0.9874    0.0000    0.9993    0.8000     1.0558     1.1849     1.1311</t>
  </si>
  <si>
    <t xml:space="preserve"> Al      0.5428    0.0066    0.6088    0.9460     1.0117     1.7051     1.4159</t>
  </si>
  <si>
    <t xml:space="preserve"> Mg      30.14     49.97     30.16     50.00    11.000   1.0040   0.30015   1.00756  </t>
  </si>
  <si>
    <t xml:space="preserve"> Mn       0.1128    0.1457    0.1129    0.1458   0.0182  1.0483   0.001076  0.003196  </t>
  </si>
  <si>
    <t xml:space="preserve"> Fe       7.47      9.62      7.48      9.62     1.188   0.9983   0.07488   1.00980  </t>
  </si>
  <si>
    <t xml:space="preserve"> Si      18.56     39.70     18.57     39.73     5.863   1.0038   0.18489   0.96966  </t>
  </si>
  <si>
    <t xml:space="preserve"> Ca       0.0739    0.1033    0.0739    0.1034   0.0164  1.0187   0.000725  0.002125  </t>
  </si>
  <si>
    <t xml:space="preserve"> Cr       0.0071    0.0104    0.0071    0.0104   0.0012  1.0732   0.000066  0.000097  </t>
  </si>
  <si>
    <t xml:space="preserve"> Ni       0.2788    0.3548    0.2790    0.3550   0.0421  1.1311   0.002465  0.003137  </t>
  </si>
  <si>
    <t xml:space="preserve"> Al       0.0166    0.0313    0.0166    0.0313   0.0054  1.4159   0.000117  0.000221  </t>
  </si>
  <si>
    <t xml:space="preserve"> O       43.28       -       43.30       -      24.000      -         -        </t>
  </si>
  <si>
    <t>Total:   99.94     99.94    100.00    100.00    18.134</t>
  </si>
  <si>
    <t xml:space="preserve"> UNK No.      :   61            Comment : SC-Olivine                               </t>
  </si>
  <si>
    <t xml:space="preserve"> Stage        :    X=   17.3090  Y=   25.6605  Z=   11.6455 </t>
  </si>
  <si>
    <t xml:space="preserve"> Dated on Mar  2 05:35 2017 </t>
  </si>
  <si>
    <t xml:space="preserve"> 1 Mg   107.540  66565.4  303.3  242.9    0.09       39 </t>
  </si>
  <si>
    <t xml:space="preserve"> 2 Mn   146.037     65.9   92.5   81.8    3.05       34 </t>
  </si>
  <si>
    <t xml:space="preserve"> 3 Fe   134.743   1373.9    0.0   22.0    0.61      103 </t>
  </si>
  <si>
    <t xml:space="preserve"> 4 Si    77.808  25732.6  187.1  105.5    0.14       59 </t>
  </si>
  <si>
    <t xml:space="preserve"> 5 Ca   107.775    213.8  269.9  235.2    1.63       14 </t>
  </si>
  <si>
    <t xml:space="preserve"> 6 Cr   159.160      5.7   66.9   66.0   37.87 ?     49 </t>
  </si>
  <si>
    <t xml:space="preserve"> 7 Ni   115.404     56.0   36.1   31.6    2.56       63 </t>
  </si>
  <si>
    <t xml:space="preserve"> 8 Al    90.986     21.7   75.9   63.4    9.36       23 </t>
  </si>
  <si>
    <t xml:space="preserve"> Mg      0.6105    0.0036    0.6998    0.9839     1.0041     1.4412     1.0031</t>
  </si>
  <si>
    <t xml:space="preserve"> Mn      0.9835    0.0008    1.0023    0.7812     1.0616     1.2022     1.0484</t>
  </si>
  <si>
    <t xml:space="preserve"> Fe      0.9873    0.0012    1.0034    0.7927     1.0606     1.1839     0.9983</t>
  </si>
  <si>
    <t xml:space="preserve"> Si      0.6643    0.0001    0.7290    0.9642     1.0194     1.3955     1.0039</t>
  </si>
  <si>
    <t xml:space="preserve"> Cr      0.9784    0.0291    0.9996    0.7991     1.0616     1.1459     1.0737</t>
  </si>
  <si>
    <t xml:space="preserve"> Al      0.5428    0.0066    0.6088    0.9458     1.0118     1.7053     1.4161</t>
  </si>
  <si>
    <t xml:space="preserve"> Mg      30.19     50.07     30.22     50.11    11.018   1.0031   0.30097   1.01030  </t>
  </si>
  <si>
    <t xml:space="preserve"> Mn       0.1050    0.1356    0.1051    0.1357   0.0170  1.0484   0.001001  0.002973  </t>
  </si>
  <si>
    <t xml:space="preserve"> Fe       7.38      9.49      7.38      9.50     1.172   0.9983   0.07391   0.99675  </t>
  </si>
  <si>
    <t xml:space="preserve"> Si      18.55     39.69     18.57     39.72     5.860   1.0039   0.18480   0.96922  </t>
  </si>
  <si>
    <t xml:space="preserve"> Ca       0.0735    0.1028    0.0735    0.1029   0.0163  1.0188   0.000721  0.002113  </t>
  </si>
  <si>
    <t xml:space="preserve"> Cr       0.0098    0.0143    0.0098    0.0143   0.0017  1.0737   0.000091  0.000133  </t>
  </si>
  <si>
    <t xml:space="preserve"> Ni       0.2972    0.3781    0.2974    0.3784   0.0449  1.1312   0.002627  0.003343  </t>
  </si>
  <si>
    <t xml:space="preserve"> Al       0.0202    0.0382    0.0202    0.0383   0.0067  1.4161   0.000143  0.000270  </t>
  </si>
  <si>
    <t xml:space="preserve"> O       43.29       -       43.32       -      24.000      -         -        </t>
  </si>
  <si>
    <t>Total:   99.92     99.92    100.00    100.00    18.136</t>
  </si>
  <si>
    <t xml:space="preserve"> UNK No.      :   62            Comment : UnkA-C21MI_7_1                           </t>
  </si>
  <si>
    <t xml:space="preserve"> Stage        :    X=   15.8260  Y=   72.1815  Z=   11.4630 </t>
  </si>
  <si>
    <t xml:space="preserve"> Dated on Mar  2 05:39 2017 </t>
  </si>
  <si>
    <t xml:space="preserve"> 1 Mg   107.540  58559.5  294.6  224.0    0.09       38 </t>
  </si>
  <si>
    <t xml:space="preserve"> 2 Mn   146.037    120.7   96.1   86.6    1.87       34 </t>
  </si>
  <si>
    <t xml:space="preserve"> 3 Fe   134.743   2159.0    0.0   22.9    0.48      105 </t>
  </si>
  <si>
    <t xml:space="preserve"> 4 Si    77.808  26081.9  183.8  111.2    0.14       59 </t>
  </si>
  <si>
    <t xml:space="preserve"> 5 Ca   107.775    724.7  284.2  241.4    0.63       14 </t>
  </si>
  <si>
    <t xml:space="preserve"> 6 Cr   159.160      6.3   74.5   62.1   34.58 ?     50 </t>
  </si>
  <si>
    <t xml:space="preserve"> 7 Ni   115.404     28.9   36.2   32.2    4.41       64 </t>
  </si>
  <si>
    <t xml:space="preserve"> 8 Al    90.986     17.5   81.1   67.1   11.78       24 </t>
  </si>
  <si>
    <t xml:space="preserve"> Mg      0.5817    0.0035    0.6668    0.9929     1.0004     1.5045     1.0472</t>
  </si>
  <si>
    <t xml:space="preserve"> Mn      0.9833    0.0003    1.0021    0.7878     1.0595     1.1951     1.0423</t>
  </si>
  <si>
    <t xml:space="preserve"> Fe      0.9871    0.0005    1.0032    0.7994     1.0588     1.1771     0.9925</t>
  </si>
  <si>
    <t xml:space="preserve"> Si      0.6634    0.0001    0.7280    0.9729     1.0156     1.3899     0.9999</t>
  </si>
  <si>
    <t xml:space="preserve"> Ca      0.9307    0.0051    0.9640    0.9053     1.0508     1.0850     1.0113</t>
  </si>
  <si>
    <t xml:space="preserve"> Cr      0.9781    0.0437    0.9993    0.8059     1.0594     1.1230     1.0522</t>
  </si>
  <si>
    <t xml:space="preserve"> Ni      0.9847    0.0000    0.9966    0.8065     1.0544     1.1801     1.1265</t>
  </si>
  <si>
    <t xml:space="preserve"> Al      0.5420    0.0065    0.6078    0.9544     1.0080     1.6990     1.4109</t>
  </si>
  <si>
    <t xml:space="preserve"> Mg      27.68     45.90     27.24     45.17    10.154   1.0472   0.26488   0.88915  </t>
  </si>
  <si>
    <t xml:space="preserve"> Mn       0.1912    0.2469    0.1882    0.2430   0.0310  1.0423   0.001835  0.005447  </t>
  </si>
  <si>
    <t xml:space="preserve"> Fe      11.53     14.83     11.35     14.60     1.841   0.9925   0.11619   1.56694  </t>
  </si>
  <si>
    <t xml:space="preserve"> Si      18.72     40.04     18.42     39.41     5.942   0.9999   0.18739   0.98278  </t>
  </si>
  <si>
    <t xml:space="preserve"> Ca       0.2473    0.3460    0.2434    0.3406   0.0550  1.0113   0.002445  0.007167  </t>
  </si>
  <si>
    <t xml:space="preserve"> Cr       0.0107    0.0156    0.0105    0.0153   0.0018  1.0522   0.000101  0.000148  </t>
  </si>
  <si>
    <t xml:space="preserve"> Ni       0.1528    0.1944    0.1504    0.1914   0.0232  1.1265   0.001356  0.001726  </t>
  </si>
  <si>
    <t xml:space="preserve"> Al       0.0163    0.0308    0.0160    0.0303   0.0054  1.4109   0.000115  0.000218  </t>
  </si>
  <si>
    <t xml:space="preserve"> O       43.06       -       42.38       -      24.000      -         -        </t>
  </si>
  <si>
    <t>Total:  101.61    101.61    100.00    100.00    18.054</t>
  </si>
  <si>
    <t xml:space="preserve"> UNK No.      :   63            Comment : UnkA-C21MI_7_2                           </t>
  </si>
  <si>
    <t xml:space="preserve"> Stage        :    X=   15.8785  Y=   72.1490  Z=   11.4630 </t>
  </si>
  <si>
    <t xml:space="preserve"> Dated on Mar  2 05:42 2017 </t>
  </si>
  <si>
    <t xml:space="preserve"> 1 Mg   107.540  58702.9  299.8  223.8    0.09       38 </t>
  </si>
  <si>
    <t xml:space="preserve"> 2 Mn   146.037    118.9   95.7   87.4    1.90       34 </t>
  </si>
  <si>
    <t xml:space="preserve"> 3 Fe   134.743   2130.3    0.0   21.3    0.49      101 </t>
  </si>
  <si>
    <t xml:space="preserve"> 4 Si    77.808  25162.7  195.3  111.8    0.14       60 </t>
  </si>
  <si>
    <t xml:space="preserve"> 5 Ca   107.775    714.6  277.0  240.4    0.64       14 </t>
  </si>
  <si>
    <t xml:space="preserve"> 6 Cr   159.160      5.8   72.2   69.4   38.27 ?     51 </t>
  </si>
  <si>
    <t xml:space="preserve"> 7 Ni   115.404     28.3   37.0   34.9    4.56       65 </t>
  </si>
  <si>
    <t xml:space="preserve"> 8 Al    90.986     15.6   83.0   66.2   13.25       24 </t>
  </si>
  <si>
    <t xml:space="preserve"> Mg      0.5821    0.0035    0.6673    0.9929     1.0004     1.5034     1.0464</t>
  </si>
  <si>
    <t xml:space="preserve"> Mn      0.9833    0.0003    1.0021    0.7878     1.0596     1.1950     1.0422</t>
  </si>
  <si>
    <t xml:space="preserve"> Fe      0.9872    0.0005    1.0032    0.7994     1.0588     1.1770     0.9925</t>
  </si>
  <si>
    <t xml:space="preserve"> Si      0.6617    0.0001    0.7262    0.9729     1.0156     1.3935     1.0025</t>
  </si>
  <si>
    <t xml:space="preserve"> Ca      0.9308    0.0051    0.9641    0.9053     1.0508     1.0848     1.0112</t>
  </si>
  <si>
    <t xml:space="preserve"> Cr      0.9782    0.0437    0.9994    0.8059     1.0594     1.1228     1.0521</t>
  </si>
  <si>
    <t xml:space="preserve"> Ni      0.9847    0.0000    0.9966    0.8065     1.0544     1.1800     1.1265</t>
  </si>
  <si>
    <t xml:space="preserve"> Al      0.5400    0.0064    0.6056    0.9544     1.0080     1.7055     1.4163</t>
  </si>
  <si>
    <t xml:space="preserve"> Mg      27.78     46.06     27.70     45.93    10.349   1.0464   0.26555   0.89142  </t>
  </si>
  <si>
    <t xml:space="preserve"> Mn       0.1883    0.2432    0.1878    0.2425   0.0310  1.0422   0.001807  0.005365  </t>
  </si>
  <si>
    <t xml:space="preserve"> Fe      11.38     14.64     11.35     14.60     1.845   0.9925   0.11465   1.54624  </t>
  </si>
  <si>
    <t xml:space="preserve"> Si      18.12     38.77     18.07     38.66     5.843   1.0025   0.18080   0.94824  </t>
  </si>
  <si>
    <t xml:space="preserve"> Ca       0.2439    0.3412    0.2432    0.3402   0.0551  1.0112   0.002412  0.007068  </t>
  </si>
  <si>
    <t xml:space="preserve"> Cr       0.0098    0.0143    0.0098    0.0143   0.0017  1.0521   0.000093  0.000136  </t>
  </si>
  <si>
    <t xml:space="preserve"> Ni       0.1497    0.1905    0.1493    0.1899   0.0231  1.1265   0.001329  0.001691  </t>
  </si>
  <si>
    <t xml:space="preserve"> Al       0.0145    0.0273    0.0144    0.0273   0.0049  1.4163   0.000102  0.000193  </t>
  </si>
  <si>
    <t xml:space="preserve"> O       42.40       -       42.28       -      24.000      -         -        </t>
  </si>
  <si>
    <t>Total:  100.28    100.28    100.00    100.00    18.154</t>
  </si>
  <si>
    <t xml:space="preserve"> UNK No.      :   64            Comment : UnkA-C21MI_7_3                           </t>
  </si>
  <si>
    <t xml:space="preserve"> Stage        :    X=   15.8320  Y=   72.1080  Z=   11.4630 </t>
  </si>
  <si>
    <t xml:space="preserve"> Dated on Mar  2 05:46 2017 </t>
  </si>
  <si>
    <t xml:space="preserve"> 1 Mg   107.540  58649.2  298.9  236.8    0.09       39 </t>
  </si>
  <si>
    <t xml:space="preserve"> 2 Mn   146.037    123.6   92.9   84.8    1.82       34 </t>
  </si>
  <si>
    <t xml:space="preserve"> 3 Fe   134.743   2145.3    0.0   23.5    0.49      106 </t>
  </si>
  <si>
    <t xml:space="preserve"> 4 Si    77.808  25967.4  189.7  117.7    0.14       60 </t>
  </si>
  <si>
    <t xml:space="preserve"> 5 Ca   107.775    717.8  281.6  240.2    0.64       14 </t>
  </si>
  <si>
    <t xml:space="preserve"> 6 Cr   159.160      6.9   70.3   68.3   31.98       51 </t>
  </si>
  <si>
    <t xml:space="preserve"> 7 Ni   115.404     28.1   38.2   33.6    4.59       65 </t>
  </si>
  <si>
    <t xml:space="preserve"> 8 Al    90.986     16.5   81.5   66.1   12.47       24 </t>
  </si>
  <si>
    <t xml:space="preserve"> Mg      0.5821    0.0035    0.6673    0.9928     1.0005     1.5036     1.0465</t>
  </si>
  <si>
    <t xml:space="preserve"> Mn      0.9833    0.0003    1.0021    0.7877     1.0596     1.1952     1.0424</t>
  </si>
  <si>
    <t xml:space="preserve"> Fe      0.9871    0.0005    1.0032    0.7993     1.0588     1.1772     0.9926</t>
  </si>
  <si>
    <t xml:space="preserve"> Si      0.6633    0.0001    0.7279    0.9728     1.0157     1.3903     1.0002</t>
  </si>
  <si>
    <t xml:space="preserve"> Ca      0.9307    0.0051    0.9640    0.9052     1.0508     1.0850     1.0114</t>
  </si>
  <si>
    <t xml:space="preserve"> Cr      0.9782    0.0435    0.9994    0.8058     1.0595     1.1232     1.0524</t>
  </si>
  <si>
    <t xml:space="preserve"> Ni      0.9848    0.0000    0.9966    0.8064     1.0544     1.1801     1.1266</t>
  </si>
  <si>
    <t xml:space="preserve"> Al      0.5418    0.0065    0.6076    0.9543     1.0081     1.6998     1.4115</t>
  </si>
  <si>
    <t xml:space="preserve"> Mg      27.72     45.96     27.33     45.32    10.186   1.0465   0.26531   0.89060  </t>
  </si>
  <si>
    <t xml:space="preserve"> Mn       0.1958    0.2528    0.1931    0.2493   0.0318  1.0424   0.001878  0.005577  </t>
  </si>
  <si>
    <t xml:space="preserve"> Fe      11.46     14.74     11.30     14.53     1.833   0.9926   0.11546   1.55711  </t>
  </si>
  <si>
    <t xml:space="preserve"> Si      18.65     39.89     18.39     39.33     5.931   1.0002   0.18658   0.97856  </t>
  </si>
  <si>
    <t xml:space="preserve"> Ca       0.2450    0.3428    0.2416    0.3380   0.0546  1.0114   0.002423  0.007100  </t>
  </si>
  <si>
    <t xml:space="preserve"> Cr       0.0117    0.0170    0.0115    0.0168   0.0020  1.0524   0.000111  0.000162  </t>
  </si>
  <si>
    <t xml:space="preserve"> Ni       0.1485    0.1889    0.1464    0.1863   0.0226  1.1266   0.001318  0.001677  </t>
  </si>
  <si>
    <t xml:space="preserve"> Al       0.0153    0.0289    0.0151    0.0285   0.0051  1.4115   0.000108  0.000205  </t>
  </si>
  <si>
    <t xml:space="preserve"> O       42.98       -       42.38       -      24.000      -         -        </t>
  </si>
  <si>
    <t>Total:  101.42    101.42    100.00    100.00    18.066</t>
  </si>
  <si>
    <t xml:space="preserve"> UNK No.      :   65            Comment : UnkA-C21MI_8_1                           </t>
  </si>
  <si>
    <t xml:space="preserve"> Stage        :    X=   15.5390  Y=   70.7105  Z=   11.4660 </t>
  </si>
  <si>
    <t xml:space="preserve"> Dated on Mar  2 05:49 2017 </t>
  </si>
  <si>
    <t xml:space="preserve"> 1 Mg   107.540  53728.4  291.3  227.4    0.10       38 </t>
  </si>
  <si>
    <t xml:space="preserve"> 2 Mn   146.037    158.3   98.3   90.8    1.53       35 </t>
  </si>
  <si>
    <t xml:space="preserve"> 3 Fe   134.743   2642.6    0.0   24.7    0.44      109 </t>
  </si>
  <si>
    <t xml:space="preserve"> 4 Si    77.808  25684.7  196.0  118.4    0.14       61 </t>
  </si>
  <si>
    <t xml:space="preserve"> 5 Ca   107.775    818.2  285.8  247.3    0.58       14 </t>
  </si>
  <si>
    <t xml:space="preserve"> 6 Cr   159.160      4.7   71.5   65.8   46.44 ?     50 </t>
  </si>
  <si>
    <t xml:space="preserve"> 7 Ni   115.404     23.5   38.2   32.8    5.35       65 </t>
  </si>
  <si>
    <t xml:space="preserve"> 8 Al    90.986     16.8   83.8   68.3   12.37       24 </t>
  </si>
  <si>
    <t xml:space="preserve"> Mg      0.5646    0.0034    0.6472    0.9987     0.9980     1.5450     1.0754</t>
  </si>
  <si>
    <t xml:space="preserve"> Mn      0.9832    0.0003    1.0020    0.7921     1.0582     1.1903     1.0381</t>
  </si>
  <si>
    <t xml:space="preserve"> Fe      0.9871    0.0004    1.0032    0.8037     1.0576     1.1723     0.9885</t>
  </si>
  <si>
    <t xml:space="preserve"> Si      0.6616    0.0002    0.7260    0.9785     1.0132     1.3890     0.9993</t>
  </si>
  <si>
    <t xml:space="preserve"> Ca      0.9306    0.0062    0.9639    0.9103     1.0489     1.0798     1.0065</t>
  </si>
  <si>
    <t xml:space="preserve"> Cr      0.9781    0.0530    0.9993    0.8103     1.0580     1.1086     1.0388</t>
  </si>
  <si>
    <t xml:space="preserve"> Ni      0.9830    0.0000    0.9948    0.8108     1.0535     1.1769     1.1235</t>
  </si>
  <si>
    <t xml:space="preserve"> Al      0.5400    0.0064    0.6056    0.9599     1.0056     1.6997     1.4115</t>
  </si>
  <si>
    <t xml:space="preserve"> Mg      26.07     43.23     25.66     42.55     9.714   1.0754   0.24293   0.81547  </t>
  </si>
  <si>
    <t xml:space="preserve"> Mn       0.2497    0.3224    0.2457    0.3173   0.0412  1.0381   0.002405  0.007141  </t>
  </si>
  <si>
    <t xml:space="preserve"> Fe      14.05     18.07     13.83     17.79     2.278   0.9885   0.14216   1.91713  </t>
  </si>
  <si>
    <t xml:space="preserve"> Si      18.41     39.39     18.12     38.77     5.937   0.9993   0.18446   0.96742  </t>
  </si>
  <si>
    <t xml:space="preserve"> Ca       0.2778    0.3887    0.2734    0.3825   0.0628  1.0065   0.002760  0.008088  </t>
  </si>
  <si>
    <t xml:space="preserve"> Cr       0.0078    0.0114    0.0077    0.0112   0.0014  1.0388   0.000075  0.000110  </t>
  </si>
  <si>
    <t xml:space="preserve"> Ni       0.1236    0.1573    0.1216    0.1548   0.0191  1.1235   0.001100  0.001400  </t>
  </si>
  <si>
    <t xml:space="preserve"> Al       0.0156    0.0295    0.0154    0.0290   0.0052  1.4115   0.000111  0.000209  </t>
  </si>
  <si>
    <t xml:space="preserve"> O       42.40       -       41.73       -      24.000      -         -        </t>
  </si>
  <si>
    <t>Total:  101.60    101.60    100.00    100.00    18.059</t>
  </si>
  <si>
    <t xml:space="preserve"> UNK No.      :   66            Comment : UnkA-C21MI_8_2                           </t>
  </si>
  <si>
    <t xml:space="preserve"> Stage        :    X=   15.5180  Y=   70.6980  Z=   11.4660 </t>
  </si>
  <si>
    <t xml:space="preserve"> Dated on Mar  2 05:52 2017 </t>
  </si>
  <si>
    <t xml:space="preserve"> 1 Mg   107.540  52808.4  287.7  228.9    0.10       38 </t>
  </si>
  <si>
    <t xml:space="preserve"> 2 Mn   146.037    165.3   97.7   89.8    1.47       35 </t>
  </si>
  <si>
    <t xml:space="preserve"> 4 Si    77.808  25757.5  195.0  114.5    0.14       61 </t>
  </si>
  <si>
    <t xml:space="preserve"> 5 Ca   107.775    738.9  288.1  249.6    0.63       14 </t>
  </si>
  <si>
    <t xml:space="preserve"> 6 Cr   159.160      1.3   71.1   69.7  165.90 ?     51 </t>
  </si>
  <si>
    <t xml:space="preserve"> 7 Ni   115.404     20.6   40.4   34.2    6.11       67 </t>
  </si>
  <si>
    <t xml:space="preserve"> 8 Al    90.986     18.0   83.9   66.0   11.54       24 </t>
  </si>
  <si>
    <t xml:space="preserve"> Mg      0.5623    0.0034    0.6446    0.9994     0.9977     1.5505     1.0792</t>
  </si>
  <si>
    <t xml:space="preserve"> Fe      0.9871    0.0004    1.0032    0.8042     1.0574     1.1717     0.9880</t>
  </si>
  <si>
    <t xml:space="preserve"> Si      0.6618    0.0002    0.7262    0.9792     1.0129     1.3880     0.9986</t>
  </si>
  <si>
    <t xml:space="preserve"> Ca      0.9305    0.0064    0.9638    0.9110     1.0486     1.0792     1.0060</t>
  </si>
  <si>
    <t xml:space="preserve"> Al      0.5402    0.0064    0.6058    0.9606     1.0053     1.6982     1.4102</t>
  </si>
  <si>
    <t xml:space="preserve"> Mg      25.73     42.66     25.34     42.03     9.607   1.0792   0.23884   0.80175  </t>
  </si>
  <si>
    <t xml:space="preserve"> Mn       0.2606    0.3365    0.2567    0.3315   0.0431  1.0376   0.002512  0.007457  </t>
  </si>
  <si>
    <t xml:space="preserve"> Fe      14.38     18.50     14.17     18.23     2.337   0.9880   0.14562   1.96386  </t>
  </si>
  <si>
    <t xml:space="preserve"> Si      18.46     39.49     18.18     38.90     5.965   0.9986   0.18504   0.97046  </t>
  </si>
  <si>
    <t xml:space="preserve"> Ca       0.2508    0.3509    0.2471    0.3457   0.0568  1.0060   0.002493  0.007307  </t>
  </si>
  <si>
    <t xml:space="preserve"> Cr       0.0022    0.0032    0.0022    0.0032   0.0004  1.0369   0.000021  0.000031 ?</t>
  </si>
  <si>
    <t xml:space="preserve"> Ni       0.1087    0.1384    0.1071    0.1363   0.0168  1.1231   0.000968  0.001232  </t>
  </si>
  <si>
    <t xml:space="preserve"> O       42.30       -       41.67       -      24.000      -         -        </t>
  </si>
  <si>
    <t>Total:  101.51    101.51    100.00    100.00    18.032</t>
  </si>
  <si>
    <t xml:space="preserve"> UNK No.      :   67            Comment : UnkA-C21MI_8_3                           </t>
  </si>
  <si>
    <t xml:space="preserve"> Stage        :    X=   15.5340  Y=   70.6730  Z=   11.4660 </t>
  </si>
  <si>
    <t xml:space="preserve"> Dated on Mar  2 05:56 2017 </t>
  </si>
  <si>
    <t xml:space="preserve">Curr.(A) : 9.870E-08 </t>
  </si>
  <si>
    <t xml:space="preserve"> 1 Mg   107.540  52757.3  295.5  233.5    0.10       39 </t>
  </si>
  <si>
    <t xml:space="preserve"> 2 Mn   146.037    163.7   99.6   87.3    1.48       35 </t>
  </si>
  <si>
    <t xml:space="preserve"> 3 Fe   134.743   2735.1    0.0   28.2    0.43      116 </t>
  </si>
  <si>
    <t xml:space="preserve"> 4 Si    77.808  24865.6  185.0  113.4    0.14       59 </t>
  </si>
  <si>
    <t xml:space="preserve"> 5 Ca   107.775    822.6  295.7  249.4    0.58       14 </t>
  </si>
  <si>
    <t xml:space="preserve"> 6 Cr   159.160     -1.6   77.1   70.4  100.00 ?     52 </t>
  </si>
  <si>
    <t xml:space="preserve"> 7 Ni   115.404     17.8   40.7   35.4    7.05       67 </t>
  </si>
  <si>
    <t xml:space="preserve"> 8 Al    90.986     15.8   84.8   68.3   13.20       25 </t>
  </si>
  <si>
    <t xml:space="preserve"> Mg      0.5609    0.0033    0.6430    1.0001     0.9975     1.5538     1.0815</t>
  </si>
  <si>
    <t xml:space="preserve"> Mn      0.9832    0.0002    1.0020    0.7931     1.0579     1.1892     1.0371</t>
  </si>
  <si>
    <t xml:space="preserve"> Fe      0.9871    0.0003    1.0032    0.8047     1.0573     1.1712     0.9876</t>
  </si>
  <si>
    <t xml:space="preserve"> Si      0.6598    0.0002    0.7241    0.9799     1.0127     1.3916     1.0011</t>
  </si>
  <si>
    <t xml:space="preserve"> Ca      0.9306    0.0065    0.9639    0.9116     1.0484     1.0785     1.0053</t>
  </si>
  <si>
    <t xml:space="preserve"> Ni      0.9826    0.0000    0.9944    0.8118     1.0532     1.1761     1.1227</t>
  </si>
  <si>
    <t xml:space="preserve"> Al      0.5379    0.0063    0.6033    0.9613     1.0051     1.7050     1.4158</t>
  </si>
  <si>
    <t xml:space="preserve"> Mg      25.78     42.75     25.64     42.52     9.762   1.0815   0.23851   0.80065  </t>
  </si>
  <si>
    <t xml:space="preserve"> Mn       0.2579    0.3330    0.2565    0.3312   0.0432  1.0371   0.002487  0.007383  </t>
  </si>
  <si>
    <t xml:space="preserve"> Fe      14.53     18.69     14.45     18.59     2.395   0.9876   0.14712   1.98405  </t>
  </si>
  <si>
    <t xml:space="preserve"> Si      17.87     38.23     17.78     38.03     5.857   1.0011   0.17856   0.93647  </t>
  </si>
  <si>
    <t xml:space="preserve"> Ca       0.2789    0.3902    0.2774    0.3882   0.0641  1.0053   0.002774  0.008131  </t>
  </si>
  <si>
    <t xml:space="preserve"> Ni       0.0935    0.1190    0.0930    0.1184   0.0147  1.1227   0.000833  0.001060  </t>
  </si>
  <si>
    <t xml:space="preserve"> Al       0.0147    0.0277    0.0146    0.0276   0.0050  1.4158   0.000104  0.000196  </t>
  </si>
  <si>
    <t xml:space="preserve"> O       41.71       -       41.49       -      24.000      -         -        </t>
  </si>
  <si>
    <t>Total:  100.53    100.53    100.00    100.00    18.141</t>
  </si>
  <si>
    <t xml:space="preserve"> UNK No.      :   68            Comment : UnkA-C21MI_9_1                           </t>
  </si>
  <si>
    <t xml:space="preserve"> Stage        :    X=    9.9710  Y=   74.2750  Z=   11.4695 </t>
  </si>
  <si>
    <t xml:space="preserve"> Dated on Mar  2 05:59 2017 </t>
  </si>
  <si>
    <t xml:space="preserve"> 1 Mg   107.540  51764.5  299.0  227.8    0.10       39 </t>
  </si>
  <si>
    <t xml:space="preserve"> 2 Mn   146.037    182.2   98.3   89.1    1.37       35 </t>
  </si>
  <si>
    <t xml:space="preserve"> 3 Fe   134.743   2854.0    0.0   26.1    0.42      112 </t>
  </si>
  <si>
    <t xml:space="preserve"> 4 Si    77.808  25792.9  199.5  115.4    0.14       61 </t>
  </si>
  <si>
    <t xml:space="preserve"> 5 Ca   107.775    666.4  298.8  254.2    0.68       14 </t>
  </si>
  <si>
    <t xml:space="preserve"> 6 Cr   159.160      1.5   70.5   70.5  142.21 ?     51 </t>
  </si>
  <si>
    <t xml:space="preserve"> 7 Ni   115.404     16.2   40.2   34.8    7.63       67 </t>
  </si>
  <si>
    <t xml:space="preserve"> 8 Al    90.986     12.9   82.5   68.2   15.89       24 </t>
  </si>
  <si>
    <t xml:space="preserve"> Mg      0.5578    0.0034    0.6394    1.0010     0.9971     1.5616     1.0869</t>
  </si>
  <si>
    <t xml:space="preserve"> Mn      0.9832    0.0002    1.0020    0.7938     1.0577     1.1884     1.0365</t>
  </si>
  <si>
    <t xml:space="preserve"> Fe      0.9871    0.0003    1.0032    0.8054     1.0571     1.1705     0.9869</t>
  </si>
  <si>
    <t xml:space="preserve"> Si      0.6613    0.0002    0.7257    0.9808     1.0123     1.3877     0.9983</t>
  </si>
  <si>
    <t xml:space="preserve"> Ca      0.9305    0.0067    0.9638    0.9124     1.0481     1.0778     1.0047</t>
  </si>
  <si>
    <t xml:space="preserve"> Ni      0.9823    0.0000    0.9941    0.8125     1.0531     1.1757     1.1223</t>
  </si>
  <si>
    <t xml:space="preserve"> Al      0.5397    0.0064    0.6053    0.9621     1.0047     1.6983     1.4103</t>
  </si>
  <si>
    <t xml:space="preserve"> Mg      25.39     42.10     24.91     41.30     9.479   1.0869   0.23414   0.78598  </t>
  </si>
  <si>
    <t xml:space="preserve"> Mn       0.2869    0.3705    0.2815    0.3635   0.0474  1.0365   0.002768  0.008220  </t>
  </si>
  <si>
    <t xml:space="preserve"> Fe      15.15     19.49     14.86     19.12     2.462   0.9869   0.15359   2.07137  </t>
  </si>
  <si>
    <t xml:space="preserve"> Si      18.48     39.53     18.13     38.77     5.970   0.9983   0.18531   0.97189  </t>
  </si>
  <si>
    <t xml:space="preserve"> Ca       0.2259    0.3161    0.2216    0.3101   0.0512  1.0047   0.002249  0.006591  </t>
  </si>
  <si>
    <t xml:space="preserve"> Cr       0.0025    0.0037    0.0025    0.0036   0.0004  1.0332   0.000025  0.000036 ?</t>
  </si>
  <si>
    <t xml:space="preserve"> Ni       0.0851    0.1083    0.0835    0.1062   0.0132  1.1223   0.000758  0.000965  </t>
  </si>
  <si>
    <t xml:space="preserve"> Al       0.0119    0.0226    0.0117    0.0221   0.0040  1.4103   0.000085  0.000160  </t>
  </si>
  <si>
    <t xml:space="preserve"> O       42.31       -       41.50       -      24.000      -         -        </t>
  </si>
  <si>
    <t>Total:  101.94    101.94    100.00    100.00    18.028</t>
  </si>
  <si>
    <t xml:space="preserve"> UNK No.      :   69            Comment : UnkA-C21MI_9_2                           </t>
  </si>
  <si>
    <t xml:space="preserve"> Stage        :    X=    9.9550  Y=   74.2535  Z=   11.4695 </t>
  </si>
  <si>
    <t xml:space="preserve"> Dated on Mar  2 06:03 2017 </t>
  </si>
  <si>
    <t xml:space="preserve"> 1 Mg   107.540  51777.0  302.6  218.4    0.10       38 </t>
  </si>
  <si>
    <t xml:space="preserve"> 2 Mn   146.037    179.4  102.5   89.8    1.39       35 </t>
  </si>
  <si>
    <t xml:space="preserve"> 3 Fe   134.743   2829.1    0.0   26.6    0.42      113 </t>
  </si>
  <si>
    <t xml:space="preserve"> 4 Si    77.808  25096.2  194.8  118.6    0.14       61 </t>
  </si>
  <si>
    <t xml:space="preserve"> 5 Ca   107.775    658.4  296.9  250.0    0.68       14 </t>
  </si>
  <si>
    <t xml:space="preserve"> 6 Cr   159.160      1.8   71.5   69.4  124.50 ?     51 </t>
  </si>
  <si>
    <t xml:space="preserve"> 7 Ni   115.404     19.3   37.8   35.3    6.44       66 </t>
  </si>
  <si>
    <t xml:space="preserve"> 8 Al    90.986     15.8   83.9   66.5   13.09       24 </t>
  </si>
  <si>
    <t xml:space="preserve"> Mg      0.5578    0.0033    0.6394    1.0011     0.9971     1.5616     1.0870</t>
  </si>
  <si>
    <t xml:space="preserve"> Mn      0.9832    0.0002    1.0021    0.7939     1.0577     1.1883     1.0363</t>
  </si>
  <si>
    <t xml:space="preserve"> Fe      0.9871    0.0003    1.0032    0.8055     1.0571     1.1703     0.9868</t>
  </si>
  <si>
    <t xml:space="preserve"> Si      0.6600    0.0002    0.7243    0.9809     1.0123     1.3903     1.0002</t>
  </si>
  <si>
    <t xml:space="preserve"> Ca      0.9305    0.0067    0.9638    0.9125     1.0481     1.0777     1.0045</t>
  </si>
  <si>
    <t xml:space="preserve"> Ni      0.9823    0.0000    0.9941    0.8126     1.0531     1.1756     1.1222</t>
  </si>
  <si>
    <t xml:space="preserve"> Al      0.5382    0.0063    0.6036    0.9622     1.0046     1.7030     1.4142</t>
  </si>
  <si>
    <t xml:space="preserve"> Mg      25.43     42.17     25.21     41.80     9.613   1.0870   0.23425   0.78633  </t>
  </si>
  <si>
    <t xml:space="preserve"> Mn       0.2826    0.3649    0.2801    0.3616   0.0473  1.0363   0.002727  0.008097  </t>
  </si>
  <si>
    <t xml:space="preserve"> Fe      15.02     19.33     14.89     19.15     2.472   0.9868   0.15228   2.05371  </t>
  </si>
  <si>
    <t xml:space="preserve"> Si      18.03     38.56     17.87     38.22     5.897   1.0002   0.18034   0.94583  </t>
  </si>
  <si>
    <t xml:space="preserve"> Ca       0.2232    0.3123    0.2212    0.3095   0.0512  1.0045   0.002222  0.006513  </t>
  </si>
  <si>
    <t xml:space="preserve"> Cr       0.0029    0.0042    0.0029    0.0042   0.0005  1.0329   0.000028  0.000041 ?</t>
  </si>
  <si>
    <t xml:space="preserve"> Ni       0.1015    0.1292    0.1006    0.1280   0.0159  1.1222   0.000904  0.001151  </t>
  </si>
  <si>
    <t xml:space="preserve"> Al       0.0147    0.0279    0.0146    0.0276   0.0050  1.4142   0.000104  0.000197  </t>
  </si>
  <si>
    <t xml:space="preserve"> O       41.79       -       41.42       -      24.000      -         -        </t>
  </si>
  <si>
    <t>Total:  100.90    100.90    100.00    100.00    18.101</t>
  </si>
  <si>
    <t xml:space="preserve"> UNK No.      :   70            Comment : UnkA-C21MI_9_3                           </t>
  </si>
  <si>
    <t xml:space="preserve"> Stage        :    X=    9.9815  Y=   74.2395  Z=   11.4695 </t>
  </si>
  <si>
    <t xml:space="preserve"> Dated on Mar  2 06:06 2017 </t>
  </si>
  <si>
    <t xml:space="preserve"> 1 Mg   107.540  51792.1  295.8  230.7    0.10       39 </t>
  </si>
  <si>
    <t xml:space="preserve"> 2 Mn   146.037    185.4   96.2   91.0    1.35       35 </t>
  </si>
  <si>
    <t xml:space="preserve"> 3 Fe   134.743   2846.3    0.0   26.6    0.42      113 </t>
  </si>
  <si>
    <t xml:space="preserve"> 4 Si    77.808  25720.9  194.1  108.6    0.14       60 </t>
  </si>
  <si>
    <t xml:space="preserve"> 5 Ca   107.775    697.1  297.7  254.9    0.66       14 </t>
  </si>
  <si>
    <t xml:space="preserve"> 6 Cr   159.160      3.4   72.3   67.0   64.50 ?     51 </t>
  </si>
  <si>
    <t xml:space="preserve"> 7 Ni   115.404     18.3   38.4   35.9    6.80       66 </t>
  </si>
  <si>
    <t xml:space="preserve"> 8 Al    90.986     16.2   86.7   66.0   12.90       25 </t>
  </si>
  <si>
    <t xml:space="preserve"> Mg      0.5579    0.0034    0.6395    1.0010     0.9971     1.5615     1.0868</t>
  </si>
  <si>
    <t xml:space="preserve"> Fe      0.9871    0.0003    1.0032    0.8054     1.0571     1.1704     0.9869</t>
  </si>
  <si>
    <t xml:space="preserve"> Si      0.6612    0.0002    0.7256    0.9807     1.0123     1.3880     0.9985</t>
  </si>
  <si>
    <t xml:space="preserve"> Cr      0.9781    0.0568    0.9993    0.8120     1.0574     1.1028     1.0333</t>
  </si>
  <si>
    <t xml:space="preserve"> Al      0.5395    0.0064    0.6051    0.9621     1.0047     1.6988     1.4106</t>
  </si>
  <si>
    <t xml:space="preserve"> Mg      25.41     42.13     24.94     41.36     9.494   1.0868   0.23429   0.78648  </t>
  </si>
  <si>
    <t xml:space="preserve"> Mn       0.2921    0.3771    0.2867    0.3702   0.0483  1.0365   0.002818  0.008367  </t>
  </si>
  <si>
    <t xml:space="preserve"> Fe      15.11     19.44     14.83     19.08     2.458   0.9869   0.15319   2.06595  </t>
  </si>
  <si>
    <t xml:space="preserve"> Si      18.43     39.43     18.09     38.71     5.961   0.9985   0.18481   0.96927  </t>
  </si>
  <si>
    <t xml:space="preserve"> Ca       0.2364    0.3307    0.2320    0.3247   0.0536  1.0047   0.002353  0.006895  </t>
  </si>
  <si>
    <t xml:space="preserve"> Cr       0.0056    0.0082    0.0055    0.0080   0.0010  1.0333   0.000054  0.000079  </t>
  </si>
  <si>
    <t xml:space="preserve"> Ni       0.0961    0.1223    0.0944    0.1201   0.0149  1.1223   0.000857  0.001090  </t>
  </si>
  <si>
    <t xml:space="preserve"> Al       0.0150    0.0284    0.0147    0.0278   0.0051  1.4106   0.000106  0.000201  </t>
  </si>
  <si>
    <t xml:space="preserve"> O       42.27       -       41.50       -      24.000      -         -        </t>
  </si>
  <si>
    <t>Total:  101.87    101.87    100.00    100.00    18.036</t>
  </si>
  <si>
    <t xml:space="preserve"> UNK No.      :   71            Comment : UnkA-C21MI_10_1                          </t>
  </si>
  <si>
    <t xml:space="preserve"> Stage        :    X=   15.8510  Y=   74.8055  Z=   11.4615 </t>
  </si>
  <si>
    <t xml:space="preserve"> Dated on Mar  2 06:09 2017 </t>
  </si>
  <si>
    <t xml:space="preserve"> 1 Mg   107.540  56632.0  301.3  240.6    0.09       39 </t>
  </si>
  <si>
    <t xml:space="preserve"> 2 Mn   146.037    146.2   97.2   85.8    1.61       34 </t>
  </si>
  <si>
    <t xml:space="preserve"> 3 Fe   134.743   2310.4    0.0   26.1    0.47      112 </t>
  </si>
  <si>
    <t xml:space="preserve"> 4 Si    77.808  26039.5  194.6  111.0    0.14       60 </t>
  </si>
  <si>
    <t xml:space="preserve"> 5 Ca   107.775    728.1  282.2  249.3    0.63       14 </t>
  </si>
  <si>
    <t xml:space="preserve"> 6 Cr   159.160      5.1   70.3   67.7   43.19 ?     50 </t>
  </si>
  <si>
    <t xml:space="preserve"> 7 Ni   115.404     28.8   37.0   33.8    4.47       65 </t>
  </si>
  <si>
    <t xml:space="preserve"> 8 Al    90.986     15.9   84.2   64.3   12.96       24 </t>
  </si>
  <si>
    <t xml:space="preserve"> Mg      0.5759    0.0035    0.6601    0.9948     0.9996     1.5181     1.0566</t>
  </si>
  <si>
    <t xml:space="preserve"> Mn      0.9833    0.0003    1.0021    0.7892     1.0591     1.1935     1.0409</t>
  </si>
  <si>
    <t xml:space="preserve"> Fe      0.9871    0.0005    1.0032    0.8008     1.0584     1.1755     0.9912</t>
  </si>
  <si>
    <t xml:space="preserve"> Si      0.6632    0.0002    0.7278    0.9747     1.0148     1.3889     0.9992</t>
  </si>
  <si>
    <t xml:space="preserve"> Ca      0.9306    0.0055    0.9639    0.9070     1.0501     1.0833     1.0098</t>
  </si>
  <si>
    <t xml:space="preserve"> Cr      0.9781    0.0467    0.9993    0.8073     1.0590     1.1183     1.0478</t>
  </si>
  <si>
    <t xml:space="preserve"> Ni      0.9842    0.0000    0.9960    0.8079     1.0541     1.1790     1.1255</t>
  </si>
  <si>
    <t xml:space="preserve"> Al      0.5417    0.0065    0.6076    0.9562     1.0072     1.6979     1.4099</t>
  </si>
  <si>
    <t xml:space="preserve"> Mg      27.02     44.80     26.62     44.15     9.969   1.0566   0.25616   0.85988  </t>
  </si>
  <si>
    <t xml:space="preserve"> Mn       0.2312    0.2985    0.2278    0.2942   0.0377  1.0409   0.002221  0.006595  </t>
  </si>
  <si>
    <t xml:space="preserve"> Fe      12.32     15.85     12.14     15.62     1.979   0.9912   0.12433   1.67680  </t>
  </si>
  <si>
    <t xml:space="preserve"> Si      18.67     39.95     18.40     39.37     5.963   0.9992   0.18708   0.98118  </t>
  </si>
  <si>
    <t xml:space="preserve"> Ca       0.2481    0.3471    0.2444    0.3420   0.0555  1.0098   0.002457  0.007200  </t>
  </si>
  <si>
    <t xml:space="preserve"> Cr       0.0085    0.0125    0.0084    0.0123   0.0015  1.0478   0.000081  0.000119  </t>
  </si>
  <si>
    <t xml:space="preserve"> Ni       0.1521    0.1936    0.1499    0.1908   0.0232  1.1255   0.001352  0.001720  </t>
  </si>
  <si>
    <t xml:space="preserve"> Al       0.0148    0.0279    0.0146    0.0275   0.0049  1.4099   0.000105  0.000198  </t>
  </si>
  <si>
    <t xml:space="preserve"> O       42.81       -       42.19       -      24.000      -         -        </t>
  </si>
  <si>
    <t>Total:  101.48    101.48    100.00    100.00    18.033</t>
  </si>
  <si>
    <t xml:space="preserve"> UNK No.      :   72            Comment : UnkA-C21MI_10_2                          </t>
  </si>
  <si>
    <t xml:space="preserve"> Stage        :    X=   15.7825  Y=   74.7550  Z=   11.4615 </t>
  </si>
  <si>
    <t xml:space="preserve"> Dated on Mar  2 06:13 2017 </t>
  </si>
  <si>
    <t xml:space="preserve"> 1 Mg   107.540  58602.0  295.1  220.8    0.09       38 </t>
  </si>
  <si>
    <t xml:space="preserve"> 2 Mn   146.037    139.0   94.5   87.7    1.67       34 </t>
  </si>
  <si>
    <t xml:space="preserve"> 3 Fe   134.743   2096.8    0.0   22.8    0.49      105 </t>
  </si>
  <si>
    <t xml:space="preserve"> 4 Si    77.808  26054.4  187.0  110.3    0.14       59 </t>
  </si>
  <si>
    <t xml:space="preserve"> 5 Ca   107.775    678.7  282.7  243.9    0.66       14 </t>
  </si>
  <si>
    <t xml:space="preserve"> 6 Cr   159.160     10.0   69.2   71.8   22.49       51 </t>
  </si>
  <si>
    <t xml:space="preserve"> 7 Ni   115.404     34.5   36.0   35.0    3.84       65 </t>
  </si>
  <si>
    <t xml:space="preserve"> 8 Al    90.986     14.0   83.9   64.2   14.66       24 </t>
  </si>
  <si>
    <t xml:space="preserve"> Mg      0.5831    0.0035    0.6685    0.9924     1.0006     1.5012     1.0449</t>
  </si>
  <si>
    <t xml:space="preserve"> Mn      0.9833    0.0004    1.0021    0.7874     1.0597     1.1954     1.0426</t>
  </si>
  <si>
    <t xml:space="preserve"> Fe      0.9871    0.0006    1.0032    0.7990     1.0589     1.1774     0.9928</t>
  </si>
  <si>
    <t xml:space="preserve"> Si      0.6637    0.0001    0.7284    0.9724     1.0158     1.3897     0.9997</t>
  </si>
  <si>
    <t xml:space="preserve"> Ca      0.9307    0.0050    0.9640    0.9049     1.0509     1.0854     1.0117</t>
  </si>
  <si>
    <t xml:space="preserve"> Cr      0.9782    0.0427    0.9994    0.8055     1.0595     1.1244     1.0535</t>
  </si>
  <si>
    <t xml:space="preserve"> Ni      0.9849    0.0000    0.9967    0.8061     1.0545     1.1803     1.1267</t>
  </si>
  <si>
    <t xml:space="preserve"> Al      0.5423    0.0066    0.6082    0.9539     1.0082     1.6984     1.4104</t>
  </si>
  <si>
    <t xml:space="preserve"> Mg      27.65     45.86     27.34     45.33    10.174   1.0449   0.26504   0.88970  </t>
  </si>
  <si>
    <t xml:space="preserve"> Mn       0.2202    0.2844    0.2177    0.2811   0.0359  1.0426   0.002112  0.006272  </t>
  </si>
  <si>
    <t xml:space="preserve"> Fe      11.20     14.41     11.07     14.24     1.793   0.9928   0.11283   1.52161  </t>
  </si>
  <si>
    <t xml:space="preserve"> Si      18.70     40.00     18.49     39.54     5.953   0.9997   0.18717   0.98164  </t>
  </si>
  <si>
    <t xml:space="preserve"> Ca       0.2317    0.3241    0.2290    0.3205   0.0517  1.0117   0.002290  0.006711  </t>
  </si>
  <si>
    <t xml:space="preserve"> Cr       0.0169    0.0248    0.0167    0.0245   0.0029  1.0535   0.000161  0.000235  </t>
  </si>
  <si>
    <t xml:space="preserve"> Ni       0.1824    0.2321    0.1803    0.2295   0.0278  1.1267   0.001619  0.002060  </t>
  </si>
  <si>
    <t xml:space="preserve"> Al       0.0130    0.0245    0.0128    0.0243   0.0043  1.4104   0.000092  0.000174  </t>
  </si>
  <si>
    <t xml:space="preserve"> O       42.94       -       42.45       -      24.000      -         -        </t>
  </si>
  <si>
    <t>Total:  101.15    101.15    100.00    100.00    18.043</t>
  </si>
  <si>
    <t xml:space="preserve"> UNK No.      :   73            Comment : UnkA-C21MI_10_3                          </t>
  </si>
  <si>
    <t xml:space="preserve"> Stage        :    X=   15.8295  Y=   74.7320  Z=   11.4615 </t>
  </si>
  <si>
    <t xml:space="preserve"> Dated on Mar  2 06:16 2017 </t>
  </si>
  <si>
    <t xml:space="preserve"> 1 Mg   107.540  56689.1  289.0  233.7    0.09       38 </t>
  </si>
  <si>
    <t xml:space="preserve"> 2 Mn   146.037    144.7   96.5   89.3    1.63       35 </t>
  </si>
  <si>
    <t xml:space="preserve"> 3 Fe   134.743   2310.0    0.0   25.3    0.47      110 </t>
  </si>
  <si>
    <t xml:space="preserve"> 4 Si    77.808  25946.0  188.8  113.6    0.14       60 </t>
  </si>
  <si>
    <t xml:space="preserve"> 5 Ca   107.775    739.3  287.9  249.6    0.63       14 </t>
  </si>
  <si>
    <t xml:space="preserve"> 6 Cr   159.160      5.0   69.7   70.2   44.28 ?     51 </t>
  </si>
  <si>
    <t xml:space="preserve"> 7 Ni   115.404     29.9   37.9   32.3    4.32       65 </t>
  </si>
  <si>
    <t xml:space="preserve"> 8 Al    90.986     15.4   79.8   66.6   13.26       24 </t>
  </si>
  <si>
    <t xml:space="preserve"> Mg      0.5758    0.0035    0.6601    0.9948     0.9996     1.5182     1.0567</t>
  </si>
  <si>
    <t xml:space="preserve"> Mn      0.9833    0.0004    1.0021    0.7892     1.0591     1.1935     1.0408</t>
  </si>
  <si>
    <t xml:space="preserve"> Fe      0.9871    0.0005    1.0032    0.8008     1.0584     1.1754     0.9911</t>
  </si>
  <si>
    <t xml:space="preserve"> Si      0.6630    0.0002    0.7275    0.9748     1.0148     1.3893     0.9995</t>
  </si>
  <si>
    <t xml:space="preserve"> Ca      0.9306    0.0055    0.9639    0.9070     1.0501     1.0833     1.0097</t>
  </si>
  <si>
    <t xml:space="preserve"> Cr      0.9781    0.0467    0.9993    0.8074     1.0589     1.1182     1.0477</t>
  </si>
  <si>
    <t xml:space="preserve"> Al      0.5415    0.0065    0.6073    0.9562     1.0072     1.6987     1.4106</t>
  </si>
  <si>
    <t xml:space="preserve"> Mg      27.05     44.85     26.67     44.23     9.991   1.0567   0.25644   0.86084  </t>
  </si>
  <si>
    <t xml:space="preserve"> Mn       0.2288    0.2955    0.2256    0.2914   0.0374  1.0408   0.002199  0.006528  </t>
  </si>
  <si>
    <t xml:space="preserve"> Fe      12.32     15.85     12.15     15.63     1.980   0.9911   0.12433   1.67671  </t>
  </si>
  <si>
    <t xml:space="preserve"> Si      18.62     39.82     18.36     39.27     5.951   0.9995   0.18643   0.97776  </t>
  </si>
  <si>
    <t xml:space="preserve"> Ca       0.2519    0.3525    0.2484    0.3476   0.0564  1.0097   0.002495  0.007312  </t>
  </si>
  <si>
    <t xml:space="preserve"> Cr       0.0084    0.0123    0.0083    0.0121   0.0014  1.0477   0.000080  0.000117  </t>
  </si>
  <si>
    <t xml:space="preserve"> Ni       0.1580    0.2010    0.1557    0.1982   0.0242  1.1255   0.001403  0.001786  </t>
  </si>
  <si>
    <t xml:space="preserve"> Al       0.0143    0.0269    0.0141    0.0266   0.0047  1.4106   0.000101  0.000191  </t>
  </si>
  <si>
    <t xml:space="preserve"> O       42.77       -       42.17       -      24.000      -         -        </t>
  </si>
  <si>
    <t>Total:  101.42    101.42    100.00    100.00    18.046</t>
  </si>
  <si>
    <t xml:space="preserve"> UNK No.      :   74            Comment : UnkA-C21MI_11_1                          </t>
  </si>
  <si>
    <t xml:space="preserve"> Stage        :    X=   16.4035  Y=   74.3115  Z=   11.4615 </t>
  </si>
  <si>
    <t xml:space="preserve"> Dated on Mar  2 06:20 2017 </t>
  </si>
  <si>
    <t xml:space="preserve"> 1 Mg   107.540  57237.3  292.3  233.3    0.09       39 </t>
  </si>
  <si>
    <t xml:space="preserve"> 2 Mn   146.037    150.5   92.3   86.4    1.56       34 </t>
  </si>
  <si>
    <t xml:space="preserve"> 3 Fe   134.743   2249.5    0.0   23.3    0.47      106 </t>
  </si>
  <si>
    <t xml:space="preserve"> 4 Si    77.808  26292.6  188.9  107.4    0.14       59 </t>
  </si>
  <si>
    <t xml:space="preserve"> 5 Ca   107.775    776.7  290.3  247.1    0.61       14 </t>
  </si>
  <si>
    <t xml:space="preserve"> 6 Cr   159.160     10.5   70.4   65.7   21.03       50 </t>
  </si>
  <si>
    <t xml:space="preserve"> 7 Ni   115.404     31.5   35.1   33.9    4.11       64 </t>
  </si>
  <si>
    <t xml:space="preserve"> 8 Al    90.986     13.3   84.5   62.5   15.36       24 </t>
  </si>
  <si>
    <t xml:space="preserve"> Mg      0.5780    0.0035    0.6625    0.9941     0.9999     1.5132     1.0532</t>
  </si>
  <si>
    <t xml:space="preserve"> Mn      0.9833    0.0004    1.0021    0.7887     1.0593     1.1941     1.0414</t>
  </si>
  <si>
    <t xml:space="preserve"> Fe      0.9871    0.0006    1.0032    0.8003     1.0585     1.1761     0.9917</t>
  </si>
  <si>
    <t xml:space="preserve"> Si      0.6638    0.0002    0.7285    0.9740     1.0151     1.3881     0.9986</t>
  </si>
  <si>
    <t xml:space="preserve"> Ca      0.9306    0.0054    0.9639    0.9063     1.0504     1.0840     1.0104</t>
  </si>
  <si>
    <t xml:space="preserve"> Cr      0.9781    0.0453    0.9993    0.8068     1.0591     1.1203     1.0497</t>
  </si>
  <si>
    <t xml:space="preserve"> Ni      0.9844    0.0000    0.9962    0.8073     1.0542     1.1794     1.1259</t>
  </si>
  <si>
    <t xml:space="preserve"> Al      0.5424    0.0066    0.6083    0.9555     1.0075     1.6964     1.4087</t>
  </si>
  <si>
    <t xml:space="preserve"> Mg      27.22     45.14     26.73     44.31     9.983   1.0532   0.25908   0.86969  </t>
  </si>
  <si>
    <t xml:space="preserve"> Mn       0.2384    0.3078    0.2340    0.3022   0.0387  1.0414   0.002289  0.006797  </t>
  </si>
  <si>
    <t xml:space="preserve"> Fe      12.01     15.45     11.79     15.17     1.917   0.9917   0.12114   1.63374  </t>
  </si>
  <si>
    <t xml:space="preserve"> Si      18.86     40.34     18.51     39.60     5.984   0.9986   0.18903   0.99142  </t>
  </si>
  <si>
    <t xml:space="preserve"> Ca       0.2650    0.3708    0.2601    0.3640   0.0589  1.0104   0.002623  0.007687  </t>
  </si>
  <si>
    <t xml:space="preserve"> Cr       0.0177    0.0259    0.0174    0.0255   0.0030  1.0497   0.000169  0.000247  </t>
  </si>
  <si>
    <t xml:space="preserve"> Ni       0.1663    0.2117    0.1633    0.2078   0.0253  1.1259   0.001477  0.001880  </t>
  </si>
  <si>
    <t xml:space="preserve"> Al       0.0123    0.0232    0.0121    0.0228   0.0041  1.4087   0.000087  0.000165  </t>
  </si>
  <si>
    <t xml:space="preserve"> O       43.08       -       42.29       -      24.000      -         -        </t>
  </si>
  <si>
    <t>Total:  101.87    101.87    100.00    100.00    18.013</t>
  </si>
  <si>
    <t xml:space="preserve"> UNK No.      :   75            Comment : UnkA-C21MI_11_2                          </t>
  </si>
  <si>
    <t xml:space="preserve"> Stage        :    X=   16.4440  Y=   74.3520  Z=   11.4615 </t>
  </si>
  <si>
    <t xml:space="preserve"> Dated on Mar  2 06:23 2017 </t>
  </si>
  <si>
    <t xml:space="preserve"> 1 Mg   107.540  56737.5  289.0  229.9    0.09       38 </t>
  </si>
  <si>
    <t xml:space="preserve"> 2 Mn   146.037    143.8   97.0   88.5    1.64       35 </t>
  </si>
  <si>
    <t xml:space="preserve"> 3 Fe   134.743   2323.1    0.0   24.3    0.47      108 </t>
  </si>
  <si>
    <t xml:space="preserve"> 4 Si    77.808  26168.0  196.3  116.6    0.14       61 </t>
  </si>
  <si>
    <t xml:space="preserve"> 5 Ca   107.775    770.4  283.6  244.9    0.61       14 </t>
  </si>
  <si>
    <t xml:space="preserve"> 6 Cr   159.160      6.3   69.8   68.4   34.94 ?     50 </t>
  </si>
  <si>
    <t xml:space="preserve"> 7 Ni   115.404     30.3   35.7   33.3    4.25       64 </t>
  </si>
  <si>
    <t xml:space="preserve"> 8 Al    90.986     14.3   86.6   62.5   14.44       24 </t>
  </si>
  <si>
    <t xml:space="preserve"> Mg      0.5756    0.0035    0.6598    0.9949     0.9996     1.5187     1.0570</t>
  </si>
  <si>
    <t xml:space="preserve"> Mn      0.9833    0.0004    1.0021    0.7893     1.0591     1.1934     1.0408</t>
  </si>
  <si>
    <t xml:space="preserve"> Fe      0.9871    0.0005    1.0032    0.8009     1.0584     1.1754     0.9911</t>
  </si>
  <si>
    <t xml:space="preserve"> Si      0.6633    0.0002    0.7279    0.9748     1.0148     1.3886     0.9990</t>
  </si>
  <si>
    <t xml:space="preserve"> Ca      0.9306    0.0055    0.9639    0.9070     1.0501     1.0832     1.0097</t>
  </si>
  <si>
    <t xml:space="preserve"> Al      0.5418    0.0065    0.6077    0.9563     1.0072     1.6975     1.4096</t>
  </si>
  <si>
    <t xml:space="preserve"> Mg      27.08     44.90     26.57     44.06     9.951   1.0570   0.25679   0.86201  </t>
  </si>
  <si>
    <t xml:space="preserve"> Mn       0.2276    0.2939    0.2233    0.2884   0.0370  1.0408   0.002187  0.006492  </t>
  </si>
  <si>
    <t xml:space="preserve"> Fe      12.39     15.94     12.16     15.65     1.982   0.9911   0.12510   1.68708  </t>
  </si>
  <si>
    <t xml:space="preserve"> Si      18.77     40.15     18.42     39.40     5.969   0.9990   0.18812   0.98662  </t>
  </si>
  <si>
    <t xml:space="preserve"> Ca       0.2627    0.3675    0.2577    0.3606   0.0585  1.0097   0.002601  0.007624  </t>
  </si>
  <si>
    <t xml:space="preserve"> Cr       0.0106    0.0155    0.0104    0.0152   0.0018  1.0477   0.000101  0.000148  </t>
  </si>
  <si>
    <t xml:space="preserve"> Ni       0.1601    0.2037    0.1571    0.1999   0.0244  1.1255   0.001422  0.001810  </t>
  </si>
  <si>
    <t xml:space="preserve"> Al       0.0133    0.0251    0.0130    0.0246   0.0044  1.4096   0.000094  0.000178  </t>
  </si>
  <si>
    <t xml:space="preserve"> O       42.99       -       42.18       -      24.000      -         -        </t>
  </si>
  <si>
    <t>Total:  101.91    101.91    100.00    100.00    18.028</t>
  </si>
  <si>
    <t xml:space="preserve"> UNK No.      :   76            Comment : UnkA-C21MI_11_3                          </t>
  </si>
  <si>
    <t xml:space="preserve"> Stage        :    X=   16.3730  Y=   74.3690  Z=   11.4615 </t>
  </si>
  <si>
    <t xml:space="preserve"> Dated on Mar  2 06:26 2017 </t>
  </si>
  <si>
    <t xml:space="preserve"> 1 Mg   107.540  57144.0  293.1  235.5    0.09       39 </t>
  </si>
  <si>
    <t xml:space="preserve"> 2 Mn   146.037    148.4   95.4   88.9    1.59       34 </t>
  </si>
  <si>
    <t xml:space="preserve"> 3 Fe   134.743   2271.4    0.0   24.5    0.47      108 </t>
  </si>
  <si>
    <t xml:space="preserve"> 4 Si    77.808  26288.2  190.5  107.8    0.14       59 </t>
  </si>
  <si>
    <t xml:space="preserve"> 5 Ca   107.775    809.9  287.0  241.4    0.59       14 </t>
  </si>
  <si>
    <t xml:space="preserve"> 6 Cr   159.160      3.4   73.9   67.2   64.68 ?     51 </t>
  </si>
  <si>
    <t xml:space="preserve"> 7 Ni   115.404     31.5   36.4   33.9    4.14       65 </t>
  </si>
  <si>
    <t xml:space="preserve"> 8 Al    90.986     11.6   83.1   69.0   17.73       24 </t>
  </si>
  <si>
    <t xml:space="preserve"> Mn      0.9832    0.0004    1.0021    0.7888     1.0592     1.1939     1.0413</t>
  </si>
  <si>
    <t xml:space="preserve"> Si      0.6637    0.0002    0.7283    0.9742     1.0150     1.3882     0.9987</t>
  </si>
  <si>
    <t xml:space="preserve"> Ca      0.9306    0.0054    0.9639    0.9065     1.0503     1.0838     1.0102</t>
  </si>
  <si>
    <t xml:space="preserve"> Cr      0.9781    0.0457    0.9993    0.8070     1.0591     1.1198     1.0492</t>
  </si>
  <si>
    <t xml:space="preserve"> Ni      0.9843    0.0000    0.9961    0.8075     1.0541     1.1793     1.1258</t>
  </si>
  <si>
    <t xml:space="preserve"> Al      0.5423    0.0066    0.6082    0.9557     1.0074     1.6966     1.4088</t>
  </si>
  <si>
    <t xml:space="preserve"> Mg      27.19     45.09     26.68     44.24     9.972   1.0542   0.25855   0.86792  </t>
  </si>
  <si>
    <t xml:space="preserve"> Mn       0.2349    0.3033    0.2304    0.2975   0.0381  1.0413   0.002256  0.006697  </t>
  </si>
  <si>
    <t xml:space="preserve"> Fe      12.12     15.59     11.89     15.30     1.934   0.9915   0.12227   1.64899  </t>
  </si>
  <si>
    <t xml:space="preserve"> Si      18.84     40.31     18.49     39.55     5.981   0.9987   0.18893   0.99085  </t>
  </si>
  <si>
    <t xml:space="preserve"> Ca       0.2762    0.3864    0.2709    0.3791   0.0614  1.0102   0.002734  0.008012  </t>
  </si>
  <si>
    <t xml:space="preserve"> Cr       0.0057    0.0084    0.0056    0.0082   0.0010  1.0492   0.000055  0.000080  </t>
  </si>
  <si>
    <t xml:space="preserve"> Ni       0.1662    0.2115    0.1631    0.2075   0.0252  1.1258   0.001477  0.001879  </t>
  </si>
  <si>
    <t xml:space="preserve"> Al       0.0107    0.0203    0.0105    0.0199   0.0035  1.4088   0.000076  0.000144  </t>
  </si>
  <si>
    <t xml:space="preserve"> O       43.07       -       42.26       -      24.000      -         -        </t>
  </si>
  <si>
    <t>Total:  101.92    101.92    100.00    100.00    18.017</t>
  </si>
  <si>
    <t xml:space="preserve"> UNK No.      :   77            Comment : UnkA-C21MI_12_1                          </t>
  </si>
  <si>
    <t xml:space="preserve"> Stage        :    X=   21.7535  Y=   73.6985  Z=   11.4525 </t>
  </si>
  <si>
    <t xml:space="preserve"> Dated on Mar  2 06:30 2017 </t>
  </si>
  <si>
    <t xml:space="preserve"> 1 Mg   107.540  57706.2  297.7  223.4    0.09       38 </t>
  </si>
  <si>
    <t xml:space="preserve"> 2 Mn   146.037    142.0   96.8   88.0    1.65       35 </t>
  </si>
  <si>
    <t xml:space="preserve"> 3 Fe   134.743   2228.8    0.0   23.8    0.48      107 </t>
  </si>
  <si>
    <t xml:space="preserve"> 4 Si    77.808  26339.1  189.3  118.0    0.14       60 </t>
  </si>
  <si>
    <t xml:space="preserve"> 5 Ca   107.775    731.1  281.9  239.6    0.63       14 </t>
  </si>
  <si>
    <t xml:space="preserve"> 6 Cr   159.160     10.6   67.9   66.2   20.81       50 </t>
  </si>
  <si>
    <t xml:space="preserve"> 7 Ni   115.404     30.9   38.9   34.7    4.27       66 </t>
  </si>
  <si>
    <t xml:space="preserve"> 8 Al    90.986     11.0   84.0   66.8   18.54       24 </t>
  </si>
  <si>
    <t xml:space="preserve"> Mg      0.5790    0.0035    0.6637    0.9937     1.0001     1.5107     1.0515</t>
  </si>
  <si>
    <t xml:space="preserve"> Mn      0.9833    0.0004    1.0021    0.7884     1.0593     1.1944     1.0417</t>
  </si>
  <si>
    <t xml:space="preserve"> Fe      0.9871    0.0006    1.0032    0.8000     1.0586     1.1763     0.9919</t>
  </si>
  <si>
    <t xml:space="preserve"> Si      0.6638    0.0002    0.7285    0.9737     1.0153     1.3884     0.9988</t>
  </si>
  <si>
    <t xml:space="preserve"> Ca      0.9306    0.0053    0.9639    0.9060     1.0505     1.0843     1.0107</t>
  </si>
  <si>
    <t xml:space="preserve"> Cr      0.9781    0.0448    0.9993    0.8065     1.0592     1.1211     1.0504</t>
  </si>
  <si>
    <t xml:space="preserve"> Ni      0.9845    0.0000    0.9963    0.8071     1.0542     1.1796     1.1261</t>
  </si>
  <si>
    <t xml:space="preserve"> Al      0.5424    0.0066    0.6083    0.9552     1.0077     1.6968     1.4090</t>
  </si>
  <si>
    <t xml:space="preserve"> Mg      27.39     45.42     26.85     44.52    10.020   1.0515   0.26115   0.87664  </t>
  </si>
  <si>
    <t xml:space="preserve"> Mn       0.2249    0.2905    0.2205    0.2847   0.0364  1.0417   0.002160  0.006412  </t>
  </si>
  <si>
    <t xml:space="preserve"> Fe      11.90     15.31     11.66     15.00     1.895   0.9919   0.12001   1.61842  </t>
  </si>
  <si>
    <t xml:space="preserve"> Si      18.89     40.40     18.51     39.60     5.979   0.9988   0.18933   0.99297  </t>
  </si>
  <si>
    <t xml:space="preserve"> Ca       0.2495    0.3490    0.2445    0.3421   0.0553  1.0107   0.002468  0.007234  </t>
  </si>
  <si>
    <t xml:space="preserve"> Cr       0.0178    0.0260    0.0175    0.0255   0.0030  1.0504   0.000170  0.000248  </t>
  </si>
  <si>
    <t xml:space="preserve"> Ni       0.1633    0.2077    0.1600    0.2036   0.0247  1.1261   0.001450  0.001845  </t>
  </si>
  <si>
    <t xml:space="preserve"> Al       0.0102    0.0193    0.0100    0.0189   0.0034  1.4090   0.000073  0.000137  </t>
  </si>
  <si>
    <t xml:space="preserve"> O       43.18       -       42.32       -      24.000      -         -        </t>
  </si>
  <si>
    <t>Total:  102.02    102.02    100.00    100.00    18.017</t>
  </si>
  <si>
    <t xml:space="preserve"> UNK No.      :   78            Comment : UnkA-C21MI_12_2                          </t>
  </si>
  <si>
    <t xml:space="preserve"> Stage        :    X=   21.7935  Y=   73.6950  Z=   11.4525 </t>
  </si>
  <si>
    <t xml:space="preserve"> Dated on Mar  2 06:33 2017 </t>
  </si>
  <si>
    <t xml:space="preserve"> 1 Mg   107.540  56784.2  291.5  232.3    0.09       38 </t>
  </si>
  <si>
    <t xml:space="preserve"> 2 Mn   146.037    146.3   96.8   86.1    1.61       34 </t>
  </si>
  <si>
    <t xml:space="preserve"> 3 Fe   134.743   2299.2    0.0   23.7    0.47      107 </t>
  </si>
  <si>
    <t xml:space="preserve"> 4 Si    77.808  26255.8  186.3  117.1    0.14       60 </t>
  </si>
  <si>
    <t xml:space="preserve"> 5 Ca   107.775    819.5  286.6  240.5    0.58       14 </t>
  </si>
  <si>
    <t xml:space="preserve"> 6 Cr   159.160      1.7   71.7   69.3  131.75 ?     51 </t>
  </si>
  <si>
    <t xml:space="preserve"> 7 Ni   115.404     29.3   35.1   34.3    4.38       64 </t>
  </si>
  <si>
    <t xml:space="preserve"> 8 Al    90.986     15.8   80.3   69.3   13.05       24 </t>
  </si>
  <si>
    <t xml:space="preserve"> Mg      0.5764    0.0035    0.6607    0.9946     0.9997     1.5168     1.0558</t>
  </si>
  <si>
    <t xml:space="preserve"> Mn      0.9832    0.0003    1.0021    0.7891     1.0591     1.1937     1.0411</t>
  </si>
  <si>
    <t xml:space="preserve"> Si      0.6637    0.0002    0.7283    0.9745     1.0149     1.3880     0.9986</t>
  </si>
  <si>
    <t xml:space="preserve"> Ni      0.9842    0.0000    0.9960    0.8077     1.0541     1.1792     1.1256</t>
  </si>
  <si>
    <t xml:space="preserve"> Al      0.5423    0.0066    0.6082    0.9560     1.0073     1.6964     1.4087</t>
  </si>
  <si>
    <t xml:space="preserve"> Mg      27.06     44.88     26.58     44.07     9.942   1.0558   0.25693   0.86246  </t>
  </si>
  <si>
    <t xml:space="preserve"> Mn       0.2316    0.2990    0.2274    0.2936   0.0376  1.0411   0.002224  0.006604  </t>
  </si>
  <si>
    <t xml:space="preserve"> Fe      12.26     15.78     12.04     15.49     1.961   0.9913   0.12377   1.66916  </t>
  </si>
  <si>
    <t xml:space="preserve"> Si      18.82     40.26     18.48     39.54     5.983   0.9986   0.18869   0.98963  </t>
  </si>
  <si>
    <t xml:space="preserve"> Ca       0.2794    0.3909    0.2743    0.3838   0.0622  1.0099   0.002766  0.008107  </t>
  </si>
  <si>
    <t xml:space="preserve"> Cr       0.0028    0.0041    0.0027    0.0040   0.0005  1.0484   0.000027  0.000039 ?</t>
  </si>
  <si>
    <t xml:space="preserve"> Ni       0.1550    0.1972    0.1522    0.1936   0.0236  1.1256   0.001377  0.001752  </t>
  </si>
  <si>
    <t xml:space="preserve"> Al       0.0146    0.0276    0.0143    0.0271   0.0048  1.4087   0.000104  0.000196  </t>
  </si>
  <si>
    <t xml:space="preserve"> O       43.00       -       42.23       -      24.000      -         -        </t>
  </si>
  <si>
    <t>Total:  101.83    101.83    100.00    100.00    18.014</t>
  </si>
  <si>
    <t xml:space="preserve"> UNK No.      :   79            Comment : UnkA-C21MI_12_3                          </t>
  </si>
  <si>
    <t xml:space="preserve"> Stage        :    X=   21.7955  Y=   73.6540  Z=   11.4525 </t>
  </si>
  <si>
    <t xml:space="preserve"> Dated on Mar  2 06:37 2017 </t>
  </si>
  <si>
    <t xml:space="preserve"> 1 Mg   107.540  56300.4  293.5  236.2    0.09       39 </t>
  </si>
  <si>
    <t xml:space="preserve"> 2 Mn   146.037    148.7   95.6   87.9    1.59       34 </t>
  </si>
  <si>
    <t xml:space="preserve"> 3 Fe   134.743   2359.1    0.0   23.8    0.46      107 </t>
  </si>
  <si>
    <t xml:space="preserve"> 4 Si    77.808  26236.8  192.4  110.9    0.14       60 </t>
  </si>
  <si>
    <t xml:space="preserve"> 5 Ca   107.775    740.0  293.2  244.9    0.63       14 </t>
  </si>
  <si>
    <t xml:space="preserve"> 6 Cr   159.160      2.4   71.1   72.9   93.95 ?     52 </t>
  </si>
  <si>
    <t xml:space="preserve"> 7 Ni   115.404     29.3   39.7   32.9    4.44       66 </t>
  </si>
  <si>
    <t xml:space="preserve"> 8 Al    90.986     12.2   82.0   68.4   16.71       24 </t>
  </si>
  <si>
    <t xml:space="preserve"> Mg      0.5744    0.0035    0.6584    0.9952     0.9994     1.5216     1.0591</t>
  </si>
  <si>
    <t xml:space="preserve"> Mn      0.9833    0.0003    1.0021    0.7895     1.0590     1.1931     1.0405</t>
  </si>
  <si>
    <t xml:space="preserve"> Fe      0.9871    0.0005    1.0032    0.8012     1.0583     1.1751     0.9908</t>
  </si>
  <si>
    <t xml:space="preserve"> Si      0.6634    0.0002    0.7280    0.9752     1.0146     1.3881     0.9986</t>
  </si>
  <si>
    <t xml:space="preserve"> Ca      0.9306    0.0056    0.9639    0.9074     1.0500     1.0829     1.0094</t>
  </si>
  <si>
    <t xml:space="preserve"> Ni      0.9840    0.0000    0.9959    0.8082     1.0540     1.1788     1.1253</t>
  </si>
  <si>
    <t xml:space="preserve"> Al      0.5419    0.0066    0.6078    0.9566     1.0070     1.6967     1.4089</t>
  </si>
  <si>
    <t xml:space="preserve"> Mg      26.91     44.63     26.41     43.79     9.895   1.0591   0.25474   0.85511  </t>
  </si>
  <si>
    <t xml:space="preserve"> Mn       0.2352    0.3036    0.2307    0.2979   0.0383  1.0405   0.002260  0.006710  </t>
  </si>
  <si>
    <t xml:space="preserve"> Fe      12.58     16.18     12.34     15.88     2.013   0.9908   0.12700   1.71269  </t>
  </si>
  <si>
    <t xml:space="preserve"> Si      18.81     40.23     18.45     39.47     5.984   0.9986   0.18856   0.98891  </t>
  </si>
  <si>
    <t xml:space="preserve"> Ca       0.2521    0.3528    0.2474    0.3461   0.0562  1.0094   0.002498  0.007321  </t>
  </si>
  <si>
    <t xml:space="preserve"> Cr       0.0039    0.0058    0.0039    0.0056   0.0007  1.0467   0.000038  0.000055 ?</t>
  </si>
  <si>
    <t xml:space="preserve"> Ni       0.1549    0.1971    0.1520    0.1934   0.0236  1.1253   0.001377  0.001752  </t>
  </si>
  <si>
    <t xml:space="preserve"> Al       0.0113    0.0214    0.0111    0.0210   0.0038  1.4089   0.000080  0.000152  </t>
  </si>
  <si>
    <t xml:space="preserve"> O       42.96       -       42.15       -      24.000      -         -        </t>
  </si>
  <si>
    <t>Total:  101.92    101.92    100.00    100.00    18.014</t>
  </si>
  <si>
    <t xml:space="preserve"> UNK No.      :   80            Comment : UnkA-C21MI_13_1                          </t>
  </si>
  <si>
    <t xml:space="preserve"> Stage        :    X=   23.1300  Y=   76.3890  Z=   11.4480 </t>
  </si>
  <si>
    <t xml:space="preserve"> Dated on Mar  2 06:40 2017 </t>
  </si>
  <si>
    <t xml:space="preserve"> 1 Mg   107.540  57302.4  296.2  234.4    0.09       39 </t>
  </si>
  <si>
    <t xml:space="preserve"> 2 Mn   146.037    137.1   97.0   88.2    1.70       35 </t>
  </si>
  <si>
    <t xml:space="preserve"> 3 Fe   134.743   2264.1    0.0   24.7    0.47      109 </t>
  </si>
  <si>
    <t xml:space="preserve"> 4 Si    77.808  26215.8  188.7  114.9    0.14       60 </t>
  </si>
  <si>
    <t xml:space="preserve"> 5 Ca   107.775    741.2  292.0  249.2    0.63       14 </t>
  </si>
  <si>
    <t xml:space="preserve"> 6 Cr   159.160      7.2   70.1   66.6   30.56       50 </t>
  </si>
  <si>
    <t xml:space="preserve"> 7 Ni   115.404     24.9   38.6   33.6    5.12       66 </t>
  </si>
  <si>
    <t xml:space="preserve"> 8 Al    90.986     21.6   84.4   65.6    9.74       24 </t>
  </si>
  <si>
    <t xml:space="preserve"> Mg      0.5779    0.0035    0.6625    0.9941     0.9999     1.5132     1.0532</t>
  </si>
  <si>
    <t xml:space="preserve"> Mn      0.9833    0.0003    1.0021    0.7887     1.0593     1.1941     1.0414</t>
  </si>
  <si>
    <t xml:space="preserve"> Fe      0.9871    0.0005    1.0032    0.8003     1.0585     1.1761     0.9917</t>
  </si>
  <si>
    <t xml:space="preserve"> Si      0.6636    0.0002    0.7282    0.9741     1.0151     1.3886     0.9990</t>
  </si>
  <si>
    <t xml:space="preserve"> Ca      0.9306    0.0054    0.9639    0.9064     1.0504     1.0839     1.0103</t>
  </si>
  <si>
    <t xml:space="preserve"> Cr      0.9781    0.0456    0.9993    0.8068     1.0591     1.1200     1.0494</t>
  </si>
  <si>
    <t xml:space="preserve"> Ni      0.9844    0.0000    0.9962    0.8074     1.0542     1.1794     1.1259</t>
  </si>
  <si>
    <t xml:space="preserve"> Al      0.5422    0.0066    0.6081    0.9555     1.0075     1.6970     1.4092</t>
  </si>
  <si>
    <t xml:space="preserve"> Mg      27.25     45.18     26.77     44.38    10.001   1.0532   0.25927   0.87033  </t>
  </si>
  <si>
    <t xml:space="preserve"> Mn       0.2170    0.2802    0.2132    0.2753   0.0352  1.0414   0.002084  0.006187  </t>
  </si>
  <si>
    <t xml:space="preserve"> Fe      12.08     15.54     11.87     15.27     1.931   0.9917   0.12188   1.64370  </t>
  </si>
  <si>
    <t xml:space="preserve"> Si      18.80     40.22     18.47     39.51     5.972   0.9990   0.18841   0.98812  </t>
  </si>
  <si>
    <t xml:space="preserve"> Ca       0.2527    0.3536    0.2483    0.3474   0.0563  1.0103   0.002502  0.007332  </t>
  </si>
  <si>
    <t xml:space="preserve"> Cr       0.0121    0.0176    0.0118    0.0173   0.0021  1.0494   0.000115  0.000168  </t>
  </si>
  <si>
    <t xml:space="preserve"> Ni       0.1314    0.1672    0.1291    0.1642   0.0200  1.1259   0.001167  0.001485  </t>
  </si>
  <si>
    <t xml:space="preserve"> Al       0.0201    0.0379    0.0197    0.0372   0.0066  1.4092   0.000142  0.000269  </t>
  </si>
  <si>
    <t xml:space="preserve"> O       43.03       -       42.27       -      24.000      -         -        </t>
  </si>
  <si>
    <t>Total:  101.80    101.80    100.00    100.00    18.024</t>
  </si>
  <si>
    <t xml:space="preserve"> UNK No.      :   81            Comment : UnkA-C21MI_13_2                          </t>
  </si>
  <si>
    <t xml:space="preserve"> Stage        :    X=   23.1720  Y=   76.3835  Z=   11.4480 </t>
  </si>
  <si>
    <t xml:space="preserve"> Dated on Mar  2 06:43 2017 </t>
  </si>
  <si>
    <t xml:space="preserve"> 1 Mg   107.540  55288.0  288.6  231.7    0.10       38 </t>
  </si>
  <si>
    <t xml:space="preserve"> 2 Mn   146.037    154.3   96.3   89.6    1.55       35 </t>
  </si>
  <si>
    <t xml:space="preserve"> 3 Fe   134.743   2496.7    0.0   25.3    0.45      110 </t>
  </si>
  <si>
    <t xml:space="preserve"> 4 Si    77.808  26087.6  191.3  114.3    0.14       60 </t>
  </si>
  <si>
    <t xml:space="preserve"> 5 Ca   107.775    763.6  291.2  243.6    0.61       14 </t>
  </si>
  <si>
    <t xml:space="preserve"> 6 Cr   159.160      5.7   72.3   65.9   38.25 ?     50 </t>
  </si>
  <si>
    <t xml:space="preserve"> 7 Ni   115.404     24.9   36.4   34.3    5.07       65 </t>
  </si>
  <si>
    <t xml:space="preserve"> 8 Al    90.986     11.9   87.4   68.9   17.47       25 </t>
  </si>
  <si>
    <t xml:space="preserve"> Mg      0.5699    0.0035    0.6533    0.9968     0.9988     1.5322     1.0664</t>
  </si>
  <si>
    <t xml:space="preserve"> Mn      0.9832    0.0003    1.0021    0.7907     1.0587     1.1919     1.0395</t>
  </si>
  <si>
    <t xml:space="preserve"> Fe      0.9871    0.0004    1.0032    0.8023     1.0580     1.1739     0.9898</t>
  </si>
  <si>
    <t xml:space="preserve"> Si      0.6626    0.0002    0.7272    0.9767     1.0140     1.3884     0.9988</t>
  </si>
  <si>
    <t xml:space="preserve"> Ca      0.9306    0.0059    0.9639    0.9087     1.0495     1.0815     1.0081</t>
  </si>
  <si>
    <t xml:space="preserve"> Cr      0.9781    0.0499    0.9993    0.8089     1.0585     1.1133     1.0431</t>
  </si>
  <si>
    <t xml:space="preserve"> Ni      0.9836    0.0000    0.9954    0.8094     1.0538     1.1779     1.1245</t>
  </si>
  <si>
    <t xml:space="preserve"> Al      0.5411    0.0065    0.6069    0.9581     1.0064     1.6979     1.4099</t>
  </si>
  <si>
    <t xml:space="preserve"> Mg      26.61     44.12     26.06     43.21     9.809   1.0664   0.25013   0.83965  </t>
  </si>
  <si>
    <t xml:space="preserve"> Mn       0.2438    0.3148    0.2388    0.3084   0.0398  1.0395   0.002346  0.006965  </t>
  </si>
  <si>
    <t xml:space="preserve"> Fe      13.30     17.10     13.02     16.75     2.134   0.9898   0.13439   1.81237  </t>
  </si>
  <si>
    <t xml:space="preserve"> Si      18.70     40.00     18.31     39.18     5.966   0.9988   0.18747   0.98319  </t>
  </si>
  <si>
    <t xml:space="preserve"> Ca       0.2598    0.3635    0.2544    0.3560   0.0581  1.0081   0.002577  0.007553  </t>
  </si>
  <si>
    <t xml:space="preserve"> Cr       0.0096    0.0140    0.0094    0.0137   0.0016  1.0431   0.000092  0.000134  </t>
  </si>
  <si>
    <t xml:space="preserve"> Ni       0.1315    0.1673    0.1288    0.1639   0.0201  1.1245   0.001169  0.001488  </t>
  </si>
  <si>
    <t xml:space="preserve"> Al       0.0110    0.0209    0.0108    0.0204   0.0037  1.4099   0.000078  0.000148  </t>
  </si>
  <si>
    <t xml:space="preserve"> O       42.85       -       41.96       -      24.000      -         -        </t>
  </si>
  <si>
    <t>Total:  102.10    102.10    100.00    100.00    18.031</t>
  </si>
  <si>
    <t xml:space="preserve"> UNK No.      :   82            Comment : UnkA-C21MI_13_3                          </t>
  </si>
  <si>
    <t xml:space="preserve"> Stage        :    X=   23.1445  Y=   76.4265  Z=   11.4480 </t>
  </si>
  <si>
    <t xml:space="preserve"> Dated on Mar  2 06:47 2017 </t>
  </si>
  <si>
    <t xml:space="preserve"> 1 Mg   107.540  54892.3  300.9  226.0    0.10       39 </t>
  </si>
  <si>
    <t xml:space="preserve"> 2 Mn   146.037    156.3   97.2   86.3    1.53       34 </t>
  </si>
  <si>
    <t xml:space="preserve"> 3 Fe   134.743   2511.6    0.0   23.8    0.45      107 </t>
  </si>
  <si>
    <t xml:space="preserve"> 4 Si    77.808  25994.7  190.7  105.8    0.14       59 </t>
  </si>
  <si>
    <t xml:space="preserve"> 5 Ca   107.775    762.4  294.0  245.5    0.61       14 </t>
  </si>
  <si>
    <t xml:space="preserve"> 6 Cr   159.160      5.0   71.8   65.5   43.63 ?     50 </t>
  </si>
  <si>
    <t xml:space="preserve"> 7 Ni   115.404     25.3   38.4   35.5    5.09       66 </t>
  </si>
  <si>
    <t xml:space="preserve"> 8 Al    90.986     22.9   82.2   64.0    9.11       24 </t>
  </si>
  <si>
    <t xml:space="preserve"> Mg      0.5691    0.0035    0.6524    0.9971     0.9987     1.5340     1.0677</t>
  </si>
  <si>
    <t xml:space="preserve"> Mn      0.9832    0.0003    1.0021    0.7909     1.0586     1.1916     1.0393</t>
  </si>
  <si>
    <t xml:space="preserve"> Fe      0.9871    0.0004    1.0032    0.8025     1.0579     1.1736     0.9896</t>
  </si>
  <si>
    <t xml:space="preserve"> Si      0.6625    0.0002    0.7270    0.9769     1.0139     1.3884     0.9988</t>
  </si>
  <si>
    <t xml:space="preserve"> Cr      0.9781    0.0504    0.9993    0.8091     1.0584     1.1126     1.0425</t>
  </si>
  <si>
    <t xml:space="preserve"> Ni      0.9835    0.0000    0.9953    0.8096     1.0537     1.1778     1.1243</t>
  </si>
  <si>
    <t xml:space="preserve"> Al      0.5410    0.0065    0.6068    0.9584     1.0063     1.6978     1.4099</t>
  </si>
  <si>
    <t xml:space="preserve"> Mg      26.45     43.87     25.98     43.08     9.785   1.0677   0.24832   0.83355  </t>
  </si>
  <si>
    <t xml:space="preserve"> Mn       0.2469    0.3188    0.2424    0.3130   0.0404  1.0393   0.002375  0.007053  </t>
  </si>
  <si>
    <t xml:space="preserve"> Fe      13.37     17.20     13.13     16.89     2.153   0.9896   0.13518   1.82302  </t>
  </si>
  <si>
    <t xml:space="preserve"> Si      18.63     39.86     18.30     39.14     5.965   0.9988   0.18678   0.97959  </t>
  </si>
  <si>
    <t xml:space="preserve"> Ca       0.2593    0.3628    0.2546    0.3563   0.0582  1.0079   0.002573  0.007540  </t>
  </si>
  <si>
    <t xml:space="preserve"> Cr       0.0083    0.0122    0.0082    0.0120   0.0014  1.0425   0.000080  0.000117  </t>
  </si>
  <si>
    <t xml:space="preserve"> Ni       0.1333    0.1697    0.1309    0.1666   0.0204  1.1243   0.001186  0.001509  </t>
  </si>
  <si>
    <t xml:space="preserve"> Al       0.0213    0.0402    0.0209    0.0395   0.0071  1.4099   0.000151  0.000285  </t>
  </si>
  <si>
    <t xml:space="preserve"> O       42.70       -       41.94       -      24.000      -         -        </t>
  </si>
  <si>
    <t>Total:  101.83    101.83    100.00    100.00    18.031</t>
  </si>
  <si>
    <t xml:space="preserve"> UNK No.      :   83            Comment : UnkA-C21MI_14_1                          </t>
  </si>
  <si>
    <t xml:space="preserve"> Stage        :    X=   18.0320  Y=   75.2275  Z=   11.4595 </t>
  </si>
  <si>
    <t xml:space="preserve"> Dated on Mar  2 06:50 2017 </t>
  </si>
  <si>
    <t xml:space="preserve"> 1 Mg   107.540  51789.1  298.1  224.8    0.10       38 </t>
  </si>
  <si>
    <t xml:space="preserve"> 2 Mn   146.037    169.2  101.4   92.0    1.46       35 </t>
  </si>
  <si>
    <t xml:space="preserve"> 3 Fe   134.743   2848.2    0.0   27.4    0.42      115 </t>
  </si>
  <si>
    <t xml:space="preserve"> 4 Si    77.808  25228.8  194.3  113.0    0.14       60 </t>
  </si>
  <si>
    <t xml:space="preserve"> 5 Ca   107.775    661.3  295.4  257.6    0.68       14 </t>
  </si>
  <si>
    <t xml:space="preserve"> 6 Cr   159.160     -0.5   74.7   71.1  100.00 ?     52 </t>
  </si>
  <si>
    <t xml:space="preserve"> 7 Ni   115.404     15.4   41.1   34.4    8.00       67 </t>
  </si>
  <si>
    <t xml:space="preserve"> 8 Al    90.986     15.9   86.3   71.4   13.31       25 </t>
  </si>
  <si>
    <t xml:space="preserve"> Mg      0.5576    0.0033    0.6392    1.0011     0.9970     1.5620     1.0872</t>
  </si>
  <si>
    <t xml:space="preserve"> Mn      0.9832    0.0002    1.0020    0.7939     1.0577     1.1883     1.0363</t>
  </si>
  <si>
    <t xml:space="preserve"> Si      0.6602    0.0002    0.7245    0.9809     1.0122     1.3899     0.9999</t>
  </si>
  <si>
    <t xml:space="preserve"> Ca      0.9305    0.0067    0.9638    0.9125     1.0480     1.0776     1.0045</t>
  </si>
  <si>
    <t xml:space="preserve"> Al      0.5384    0.0063    0.6039    0.9623     1.0046     1.7023     1.4136</t>
  </si>
  <si>
    <t xml:space="preserve"> Mg      25.43     42.17     25.14     41.69     9.587   1.0872   0.23423   0.78627  </t>
  </si>
  <si>
    <t xml:space="preserve"> Mn       0.2664    0.3440    0.2634    0.3401   0.0444  1.0363   0.002570  0.007632  </t>
  </si>
  <si>
    <t xml:space="preserve"> Fe      15.12     19.45     14.95     19.23     2.481   0.9868   0.15326   2.06689  </t>
  </si>
  <si>
    <t xml:space="preserve"> Si      18.11     38.74     17.90     38.30     5.908   0.9999   0.18124   0.95054  </t>
  </si>
  <si>
    <t xml:space="preserve"> Ca       0.2241    0.3136    0.2216    0.3101   0.0513  1.0045   0.002231  0.006540  </t>
  </si>
  <si>
    <t xml:space="preserve"> Ni       0.0810    0.1031    0.0801    0.1020   0.0126  1.1222   0.000722  0.000919  </t>
  </si>
  <si>
    <t xml:space="preserve"> Al       0.0147    0.0278    0.0146    0.0275   0.0050  1.4136   0.000104  0.000197  </t>
  </si>
  <si>
    <t xml:space="preserve"> O       41.90       -       41.43       -      24.000      -         -        </t>
  </si>
  <si>
    <t>Total:  101.15    101.15    100.00    100.00    18.089</t>
  </si>
  <si>
    <t xml:space="preserve"> UNK No.      :   84            Comment : UnkA-C21MI_14_2                          </t>
  </si>
  <si>
    <t xml:space="preserve"> Stage        :    X=   17.9405  Y=   75.2125  Z=   11.4595 </t>
  </si>
  <si>
    <t xml:space="preserve"> Dated on Mar  2 06:54 2017 </t>
  </si>
  <si>
    <t xml:space="preserve"> 1 Mg   107.540  52065.2  298.3  223.3    0.10       38 </t>
  </si>
  <si>
    <t xml:space="preserve"> 2 Mn   146.037    173.6   96.4   91.5    1.42       35 </t>
  </si>
  <si>
    <t xml:space="preserve"> 3 Fe   134.743   2829.9    0.0   27.6    0.42      115 </t>
  </si>
  <si>
    <t xml:space="preserve"> 4 Si    77.808  25843.5  201.7  115.3    0.14       61 </t>
  </si>
  <si>
    <t xml:space="preserve"> 5 Ca   107.775    650.0  295.3  256.4    0.69       14 </t>
  </si>
  <si>
    <t xml:space="preserve"> 6 Cr   159.160      2.3   71.9   71.6   94.37 ?     51 </t>
  </si>
  <si>
    <t xml:space="preserve"> 7 Ni   115.404     17.2   39.9   34.7    7.19       67 </t>
  </si>
  <si>
    <t xml:space="preserve"> 8 Al    90.986     19.9   82.9   67.8   10.50       24 </t>
  </si>
  <si>
    <t xml:space="preserve"> Mg      0.5587    0.0034    0.6405    1.0007     0.9972     1.5593     1.0853</t>
  </si>
  <si>
    <t xml:space="preserve"> Mn      0.9832    0.0002    1.0020    0.7935     1.0578     1.1887     1.0367</t>
  </si>
  <si>
    <t xml:space="preserve"> Fe      0.9871    0.0003    1.0032    0.8052     1.0572     1.1707     0.9872</t>
  </si>
  <si>
    <t xml:space="preserve"> Si      0.6614    0.0002    0.7258    0.9804     1.0124     1.3878     0.9984</t>
  </si>
  <si>
    <t xml:space="preserve"> Ca      0.9305    0.0066    0.9638    0.9121     1.0482     1.0781     1.0050</t>
  </si>
  <si>
    <t xml:space="preserve"> Ni      0.9824    0.0000    0.9942    0.8122     1.0531     1.1758     1.1225</t>
  </si>
  <si>
    <t xml:space="preserve"> Al      0.5398    0.0064    0.6054    0.9618     1.0048     1.6982     1.4102</t>
  </si>
  <si>
    <t xml:space="preserve"> Mg      25.49     42.27     24.99     41.44     9.502   1.0853   0.23543   0.79030  </t>
  </si>
  <si>
    <t xml:space="preserve"> Mn       0.2734    0.3530    0.2680    0.3460   0.0451  1.0367   0.002637  0.007829  </t>
  </si>
  <si>
    <t xml:space="preserve"> Fe      15.02     19.33     14.73     18.95     2.437   0.9872   0.15225   2.05322  </t>
  </si>
  <si>
    <t xml:space="preserve"> Si      18.51     39.59     18.14     38.82     5.971   0.9984   0.18562   0.97350  </t>
  </si>
  <si>
    <t xml:space="preserve"> Ca       0.2203    0.3083    0.2160    0.3022   0.0498  1.0050   0.002193  0.006426  </t>
  </si>
  <si>
    <t xml:space="preserve"> Cr       0.0039    0.0057    0.0038    0.0056   0.0007  1.0339   0.000038  0.000055 ?</t>
  </si>
  <si>
    <t xml:space="preserve"> Ni       0.0906    0.1153    0.0888    0.1130   0.0140  1.1225   0.000807  0.001027  </t>
  </si>
  <si>
    <t xml:space="preserve"> Al       0.0185    0.0350    0.0181    0.0343   0.0062  1.4102   0.000131  0.000248  </t>
  </si>
  <si>
    <t xml:space="preserve"> O       42.38       -       41.54       -      24.000      -         -        </t>
  </si>
  <si>
    <t>Total:  102.00    102.00    100.00    100.00    18.026</t>
  </si>
  <si>
    <t xml:space="preserve"> UNK No.      :   85            Comment : UnkA-C21MI_14_3                          </t>
  </si>
  <si>
    <t xml:space="preserve"> Stage        :    X=   18.0000  Y=   75.2690  Z=   11.4595 </t>
  </si>
  <si>
    <t xml:space="preserve"> Dated on Mar  2 06:57 2017 </t>
  </si>
  <si>
    <t xml:space="preserve"> 1 Mg   107.540  51923.3  301.8  221.1    0.10       38 </t>
  </si>
  <si>
    <t xml:space="preserve"> 2 Mn   146.037    176.5   98.4   91.3    1.40       35 </t>
  </si>
  <si>
    <t xml:space="preserve"> 3 Fe   134.743   2845.2    0.0   25.9    0.42      111 </t>
  </si>
  <si>
    <t xml:space="preserve"> 4 Si    77.808  25931.4  196.8  116.4    0.14       61 </t>
  </si>
  <si>
    <t xml:space="preserve"> 5 Ca   107.775    642.6  294.4  253.9    0.70       14 </t>
  </si>
  <si>
    <t xml:space="preserve"> 6 Cr   159.160      2.8   73.0   68.4   79.03 ?     51 </t>
  </si>
  <si>
    <t xml:space="preserve"> 7 Ni   115.404     17.2   38.0   35.0    7.14       66 </t>
  </si>
  <si>
    <t xml:space="preserve"> 8 Al    90.986     15.9   85.2   67.8   13.16       25 </t>
  </si>
  <si>
    <t xml:space="preserve"> Mg      0.5583    0.0034    0.6400    1.0008     0.9972     1.5604     1.0861</t>
  </si>
  <si>
    <t xml:space="preserve"> Mn      0.9832    0.0002    1.0020    0.7936     1.0578     1.1886     1.0366</t>
  </si>
  <si>
    <t xml:space="preserve"> Fe      0.9871    0.0003    1.0032    0.8053     1.0572     1.1706     0.9871</t>
  </si>
  <si>
    <t xml:space="preserve"> Si      0.6616    0.0002    0.7260    0.9806     1.0124     1.3873     0.9981</t>
  </si>
  <si>
    <t xml:space="preserve"> Ca      0.9305    0.0067    0.9638    0.9122     1.0481     1.0780     1.0049</t>
  </si>
  <si>
    <t xml:space="preserve"> Ni      0.9824    0.0000    0.9942    0.8123     1.0531     1.1758     1.1224</t>
  </si>
  <si>
    <t xml:space="preserve"> Al      0.5400    0.0064    0.6056    0.9619     1.0047     1.6975     1.4096</t>
  </si>
  <si>
    <t xml:space="preserve"> Mg      25.44     42.18     24.91     41.30     9.471   1.0861   0.23484   0.78831  </t>
  </si>
  <si>
    <t xml:space="preserve"> Mn       0.2780    0.3589    0.2721    0.3514   0.0458  1.0366   0.002682  0.007962  </t>
  </si>
  <si>
    <t xml:space="preserve"> Fe      15.10     19.43     14.79     19.02     2.447   0.9871   0.15310   2.06476  </t>
  </si>
  <si>
    <t xml:space="preserve"> Si      18.57     39.72     18.18     38.88     5.982   0.9981   0.18629   0.97701  </t>
  </si>
  <si>
    <t xml:space="preserve"> Ca       0.2179    0.3049    0.2133    0.2985   0.0492  1.0049   0.002168  0.006355  </t>
  </si>
  <si>
    <t xml:space="preserve"> Cr       0.0046    0.0067    0.0045    0.0066   0.0008  1.0336   0.000044  0.000065 ?</t>
  </si>
  <si>
    <t xml:space="preserve"> Ni       0.0904    0.1150    0.0885    0.1126   0.0139  1.1224   0.000805  0.001025  </t>
  </si>
  <si>
    <t xml:space="preserve"> Al       0.0147    0.0278    0.0144    0.0272   0.0049  1.4096   0.000104  0.000197  </t>
  </si>
  <si>
    <t xml:space="preserve"> O       42.43       -       41.54       -      24.000      -         -        </t>
  </si>
  <si>
    <t>Total:  102.15    102.15    100.00    100.00    18.015</t>
  </si>
  <si>
    <t xml:space="preserve"> UNK No.      :   86            Comment : UnkA-C21MI_15_1                          </t>
  </si>
  <si>
    <t xml:space="preserve"> Stage        :    X=   10.2720  Y=   76.2655  Z=   11.4640 </t>
  </si>
  <si>
    <t xml:space="preserve"> Dated on Mar  2 07:00 2017 </t>
  </si>
  <si>
    <t xml:space="preserve"> 1 Mg   107.540  52375.4  288.2  228.0    0.10       38 </t>
  </si>
  <si>
    <t xml:space="preserve"> 2 Mn   146.037    178.0   97.7   88.0    1.39       35 </t>
  </si>
  <si>
    <t xml:space="preserve"> 3 Fe   134.743   2764.6    0.0   25.3    0.43      110 </t>
  </si>
  <si>
    <t xml:space="preserve"> 4 Si    77.808  25251.3  194.9  114.0    0.14       60 </t>
  </si>
  <si>
    <t xml:space="preserve"> 5 Ca   107.775    688.2  295.5  252.4    0.66       14 </t>
  </si>
  <si>
    <t xml:space="preserve"> 6 Cr   159.160      0.5   70.8   70.4  404.84 ?     51 </t>
  </si>
  <si>
    <t xml:space="preserve"> 7 Ni   115.404     17.0   39.8   35.1    7.30       67 </t>
  </si>
  <si>
    <t xml:space="preserve"> 8 Al    90.986     15.2   87.5   65.6   13.77       25 </t>
  </si>
  <si>
    <t xml:space="preserve"> Mg      0.5601    0.0034    0.6421    1.0003     0.9974     1.5558     1.0829</t>
  </si>
  <si>
    <t xml:space="preserve"> Mn      0.9832    0.0002    1.0021    0.7932     1.0579     1.1890     1.0370</t>
  </si>
  <si>
    <t xml:space="preserve"> Fe      0.9871    0.0003    1.0032    0.8049     1.0573     1.1710     0.9874</t>
  </si>
  <si>
    <t xml:space="preserve"> Si      0.6605    0.0002    0.7249    0.9801     1.0126     1.3899     0.9999</t>
  </si>
  <si>
    <t xml:space="preserve"> Ca      0.9305    0.0066    0.9639    0.9117     1.0483     1.0784     1.0052</t>
  </si>
  <si>
    <t xml:space="preserve"> Ni      0.9826    0.0000    0.9943    0.8119     1.0532     1.1760     1.1226</t>
  </si>
  <si>
    <t xml:space="preserve"> Al      0.5388    0.0063    0.6043    0.9614     1.0050     1.7020     1.4133</t>
  </si>
  <si>
    <t xml:space="preserve"> Mg      25.63     42.50     25.37     42.07     9.651   1.0829   0.23698   0.79549  </t>
  </si>
  <si>
    <t xml:space="preserve"> Mn       0.2807    0.3624    0.2778    0.3587   0.0468  1.0370   0.002707  0.008036  </t>
  </si>
  <si>
    <t xml:space="preserve"> Fe      14.69     18.90     14.54     18.71     2.408   0.9874   0.14882   2.00705  </t>
  </si>
  <si>
    <t xml:space="preserve"> Si      18.13     38.79     17.95     38.40     5.910   0.9999   0.18147   0.95177  </t>
  </si>
  <si>
    <t xml:space="preserve"> Ca       0.2335    0.3268    0.2312    0.3234   0.0533  1.0052   0.002323  0.006809  </t>
  </si>
  <si>
    <t xml:space="preserve"> Cr       0.0009    0.0013    0.0009    0.0013   0.0002  1.0348   0.000009  0.000013 ?</t>
  </si>
  <si>
    <t xml:space="preserve"> Ni       0.0894    0.1137    0.0885    0.1126   0.0139  1.1226   0.000796  0.001013  </t>
  </si>
  <si>
    <t xml:space="preserve"> Al       0.0141    0.0267    0.0140    0.0264   0.0048  1.4133   0.000100  0.000189  </t>
  </si>
  <si>
    <t xml:space="preserve"> O       41.95       -       41.52       -      24.000      -         -        </t>
  </si>
  <si>
    <t>Total:  101.02    101.02    100.00    100.00    18.088</t>
  </si>
  <si>
    <t xml:space="preserve"> UNK No.      :   87            Comment : UnkA-C21MI_15_2                          </t>
  </si>
  <si>
    <t xml:space="preserve"> Stage        :    X=   10.2040  Y=   76.3210  Z=   11.4640 </t>
  </si>
  <si>
    <t xml:space="preserve"> Dated on Mar  2 07:04 2017 </t>
  </si>
  <si>
    <t xml:space="preserve"> 1 Mg   107.540  52379.6  292.7  221.1    0.10       38 </t>
  </si>
  <si>
    <t xml:space="preserve"> 2 Mn   146.037    177.3   97.5   88.4    1.39       35 </t>
  </si>
  <si>
    <t xml:space="preserve"> 3 Fe   134.743   2785.1    0.0   23.1    0.43      105 </t>
  </si>
  <si>
    <t xml:space="preserve"> 4 Si    77.808  25243.6  200.1  116.7    0.14       61 </t>
  </si>
  <si>
    <t xml:space="preserve"> 5 Ca   107.775    696.1  293.8  255.8    0.66       14 </t>
  </si>
  <si>
    <t xml:space="preserve"> 6 Cr   159.160     -0.4   74.6   71.4  100.00 ?     52 </t>
  </si>
  <si>
    <t xml:space="preserve"> 7 Ni   115.404     18.7   39.5   33.9    6.62       66 </t>
  </si>
  <si>
    <t xml:space="preserve"> 8 Al    90.986     12.1   88.8   66.9   17.30       25 </t>
  </si>
  <si>
    <t xml:space="preserve"> Mg      0.5596    0.0034    0.6414    1.0005     0.9973     1.5572     1.0839</t>
  </si>
  <si>
    <t xml:space="preserve"> Mn      0.9832    0.0002    1.0020    0.7934     1.0578     1.1888     1.0368</t>
  </si>
  <si>
    <t xml:space="preserve"> Fe      0.9871    0.0003    1.0032    0.8050     1.0572     1.1708     0.9873</t>
  </si>
  <si>
    <t xml:space="preserve"> Si      0.6604    0.0002    0.7247    0.9803     1.0125     1.3901     1.0001</t>
  </si>
  <si>
    <t xml:space="preserve"> Ca      0.9305    0.0066    0.9639    0.9119     1.0483     1.0782     1.0050</t>
  </si>
  <si>
    <t xml:space="preserve"> Ni      0.9825    0.0000    0.9943    0.8121     1.0532     1.1759     1.1225</t>
  </si>
  <si>
    <t xml:space="preserve"> Al      0.5385    0.0063    0.6040    0.9616     1.0049     1.7025     1.4138</t>
  </si>
  <si>
    <t xml:space="preserve"> Mg      25.65     42.54     25.35     42.03     9.650   1.0839   0.23702   0.79564  </t>
  </si>
  <si>
    <t xml:space="preserve"> Mn       0.2794    0.3608    0.2761    0.3565   0.0465  1.0368   0.002695  0.008002  </t>
  </si>
  <si>
    <t xml:space="preserve"> Fe      14.80     19.04     14.62     18.81     2.423   0.9873   0.14994   2.02215  </t>
  </si>
  <si>
    <t xml:space="preserve"> Si      18.13     38.79     17.92     38.33     5.903   1.0001   0.18144   0.95158  </t>
  </si>
  <si>
    <t xml:space="preserve"> Ca       0.2362    0.3304    0.2334    0.3265   0.0539  1.0050   0.002350  0.006887  </t>
  </si>
  <si>
    <t xml:space="preserve"> Ni       0.0986    0.1255    0.0974    0.1240   0.0154  1.1225   0.000879  0.001118  </t>
  </si>
  <si>
    <t xml:space="preserve"> Al       0.0112    0.0212    0.0111    0.0210   0.0038  1.4138   0.000079  0.000150  </t>
  </si>
  <si>
    <t xml:space="preserve"> O       41.99       -       41.49       -      24.000      -         -        </t>
  </si>
  <si>
    <t>Total:  101.20    101.20    100.00    100.00    18.095</t>
  </si>
  <si>
    <t xml:space="preserve"> UNK No.      :   88            Comment : UnkA-C21MI_15_3                          </t>
  </si>
  <si>
    <t xml:space="preserve"> Stage        :    X=   10.1700  Y=   76.2735  Z=   11.4640 </t>
  </si>
  <si>
    <t xml:space="preserve"> Dated on Mar  2 07:07 2017 </t>
  </si>
  <si>
    <t xml:space="preserve"> 1 Mg   107.540  52316.4  295.7  230.7    0.10       39 </t>
  </si>
  <si>
    <t xml:space="preserve"> 2 Mn   146.037    177.4   98.5   86.7    1.39       35 </t>
  </si>
  <si>
    <t xml:space="preserve"> 3 Fe   134.743   2753.3    0.0   23.9    0.43      107 </t>
  </si>
  <si>
    <t xml:space="preserve"> 4 Si    77.808  25217.2  197.9  111.5    0.14       61 </t>
  </si>
  <si>
    <t xml:space="preserve"> 5 Ca   107.775    687.3  296.8  249.7    0.66       14 </t>
  </si>
  <si>
    <t xml:space="preserve"> 6 Cr   159.160      2.2   71.9   70.7   97.95 ?     51 </t>
  </si>
  <si>
    <t xml:space="preserve"> 7 Ni   115.404     16.9   37.2   33.1    7.15       65 </t>
  </si>
  <si>
    <t xml:space="preserve"> 8 Al    90.986     18.1   84.1   64.5   11.45       24 </t>
  </si>
  <si>
    <t xml:space="preserve"> Mg      0.5603    0.0034    0.6423    1.0002     0.9974     1.5553     1.0826</t>
  </si>
  <si>
    <t xml:space="preserve"> Mn      0.9832    0.0002    1.0021    0.7932     1.0579     1.1891     1.0370</t>
  </si>
  <si>
    <t xml:space="preserve"> Fe      0.9871    0.0003    1.0032    0.8048     1.0573     1.1711     0.9875</t>
  </si>
  <si>
    <t xml:space="preserve"> Si      0.6606    0.0002    0.7249    0.9800     1.0126     1.3899     0.9999</t>
  </si>
  <si>
    <t xml:space="preserve"> Ca      0.9305    0.0065    0.9639    0.9117     1.0484     1.0785     1.0052</t>
  </si>
  <si>
    <t xml:space="preserve"> Ni      0.9826    0.0000    0.9944    0.8119     1.0532     1.1761     1.1227</t>
  </si>
  <si>
    <t xml:space="preserve"> Al      0.5388    0.0063    0.6043    0.9614     1.0050     1.7018     1.4132</t>
  </si>
  <si>
    <t xml:space="preserve"> Mg      25.60     42.45     25.38     42.09     9.653   1.0826   0.23671   0.79460  </t>
  </si>
  <si>
    <t xml:space="preserve"> Mn       0.2796    0.3611    0.2773    0.3580   0.0467  1.0370   0.002696  0.008006  </t>
  </si>
  <si>
    <t xml:space="preserve"> Fe      14.63     18.83     14.51     18.67     2.402   0.9875   0.14822   1.99886  </t>
  </si>
  <si>
    <t xml:space="preserve"> Si      18.11     38.74     17.96     38.42     5.911   0.9999   0.18123   0.95049  </t>
  </si>
  <si>
    <t xml:space="preserve"> Ca       0.2332    0.3263    0.2313    0.3236   0.0533  1.0052   0.002320  0.006800  </t>
  </si>
  <si>
    <t xml:space="preserve"> Cr       0.0038    0.0055    0.0037    0.0054   0.0007  1.0350   0.000036  0.000053 ?</t>
  </si>
  <si>
    <t xml:space="preserve"> Ni       0.0889    0.1132    0.0882    0.1122   0.0139  1.1227   0.000792  0.001008  </t>
  </si>
  <si>
    <t xml:space="preserve"> Al       0.0169    0.0319    0.0168    0.0317   0.0057  1.4132   0.000120  0.000226  </t>
  </si>
  <si>
    <t xml:space="preserve"> O       41.89       -       41.53       -      24.000      -         -        </t>
  </si>
  <si>
    <t>Total:  100.85    100.85    100.00    100.00    18.086</t>
  </si>
  <si>
    <t xml:space="preserve"> UNK No.      :   89            Comment : SC-Olivine                               </t>
  </si>
  <si>
    <t xml:space="preserve"> Stage        :    X=   17.2720  Y=   25.7420  Z=   11.6455 </t>
  </si>
  <si>
    <t xml:space="preserve"> Dated on Mar  2 07:11 2017 </t>
  </si>
  <si>
    <t xml:space="preserve"> 1 Mg   107.540  66134.1  305.5  241.0    0.09       39 </t>
  </si>
  <si>
    <t xml:space="preserve"> 2 Mn   146.037     70.8   87.8   82.0    2.84       33 </t>
  </si>
  <si>
    <t xml:space="preserve"> 3 Fe   134.743   1379.4    0.0   22.0    0.61      103 </t>
  </si>
  <si>
    <t xml:space="preserve"> 4 Si    77.808  26077.2  192.6  109.5    0.14       60 </t>
  </si>
  <si>
    <t xml:space="preserve"> 5 Ca   107.775    206.1  272.9  235.1    1.69       14 </t>
  </si>
  <si>
    <t xml:space="preserve"> 6 Cr   159.160      8.5   64.1   64.5   25.07       49 </t>
  </si>
  <si>
    <t xml:space="preserve"> 7 Ni   115.404     50.3   37.5   33.4    2.82       65 </t>
  </si>
  <si>
    <t xml:space="preserve"> 8 Al    90.986     22.1   76.9   62.4    9.21       23 </t>
  </si>
  <si>
    <t xml:space="preserve"> Mg      0.6103    0.0037    0.6996    0.9839     1.0041     1.4415     1.0034</t>
  </si>
  <si>
    <t xml:space="preserve"> Mn      0.9835    0.0007    1.0023    0.7812     1.0616     1.2023     1.0485</t>
  </si>
  <si>
    <t xml:space="preserve"> Fe      0.9873    0.0011    1.0034    0.7927     1.0606     1.1841     0.9985</t>
  </si>
  <si>
    <t xml:space="preserve"> Si      0.6653    0.0001    0.7301    0.9642     1.0193     1.3935     1.0025</t>
  </si>
  <si>
    <t xml:space="preserve"> Ca      0.9308    0.0034    0.9641    0.8975     1.0537     1.0931     1.0189</t>
  </si>
  <si>
    <t xml:space="preserve"> Al      0.5440    0.0067    0.6101    0.9458     1.0118     1.7016     1.4131</t>
  </si>
  <si>
    <t xml:space="preserve"> Mg      30.02     49.77     29.97     49.70    10.915   1.0034   0.29920   1.00436  </t>
  </si>
  <si>
    <t xml:space="preserve"> Mn       0.1128    0.1457    0.1127    0.1455   0.0182  1.0485   0.001076  0.003195  </t>
  </si>
  <si>
    <t xml:space="preserve"> Fe       7.41      9.54      7.40      9.52     1.173   0.9985   0.07425   1.00133  </t>
  </si>
  <si>
    <t xml:space="preserve"> Si      18.78     40.18     18.76     40.13     5.912   1.0025   0.18739   0.98280  </t>
  </si>
  <si>
    <t xml:space="preserve"> Ca       0.0708    0.0991    0.0708    0.0990   0.0156  1.0189   0.000695  0.002038  </t>
  </si>
  <si>
    <t xml:space="preserve"> Cr       0.0147    0.0215    0.0147    0.0214   0.0025  1.0737   0.000137  0.000200  </t>
  </si>
  <si>
    <t xml:space="preserve"> Ni       0.2673    0.3401    0.2669    0.3397   0.0402  1.1312   0.002363  0.003007  </t>
  </si>
  <si>
    <t xml:space="preserve"> Al       0.0206    0.0389    0.0205    0.0388   0.0067  1.4131   0.000146  0.000275  </t>
  </si>
  <si>
    <t xml:space="preserve"> O       43.44       -       43.38       -      24.000      -         -        </t>
  </si>
  <si>
    <t>Total:  100.14    100.14    100.00    100.00    18.084</t>
  </si>
  <si>
    <t xml:space="preserve"> UNK No.      :   90            Comment : SC-Olivine                               </t>
  </si>
  <si>
    <t xml:space="preserve"> Stage        :    X=   17.2490  Y=   25.7565  Z=   11.6455 </t>
  </si>
  <si>
    <t xml:space="preserve"> Dated on Mar  2 07:14 2017 </t>
  </si>
  <si>
    <t xml:space="preserve"> 1 Mg   107.540  66233.8  298.0  245.0    0.09       39 </t>
  </si>
  <si>
    <t xml:space="preserve"> 2 Mn   146.037     69.0   92.1   80.6    2.93       33 </t>
  </si>
  <si>
    <t xml:space="preserve"> 3 Fe   134.743   1370.9    0.0   21.9    0.61      103 </t>
  </si>
  <si>
    <t xml:space="preserve"> 4 Si    77.808  26200.0  179.7  109.2    0.14       58 </t>
  </si>
  <si>
    <t xml:space="preserve"> 5 Ca   107.775    212.1  270.7  233.8    1.64       14 </t>
  </si>
  <si>
    <t xml:space="preserve"> 6 Cr   159.160      7.7   65.7   64.1   27.87       49 </t>
  </si>
  <si>
    <t xml:space="preserve"> 7 Ni   115.404     42.0   36.2   33.0    3.25       64 </t>
  </si>
  <si>
    <t xml:space="preserve"> 8 Al    90.986     17.5   80.1   62.1   11.60       24 </t>
  </si>
  <si>
    <t xml:space="preserve"> Mg      0.6111    0.0037    0.7005    0.9837     1.0042     1.4399     1.0022</t>
  </si>
  <si>
    <t xml:space="preserve"> Mn      0.9835    0.0006    1.0023    0.7810     1.0616     1.2026     1.0488</t>
  </si>
  <si>
    <t xml:space="preserve"> Fe      0.9873    0.0009    1.0034    0.7926     1.0606     1.1845     0.9988</t>
  </si>
  <si>
    <t xml:space="preserve"> Si      0.6657    0.0001    0.7305    0.9640     1.0194     1.3928     1.0020</t>
  </si>
  <si>
    <t xml:space="preserve"> Ca      0.9308    0.0034    0.9641    0.8973     1.0538     1.0933     1.0190</t>
  </si>
  <si>
    <t xml:space="preserve"> Cr      0.9784    0.0288    0.9996    0.7989     1.0617     1.1464     1.0741</t>
  </si>
  <si>
    <t xml:space="preserve"> Ni      0.9875    0.0000    0.9994    0.7996     1.0558     1.1852     1.1314</t>
  </si>
  <si>
    <t xml:space="preserve"> Al      0.5444    0.0067    0.6106    0.9456     1.0119     1.7005     1.4121</t>
  </si>
  <si>
    <t xml:space="preserve"> Mg      30.02     49.77     29.97     49.69    10.902   1.0022   0.29956   1.00557  </t>
  </si>
  <si>
    <t xml:space="preserve"> Mn       0.1100    0.1421    0.1098    0.1418   0.0177  1.0488   0.001049  0.003115  </t>
  </si>
  <si>
    <t xml:space="preserve"> Fe       7.37      9.48      7.36      9.46     1.165   0.9988   0.07377   0.99487  </t>
  </si>
  <si>
    <t xml:space="preserve"> Si      18.86     40.34     18.83     40.27     5.927   1.0020   0.18822   0.98713  </t>
  </si>
  <si>
    <t xml:space="preserve"> Ca       0.0729    0.1020    0.0728    0.1018   0.0161  1.0190   0.000715  0.002097  </t>
  </si>
  <si>
    <t xml:space="preserve"> Cr       0.0132    0.0193    0.0132    0.0193   0.0022  1.0741   0.000123  0.000180  </t>
  </si>
  <si>
    <t xml:space="preserve"> Ni       0.2227    0.2834    0.2223    0.2829   0.0335  1.1314   0.001968  0.002505  </t>
  </si>
  <si>
    <t xml:space="preserve"> Al       0.0163    0.0308    0.0163    0.0307   0.0053  1.4121   0.000115  0.000218  </t>
  </si>
  <si>
    <t xml:space="preserve"> O       43.49       -       43.42       -      24.000      -         -        </t>
  </si>
  <si>
    <t>Total:  100.17    100.17    100.00    100.00    18.069</t>
  </si>
  <si>
    <t xml:space="preserve"> UNK No.      :   91            Comment : SC-Olivine                               </t>
  </si>
  <si>
    <t xml:space="preserve"> Stage        :    X=   17.2490  Y=   25.6640  Z=   11.6455 </t>
  </si>
  <si>
    <t xml:space="preserve"> Dated on Mar  2 07:18 2017 </t>
  </si>
  <si>
    <t xml:space="preserve">Curr.(A) : 9.872E-08 </t>
  </si>
  <si>
    <t xml:space="preserve"> 1 Mg   107.540  66105.7  309.5  234.4    0.09       39 </t>
  </si>
  <si>
    <t xml:space="preserve"> 2 Mn   146.037     69.7   90.1   77.4    2.87       33 </t>
  </si>
  <si>
    <t xml:space="preserve"> 3 Fe   134.743   1355.8    0.0   20.2    0.61       98 </t>
  </si>
  <si>
    <t xml:space="preserve"> 4 Si    77.808  26126.7  188.4  105.5    0.14       59 </t>
  </si>
  <si>
    <t xml:space="preserve"> 5 Ca   107.775    211.1  268.9  228.9    1.64       14 </t>
  </si>
  <si>
    <t xml:space="preserve"> 6 Cr   159.160      3.9   67.3   66.1   55.15 ?     49 </t>
  </si>
  <si>
    <t xml:space="preserve"> 7 Ni   115.404     52.7   34.8   32.2    2.68       63 </t>
  </si>
  <si>
    <t xml:space="preserve"> 8 Al    90.986     16.6   80.9   65.2   12.32       24 </t>
  </si>
  <si>
    <t xml:space="preserve"> Mg      0.6110    0.0037    0.7004    0.9836     1.0042     1.4400     1.0023</t>
  </si>
  <si>
    <t xml:space="preserve"> Mn      0.9835    0.0007    1.0023    0.7810     1.0616     1.2025     1.0487</t>
  </si>
  <si>
    <t xml:space="preserve"> Fe      0.9873    0.0011    1.0034    0.7925     1.0606     1.1843     0.9986</t>
  </si>
  <si>
    <t xml:space="preserve"> Si      0.6656    0.0001    0.7304    0.9639     1.0194     1.3931     1.0022</t>
  </si>
  <si>
    <t xml:space="preserve"> Ca      0.9308    0.0033    0.9641    0.8973     1.0538     1.0933     1.0191</t>
  </si>
  <si>
    <t xml:space="preserve"> Cr      0.9784    0.0286    0.9996    0.7989     1.0617     1.1466     1.0743</t>
  </si>
  <si>
    <t xml:space="preserve"> Ni      0.9875    0.0000    0.9994    0.7996     1.0558     1.1852     1.1313</t>
  </si>
  <si>
    <t xml:space="preserve"> Al      0.5443    0.0067    0.6104    0.9455     1.0119     1.7008     1.4124</t>
  </si>
  <si>
    <t xml:space="preserve"> Mg      29.95     49.67     29.99     49.72    10.909   1.0023   0.29880   1.00302  </t>
  </si>
  <si>
    <t xml:space="preserve"> Mn       0.1110    0.1434    0.1112    0.1435   0.0179  1.0487   0.001059  0.003144  </t>
  </si>
  <si>
    <t xml:space="preserve"> Fe       7.28      9.37      7.29      9.38     1.154   0.9986   0.07291   0.98328  </t>
  </si>
  <si>
    <t xml:space="preserve"> Si      18.80     40.22     18.82     40.26     5.926   1.0022   0.18757   0.98377  </t>
  </si>
  <si>
    <t xml:space="preserve"> Ca       0.0726    0.1015    0.0726    0.1017   0.0160  1.0191   0.000712  0.002087  </t>
  </si>
  <si>
    <t xml:space="preserve"> Cr       0.0067    0.0098    0.0067    0.0098   0.0011  1.0743   0.000062  0.000091  </t>
  </si>
  <si>
    <t xml:space="preserve"> Ni       0.2794    0.3556    0.2797    0.3560   0.0421  1.1313   0.002470  0.003143  </t>
  </si>
  <si>
    <t xml:space="preserve"> Al       0.0154    0.0291    0.0154    0.0291   0.0051  1.4124   0.000109  0.000206  </t>
  </si>
  <si>
    <t xml:space="preserve"> O       43.37       -       43.42       -      24.000      -         -        </t>
  </si>
  <si>
    <t>Total:   99.89     99.89    100.00    100.00    18.071</t>
  </si>
  <si>
    <t xml:space="preserve"> UNK No.      :   92            Comment : UnkA-C21MI_16_1                          </t>
  </si>
  <si>
    <t xml:space="preserve"> Stage        :    X=   10.6130  Y=   77.3545  Z=   11.4620 </t>
  </si>
  <si>
    <t xml:space="preserve"> Dated on Mar  2 07:21 2017 </t>
  </si>
  <si>
    <t xml:space="preserve"> 1 Mg   107.540  53613.3  302.2  227.8    0.10       39 </t>
  </si>
  <si>
    <t xml:space="preserve"> 2 Mn   146.037    164.8   98.5   86.8    1.47       35 </t>
  </si>
  <si>
    <t xml:space="preserve"> 3 Fe   134.743   2632.2    0.0   25.2    0.44      110 </t>
  </si>
  <si>
    <t xml:space="preserve"> 4 Si    77.808  25174.5  191.2  111.1    0.14       60 </t>
  </si>
  <si>
    <t xml:space="preserve"> 5 Ca   107.775    812.5  297.2  250.4    0.59       14 </t>
  </si>
  <si>
    <t xml:space="preserve"> 6 Cr   159.160      0.1   74.6   67.5 3591.75 ?     51 </t>
  </si>
  <si>
    <t xml:space="preserve"> 7 Ni   115.404     18.8   38.8   35.0    6.62       66 </t>
  </si>
  <si>
    <t xml:space="preserve"> 8 Al    90.986     16.6   84.3   66.8   12.51       24 </t>
  </si>
  <si>
    <t xml:space="preserve"> Mg      0.5645    0.0034    0.6471    0.9988     0.9980     1.5451     1.0755</t>
  </si>
  <si>
    <t xml:space="preserve"> Mn      0.9832    0.0002    1.0020    0.7922     1.0582     1.1903     1.0381</t>
  </si>
  <si>
    <t xml:space="preserve"> Fe      0.9871    0.0003    1.0032    0.8038     1.0576     1.1723     0.9885</t>
  </si>
  <si>
    <t xml:space="preserve"> Si      0.6607    0.0002    0.7251    0.9786     1.0132     1.3907     1.0005</t>
  </si>
  <si>
    <t xml:space="preserve"> Ca      0.9306    0.0063    0.9639    0.9104     1.0488     1.0797     1.0064</t>
  </si>
  <si>
    <t xml:space="preserve"> Ni      0.9830    0.0000    0.9948    0.8108     1.0534     1.1768     1.1234</t>
  </si>
  <si>
    <t xml:space="preserve"> Al      0.5390    0.0063    0.6045    0.9600     1.0056     1.7028     1.4140</t>
  </si>
  <si>
    <t xml:space="preserve"> Mg      26.06     43.22     25.85     42.87     9.801   1.0755   0.24258   0.81430  </t>
  </si>
  <si>
    <t xml:space="preserve"> Mn       0.2601    0.3358    0.2580    0.3331   0.0433  1.0381   0.002505  0.007439  </t>
  </si>
  <si>
    <t xml:space="preserve"> Fe      14.00     18.02     13.89     17.87     2.292   0.9885   0.14170   1.91094  </t>
  </si>
  <si>
    <t xml:space="preserve"> Si      18.09     38.70     17.95     38.39     5.888   1.0005   0.18092   0.94887  </t>
  </si>
  <si>
    <t xml:space="preserve"> Ca       0.2760    0.3862    0.2738    0.3831   0.0630  1.0064   0.002743  0.008038  </t>
  </si>
  <si>
    <t xml:space="preserve"> Cr       0.0001    0.0001    0.0001    0.0001   0.0000  1.0384   0.000001  0.000001 ?</t>
  </si>
  <si>
    <t xml:space="preserve"> Ni       0.0990    0.1259    0.0982    0.1249   0.0154  1.1234   0.000881  0.001121  </t>
  </si>
  <si>
    <t xml:space="preserve"> Al       0.0155    0.0293    0.0154    0.0290   0.0052  1.4140   0.000110  0.000207  </t>
  </si>
  <si>
    <t xml:space="preserve"> O       42.00       -       41.66       -      24.000      -         -        </t>
  </si>
  <si>
    <t>Total:  100.81    100.81    100.00    100.00    18.109</t>
  </si>
  <si>
    <t xml:space="preserve"> UNK No.      :   93            Comment : UnkA-C21MI_16_2                          </t>
  </si>
  <si>
    <t xml:space="preserve"> Stage        :    X=   10.6005  Y=   77.3170  Z=   11.4620 </t>
  </si>
  <si>
    <t xml:space="preserve"> Dated on Mar  2 07:24 2017 </t>
  </si>
  <si>
    <t xml:space="preserve"> 1 Mg   107.540  53352.6  297.8  228.8    0.10       39 </t>
  </si>
  <si>
    <t xml:space="preserve"> 2 Mn   146.037    165.9   97.5   88.9    1.47       35 </t>
  </si>
  <si>
    <t xml:space="preserve"> 3 Fe   134.743   2678.7    0.0   27.4    0.43      115 </t>
  </si>
  <si>
    <t xml:space="preserve"> 4 Si    77.808  24995.4  194.8  112.7    0.14       60 </t>
  </si>
  <si>
    <t xml:space="preserve"> 5 Ca   107.775    802.2  291.6  249.8    0.59       14 </t>
  </si>
  <si>
    <t xml:space="preserve"> 6 Cr   159.160      2.1   72.1   68.3  105.45 ?     51 </t>
  </si>
  <si>
    <t xml:space="preserve"> 7 Ni   115.404     22.4   38.5   33.5    5.61       65 </t>
  </si>
  <si>
    <t xml:space="preserve"> 8 Al    90.986     13.4   86.6   68.8   15.57       25 </t>
  </si>
  <si>
    <t xml:space="preserve"> Mg      0.5628    0.0033    0.6451    0.9994     0.9978     1.5493     1.0783</t>
  </si>
  <si>
    <t xml:space="preserve"> Mn      0.9832    0.0003    1.0020    0.7926     1.0581     1.1897     1.0376</t>
  </si>
  <si>
    <t xml:space="preserve"> Fe      0.9871    0.0004    1.0032    0.8042     1.0575     1.1717     0.9880</t>
  </si>
  <si>
    <t xml:space="preserve"> Si      0.6601    0.0002    0.7244    0.9792     1.0130     1.3915     1.0011</t>
  </si>
  <si>
    <t xml:space="preserve"> Ca      0.9306    0.0064    0.9639    0.9110     1.0486     1.0791     1.0058</t>
  </si>
  <si>
    <t xml:space="preserve"> Al      0.5382    0.0063    0.6037    0.9606     1.0053     1.7046     1.4155</t>
  </si>
  <si>
    <t xml:space="preserve"> Mg      26.01     43.12     25.80     42.78     9.803   1.0783   0.24140   0.81034  </t>
  </si>
  <si>
    <t xml:space="preserve"> Mn       0.2617    0.3379    0.2596    0.3353   0.0437  1.0376   0.002522  0.007489  </t>
  </si>
  <si>
    <t xml:space="preserve"> Fe      14.24     18.32     14.13     18.18     2.337   0.9880   0.14420   1.94472  </t>
  </si>
  <si>
    <t xml:space="preserve"> Si      17.97     38.45     17.83     38.15     5.864   1.0011   0.17963   0.94212  </t>
  </si>
  <si>
    <t xml:space="preserve"> Ca       0.2724    0.3811    0.2702    0.3781   0.0623  1.0058   0.002708  0.007936  </t>
  </si>
  <si>
    <t xml:space="preserve"> Cr       0.0035    0.0051    0.0034    0.0050   0.0006  1.0370   0.000034  0.000049 ?</t>
  </si>
  <si>
    <t xml:space="preserve"> Ni       0.1178    0.1499    0.1169    0.1487   0.0184  1.1231   0.001049  0.001335  </t>
  </si>
  <si>
    <t xml:space="preserve"> Al       0.0125    0.0236    0.0124    0.0235   0.0042  1.4155   0.000088  0.000167  </t>
  </si>
  <si>
    <t xml:space="preserve"> O       41.90       -       41.57       -      24.000      -         -        </t>
  </si>
  <si>
    <t>Total:  100.79    100.79    100.00    100.00    18.134</t>
  </si>
  <si>
    <t xml:space="preserve"> UNK No.      :   94            Comment : UnkA-C21MI_16_3                          </t>
  </si>
  <si>
    <t xml:space="preserve"> Stage        :    X=   10.6465  Y=   77.3100  Z=   11.4620 </t>
  </si>
  <si>
    <t xml:space="preserve"> Dated on Mar  2 07:28 2017 </t>
  </si>
  <si>
    <t xml:space="preserve"> 1 Mg   107.540  53474.4  300.5  225.2    0.10       38 </t>
  </si>
  <si>
    <t xml:space="preserve"> 2 Mn   146.037    157.7  100.5   89.6    1.53       35 </t>
  </si>
  <si>
    <t xml:space="preserve"> 3 Fe   134.743   2662.1    0.0   25.9    0.44      112 </t>
  </si>
  <si>
    <t xml:space="preserve"> 4 Si    77.808  24966.1  198.8  118.2    0.14       61 </t>
  </si>
  <si>
    <t xml:space="preserve"> 5 Ca   107.775    816.9  291.6  244.4    0.58       14 </t>
  </si>
  <si>
    <t xml:space="preserve"> 6 Cr   159.160      1.3   68.3   70.9  161.14 ?     51 </t>
  </si>
  <si>
    <t xml:space="preserve"> 7 Ni   115.404     20.6   38.1   35.2    6.08       66 </t>
  </si>
  <si>
    <t xml:space="preserve"> 8 Al    90.986     16.7   84.6   67.1   12.48       24 </t>
  </si>
  <si>
    <t xml:space="preserve"> Mg      0.5634    0.0033    0.6459    0.9992     0.9978     1.5477     1.0773</t>
  </si>
  <si>
    <t xml:space="preserve"> Mn      0.9832    0.0002    1.0020    0.7924     1.0581     1.1899     1.0377</t>
  </si>
  <si>
    <t xml:space="preserve"> Fe      0.9871    0.0004    1.0032    0.8041     1.0575     1.1719     0.9881</t>
  </si>
  <si>
    <t xml:space="preserve"> Si      0.6601    0.0002    0.7244    0.9790     1.0130     1.3916     1.0011</t>
  </si>
  <si>
    <t xml:space="preserve"> Ca      0.9306    0.0063    0.9639    0.9108     1.0487     1.0793     1.0060</t>
  </si>
  <si>
    <t xml:space="preserve"> Ni      0.9829    0.0000    0.9947    0.8111     1.0534     1.1766     1.1232</t>
  </si>
  <si>
    <t xml:space="preserve"> Al      0.5383    0.0063    0.6037    0.9604     1.0054     1.7046     1.4155</t>
  </si>
  <si>
    <t xml:space="preserve"> Mg      26.04     43.18     25.86     42.89     9.823   1.0773   0.24193   0.81210  </t>
  </si>
  <si>
    <t xml:space="preserve"> Mn       0.2487    0.3211    0.2470    0.3189   0.0415  1.0377   0.002396  0.007115  </t>
  </si>
  <si>
    <t xml:space="preserve"> Fe      14.16     18.21     14.06     18.09     2.324   0.9881   0.14329   1.93243  </t>
  </si>
  <si>
    <t xml:space="preserve"> Si      17.95     38.41     17.83     38.15     5.861   1.0011   0.17941   0.94092  </t>
  </si>
  <si>
    <t xml:space="preserve"> Ca       0.2773    0.3881    0.2755    0.3855   0.0635  1.0060   0.002757  0.008080  </t>
  </si>
  <si>
    <t xml:space="preserve"> Cr       0.0023    0.0033    0.0023    0.0033   0.0004  1.0374   0.000022  0.000032 ?</t>
  </si>
  <si>
    <t xml:space="preserve"> Ni       0.1086    0.1381    0.1078    0.1372   0.0170  1.1232   0.000967  0.001230  </t>
  </si>
  <si>
    <t xml:space="preserve"> Al       0.0156    0.0294    0.0155    0.0292   0.0053  1.4155   0.000110  0.000208  </t>
  </si>
  <si>
    <t xml:space="preserve"> O       41.87       -       41.59       -      24.000      -         -        </t>
  </si>
  <si>
    <t>Total:  100.68    100.68    100.00    100.00    18.136</t>
  </si>
  <si>
    <t xml:space="preserve"> UNK No.      :   95            Comment : UnkA-C21MI_17_1                          </t>
  </si>
  <si>
    <t xml:space="preserve"> Stage        :    X=   18.6470  Y=   80.5020  Z=   11.4535 </t>
  </si>
  <si>
    <t xml:space="preserve"> Dated on Mar  2 07:31 2017 </t>
  </si>
  <si>
    <t xml:space="preserve"> 1 Mg   107.540  55426.0  300.7  223.3    0.10       38 </t>
  </si>
  <si>
    <t xml:space="preserve"> 2 Mn   146.037    150.9   95.8   88.6    1.57       34 </t>
  </si>
  <si>
    <t xml:space="preserve"> 3 Fe   134.743   2434.5    0.0   24.0    0.46      107 </t>
  </si>
  <si>
    <t xml:space="preserve"> 4 Si    77.808  26083.9  194.7  114.9    0.14       61 </t>
  </si>
  <si>
    <t xml:space="preserve"> 5 Ca   107.775    839.4  289.9  250.8    0.57       14 </t>
  </si>
  <si>
    <t xml:space="preserve"> 6 Cr   159.160      7.9   68.3   71.6   27.97       51 </t>
  </si>
  <si>
    <t xml:space="preserve"> 7 Ni   115.404     23.7   40.3   32.3    5.34       66 </t>
  </si>
  <si>
    <t xml:space="preserve"> 8 Al    90.986     18.2   84.6   65.8   11.46       24 </t>
  </si>
  <si>
    <t xml:space="preserve"> Mg      0.5717    0.0035    0.6553    0.9962     0.9990     1.5279     1.0635</t>
  </si>
  <si>
    <t xml:space="preserve"> Mn      0.9832    0.0003    1.0020    0.7902     1.0588     1.1924     1.0399</t>
  </si>
  <si>
    <t xml:space="preserve"> Fe      0.9871    0.0004    1.0032    0.8019     1.0581     1.1744     0.9903</t>
  </si>
  <si>
    <t xml:space="preserve"> Si      0.6631    0.0002    0.7276    0.9761     1.0142     1.3879     0.9985</t>
  </si>
  <si>
    <t xml:space="preserve"> Ca      0.9306    0.0058    0.9639    0.9082     1.0497     1.0821     1.0086</t>
  </si>
  <si>
    <t xml:space="preserve"> Cr      0.9781    0.0489    0.9993    0.8084     1.0586     1.1149     1.0446</t>
  </si>
  <si>
    <t xml:space="preserve"> Ni      0.9837    0.0000    0.9956    0.8089     1.0538     1.1783     1.1248</t>
  </si>
  <si>
    <t xml:space="preserve"> Al      0.5416    0.0065    0.6075    0.9575     1.0066     1.6968     1.4090</t>
  </si>
  <si>
    <t xml:space="preserve"> Mg      26.62     44.14     26.16     43.38     9.829   1.0635   0.25083   0.84200  </t>
  </si>
  <si>
    <t xml:space="preserve"> Mn       0.2386    0.3080    0.2344    0.3027   0.0390  1.0399   0.002294  0.006811  </t>
  </si>
  <si>
    <t xml:space="preserve"> Fe      12.98     16.69     12.75     16.41     2.085   0.9903   0.13108   1.76776  </t>
  </si>
  <si>
    <t xml:space="preserve"> Si      18.70     40.00     18.38     39.32     5.976   0.9985   0.18750   0.98335  </t>
  </si>
  <si>
    <t xml:space="preserve"> Ca       0.2858    0.3999    0.2809    0.3931   0.0640  1.0086   0.002834  0.008306  </t>
  </si>
  <si>
    <t xml:space="preserve"> Cr       0.0134    0.0195    0.0131    0.0192   0.0023  1.0446   0.000128  0.000187  </t>
  </si>
  <si>
    <t xml:space="preserve"> Ni       0.1252    0.1594    0.1231    0.1566   0.0191  1.1248   0.001113  0.001417  </t>
  </si>
  <si>
    <t xml:space="preserve"> Al       0.0169    0.0320    0.0166    0.0314   0.0056  1.4090   0.000120  0.000227  </t>
  </si>
  <si>
    <t xml:space="preserve"> O       42.78       -       42.04       -      24.000      -         -        </t>
  </si>
  <si>
    <t>Total:  101.75    101.75    100.00    100.00    18.020</t>
  </si>
  <si>
    <t xml:space="preserve"> UNK No.      :   96            Comment : UnkA-C21MI_17_2                          </t>
  </si>
  <si>
    <t xml:space="preserve"> Stage        :    X=   18.6865  Y=   80.5165  Z=   11.4535 </t>
  </si>
  <si>
    <t xml:space="preserve"> Dated on Mar  2 07:35 2017 </t>
  </si>
  <si>
    <t xml:space="preserve"> 1 Mg   107.540  54072.9  301.7  234.2    0.10       39 </t>
  </si>
  <si>
    <t xml:space="preserve"> 2 Mn   146.037    155.2   97.8   87.8    1.54       35 </t>
  </si>
  <si>
    <t xml:space="preserve"> 3 Fe   134.743   2581.6    0.0   21.9    0.44      103 </t>
  </si>
  <si>
    <t xml:space="preserve"> 4 Si    77.808  25952.6  192.6  116.9    0.14       61 </t>
  </si>
  <si>
    <t xml:space="preserve"> 5 Ca   107.775    815.9  291.4  246.1    0.59       14 </t>
  </si>
  <si>
    <t xml:space="preserve"> 6 Cr   159.160      2.9   73.5   65.6   75.81 ?     51 </t>
  </si>
  <si>
    <t xml:space="preserve"> 7 Ni   115.404     23.3   38.1   34.5    5.43       66 </t>
  </si>
  <si>
    <t xml:space="preserve"> 8 Al    90.986     17.3   81.7   69.8   12.01       24 </t>
  </si>
  <si>
    <t xml:space="preserve"> Mg      0.5667    0.0035    0.6496    0.9979     0.9983     1.5399     1.0719</t>
  </si>
  <si>
    <t xml:space="preserve"> Mn      0.9832    0.0003    1.0020    0.7915     1.0584     1.1910     1.0387</t>
  </si>
  <si>
    <t xml:space="preserve"> Si      0.6624    0.0002    0.7269    0.9778     1.0135     1.3879     0.9985</t>
  </si>
  <si>
    <t xml:space="preserve"> Ca      0.9305    0.0061    0.9639    0.9097     1.0491     1.0806     1.0072</t>
  </si>
  <si>
    <t xml:space="preserve"> Ni      0.9833    0.0000    0.9951    0.8102     1.0536     1.1773     1.1239</t>
  </si>
  <si>
    <t xml:space="preserve"> Al      0.5409    0.0065    0.6067    0.9592     1.0059     1.6974     1.4095</t>
  </si>
  <si>
    <t xml:space="preserve"> Mg      26.17     43.39     25.72     42.64     9.707   1.0719   0.24466   0.82128  </t>
  </si>
  <si>
    <t xml:space="preserve"> Mn       0.2450    0.3164    0.2408    0.3109   0.0402  1.0387   0.002359  0.007004  </t>
  </si>
  <si>
    <t xml:space="preserve"> Fe      13.74     17.68     13.50     17.37     2.218   0.9891   0.13897   1.87419  </t>
  </si>
  <si>
    <t xml:space="preserve"> Si      18.60     39.79     18.28     39.11     5.972   0.9985   0.18651   0.97820  </t>
  </si>
  <si>
    <t xml:space="preserve"> Ca       0.2774    0.3881    0.2726    0.3814   0.0624  1.0072   0.002754  0.008072  </t>
  </si>
  <si>
    <t xml:space="preserve"> Cr       0.0048    0.0070    0.0047    0.0069   0.0008  1.0405   0.000046  0.000067 ?</t>
  </si>
  <si>
    <t xml:space="preserve"> Ni       0.1228    0.1562    0.1206    0.1535   0.0189  1.1239   0.001092  0.001390  </t>
  </si>
  <si>
    <t xml:space="preserve"> Al       0.0160    0.0303    0.0158    0.0298   0.0054  1.4095   0.000114  0.000215  </t>
  </si>
  <si>
    <t xml:space="preserve"> O       42.58       -       41.85       -      24.000      -         -        </t>
  </si>
  <si>
    <t>Total:  101.76    101.76    100.00    100.00    18.025</t>
  </si>
  <si>
    <t xml:space="preserve"> UNK No.      :   97            Comment : UnkA-C21MI_17_3                          </t>
  </si>
  <si>
    <t xml:space="preserve"> Stage        :    X=   18.6880  Y=   80.4785  Z=   11.4535 </t>
  </si>
  <si>
    <t xml:space="preserve"> Dated on Mar  2 07:38 2017 </t>
  </si>
  <si>
    <t xml:space="preserve"> 1 Mg   107.540  54592.2  304.2  235.4    0.10       39 </t>
  </si>
  <si>
    <t xml:space="preserve"> 2 Mn   146.037    146.6   99.9   85.6    1.61       35 </t>
  </si>
  <si>
    <t xml:space="preserve"> 3 Fe   134.743   2527.7    0.0   24.9    0.45      109 </t>
  </si>
  <si>
    <t xml:space="preserve"> 4 Si    77.808  26041.8  193.8  113.0    0.14       60 </t>
  </si>
  <si>
    <t xml:space="preserve"> 5 Ca   107.775    828.2  286.6  252.7    0.58       14 </t>
  </si>
  <si>
    <t xml:space="preserve"> 6 Cr   159.160      4.0   72.6   68.0   54.78 ?     51 </t>
  </si>
  <si>
    <t xml:space="preserve"> 7 Ni   115.404     20.0   39.0   36.3    6.31       67 </t>
  </si>
  <si>
    <t xml:space="preserve"> 8 Al    90.986     13.2   88.8   65.2   15.80       25 </t>
  </si>
  <si>
    <t xml:space="preserve"> Mg      0.5687    0.0035    0.6519    0.9972     0.9986     1.5350     1.0684</t>
  </si>
  <si>
    <t xml:space="preserve"> Mn      0.9832    0.0002    1.0020    0.7910     1.0586     1.1916     1.0392</t>
  </si>
  <si>
    <t xml:space="preserve"> Fe      0.9871    0.0003    1.0032    0.8026     1.0579     1.1736     0.9896</t>
  </si>
  <si>
    <t xml:space="preserve"> Si      0.6628    0.0002    0.7273    0.9771     1.0138     1.3877     0.9983</t>
  </si>
  <si>
    <t xml:space="preserve"> Ca      0.9306    0.0060    0.9639    0.9091     1.0493     1.0812     1.0078</t>
  </si>
  <si>
    <t xml:space="preserve"> Cr      0.9781    0.0506    0.9993    0.8092     1.0584     1.1122     1.0421</t>
  </si>
  <si>
    <t xml:space="preserve"> Ni      0.9834    0.0000    0.9952    0.8097     1.0537     1.1777     1.1243</t>
  </si>
  <si>
    <t xml:space="preserve"> Al      0.5413    0.0065    0.6071    0.9585     1.0062     1.6968     1.4091</t>
  </si>
  <si>
    <t xml:space="preserve"> Mg      26.33     43.65     25.88     42.91     9.748   1.0684   0.24693   0.82891  </t>
  </si>
  <si>
    <t xml:space="preserve"> Mn       0.2315    0.2989    0.2275    0.2938   0.0379  1.0392   0.002227  0.006613  </t>
  </si>
  <si>
    <t xml:space="preserve"> Fe      13.46     17.31     13.23     17.02     2.169   0.9896   0.13603   1.83451  </t>
  </si>
  <si>
    <t xml:space="preserve"> Si      18.66     39.91     18.34     39.23     5.979   0.9983   0.18710   0.98127  </t>
  </si>
  <si>
    <t xml:space="preserve"> Ca       0.2816    0.3941    0.2768    0.3873   0.0633  1.0078   0.002795  0.008191  </t>
  </si>
  <si>
    <t xml:space="preserve"> Cr       0.0067    0.0098    0.0066    0.0096   0.0012  1.0421   0.000064  0.000094  </t>
  </si>
  <si>
    <t xml:space="preserve"> Ni       0.1053    0.1340    0.1035    0.1317   0.0161  1.1243   0.000937  0.001192  </t>
  </si>
  <si>
    <t xml:space="preserve"> Al       0.0122    0.0231    0.0120    0.0227   0.0041  1.4091   0.000087  0.000164  </t>
  </si>
  <si>
    <t xml:space="preserve"> O       42.66       -       41.93       -      24.000      -         -        </t>
  </si>
  <si>
    <t>Total:  101.74    101.74    100.00    100.00    18.018</t>
  </si>
  <si>
    <t xml:space="preserve"> UNK No.      :   98            Comment : UnkA-C21MI_18_1                          </t>
  </si>
  <si>
    <t xml:space="preserve"> Stage        :    X=   23.8860  Y=   79.8800  Z=   11.4455 </t>
  </si>
  <si>
    <t xml:space="preserve"> Dated on Mar  2 07:41 2017 </t>
  </si>
  <si>
    <t xml:space="preserve"> 1 Mg   107.540  55806.2  294.9  233.2    0.10       39 </t>
  </si>
  <si>
    <t xml:space="preserve"> 2 Mn   146.037    142.6   97.2   85.0    1.64       34 </t>
  </si>
  <si>
    <t xml:space="preserve"> 3 Fe   134.743   2436.4    0.0   23.6    0.46      106 </t>
  </si>
  <si>
    <t xml:space="preserve"> 4 Si    77.808  26118.1  190.3  116.5    0.14       60 </t>
  </si>
  <si>
    <t xml:space="preserve"> 5 Ca   107.775    808.5  288.4  252.8    0.59       14 </t>
  </si>
  <si>
    <t xml:space="preserve"> 6 Cr   159.160      2.7   73.1   69.7   82.72 ?     51 </t>
  </si>
  <si>
    <t xml:space="preserve"> 7 Ni   115.404     22.6   39.4   36.1    5.66       67 </t>
  </si>
  <si>
    <t xml:space="preserve"> 8 Al    90.986     19.5   80.6   66.3   10.62       24 </t>
  </si>
  <si>
    <t xml:space="preserve"> Mg      0.5721    0.0035    0.6558    0.9961     0.9991     1.5269     1.0628</t>
  </si>
  <si>
    <t xml:space="preserve"> Mn      0.9832    0.0003    1.0020    0.7901     1.0588     1.1925     1.0400</t>
  </si>
  <si>
    <t xml:space="preserve"> Fe      0.9871    0.0004    1.0032    0.8018     1.0581     1.1745     0.9904</t>
  </si>
  <si>
    <t xml:space="preserve"> Si      0.6629    0.0002    0.7275    0.9760     1.0143     1.3884     0.9988</t>
  </si>
  <si>
    <t xml:space="preserve"> Ca      0.9306    0.0057    0.9639    0.9081     1.0497     1.0822     1.0087</t>
  </si>
  <si>
    <t xml:space="preserve"> Ni      0.9838    0.0000    0.9956    0.8088     1.0539     1.1784     1.1249</t>
  </si>
  <si>
    <t xml:space="preserve"> Al      0.5415    0.0065    0.6073    0.9574     1.0067     1.6974     1.4096</t>
  </si>
  <si>
    <t xml:space="preserve"> Mg      26.77     44.40     26.24     43.51     9.858   1.0628   0.25255   0.84777  </t>
  </si>
  <si>
    <t xml:space="preserve"> Mn       0.2254    0.2911    0.2210    0.2853   0.0367  1.0400   0.002168  0.006436  </t>
  </si>
  <si>
    <t xml:space="preserve"> Fe      12.99     16.71     12.73     16.37     2.081   0.9904   0.13118   1.76914  </t>
  </si>
  <si>
    <t xml:space="preserve"> Si      18.73     40.06     18.35     39.26     5.967   0.9988   0.18774   0.98464  </t>
  </si>
  <si>
    <t xml:space="preserve"> Ca       0.2753    0.3852    0.2698    0.3776   0.0615  1.0087   0.002730  0.008000  </t>
  </si>
  <si>
    <t xml:space="preserve"> Cr       0.0045    0.0066    0.0044    0.0065   0.0008  1.0448   0.000043  0.000063 ?</t>
  </si>
  <si>
    <t xml:space="preserve"> Ni       0.1193    0.1518    0.1170    0.1488   0.0182  1.1249   0.001061  0.001350  </t>
  </si>
  <si>
    <t xml:space="preserve"> Al       0.0181    0.0341    0.0177    0.0334   0.0060  1.4096   0.000128  0.000242  </t>
  </si>
  <si>
    <t xml:space="preserve"> O       42.90       -       42.05       -      24.000      -         -        </t>
  </si>
  <si>
    <t>Total:  102.03    102.03    100.00    100.00    18.029</t>
  </si>
  <si>
    <t xml:space="preserve"> UNK No.      :   99            Comment : UnkA-C21MI_18_2                          </t>
  </si>
  <si>
    <t xml:space="preserve"> Stage        :    X=   23.7600  Y=   79.8355  Z=   11.4455 </t>
  </si>
  <si>
    <t xml:space="preserve"> Dated on Mar  2 07:45 2017 </t>
  </si>
  <si>
    <t xml:space="preserve"> 1 Mg   107.540  55654.9  292.5  227.0    0.10       38 </t>
  </si>
  <si>
    <t xml:space="preserve"> 2 Mn   146.037    139.4  101.2   87.3    1.69       35 </t>
  </si>
  <si>
    <t xml:space="preserve"> 3 Fe   134.743   2474.4    0.0   25.4    0.45      110 </t>
  </si>
  <si>
    <t xml:space="preserve"> 4 Si    77.808  26007.2  189.1  116.8    0.14       60 </t>
  </si>
  <si>
    <t xml:space="preserve"> 5 Ca   107.775    806.1  288.7  247.9    0.59       14 </t>
  </si>
  <si>
    <t xml:space="preserve"> 6 Cr   159.160      4.3   70.3   68.5   50.62 ?     51 </t>
  </si>
  <si>
    <t xml:space="preserve"> 7 Ni   115.404     23.0   38.2   34.4    5.48       66 </t>
  </si>
  <si>
    <t xml:space="preserve"> 8 Al    90.986     16.1   85.2   66.3   12.94       24 </t>
  </si>
  <si>
    <t xml:space="preserve"> Mg      0.5709    0.0035    0.6544    0.9965     0.9989     1.5298     1.0648</t>
  </si>
  <si>
    <t xml:space="preserve"> Mn      0.9832    0.0003    1.0021    0.7905     1.0587     1.1922     1.0397</t>
  </si>
  <si>
    <t xml:space="preserve"> Fe      0.9871    0.0004    1.0032    0.8021     1.0580     1.1742     0.9901</t>
  </si>
  <si>
    <t xml:space="preserve"> Si      0.6625    0.0002    0.7270    0.9764     1.0141     1.3889     0.9992</t>
  </si>
  <si>
    <t xml:space="preserve"> Ca      0.9306    0.0058    0.9639    0.9084     1.0496     1.0818     1.0083</t>
  </si>
  <si>
    <t xml:space="preserve"> Cr      0.9781    0.0495    0.9993    0.8086     1.0585     1.1139     1.0437</t>
  </si>
  <si>
    <t xml:space="preserve"> Ni      0.9837    0.0000    0.9955    0.8091     1.0538     1.1781     1.1246</t>
  </si>
  <si>
    <t xml:space="preserve"> Al      0.5409    0.0065    0.6067    0.9578     1.0065     1.6987     1.4106</t>
  </si>
  <si>
    <t xml:space="preserve"> Mg      26.75     44.36     26.20     43.45     9.859   1.0648   0.25192   0.84565  </t>
  </si>
  <si>
    <t xml:space="preserve"> Mn       0.2204    0.2846    0.2159    0.2788   0.0359  1.0397   0.002120  0.006295  </t>
  </si>
  <si>
    <t xml:space="preserve"> Fe      13.19     16.96     12.92     16.62     2.115   0.9901   0.13326   1.79711  </t>
  </si>
  <si>
    <t xml:space="preserve"> Si      18.66     39.91     18.27     39.09     5.950   0.9992   0.18698   0.98066  </t>
  </si>
  <si>
    <t xml:space="preserve"> Ca       0.2745    0.3840    0.2688    0.3761   0.0613  1.0083   0.002722  0.007978  </t>
  </si>
  <si>
    <t xml:space="preserve"> Cr       0.0073    0.0106    0.0071    0.0104   0.0013  1.0437   0.000070  0.000102  </t>
  </si>
  <si>
    <t xml:space="preserve"> Ni       0.1216    0.1547    0.1191    0.1516   0.0186  1.1246   0.001081  0.001376  </t>
  </si>
  <si>
    <t xml:space="preserve"> Al       0.0149    0.0282    0.0146    0.0276   0.0050  1.4106   0.000106  0.000200  </t>
  </si>
  <si>
    <t xml:space="preserve"> O       42.87       -       41.98       -      24.000      -         -        </t>
  </si>
  <si>
    <t>Total:  102.10    102.10    100.00    100.00    18.047</t>
  </si>
  <si>
    <t xml:space="preserve"> UNK No.      :  100            Comment : UnkA-C21MI_18_3                          </t>
  </si>
  <si>
    <t xml:space="preserve"> Stage        :    X=   23.9040  Y=   79.7815  Z=   11.4455 </t>
  </si>
  <si>
    <t xml:space="preserve"> Dated on Mar  2 07:48 2017 </t>
  </si>
  <si>
    <t xml:space="preserve"> 1 Mg   107.540  55775.9  292.6  232.3    0.10       38 </t>
  </si>
  <si>
    <t xml:space="preserve"> 2 Mn   146.037    141.3   96.8   89.5    1.66       35 </t>
  </si>
  <si>
    <t xml:space="preserve"> 3 Fe   134.743   2448.6    0.0   24.2    0.45      108 </t>
  </si>
  <si>
    <t xml:space="preserve"> 4 Si    77.808  26150.9  190.8  112.2    0.14       60 </t>
  </si>
  <si>
    <t xml:space="preserve"> 5 Ca   107.775    818.0  289.2  247.5    0.58       14 </t>
  </si>
  <si>
    <t xml:space="preserve"> 6 Cr   159.160      3.4   70.9   67.1   64.49 ?     50 </t>
  </si>
  <si>
    <t xml:space="preserve"> 7 Ni   115.404     23.8   38.5   32.5    5.29       65 </t>
  </si>
  <si>
    <t xml:space="preserve"> 8 Al    90.986     17.2   83.7   64.6   12.00       24 </t>
  </si>
  <si>
    <t xml:space="preserve"> Mg      0.5717    0.0035    0.6554    0.9962     0.9990     1.5278     1.0634</t>
  </si>
  <si>
    <t xml:space="preserve"> Fe      0.9871    0.0004    1.0032    0.8018     1.0581     1.1744     0.9903</t>
  </si>
  <si>
    <t xml:space="preserve"> Si      0.6629    0.0002    0.7275    0.9761     1.0142     1.3883     0.9988</t>
  </si>
  <si>
    <t xml:space="preserve"> Cr      0.9781    0.0490    0.9993    0.8084     1.0586     1.1148     1.0445</t>
  </si>
  <si>
    <t xml:space="preserve"> Ni      0.9838    0.0000    0.9956    0.8089     1.0538     1.1783     1.1248</t>
  </si>
  <si>
    <t xml:space="preserve"> Al      0.5414    0.0065    0.6072    0.9575     1.0066     1.6974     1.4095</t>
  </si>
  <si>
    <t xml:space="preserve"> Mg      26.76     44.37     26.20     43.45     9.847   1.0634   0.25226   0.84680  </t>
  </si>
  <si>
    <t xml:space="preserve"> Mn       0.2233    0.2883    0.2187    0.2824   0.0364  1.0399   0.002147  0.006375  </t>
  </si>
  <si>
    <t xml:space="preserve"> Fe      13.04     16.78     12.77     16.43     2.089   0.9903   0.13176   1.77693  </t>
  </si>
  <si>
    <t xml:space="preserve"> Si      18.74     40.08     18.35     39.26     5.968   0.9988   0.18786   0.98528  </t>
  </si>
  <si>
    <t xml:space="preserve"> Ca       0.2784    0.3895    0.2726    0.3815   0.0621  1.0086   0.002760  0.008089  </t>
  </si>
  <si>
    <t xml:space="preserve"> Cr       0.0056    0.0083    0.0055    0.0081   0.0010  1.0445   0.000054  0.000079  </t>
  </si>
  <si>
    <t xml:space="preserve"> Ni       0.1253    0.1595    0.1227    0.1562   0.0191  1.1248   0.001114  0.001418  </t>
  </si>
  <si>
    <t xml:space="preserve"> Al       0.0160    0.0302    0.0156    0.0295   0.0053  1.4095   0.000113  0.000214  </t>
  </si>
  <si>
    <t xml:space="preserve"> O       42.92       -       42.04       -      24.000      -         -        </t>
  </si>
  <si>
    <t>Total:  102.10    102.10    100.00    100.00    18.029</t>
  </si>
  <si>
    <t xml:space="preserve"> UNK No.      :  101            Comment : UnkA-C21MI_19_1                          </t>
  </si>
  <si>
    <t xml:space="preserve"> Stage        :    X=   12.0065  Y=   79.7560  Z=   11.4600 </t>
  </si>
  <si>
    <t xml:space="preserve"> Dated on Mar  2 07:52 2017 </t>
  </si>
  <si>
    <t xml:space="preserve"> 1 Mg   107.540  51724.2  283.1  227.9    0.10       38 </t>
  </si>
  <si>
    <t xml:space="preserve"> 2 Mn   146.037    165.8   98.5   90.5    1.47       35 </t>
  </si>
  <si>
    <t xml:space="preserve"> 3 Fe   134.743   2830.5    0.0   26.0    0.42      112 </t>
  </si>
  <si>
    <t xml:space="preserve"> 4 Si    77.808  25168.5  198.2  109.0    0.14       60 </t>
  </si>
  <si>
    <t xml:space="preserve"> 5 Ca   107.775    569.0  295.1  252.7    0.76       14 </t>
  </si>
  <si>
    <t xml:space="preserve"> 6 Cr   159.160      4.2   71.5   70.5   52.46 ?     51 </t>
  </si>
  <si>
    <t xml:space="preserve"> 7 Ni   115.404     23.4   37.8   32.2    5.34       65 </t>
  </si>
  <si>
    <t xml:space="preserve"> 8 Al    90.986     16.9   86.3   67.4   12.40       25 </t>
  </si>
  <si>
    <t xml:space="preserve"> Mg      0.5577    0.0033    0.6393    1.0011     0.9971     1.5618     1.0871</t>
  </si>
  <si>
    <t xml:space="preserve"> Mn      0.9833    0.0003    1.0021    0.7938     1.0577     1.1882     1.0363</t>
  </si>
  <si>
    <t xml:space="preserve"> Fe      0.9871    0.0004    1.0032    0.8055     1.0571     1.1702     0.9867</t>
  </si>
  <si>
    <t xml:space="preserve"> Si      0.6601    0.0002    0.7244    0.9808     1.0123     1.3901     1.0000</t>
  </si>
  <si>
    <t xml:space="preserve"> Ca      0.9305    0.0067    0.9638    0.9124     1.0481     1.0777     1.0046</t>
  </si>
  <si>
    <t xml:space="preserve"> Cr      0.9781    0.0572    0.9993    0.8121     1.0574     1.1023     1.0328</t>
  </si>
  <si>
    <t xml:space="preserve"> Ni      0.9823    0.0000    0.9941    0.8125     1.0531     1.1756     1.1222</t>
  </si>
  <si>
    <t xml:space="preserve"> Al      0.5383    0.0063    0.6038    0.9622     1.0047     1.7026     1.4139</t>
  </si>
  <si>
    <t xml:space="preserve"> Mg      25.42     42.14     25.17     41.74     9.596   1.0871   0.23408   0.78576  </t>
  </si>
  <si>
    <t xml:space="preserve"> Mn       0.2612    0.3373    0.2587    0.3340   0.0436  1.0363   0.002521  0.007484  </t>
  </si>
  <si>
    <t xml:space="preserve"> Fe      15.03     19.34     14.89     19.16     2.471   0.9867   0.15240   2.05532  </t>
  </si>
  <si>
    <t xml:space="preserve"> Si      18.08     38.68     17.91     38.31     5.908   1.0000   0.18092   0.94884  </t>
  </si>
  <si>
    <t xml:space="preserve"> Ca       0.1930    0.2700    0.1911    0.2674   0.0442  1.0046   0.001921  0.005630  </t>
  </si>
  <si>
    <t xml:space="preserve"> Cr       0.0070    0.0102    0.0069    0.0101   0.0012  1.0328   0.000068  0.000099  </t>
  </si>
  <si>
    <t xml:space="preserve"> Ni       0.1232    0.1568    0.1220    0.1553   0.0193  1.1222   0.001098  0.001397  </t>
  </si>
  <si>
    <t xml:space="preserve"> Al       0.0158    0.0298    0.0156    0.0295   0.0054  1.4139   0.000112  0.000211  </t>
  </si>
  <si>
    <t xml:space="preserve"> O       41.84       -       41.44       -      24.000      -         -        </t>
  </si>
  <si>
    <t>Total:  100.97    100.97    100.00    100.00    18.089</t>
  </si>
  <si>
    <t xml:space="preserve"> UNK No.      :  102            Comment : UnkA-C21MI_19_2                          </t>
  </si>
  <si>
    <t xml:space="preserve"> Stage        :    X=   12.0710  Y=   79.8035  Z=   11.4600 </t>
  </si>
  <si>
    <t xml:space="preserve"> Dated on Mar  2 07:55 2017 </t>
  </si>
  <si>
    <t xml:space="preserve"> 1 Mg   107.540  51827.6  284.1  229.1    0.10       38 </t>
  </si>
  <si>
    <t xml:space="preserve"> 2 Mn   146.037    168.0   98.4   86.2    1.45       35 </t>
  </si>
  <si>
    <t xml:space="preserve"> 3 Fe   134.743   2819.9    0.0   25.4    0.42      110 </t>
  </si>
  <si>
    <t xml:space="preserve"> 4 Si    77.808  25112.4  194.5  111.6    0.14       60 </t>
  </si>
  <si>
    <t xml:space="preserve"> 5 Ca   107.775    561.2  294.5  253.0    0.77       14 </t>
  </si>
  <si>
    <t xml:space="preserve"> 6 Cr   159.160      2.0   75.6   67.3  109.57 ?     51 </t>
  </si>
  <si>
    <t xml:space="preserve"> 7 Ni   115.404     21.7   38.7   33.8    5.77       66 </t>
  </si>
  <si>
    <t xml:space="preserve"> 8 Al    90.986     14.0   88.9   69.4   15.06       25 </t>
  </si>
  <si>
    <t xml:space="preserve"> Mg      0.5581    0.0033    0.6397    1.0010     0.9971     1.5609     1.0865</t>
  </si>
  <si>
    <t xml:space="preserve"> Mn      0.9833    0.0002    1.0021    0.7938     1.0577     1.1883     1.0364</t>
  </si>
  <si>
    <t xml:space="preserve"> Fe      0.9871    0.0004    1.0032    0.8054     1.0571     1.1703     0.9868</t>
  </si>
  <si>
    <t xml:space="preserve"> Si      0.6601    0.0002    0.7243    0.9807     1.0123     1.3903     1.0002</t>
  </si>
  <si>
    <t xml:space="preserve"> Ca      0.9305    0.0067    0.9638    0.9123     1.0481     1.0778     1.0046</t>
  </si>
  <si>
    <t xml:space="preserve"> Ni      0.9824    0.0000    0.9942    0.8125     1.0531     1.1756     1.1223</t>
  </si>
  <si>
    <t xml:space="preserve"> Al      0.5382    0.0063    0.6036    0.9621     1.0047     1.7031     1.4142</t>
  </si>
  <si>
    <t xml:space="preserve"> Mg      25.45     42.20     25.24     41.85     9.620   1.0865   0.23450   0.78717  </t>
  </si>
  <si>
    <t xml:space="preserve"> Mn       0.2647    0.3418    0.2625    0.3389   0.0443  1.0364   0.002554  0.007583  </t>
  </si>
  <si>
    <t xml:space="preserve"> Fe      14.98     19.27     14.85     19.11     2.464   0.9868   0.15180   2.04719  </t>
  </si>
  <si>
    <t xml:space="preserve"> Si      18.04     38.60     17.89     38.27     5.902   1.0002   0.18048   0.94653  </t>
  </si>
  <si>
    <t xml:space="preserve"> Ca       0.1903    0.2663    0.1887    0.2640   0.0436  1.0046   0.001894  0.005552  </t>
  </si>
  <si>
    <t xml:space="preserve"> Cr       0.0033    0.0049    0.0033    0.0048   0.0006  1.0330   0.000032  0.000047 ?</t>
  </si>
  <si>
    <t xml:space="preserve"> Ni       0.1144    0.1455    0.1134    0.1443   0.0179  1.1223   0.001019  0.001297  </t>
  </si>
  <si>
    <t xml:space="preserve"> Al       0.0130    0.0246    0.0129    0.0244   0.0044  1.4142   0.000092  0.000174  </t>
  </si>
  <si>
    <t xml:space="preserve"> O       41.79       -       41.44       -      24.000      -         -        </t>
  </si>
  <si>
    <t>Total:  100.85    100.85    100.00    100.00    18.096</t>
  </si>
  <si>
    <t xml:space="preserve"> UNK No.      :  103            Comment : UnkA-C21MI_19_3                          </t>
  </si>
  <si>
    <t xml:space="preserve"> Stage        :    X=   12.1140  Y=   79.7690  Z=   11.4600 </t>
  </si>
  <si>
    <t xml:space="preserve"> Dated on Mar  2 07:58 2017 </t>
  </si>
  <si>
    <t xml:space="preserve"> 1 Mg   107.540  51831.6  297.5  227.6    0.10       38 </t>
  </si>
  <si>
    <t xml:space="preserve"> 2 Mn   146.037    165.8  101.7   88.3    1.48       35 </t>
  </si>
  <si>
    <t xml:space="preserve"> 3 Fe   134.743   2833.6    0.0   26.0    0.42      112 </t>
  </si>
  <si>
    <t xml:space="preserve"> 4 Si    77.808  25302.1  194.3  113.8    0.14       60 </t>
  </si>
  <si>
    <t xml:space="preserve"> 5 Ca   107.775    565.6  293.5  253.8    0.77       14 </t>
  </si>
  <si>
    <t xml:space="preserve"> 6 Cr   159.160      1.5   72.9   70.4  150.92 ?     51 </t>
  </si>
  <si>
    <t xml:space="preserve"> 7 Ni   115.404     22.6   39.5   34.7    5.61       66 </t>
  </si>
  <si>
    <t xml:space="preserve"> 8 Al    90.986     18.3   84.5   69.9   11.49       25 </t>
  </si>
  <si>
    <t xml:space="preserve"> Mg      0.5579    0.0034    0.6395    1.0010     0.9971     1.5614     1.0868</t>
  </si>
  <si>
    <t xml:space="preserve"> Mn      0.9833    0.0002    1.0021    0.7938     1.0577     1.1883     1.0363</t>
  </si>
  <si>
    <t xml:space="preserve"> Si      0.6603    0.0002    0.7246    0.9808     1.0123     1.3897     0.9998</t>
  </si>
  <si>
    <t xml:space="preserve"> Ca      0.9305    0.0067    0.9638    0.9124     1.0481     1.0778     1.0046</t>
  </si>
  <si>
    <t xml:space="preserve"> Ni      0.9824    0.0000    0.9941    0.8125     1.0531     1.1756     1.1222</t>
  </si>
  <si>
    <t xml:space="preserve"> Al      0.5386    0.0063    0.6040    0.9621     1.0047     1.7019     1.4133</t>
  </si>
  <si>
    <t xml:space="preserve"> Mg      25.45     42.20     25.14     41.69     9.581   1.0868   0.23454   0.78731  </t>
  </si>
  <si>
    <t xml:space="preserve"> Mn       0.2613    0.3374    0.2581    0.3333   0.0435  1.0363   0.002521  0.007486  </t>
  </si>
  <si>
    <t xml:space="preserve"> Fe      15.05     19.36     14.87     19.13     2.466   0.9868   0.15255   2.05734  </t>
  </si>
  <si>
    <t xml:space="preserve"> Si      18.17     38.87     17.95     38.40     5.919   0.9998   0.18186   0.95378  </t>
  </si>
  <si>
    <t xml:space="preserve"> Ca       0.1918    0.2683    0.1895    0.2651   0.0438  1.0046   0.001909  0.005595  </t>
  </si>
  <si>
    <t xml:space="preserve"> Cr       0.0024    0.0035    0.0024    0.0035   0.0004  1.0330   0.000023  0.000034 ?</t>
  </si>
  <si>
    <t xml:space="preserve"> Ni       0.1192    0.1517    0.1178    0.1499   0.0186  1.1222   0.001062  0.001352  </t>
  </si>
  <si>
    <t xml:space="preserve"> Al       0.0171    0.0322    0.0168    0.0318   0.0058  1.4133   0.000121  0.000228  </t>
  </si>
  <si>
    <t xml:space="preserve"> O       41.96       -       41.45       -      24.000      -         -        </t>
  </si>
  <si>
    <t>Total:  101.22    101.22    100.00    100.00    18.078</t>
  </si>
  <si>
    <t xml:space="preserve"> UNK No.      :  104            Comment : UnkA-C21MI_20_1                          </t>
  </si>
  <si>
    <t xml:space="preserve"> Stage        :    X=   11.9515  Y=   80.6410  Z=   11.4600 </t>
  </si>
  <si>
    <t xml:space="preserve"> Dated on Mar  2 08:02 2017 </t>
  </si>
  <si>
    <t xml:space="preserve"> 1 Mg   107.540  58827.7  293.1  236.3    0.09       39 </t>
  </si>
  <si>
    <t xml:space="preserve"> 2 Mn   146.037    117.5   93.6   86.5    1.90       34 </t>
  </si>
  <si>
    <t xml:space="preserve"> 3 Fe   134.743   2097.5    0.0   21.1    0.49      101 </t>
  </si>
  <si>
    <t xml:space="preserve"> 4 Si    77.808  25911.5  185.4  104.8    0.14       59 </t>
  </si>
  <si>
    <t xml:space="preserve"> 5 Ca   107.775    719.4  281.3  243.9    0.64       14 </t>
  </si>
  <si>
    <t xml:space="preserve"> 6 Cr   159.160     14.7   66.5   65.9   15.02       49 </t>
  </si>
  <si>
    <t xml:space="preserve"> 7 Ni   115.404     30.6   39.7   34.1    4.31       66 </t>
  </si>
  <si>
    <t xml:space="preserve"> 8 Al    90.986     18.1   79.3   65.3   11.28       24 </t>
  </si>
  <si>
    <t xml:space="preserve"> Mg      0.5835    0.0035    0.6688    0.9923     1.0006     1.5005     1.0444</t>
  </si>
  <si>
    <t xml:space="preserve"> Mn      0.9833    0.0004    1.0021    0.7874     1.0597     1.1955     1.0427</t>
  </si>
  <si>
    <t xml:space="preserve"> Fe      0.9871    0.0006    1.0032    0.7990     1.0589     1.1775     0.9929</t>
  </si>
  <si>
    <t xml:space="preserve"> Si      0.6634    0.0001    0.7280    0.9724     1.0158     1.3904     1.0003</t>
  </si>
  <si>
    <t xml:space="preserve"> Ca      0.9307    0.0050    0.9640    0.9048     1.0509     1.0854     1.0117</t>
  </si>
  <si>
    <t xml:space="preserve"> Cr      0.9782    0.0427    0.9994    0.8055     1.0596     1.1245     1.0536</t>
  </si>
  <si>
    <t xml:space="preserve"> Al      0.5419    0.0065    0.6078    0.9539     1.0082     1.6997     1.4114</t>
  </si>
  <si>
    <t xml:space="preserve"> Mg      27.76     46.04     27.45     45.52    10.219   1.0444   0.26623   0.89368  </t>
  </si>
  <si>
    <t xml:space="preserve"> Mn       0.1863    0.2405    0.1842    0.2378   0.0303  1.0427   0.001786  0.005304  </t>
  </si>
  <si>
    <t xml:space="preserve"> Fe      11.21     14.42     11.08     14.26     1.796   0.9929   0.11293   1.52305  </t>
  </si>
  <si>
    <t xml:space="preserve"> Si      18.62     39.83     18.41     39.38     5.930   1.0003   0.18626   0.97685  </t>
  </si>
  <si>
    <t xml:space="preserve"> Ca       0.2457    0.3438    0.2429    0.3399   0.0549  1.0117   0.002429  0.007118  </t>
  </si>
  <si>
    <t xml:space="preserve"> Cr       0.0250    0.0366    0.0247    0.0361   0.0043  1.0536   0.000237  0.000347  </t>
  </si>
  <si>
    <t xml:space="preserve"> Ni       0.1620    0.2062    0.1602    0.2039   0.0247  1.1268   0.001438  0.001830  </t>
  </si>
  <si>
    <t xml:space="preserve"> Al       0.0169    0.0319    0.0167    0.0315   0.0056  1.4114   0.000120  0.000226  </t>
  </si>
  <si>
    <t xml:space="preserve"> O       42.92       -       42.43       -      24.000      -         -        </t>
  </si>
  <si>
    <t>Total:  101.14    101.14    100.00    100.00    18.065</t>
  </si>
  <si>
    <t xml:space="preserve"> UNK No.      :  105            Comment : UnkA-C21MI_20_2                          </t>
  </si>
  <si>
    <t xml:space="preserve"> Stage        :    X=   11.9400  Y=   80.6235  Z=   11.4600 </t>
  </si>
  <si>
    <t xml:space="preserve"> Dated on Mar  2 08:05 2017 </t>
  </si>
  <si>
    <t xml:space="preserve"> 1 Mg   107.540  58946.2  290.3  231.7    0.09       38 </t>
  </si>
  <si>
    <t xml:space="preserve"> 2 Mn   146.037    115.3   93.8   84.2    1.93       34 </t>
  </si>
  <si>
    <t xml:space="preserve"> 3 Fe   134.743   2095.1    0.0   24.7    0.49      109 </t>
  </si>
  <si>
    <t xml:space="preserve"> 4 Si    77.808  25881.4  191.3  107.5    0.14       59 </t>
  </si>
  <si>
    <t xml:space="preserve"> 5 Ca   107.775    701.1  288.3  245.0    0.65       14 </t>
  </si>
  <si>
    <t xml:space="preserve"> 6 Cr   159.160     12.4   67.0   71.7   18.07       51 </t>
  </si>
  <si>
    <t xml:space="preserve"> 7 Ni   115.404     33.0   37.6   33.3    3.99       65 </t>
  </si>
  <si>
    <t xml:space="preserve"> 8 Al    90.986     17.9   83.8   66.3   11.61       24 </t>
  </si>
  <si>
    <t xml:space="preserve"> Mg      0.5835    0.0035    0.6689    0.9923     1.0006     1.5003     1.0442</t>
  </si>
  <si>
    <t xml:space="preserve"> Si      0.6633    0.0001    0.7279    0.9723     1.0159     1.3907     1.0005</t>
  </si>
  <si>
    <t xml:space="preserve"> Ca      0.9307    0.0050    0.9640    0.9048     1.0510     1.0855     1.0118</t>
  </si>
  <si>
    <t xml:space="preserve"> Ni      0.9849    0.0000    0.9967    0.8060     1.0545     1.1804     1.1268</t>
  </si>
  <si>
    <t xml:space="preserve"> Al      0.5418    0.0065    0.6076    0.9538     1.0083     1.7002     1.4119</t>
  </si>
  <si>
    <t xml:space="preserve"> Mg      27.80     46.10     27.49     45.59    10.236   1.0442   0.26663   0.89502  </t>
  </si>
  <si>
    <t xml:space="preserve"> Mn       0.1827    0.2360    0.1807    0.2333   0.0298  1.0426   0.001753  0.005204  </t>
  </si>
  <si>
    <t xml:space="preserve"> Fe      11.19     14.40     11.07     14.24     1.794   0.9929   0.11275   1.52057  </t>
  </si>
  <si>
    <t xml:space="preserve"> Si      18.59     39.77     18.38     39.33     5.923   1.0005   0.18595   0.97522  </t>
  </si>
  <si>
    <t xml:space="preserve"> Ca       0.2394    0.3349    0.2367    0.3312   0.0535  1.0118   0.002366  0.006934  </t>
  </si>
  <si>
    <t xml:space="preserve"> Cr       0.0210    0.0308    0.0208    0.0304   0.0036  1.0536   0.000200  0.000292  </t>
  </si>
  <si>
    <t xml:space="preserve"> Ni       0.1747    0.2223    0.1728    0.2198   0.0266  1.1268   0.001550  0.001973  </t>
  </si>
  <si>
    <t xml:space="preserve"> Al       0.0167    0.0315    0.0165    0.0311   0.0055  1.4119   0.000118  0.000223  </t>
  </si>
  <si>
    <t xml:space="preserve"> O       42.90       -       42.43       -      24.000      -         -        </t>
  </si>
  <si>
    <t>Total:  101.12    101.12    100.00    100.00    18.072</t>
  </si>
  <si>
    <t xml:space="preserve">Unknown Specimen No. 106 </t>
  </si>
  <si>
    <t xml:space="preserve"> UNK No.      :  106            Comment : UnkA-C21MI_20_3                          </t>
  </si>
  <si>
    <t xml:space="preserve"> Stage        :    X=   12.0085  Y=   80.6205  Z=   11.4600 </t>
  </si>
  <si>
    <t xml:space="preserve"> Dated on Mar  2 08:08 2017 </t>
  </si>
  <si>
    <t xml:space="preserve"> 1 Mg   107.540  58893.1  286.9  242.0    0.09       39 </t>
  </si>
  <si>
    <t xml:space="preserve"> 2 Mn   146.037    117.8   92.2   84.5    1.89       34 </t>
  </si>
  <si>
    <t xml:space="preserve"> 3 Fe   134.743   2081.9    0.0   22.7    0.49      104 </t>
  </si>
  <si>
    <t xml:space="preserve"> 4 Si    77.808  25896.9  187.2  108.7    0.14       59 </t>
  </si>
  <si>
    <t xml:space="preserve"> 5 Ca   107.775    709.7  279.4  241.7    0.64       14 </t>
  </si>
  <si>
    <t xml:space="preserve"> 6 Cr   159.160     11.9   64.5   67.5   18.45       49 </t>
  </si>
  <si>
    <t xml:space="preserve"> 7 Ni   115.404     30.1   36.3   32.1    4.26       64 </t>
  </si>
  <si>
    <t xml:space="preserve"> 8 Al    90.986     15.2   81.4   64.6   13.43       24 </t>
  </si>
  <si>
    <t xml:space="preserve"> Mg      0.5840    0.0035    0.6694    0.9922     1.0007     1.4993     1.0435</t>
  </si>
  <si>
    <t xml:space="preserve"> Mn      0.9833    0.0004    1.0021    0.7873     1.0597     1.1957     1.0428</t>
  </si>
  <si>
    <t xml:space="preserve"> Fe      0.9871    0.0006    1.0032    0.7989     1.0589     1.1777     0.9930</t>
  </si>
  <si>
    <t xml:space="preserve"> Si      0.6635    0.0001    0.7281    0.9722     1.0159     1.3904     1.0003</t>
  </si>
  <si>
    <t xml:space="preserve"> Cr      0.9782    0.0424    0.9994    0.8054     1.0596     1.1249     1.0540</t>
  </si>
  <si>
    <t xml:space="preserve"> Al      0.5420    0.0065    0.6079    0.9537     1.0083     1.6996     1.4114</t>
  </si>
  <si>
    <t xml:space="preserve"> Mg      27.77     46.05     27.50     45.59    10.231   1.0435   0.26644   0.89440  </t>
  </si>
  <si>
    <t xml:space="preserve"> Mn       0.1867    0.2411    0.1849    0.2387   0.0304  1.0428   0.001790  0.005316  </t>
  </si>
  <si>
    <t xml:space="preserve"> Fe      11.13     14.31     11.02     14.17     1.784   0.9930   0.11206   1.51125  </t>
  </si>
  <si>
    <t xml:space="preserve"> Si      18.60     39.79     18.42     39.40     5.932   1.0003   0.18609   0.97600  </t>
  </si>
  <si>
    <t xml:space="preserve"> Ca       0.2424    0.3391    0.2400    0.3358   0.0542  1.0119   0.002395  0.007020  </t>
  </si>
  <si>
    <t xml:space="preserve"> Cr       0.0201    0.0294    0.0199    0.0291   0.0035  1.0540   0.000191  0.000279  </t>
  </si>
  <si>
    <t xml:space="preserve"> Ni       0.1591    0.2025    0.1576    0.2005   0.0243  1.1269   0.001412  0.001797  </t>
  </si>
  <si>
    <t xml:space="preserve"> Al       0.0141    0.0267    0.0140    0.0264   0.0047  1.4114   0.000100  0.000189  </t>
  </si>
  <si>
    <t xml:space="preserve"> O       42.87       -       42.45       -      24.000      -         -        </t>
  </si>
  <si>
    <t>Total:  100.99    100.99    100.00    100.00    18.064</t>
  </si>
  <si>
    <t xml:space="preserve">Unknown Specimen No. 107 </t>
  </si>
  <si>
    <t xml:space="preserve"> UNK No.      :  107            Comment : UnkA-C21MI_21_1                          </t>
  </si>
  <si>
    <t xml:space="preserve"> Stage        :    X=   11.3875  Y=   81.3445  Z=   11.4600 </t>
  </si>
  <si>
    <t xml:space="preserve"> Dated on Mar  2 08:12 2017 </t>
  </si>
  <si>
    <t xml:space="preserve"> 1 Mg   107.540  59866.6  300.7  240.8    0.09       39 </t>
  </si>
  <si>
    <t xml:space="preserve"> 2 Mn   146.037    108.9   95.8   85.5    2.03       34 </t>
  </si>
  <si>
    <t xml:space="preserve"> 3 Fe   134.743   1985.5    0.0   23.3    0.50      106 </t>
  </si>
  <si>
    <t xml:space="preserve"> 4 Si    77.808  25910.4  182.4  106.9    0.14       59 </t>
  </si>
  <si>
    <t xml:space="preserve"> 5 Ca   107.775    775.3  284.7  247.5    0.60       14 </t>
  </si>
  <si>
    <t xml:space="preserve"> 6 Cr   159.160     10.8   72.7   67.0   20.76       51 </t>
  </si>
  <si>
    <t xml:space="preserve"> 7 Ni   115.404     29.4   37.7   31.0    4.35       64 </t>
  </si>
  <si>
    <t xml:space="preserve"> 8 Al    90.986     19.8   78.0   64.7   10.31       24 </t>
  </si>
  <si>
    <t xml:space="preserve"> Mg      0.5876    0.0036    0.6735    0.9910     1.0012     1.4911     1.0379</t>
  </si>
  <si>
    <t xml:space="preserve"> Mn      0.9833    0.0004    1.0021    0.7864     1.0600     1.1967     1.0437</t>
  </si>
  <si>
    <t xml:space="preserve"> Fe      0.9871    0.0006    1.0032    0.7980     1.0592     1.1787     0.9939</t>
  </si>
  <si>
    <t xml:space="preserve"> Si      0.6638    0.0001    0.7284    0.9711     1.0164     1.3907     1.0005</t>
  </si>
  <si>
    <t xml:space="preserve"> Ca      0.9307    0.0048    0.9640    0.9037     1.0514     1.0866     1.0128</t>
  </si>
  <si>
    <t xml:space="preserve"> Cr      0.9782    0.0405    0.9994    0.8045     1.0599     1.1278     1.0567</t>
  </si>
  <si>
    <t xml:space="preserve"> Ni      0.9853    0.0000    0.9971    0.8051     1.0547     1.1811     1.1275</t>
  </si>
  <si>
    <t xml:space="preserve"> Al      0.5423    0.0065    0.6083    0.9526     1.0088     1.6997     1.4114</t>
  </si>
  <si>
    <t xml:space="preserve"> Mg      28.09     46.57     27.83     46.14    10.325   1.0379   0.27093   0.90946  </t>
  </si>
  <si>
    <t xml:space="preserve"> Mn       0.1729    0.2232    0.1713    0.2212   0.0281  1.0437   0.001656  0.004918  </t>
  </si>
  <si>
    <t xml:space="preserve"> Fe      10.62     13.67     10.53     13.54     1.700   0.9939   0.10691   1.44176  </t>
  </si>
  <si>
    <t xml:space="preserve"> Si      18.62     39.84     18.45     39.47     5.925   1.0005   0.18625   0.97681  </t>
  </si>
  <si>
    <t xml:space="preserve"> Ca       0.2651    0.3710    0.2627    0.3675   0.0591  1.0128   0.002618  0.007672  </t>
  </si>
  <si>
    <t xml:space="preserve"> Cr       0.0183    0.0267    0.0181    0.0265   0.0031  1.0567   0.000173  0.000253  </t>
  </si>
  <si>
    <t xml:space="preserve"> Ni       0.1554    0.1978    0.1540    0.1959   0.0237  1.1275   0.001378  0.001754  </t>
  </si>
  <si>
    <t xml:space="preserve"> Al       0.0184    0.0347    0.0182    0.0344   0.0061  1.4114   0.000130  0.000246  </t>
  </si>
  <si>
    <t xml:space="preserve"> O       42.97       -       42.57       -      24.000      -         -        </t>
  </si>
  <si>
    <t>Total:  100.93    100.93    100.00    100.00    18.070</t>
  </si>
  <si>
    <t xml:space="preserve">Unknown Specimen No. 108 </t>
  </si>
  <si>
    <t xml:space="preserve"> UNK No.      :  108            Comment : UnkA-C21MI_21_2                          </t>
  </si>
  <si>
    <t xml:space="preserve"> Stage        :    X=   11.3805  Y=   81.3850  Z=   11.4600 </t>
  </si>
  <si>
    <t xml:space="preserve"> Dated on Mar  2 08:15 2017 </t>
  </si>
  <si>
    <t xml:space="preserve"> 1 Mg   107.540  59964.5  297.7  242.8    0.09       39 </t>
  </si>
  <si>
    <t xml:space="preserve"> 2 Mn   146.037    107.1   93.0   85.1    2.04       34 </t>
  </si>
  <si>
    <t xml:space="preserve"> 3 Fe   134.743   2007.0    0.0   26.1    0.50      112 </t>
  </si>
  <si>
    <t xml:space="preserve"> 4 Si    77.808  26591.9  194.6  114.5    0.14       60 </t>
  </si>
  <si>
    <t xml:space="preserve"> 5 Ca   107.775    768.4  286.5  243.0    0.61       14 </t>
  </si>
  <si>
    <t xml:space="preserve"> 6 Cr   159.160     14.4   66.6   63.7   15.22       49 </t>
  </si>
  <si>
    <t xml:space="preserve"> 7 Ni   115.404     27.9   36.6   33.3    4.58       64 </t>
  </si>
  <si>
    <t xml:space="preserve"> 8 Al    90.986     13.5   85.0   66.2   15.24       24 </t>
  </si>
  <si>
    <t xml:space="preserve"> Mg      0.5874    0.0036    0.6733    0.9910     1.0012     1.4915     1.0381</t>
  </si>
  <si>
    <t xml:space="preserve"> Mn      0.9833    0.0003    1.0021    0.7864     1.0600     1.1968     1.0437</t>
  </si>
  <si>
    <t xml:space="preserve"> Fe      0.9871    0.0005    1.0032    0.7980     1.0592     1.1788     0.9940</t>
  </si>
  <si>
    <t xml:space="preserve"> Si      0.6650    0.0001    0.7297    0.9711     1.0164     1.3883     0.9988</t>
  </si>
  <si>
    <t xml:space="preserve"> Ca      0.9307    0.0048    0.9640    0.9037     1.0514     1.0867     1.0129</t>
  </si>
  <si>
    <t xml:space="preserve"> Cr      0.9781    0.0405    0.9993    0.8045     1.0599     1.1279     1.0568</t>
  </si>
  <si>
    <t xml:space="preserve"> Ni      0.9853    0.0000    0.9971    0.8051     1.0547     1.1812     1.1275</t>
  </si>
  <si>
    <t xml:space="preserve"> Al      0.5437    0.0067    0.6097    0.9526     1.0088     1.6954     1.4079</t>
  </si>
  <si>
    <t xml:space="preserve"> Mg      28.09     46.58     27.54     45.67    10.202   1.0381   0.27126   0.91058  </t>
  </si>
  <si>
    <t xml:space="preserve"> Mn       0.1699    0.2194    0.1666    0.2151   0.0273  1.0437   0.001628  0.004833  </t>
  </si>
  <si>
    <t xml:space="preserve"> Fe      10.73     13.81     10.52     13.54     1.697   0.9940   0.10802   1.45675  </t>
  </si>
  <si>
    <t xml:space="preserve"> Si      19.06     40.77     18.69     39.97     5.991   0.9988   0.19107   1.00210  </t>
  </si>
  <si>
    <t xml:space="preserve"> Ca       0.2627    0.3675    0.2575    0.3603   0.0579  1.0129   0.002593  0.007600  </t>
  </si>
  <si>
    <t xml:space="preserve"> Cr       0.0245    0.0358    0.0240    0.0351   0.0042  1.0568   0.000232  0.000339  </t>
  </si>
  <si>
    <t xml:space="preserve"> Ni       0.1476    0.1878    0.1447    0.1842   0.0222  1.1275   0.001309  0.001666  </t>
  </si>
  <si>
    <t xml:space="preserve"> Al       0.0125    0.0237    0.0123    0.0232   0.0041  1.4079   0.000089  0.000168  </t>
  </si>
  <si>
    <t xml:space="preserve"> O       43.49       -       42.64       -      24.000      -         -        </t>
  </si>
  <si>
    <t>Total:  101.99    101.99    100.00    100.00    18.005</t>
  </si>
  <si>
    <t xml:space="preserve">Unknown Specimen No. 109 </t>
  </si>
  <si>
    <t xml:space="preserve"> UNK No.      :  109            Comment : UnkA-C21MI_21_3                          </t>
  </si>
  <si>
    <t xml:space="preserve"> Stage        :    X=   11.3355  Y=   81.3935  Z=   11.4600 </t>
  </si>
  <si>
    <t xml:space="preserve"> Dated on Mar  2 08:19 2017 </t>
  </si>
  <si>
    <t xml:space="preserve"> 1 Mg   107.540  59758.2  302.6  237.4    0.09       39 </t>
  </si>
  <si>
    <t xml:space="preserve"> 2 Mn   146.037    108.6   93.8   85.9    2.03       34 </t>
  </si>
  <si>
    <t xml:space="preserve"> 3 Fe   134.743   2010.1    0.0   23.5    0.50      106 </t>
  </si>
  <si>
    <t xml:space="preserve"> 4 Si    77.808  26586.7  187.7  109.9    0.14       59 </t>
  </si>
  <si>
    <t xml:space="preserve"> 5 Ca   107.775    855.5  283.2  240.3    0.56       14 </t>
  </si>
  <si>
    <t xml:space="preserve"> 6 Cr   159.160     15.0   67.2   64.1   14.69       49 </t>
  </si>
  <si>
    <t xml:space="preserve"> 7 Ni   115.404     28.4   37.6   33.1    4.52       65 </t>
  </si>
  <si>
    <t xml:space="preserve"> 8 Al    90.986     15.4   86.8   64.9   13.52       24 </t>
  </si>
  <si>
    <t xml:space="preserve"> Mg      0.5871    0.0036    0.6730    0.9911     1.0011     1.4922     1.0386</t>
  </si>
  <si>
    <t xml:space="preserve"> Mn      0.9833    0.0003    1.0021    0.7865     1.0599     1.1967     1.0437</t>
  </si>
  <si>
    <t xml:space="preserve"> Fe      0.9871    0.0005    1.0032    0.7981     1.0591     1.1787     0.9939</t>
  </si>
  <si>
    <t xml:space="preserve"> Si      0.6651    0.0001    0.7298    0.9711     1.0163     1.3880     0.9986</t>
  </si>
  <si>
    <t xml:space="preserve"> Ca      0.9307    0.0048    0.9640    0.9037     1.0513     1.0866     1.0128</t>
  </si>
  <si>
    <t xml:space="preserve"> Cr      0.9781    0.0405    0.9993    0.8045     1.0599     1.1278     1.0568</t>
  </si>
  <si>
    <t xml:space="preserve"> Al      0.5438    0.0067    0.6099    0.9527     1.0087     1.6949     1.4075</t>
  </si>
  <si>
    <t xml:space="preserve"> Mg      28.02     46.46     27.48     45.57    10.182   1.0386   0.27044   0.90781  </t>
  </si>
  <si>
    <t xml:space="preserve"> Mn       0.1723    0.2225    0.1690    0.2182   0.0277  1.0437   0.001651  0.004902  </t>
  </si>
  <si>
    <t xml:space="preserve"> Fe      10.75     13.83     10.55     13.57     1.701   0.9939   0.10823   1.45963  </t>
  </si>
  <si>
    <t xml:space="preserve"> Si      19.06     40.77     18.69     39.99     5.994   0.9986   0.19111   1.00231  </t>
  </si>
  <si>
    <t xml:space="preserve"> Ca       0.2925    0.4093    0.2869    0.4014   0.0645  1.0128   0.002888  0.008464  </t>
  </si>
  <si>
    <t xml:space="preserve"> Cr       0.0255    0.0373    0.0250    0.0366   0.0043  1.0568   0.000242  0.000353  </t>
  </si>
  <si>
    <t xml:space="preserve"> Ni       0.1504    0.1914    0.1476    0.1878   0.0226  1.1275   0.001334  0.001698  </t>
  </si>
  <si>
    <t xml:space="preserve"> Al       0.0142    0.0269    0.0140    0.0264   0.0047  1.4075   0.000101  0.000191  </t>
  </si>
  <si>
    <t xml:space="preserve"> O       43.47       -       42.63       -      24.000      -         -        </t>
  </si>
  <si>
    <t>Total:  101.95    101.95    100.00    100.00    18.001</t>
  </si>
  <si>
    <t xml:space="preserve">Unknown Specimen No. 110 </t>
  </si>
  <si>
    <t xml:space="preserve"> UNK No.      :  110            Comment : UnkA-C21MI_22_1                          </t>
  </si>
  <si>
    <t xml:space="preserve"> Stage        :    X=    9.9930  Y=   84.1980  Z=   11.4560 </t>
  </si>
  <si>
    <t xml:space="preserve"> Dated on Mar  2 08:22 2017 </t>
  </si>
  <si>
    <t xml:space="preserve"> 1 Mg   107.540  58529.6  300.1  223.8    0.09       38 </t>
  </si>
  <si>
    <t xml:space="preserve"> 2 Mn   146.037    123.7   92.2   85.7    1.82       34 </t>
  </si>
  <si>
    <t xml:space="preserve"> 3 Fe   134.743   2144.7    0.0   23.2    0.49      106 </t>
  </si>
  <si>
    <t xml:space="preserve"> 4 Si    77.808  25522.8  191.7  107.2    0.14       60 </t>
  </si>
  <si>
    <t xml:space="preserve"> 5 Ca   107.775    741.2  284.2  242.0    0.62       14 </t>
  </si>
  <si>
    <t xml:space="preserve"> 6 Cr   159.160     10.8   72.0   65.7   20.68       50 </t>
  </si>
  <si>
    <t xml:space="preserve"> 7 Ni   115.404     26.3   38.9   35.0    4.91       66 </t>
  </si>
  <si>
    <t xml:space="preserve"> 8 Al    90.986     17.6   85.5   65.6   11.85       24 </t>
  </si>
  <si>
    <t xml:space="preserve"> Mg      0.5818    0.0035    0.6669    0.9930     1.0004     1.5042     1.0470</t>
  </si>
  <si>
    <t xml:space="preserve"> Mn      0.9833    0.0003    1.0021    0.7879     1.0595     1.1950     1.0422</t>
  </si>
  <si>
    <t xml:space="preserve"> Fe      0.9871    0.0005    1.0032    0.7995     1.0588     1.1770     0.9925</t>
  </si>
  <si>
    <t xml:space="preserve"> Si      0.6625    0.0001    0.7270    0.9730     1.0156     1.3919     1.0013</t>
  </si>
  <si>
    <t xml:space="preserve"> Ca      0.9307    0.0051    0.9640    0.9054     1.0508     1.0848     1.0112</t>
  </si>
  <si>
    <t xml:space="preserve"> Cr      0.9782    0.0438    0.9994    0.8060     1.0594     1.1228     1.0520</t>
  </si>
  <si>
    <t xml:space="preserve"> Ni      0.9847    0.0000    0.9965    0.8065     1.0544     1.1800     1.1265</t>
  </si>
  <si>
    <t xml:space="preserve"> Al      0.5408    0.0064    0.6066    0.9544     1.0080     1.7026     1.4138</t>
  </si>
  <si>
    <t xml:space="preserve"> Mg      27.71     45.95     27.48     45.57    10.260   1.0470   0.26496   0.88942  </t>
  </si>
  <si>
    <t xml:space="preserve"> Mn       0.1962    0.2533    0.1945    0.2512   0.0321  1.0422   0.001882  0.005588  </t>
  </si>
  <si>
    <t xml:space="preserve"> Fe      11.46     14.75     11.37     14.63     1.847   0.9925   0.11551   1.55782  </t>
  </si>
  <si>
    <t xml:space="preserve"> Si      18.37     39.29     18.22     38.97     5.885   1.0013   0.18352   0.96249  </t>
  </si>
  <si>
    <t xml:space="preserve"> Ca       0.2531    0.3542    0.2510    0.3513   0.0568  1.0112   0.002503  0.007337  </t>
  </si>
  <si>
    <t xml:space="preserve"> Cr       0.0182    0.0266    0.0181    0.0264   0.0032  1.0520   0.000173  0.000253  </t>
  </si>
  <si>
    <t xml:space="preserve"> Ni       0.1391    0.1771    0.1380    0.1756   0.0213  1.1265   0.001235  0.001572  </t>
  </si>
  <si>
    <t xml:space="preserve"> Al       0.0164    0.0310    0.0163    0.0307   0.0055  1.4138   0.000116  0.000219  </t>
  </si>
  <si>
    <t xml:space="preserve"> O       42.66       -       42.31       -      24.000      -         -        </t>
  </si>
  <si>
    <t>Total:  100.83    100.83    100.00    100.00    18.111</t>
  </si>
  <si>
    <t xml:space="preserve">Unknown Specimen No. 111 </t>
  </si>
  <si>
    <t xml:space="preserve"> UNK No.      :  111            Comment : UnkA-C21MI_22_2                          </t>
  </si>
  <si>
    <t xml:space="preserve"> Stage        :    X=    9.9940  Y=   84.1700  Z=   11.4560 </t>
  </si>
  <si>
    <t xml:space="preserve"> Dated on Mar  2 08:25 2017 </t>
  </si>
  <si>
    <t xml:space="preserve"> 1 Mg   107.540  58581.4  298.2  235.1    0.09       39 </t>
  </si>
  <si>
    <t xml:space="preserve"> 2 Mn   146.037    124.5   93.0   87.0    1.82       34 </t>
  </si>
  <si>
    <t xml:space="preserve"> 3 Fe   134.743   2121.3    0.0   21.0    0.49      100 </t>
  </si>
  <si>
    <t xml:space="preserve"> 4 Si    77.808  25363.0  192.0  103.7    0.14       59 </t>
  </si>
  <si>
    <t xml:space="preserve"> 5 Ca   107.775    723.3  284.7  244.1    0.63       14 </t>
  </si>
  <si>
    <t xml:space="preserve"> 6 Cr   159.160      7.2   69.5   70.5   30.65       51 </t>
  </si>
  <si>
    <t xml:space="preserve"> 7 Ni   115.404     29.8   37.9   32.1    4.32       65 </t>
  </si>
  <si>
    <t xml:space="preserve"> 8 Al    90.986     19.4   83.1   65.2   10.73       24 </t>
  </si>
  <si>
    <t xml:space="preserve"> Mg      0.5823    0.0035    0.6675    0.9928     1.0005     1.5031     1.0462</t>
  </si>
  <si>
    <t xml:space="preserve"> Fe      0.9872    0.0006    1.0032    0.7993     1.0588     1.1771     0.9925</t>
  </si>
  <si>
    <t xml:space="preserve"> Si      0.6622    0.0001    0.7267    0.9728     1.0157     1.3925     1.0018</t>
  </si>
  <si>
    <t xml:space="preserve"> Ca      0.9307    0.0051    0.9641    0.9052     1.0508     1.0849     1.0113</t>
  </si>
  <si>
    <t xml:space="preserve"> Al      0.5406    0.0064    0.6063    0.9543     1.0081     1.7036     1.4147</t>
  </si>
  <si>
    <t xml:space="preserve"> Mg      27.72     45.96     27.59     45.75    10.300   1.0462   0.26511   0.88993  </t>
  </si>
  <si>
    <t xml:space="preserve"> Mn       0.1973    0.2547    0.1964    0.2535   0.0324  1.0423   0.001892  0.005619  </t>
  </si>
  <si>
    <t xml:space="preserve"> Fe      11.34     14.58     11.28     14.52     1.833   0.9925   0.11422   1.54037  </t>
  </si>
  <si>
    <t xml:space="preserve"> Si      18.26     39.06     18.18     38.88     5.871   1.0018   0.18231   0.95617  </t>
  </si>
  <si>
    <t xml:space="preserve"> Ca       0.2470    0.3455    0.2458    0.3440   0.0557  1.0113   0.002442  0.007157  </t>
  </si>
  <si>
    <t xml:space="preserve"> Cr       0.0122    0.0179    0.0122    0.0178   0.0021  1.0524   0.000116  0.000170  </t>
  </si>
  <si>
    <t xml:space="preserve"> Ni       0.1578    0.2008    0.1571    0.1999   0.0243  1.1265   0.001401  0.001783  </t>
  </si>
  <si>
    <t xml:space="preserve"> Al       0.0180    0.0341    0.0180    0.0339   0.0060  1.4147   0.000128  0.000241  </t>
  </si>
  <si>
    <t xml:space="preserve"> O       42.51       -       42.32       -      24.000      -         -        </t>
  </si>
  <si>
    <t>Total:  100.46    100.46    100.00    100.00    18.125</t>
  </si>
  <si>
    <t xml:space="preserve">Unknown Specimen No. 112 </t>
  </si>
  <si>
    <t xml:space="preserve"> UNK No.      :  112            Comment : UnkA-C21MI_22_3                          </t>
  </si>
  <si>
    <t xml:space="preserve"> Stage        :    X=    9.9675  Y=   84.1490  Z=   11.4560 </t>
  </si>
  <si>
    <t xml:space="preserve"> Dated on Mar  2 08:29 2017 </t>
  </si>
  <si>
    <t xml:space="preserve"> 1 Mg   107.540  58469.0  292.0  235.1    0.09       39 </t>
  </si>
  <si>
    <t xml:space="preserve"> 2 Mn   146.037    122.8   97.3   88.0    1.85       35 </t>
  </si>
  <si>
    <t xml:space="preserve"> 3 Fe   134.743   2159.3    0.0   21.1    0.48      101 </t>
  </si>
  <si>
    <t xml:space="preserve"> 4 Si    77.808  26356.4  190.0  109.7    0.14       60 </t>
  </si>
  <si>
    <t xml:space="preserve"> 5 Ca   107.775    725.3  281.8  245.9    0.63       14 </t>
  </si>
  <si>
    <t xml:space="preserve"> 6 Cr   159.160      8.0   69.9   70.3   27.79       51 </t>
  </si>
  <si>
    <t xml:space="preserve"> 7 Ni   115.404     27.5   36.8   35.1    4.68       65 </t>
  </si>
  <si>
    <t xml:space="preserve"> 8 Al    90.986     26.9   83.5   64.2    7.90       24 </t>
  </si>
  <si>
    <t xml:space="preserve"> Mg      0.5818    0.0036    0.6669    0.9928     1.0004     1.5042     1.0470</t>
  </si>
  <si>
    <t xml:space="preserve"> Si      0.6640    0.0001    0.7287    0.9728     1.0156     1.3887     0.9991</t>
  </si>
  <si>
    <t xml:space="preserve"> Ca      0.9306    0.0051    0.9639    0.9052     1.0508     1.0851     1.0114</t>
  </si>
  <si>
    <t xml:space="preserve"> Cr      0.9781    0.0435    0.9993    0.8058     1.0594     1.1232     1.0524</t>
  </si>
  <si>
    <t xml:space="preserve"> Ni      0.9847    0.0000    0.9966    0.8064     1.0544     1.1801     1.1266</t>
  </si>
  <si>
    <t xml:space="preserve"> Al      0.5427    0.0066    0.6087    0.9543     1.0080     1.6967     1.4089</t>
  </si>
  <si>
    <t xml:space="preserve"> Mg      27.64     45.83     27.11     44.95    10.093   1.0470   0.26460   0.88823  </t>
  </si>
  <si>
    <t xml:space="preserve"> Mn       0.1946    0.2513    0.1909    0.2464   0.0314  1.0424   0.001867  0.005543  </t>
  </si>
  <si>
    <t xml:space="preserve"> Fe      11.54     14.84     11.31     14.56     1.834   0.9926   0.11626   1.56795  </t>
  </si>
  <si>
    <t xml:space="preserve"> Si      18.90     40.44     18.54     39.66     5.975   0.9991   0.18945   0.99362  </t>
  </si>
  <si>
    <t xml:space="preserve"> Ca       0.2476    0.3465    0.2429    0.3398   0.0549  1.0114   0.002448  0.007176  </t>
  </si>
  <si>
    <t xml:space="preserve"> Cr       0.0135    0.0198    0.0133    0.0194   0.0023  1.0524   0.000129  0.000188  </t>
  </si>
  <si>
    <t xml:space="preserve"> Ni       0.1454    0.1850    0.1426    0.1814   0.0220  1.1266   0.001290  0.001642  </t>
  </si>
  <si>
    <t xml:space="preserve"> Al       0.0249    0.0471    0.0244    0.0462   0.0082  1.4089   0.000177  0.000334  </t>
  </si>
  <si>
    <t xml:space="preserve"> O       43.25       -       42.42       -      24.000      -         -        </t>
  </si>
  <si>
    <t>Total:  101.96    101.96    100.00    100.00    18.020</t>
  </si>
  <si>
    <t xml:space="preserve">Unknown Specimen No. 113 </t>
  </si>
  <si>
    <t xml:space="preserve"> UNK No.      :  113            Comment : UnkA-C21MI_23_1                          </t>
  </si>
  <si>
    <t xml:space="preserve"> Stage        :    X=   11.9605  Y=   86.0150  Z=   11.4550 </t>
  </si>
  <si>
    <t xml:space="preserve"> Dated on Mar  2 08:32 2017 </t>
  </si>
  <si>
    <t xml:space="preserve"> 1 Mg   107.540  53645.1  289.7  240.2    0.10       39 </t>
  </si>
  <si>
    <t xml:space="preserve"> 2 Mn   146.037    154.3   99.1   88.2    1.55       35 </t>
  </si>
  <si>
    <t xml:space="preserve"> 3 Fe   134.743   2677.7    0.0   27.3    0.43      115 </t>
  </si>
  <si>
    <t xml:space="preserve"> 4 Si    77.808  25868.4  193.5  115.0    0.14       60 </t>
  </si>
  <si>
    <t xml:space="preserve"> 5 Ca   107.775    682.9  293.1  253.3    0.67       14 </t>
  </si>
  <si>
    <t xml:space="preserve"> 6 Cr   159.160      2.7   70.3   70.0   80.78 ?     51 </t>
  </si>
  <si>
    <t xml:space="preserve"> 7 Ni   115.404     24.6   37.7   33.5    5.14       65 </t>
  </si>
  <si>
    <t xml:space="preserve"> 8 Al    90.986     16.0   89.0   69.8   13.25       25 </t>
  </si>
  <si>
    <t xml:space="preserve"> Mg      0.5638    0.0034    0.6463    0.9989     0.9979     1.5470     1.0767</t>
  </si>
  <si>
    <t xml:space="preserve"> Mn      0.9832    0.0003    1.0021    0.7922     1.0582     1.1901     1.0379</t>
  </si>
  <si>
    <t xml:space="preserve"> Fe      0.9871    0.0004    1.0032    0.8039     1.0576     1.1721     0.9883</t>
  </si>
  <si>
    <t xml:space="preserve"> Si      0.6617    0.0002    0.7261    0.9787     1.0131     1.3886     0.9990</t>
  </si>
  <si>
    <t xml:space="preserve"> Ca      0.9305    0.0063    0.9638    0.9105     1.0488     1.0797     1.0064</t>
  </si>
  <si>
    <t xml:space="preserve"> Ni      0.9830    0.0000    0.9948    0.8109     1.0534     1.1768     1.1234</t>
  </si>
  <si>
    <t xml:space="preserve"> Al      0.5401    0.0064    0.6057    0.9601     1.0055     1.6991     1.4109</t>
  </si>
  <si>
    <t xml:space="preserve"> Mg      26.09     43.27     25.54     42.35     9.670   1.0767   0.24297   0.81561  </t>
  </si>
  <si>
    <t xml:space="preserve"> Mn       0.2436    0.3146    0.2385    0.3080   0.0400  1.0379   0.002347  0.006970  </t>
  </si>
  <si>
    <t xml:space="preserve"> Fe      14.25     18.34     13.95     17.95     2.299   0.9883   0.14429   1.94593  </t>
  </si>
  <si>
    <t xml:space="preserve"> Si      18.57     39.72     18.17     38.88     5.955   0.9990   0.18610   0.97602  </t>
  </si>
  <si>
    <t xml:space="preserve"> Ca       0.2322    0.3249    0.2273    0.3181   0.0522  1.0064   0.002308  0.006763  </t>
  </si>
  <si>
    <t xml:space="preserve"> Cr       0.0045    0.0066    0.0044    0.0065   0.0008  1.0380   0.000044  0.000064 ?</t>
  </si>
  <si>
    <t xml:space="preserve"> Ni       0.1298    0.1652    0.1271    0.1617   0.0199  1.1234   0.001156  0.001471  </t>
  </si>
  <si>
    <t xml:space="preserve"> Al       0.0149    0.0282    0.0146    0.0276   0.0050  1.4109   0.000106  0.000200  </t>
  </si>
  <si>
    <t xml:space="preserve"> O       42.62       -       41.72       -      24.000      -         -        </t>
  </si>
  <si>
    <t>Total:  102.16    102.16    100.00    100.00    18.042</t>
  </si>
  <si>
    <t xml:space="preserve">Unknown Specimen No. 114 </t>
  </si>
  <si>
    <t xml:space="preserve"> UNK No.      :  114            Comment : UnkA-C21MI_23_2                          </t>
  </si>
  <si>
    <t xml:space="preserve"> Stage        :    X=   11.9605  Y=   85.9765  Z=   11.4550 </t>
  </si>
  <si>
    <t xml:space="preserve"> Dated on Mar  2 08:36 2017 </t>
  </si>
  <si>
    <t xml:space="preserve">Curr.(A) : 9.853E-08 </t>
  </si>
  <si>
    <t xml:space="preserve"> 1 Mg   107.540  53374.5  283.7  221.8    0.10       38 </t>
  </si>
  <si>
    <t xml:space="preserve"> 2 Mn   146.037    156.0   99.9   87.0    1.54       35 </t>
  </si>
  <si>
    <t xml:space="preserve"> 3 Fe   134.743   2675.2    0.0   28.2    0.43      116 </t>
  </si>
  <si>
    <t xml:space="preserve"> 4 Si    77.808  25919.1  187.8  117.6    0.14       60 </t>
  </si>
  <si>
    <t xml:space="preserve"> 5 Ca   107.775    713.3  287.5  249.0    0.64       14 </t>
  </si>
  <si>
    <t xml:space="preserve"> 6 Cr   159.160      4.9   72.9   68.4   44.99 ?     51 </t>
  </si>
  <si>
    <t xml:space="preserve"> 7 Ni   115.404     21.8   40.8   34.3    5.82       67 </t>
  </si>
  <si>
    <t xml:space="preserve"> 8 Al    90.986     18.9   84.9   67.4   11.11       24 </t>
  </si>
  <si>
    <t xml:space="preserve"> Mg      0.5637    0.0034    0.6462    0.9989     0.9979     1.5471     1.0768</t>
  </si>
  <si>
    <t xml:space="preserve"> Mn      0.9832    0.0002    1.0020    0.7922     1.0582     1.1901     1.0379</t>
  </si>
  <si>
    <t xml:space="preserve"> Fe      0.9871    0.0004    1.0032    0.8039     1.0575     1.1721     0.9884</t>
  </si>
  <si>
    <t xml:space="preserve"> Si      0.6620    0.0002    0.7265    0.9787     1.0131     1.3880     0.9985</t>
  </si>
  <si>
    <t xml:space="preserve"> Ca      0.9305    0.0063    0.9638    0.9106     1.0488     1.0797     1.0064</t>
  </si>
  <si>
    <t xml:space="preserve"> Cr      0.9781    0.0535    0.9993    0.8105     1.0579     1.1079     1.0380</t>
  </si>
  <si>
    <t xml:space="preserve"> Al      0.5404    0.0065    0.6061    0.9601     1.0055     1.6979     1.4099</t>
  </si>
  <si>
    <t xml:space="preserve"> Mg      25.97     43.06     25.46     42.21     9.635   1.0768   0.24172   0.81141  </t>
  </si>
  <si>
    <t xml:space="preserve"> Mn       0.2465    0.3182    0.2416    0.3120   0.0405  1.0379   0.002374  0.007050  </t>
  </si>
  <si>
    <t xml:space="preserve"> Fe      14.24     18.32     13.96     17.96     2.300   0.9884   0.14414   1.94394  </t>
  </si>
  <si>
    <t xml:space="preserve"> Si      18.59     39.77     18.23     39.00     5.971   0.9985   0.18644   0.97783  </t>
  </si>
  <si>
    <t xml:space="preserve"> Ca       0.2425    0.3393    0.2378    0.3327   0.0546  1.0064   0.002410  0.007063  </t>
  </si>
  <si>
    <t xml:space="preserve"> Cr       0.0082    0.0119    0.0080    0.0117   0.0014  1.0380   0.000079  0.000115  </t>
  </si>
  <si>
    <t xml:space="preserve"> Ni       0.1152    0.1466    0.1129    0.1437   0.0177  1.1234   0.001025  0.001305  </t>
  </si>
  <si>
    <t xml:space="preserve"> Al       0.0175    0.0331    0.0172    0.0325   0.0059  1.4099   0.000124  0.000235  </t>
  </si>
  <si>
    <t xml:space="preserve"> O       42.57       -       41.74       -      24.000      -         -        </t>
  </si>
  <si>
    <t xml:space="preserve">Unknown Specimen No. 115 </t>
  </si>
  <si>
    <t xml:space="preserve"> UNK No.      :  115            Comment : UnkA-C21MI_23_3                          </t>
  </si>
  <si>
    <t xml:space="preserve"> Stage        :    X=   11.9275  Y=   85.9455  Z=   11.4550 </t>
  </si>
  <si>
    <t xml:space="preserve"> Dated on Mar  2 08:39 2017 </t>
  </si>
  <si>
    <t xml:space="preserve"> 1 Mg   107.540  53331.4  299.1  227.3    0.10       39 </t>
  </si>
  <si>
    <t xml:space="preserve"> 2 Mn   146.037    155.1   98.5   93.4    1.56       35 </t>
  </si>
  <si>
    <t xml:space="preserve"> 3 Fe   134.743   2675.4    0.0   25.5    0.43      111 </t>
  </si>
  <si>
    <t xml:space="preserve"> 4 Si    77.808  25807.5  197.4  114.4    0.14       61 </t>
  </si>
  <si>
    <t xml:space="preserve"> 5 Ca   107.775    713.7  297.1  246.6    0.65       14 </t>
  </si>
  <si>
    <t xml:space="preserve"> 6 Cr   159.160      0.3   67.5   72.1  659.49 ?     51 </t>
  </si>
  <si>
    <t xml:space="preserve"> 7 Ni   115.404     23.2   38.9   33.9    5.45       66 </t>
  </si>
  <si>
    <t xml:space="preserve"> 8 Al    90.986     14.5   86.1   67.1   14.36       25 </t>
  </si>
  <si>
    <t xml:space="preserve"> Mg      0.5636    0.0034    0.6460    0.9990     0.9979     1.5475     1.0771</t>
  </si>
  <si>
    <t xml:space="preserve"> Mn      0.9832    0.0003    1.0020    0.7923     1.0582     1.1901     1.0379</t>
  </si>
  <si>
    <t xml:space="preserve"> Fe      0.9871    0.0004    1.0032    0.8039     1.0575     1.1720     0.9883</t>
  </si>
  <si>
    <t xml:space="preserve"> Si      0.6618    0.0002    0.7262    0.9788     1.0131     1.3883     0.9988</t>
  </si>
  <si>
    <t xml:space="preserve"> Ca      0.9305    0.0063    0.9638    0.9106     1.0488     1.0796     1.0063</t>
  </si>
  <si>
    <t xml:space="preserve"> Ni      0.9829    0.0000    0.9947    0.8110     1.0534     1.1768     1.1233</t>
  </si>
  <si>
    <t xml:space="preserve"> Al      0.5402    0.0064    0.6058    0.9602     1.0055     1.6987     1.4106</t>
  </si>
  <si>
    <t xml:space="preserve"> Mg      25.95     43.03     25.49     42.27     9.653   1.0771   0.24145   0.81051  </t>
  </si>
  <si>
    <t xml:space="preserve"> Mn       0.2448    0.3161    0.2405    0.3106   0.0403  1.0379   0.002359  0.007004  </t>
  </si>
  <si>
    <t xml:space="preserve"> Fe      14.24     18.31     13.99     17.99     2.305   0.9883   0.14411   1.94352  </t>
  </si>
  <si>
    <t xml:space="preserve"> Si      18.52     39.61     18.19     38.91     5.961   0.9988   0.18558   0.97333  </t>
  </si>
  <si>
    <t xml:space="preserve"> Ca       0.2425    0.3394    0.2383    0.3334   0.0547  1.0063   0.002410  0.007064  </t>
  </si>
  <si>
    <t xml:space="preserve"> Cr       0.0006    0.0008    0.0006    0.0008   0.0001  1.0379   0.000005  0.000008 ?</t>
  </si>
  <si>
    <t xml:space="preserve"> Ni       0.1225    0.1559    0.1204    0.1532   0.0189  1.1233   0.001091  0.001388  </t>
  </si>
  <si>
    <t xml:space="preserve"> Al       0.0134    0.0254    0.0132    0.0249   0.0045  1.4106   0.000095  0.000180  </t>
  </si>
  <si>
    <t xml:space="preserve"> O       42.46       -       41.72       -      24.000      -         -        </t>
  </si>
  <si>
    <t>Total:  101.79    101.79    100.00    100.00    18.037</t>
  </si>
  <si>
    <t xml:space="preserve">Unknown Specimen No. 116 </t>
  </si>
  <si>
    <t xml:space="preserve"> UNK No.      :  116            Comment : UnkA-C21MI_24_1                          </t>
  </si>
  <si>
    <t xml:space="preserve"> Stage        :    X=   12.3325  Y=   87.0855  Z=   11.4550 </t>
  </si>
  <si>
    <t xml:space="preserve"> Dated on Mar  2 08:42 2017 </t>
  </si>
  <si>
    <t xml:space="preserve"> 1 Mg   107.540  51788.9  292.2  235.8    0.10       39 </t>
  </si>
  <si>
    <t xml:space="preserve"> 2 Mn   146.037    182.1   96.4   87.3    1.36       34 </t>
  </si>
  <si>
    <t xml:space="preserve"> 3 Fe   134.743   2847.9    0.0   23.6    0.42      106 </t>
  </si>
  <si>
    <t xml:space="preserve"> 4 Si    77.808  25851.1  189.7  122.5    0.14       61 </t>
  </si>
  <si>
    <t xml:space="preserve"> 5 Ca   107.775    777.5  293.4  253.3    0.61       14 </t>
  </si>
  <si>
    <t xml:space="preserve"> 6 Cr   159.160      0.5   73.9   68.3  453.27 ?     51 </t>
  </si>
  <si>
    <t xml:space="preserve"> 7 Ni   115.404     13.6   37.9   35.2    8.86       66 </t>
  </si>
  <si>
    <t xml:space="preserve"> 8 Al    90.986     23.1   85.4   65.9    9.17       24 </t>
  </si>
  <si>
    <t xml:space="preserve"> Mg      0.5581    0.0034    0.6398    1.0009     0.9971     1.5608     1.0864</t>
  </si>
  <si>
    <t xml:space="preserve"> Mn      0.9832    0.0001    1.0020    0.7937     1.0577     1.1886     1.0366</t>
  </si>
  <si>
    <t xml:space="preserve"> Fe      0.9871    0.0002    1.0032    0.8054     1.0571     1.1706     0.9871</t>
  </si>
  <si>
    <t xml:space="preserve"> Si      0.6615    0.0002    0.7259    0.9807     1.0123     1.3873     0.9981</t>
  </si>
  <si>
    <t xml:space="preserve"> Ca      0.9305    0.0067    0.9638    0.9123     1.0481     1.0779     1.0047</t>
  </si>
  <si>
    <t xml:space="preserve"> Ni      0.9824    0.0000    0.9941    0.8124     1.0531     1.1757     1.1223</t>
  </si>
  <si>
    <t xml:space="preserve"> Al      0.5400    0.0064    0.6056    0.9620     1.0047     1.6975     1.4096</t>
  </si>
  <si>
    <t xml:space="preserve"> Mg      25.40     42.12     24.88     41.26     9.467   1.0864   0.23440   0.78683  </t>
  </si>
  <si>
    <t xml:space="preserve"> Mn       0.2870    0.3706    0.2812    0.3630   0.0473  1.0366   0.002769  0.008221  </t>
  </si>
  <si>
    <t xml:space="preserve"> Fe      15.13     19.46     14.82     19.07     2.454   0.9871   0.15336   2.06819  </t>
  </si>
  <si>
    <t xml:space="preserve"> Si      18.52     39.63     18.15     38.82     5.975   0.9981   0.18584   0.97467  </t>
  </si>
  <si>
    <t xml:space="preserve"> Ca       0.2638    0.3691    0.2584    0.3615   0.0596  1.0047   0.002625  0.007694  </t>
  </si>
  <si>
    <t xml:space="preserve"> Cr       0.0008    0.0011    0.0008    0.0011   0.0001  1.0335   0.000008  0.000011 ?</t>
  </si>
  <si>
    <t xml:space="preserve"> Ni       0.0715    0.0910    0.0701    0.0892   0.0110  1.1223   0.000637  0.000811  </t>
  </si>
  <si>
    <t xml:space="preserve"> Al       0.0215    0.0406    0.0210    0.0398   0.0072  1.4096   0.000152  0.000288  </t>
  </si>
  <si>
    <t xml:space="preserve"> O       42.38       -       41.52       -      24.000      -         -        </t>
  </si>
  <si>
    <t>Total:  102.08    102.08    100.00    100.00    18.022</t>
  </si>
  <si>
    <t xml:space="preserve">Unknown Specimen No. 117 </t>
  </si>
  <si>
    <t xml:space="preserve"> UNK No.      :  117            Comment : UnkA-C21MI_24_2                          </t>
  </si>
  <si>
    <t xml:space="preserve"> Stage        :    X=   12.4245  Y=   87.1015  Z=   11.4550 </t>
  </si>
  <si>
    <t xml:space="preserve"> Dated on Mar  2 08:46 2017 </t>
  </si>
  <si>
    <t xml:space="preserve"> 1 Mg   107.540  51660.7  298.6  231.9    0.10       39 </t>
  </si>
  <si>
    <t xml:space="preserve"> 2 Mn   146.037    183.6   99.0   90.6    1.36       35 </t>
  </si>
  <si>
    <t xml:space="preserve"> 3 Fe   134.743   2859.3    0.0   26.9    0.42      114 </t>
  </si>
  <si>
    <t xml:space="preserve"> 4 Si    77.808  25822.1  191.4  116.8    0.14       60 </t>
  </si>
  <si>
    <t xml:space="preserve"> 5 Ca   107.775    743.6  295.0  251.8    0.63       14 </t>
  </si>
  <si>
    <t xml:space="preserve"> 6 Cr   159.160     -0.4   75.5   70.0  100.00 ?     52 </t>
  </si>
  <si>
    <t xml:space="preserve"> 7 Ni   115.404     13.6   39.7   34.9    8.91       67 </t>
  </si>
  <si>
    <t xml:space="preserve"> 8 Al    90.986     18.5   87.0   69.3   11.45       25 </t>
  </si>
  <si>
    <t xml:space="preserve"> Mg      0.5577    0.0034    0.6393    1.0011     0.9971     1.5619     1.0871</t>
  </si>
  <si>
    <t xml:space="preserve"> Mn      0.9832    0.0001    1.0020    0.7938     1.0577     1.1884     1.0365</t>
  </si>
  <si>
    <t xml:space="preserve"> Fe      0.9871    0.0002    1.0032    0.8055     1.0571     1.1705     0.9870</t>
  </si>
  <si>
    <t xml:space="preserve"> Si      0.6615    0.0002    0.7259    0.9808     1.0123     1.3874     0.9981</t>
  </si>
  <si>
    <t xml:space="preserve"> Ni      0.9823    0.0000    0.9941    0.8125     1.0531     1.1756     1.1223</t>
  </si>
  <si>
    <t xml:space="preserve"> Al      0.5399    0.0064    0.6055    0.9622     1.0046     1.6977     1.4098</t>
  </si>
  <si>
    <t xml:space="preserve"> Mg      25.35     42.03     24.86     41.21     9.460   1.0871   0.23370   0.78448  </t>
  </si>
  <si>
    <t xml:space="preserve"> Mn       0.2893    0.3735    0.2837    0.3663   0.0478  1.0365   0.002791  0.008287  </t>
  </si>
  <si>
    <t xml:space="preserve"> Fe      15.18     19.53     14.89     19.15     2.466   0.9870   0.15389   2.07538  </t>
  </si>
  <si>
    <t xml:space="preserve"> Si      18.50     39.57     18.14     38.80     5.974   0.9981   0.18554   0.97309  </t>
  </si>
  <si>
    <t xml:space="preserve"> Ca       0.2521    0.3527    0.2472    0.3459   0.0571  1.0046   0.002509  0.007354  </t>
  </si>
  <si>
    <t xml:space="preserve"> Ni       0.0716    0.0911    0.0702    0.0894   0.0111  1.1223   0.000638  0.000812  </t>
  </si>
  <si>
    <t xml:space="preserve"> Al       0.0172    0.0326    0.0169    0.0319   0.0058  1.4098   0.000122  0.000231  </t>
  </si>
  <si>
    <t xml:space="preserve"> O       42.32       -       41.50       -      24.000      -         -        </t>
  </si>
  <si>
    <t>Total:  101.97    101.97    100.00    100.00    18.023</t>
  </si>
  <si>
    <t xml:space="preserve">Unknown Specimen No. 118 </t>
  </si>
  <si>
    <t xml:space="preserve"> UNK No.      :  118            Comment : UnkA-C21MI_24_3                          </t>
  </si>
  <si>
    <t xml:space="preserve"> Stage        :    X=   12.4045  Y=   87.0330  Z=   11.4550 </t>
  </si>
  <si>
    <t xml:space="preserve"> Dated on Mar  2 08:49 2017 </t>
  </si>
  <si>
    <t xml:space="preserve"> 1 Mg   107.540  51568.2  300.4  231.6    0.10       39 </t>
  </si>
  <si>
    <t xml:space="preserve"> 2 Mn   146.037    179.7   98.2   88.9    1.38       35 </t>
  </si>
  <si>
    <t xml:space="preserve"> 3 Fe   134.743   2864.7    0.0   24.5    0.42      109 </t>
  </si>
  <si>
    <t xml:space="preserve"> 4 Si    77.808  25118.2  192.4  114.0    0.14       60 </t>
  </si>
  <si>
    <t xml:space="preserve"> 5 Ca   107.775    708.8  297.0  254.7    0.65       14 </t>
  </si>
  <si>
    <t xml:space="preserve"> 6 Cr   159.160     -1.8   73.9   68.6  100.00 ?     51 </t>
  </si>
  <si>
    <t xml:space="preserve"> 7 Ni   115.404     13.7   38.5   34.0    8.78       66 </t>
  </si>
  <si>
    <t xml:space="preserve"> 8 Al    90.986     14.7   83.8   68.5   14.14       24 </t>
  </si>
  <si>
    <t xml:space="preserve"> Mg      0.5569    0.0033    0.6384    1.0014     0.9969     1.5638     1.0884</t>
  </si>
  <si>
    <t xml:space="preserve"> Mn      0.9832    0.0001    1.0020    0.7941     1.0576     1.1881     1.0362</t>
  </si>
  <si>
    <t xml:space="preserve"> Fe      0.9871    0.0002    1.0032    0.8057     1.0570     1.1701     0.9867</t>
  </si>
  <si>
    <t xml:space="preserve"> Si      0.6600    0.0002    0.7243    0.9812     1.0121     1.3900     1.0000</t>
  </si>
  <si>
    <t xml:space="preserve"> Ca      0.9305    0.0068    0.9638    0.9128     1.0480     1.0774     1.0042</t>
  </si>
  <si>
    <t xml:space="preserve"> Ni      0.9822    0.0000    0.9940    0.8128     1.0530     1.1754     1.1220</t>
  </si>
  <si>
    <t xml:space="preserve"> Al      0.5382    0.0063    0.6036    0.9626     1.0045     1.7027     1.4140</t>
  </si>
  <si>
    <t xml:space="preserve"> Mg      25.38     42.08     25.10     41.63     9.582   1.0884   0.23347   0.78371  </t>
  </si>
  <si>
    <t xml:space="preserve"> Mn       0.2832    0.3657    0.2801    0.3617   0.0473  1.0362   0.002733  0.008115  </t>
  </si>
  <si>
    <t xml:space="preserve"> Fe      15.22     19.58     15.06     19.37     2.501   0.9867   0.15430   2.08096  </t>
  </si>
  <si>
    <t xml:space="preserve"> Si      18.05     38.61     17.86     38.20     5.898   1.0000   0.18063   0.94733  </t>
  </si>
  <si>
    <t xml:space="preserve"> Ca       0.2404    0.3364    0.2378    0.3327   0.0551  1.0042   0.002394  0.007016  </t>
  </si>
  <si>
    <t xml:space="preserve"> Ni       0.0719    0.0916    0.0712    0.0906   0.0112  1.1220   0.000641  0.000816  </t>
  </si>
  <si>
    <t xml:space="preserve"> Al       0.0136    0.0257    0.0135    0.0255   0.0046  1.4140   0.000096  0.000182  </t>
  </si>
  <si>
    <t xml:space="preserve"> O       41.84       -       41.38       -      24.000      -         -        </t>
  </si>
  <si>
    <t>Total:  101.10    101.10    100.00    100.00    18.099</t>
  </si>
  <si>
    <t xml:space="preserve">Unknown Specimen No. 119 </t>
  </si>
  <si>
    <t xml:space="preserve"> UNK No.      :  119            Comment : UnkA-C21MI_24_4                          </t>
  </si>
  <si>
    <t xml:space="preserve"> Stage        :    X=   12.3850  Y=   87.0030  Z=   11.4550 </t>
  </si>
  <si>
    <t xml:space="preserve"> Dated on Mar  2 08:53 2017 </t>
  </si>
  <si>
    <t xml:space="preserve"> 1 Mg   107.540  51401.6  300.2  223.3    0.10       38 </t>
  </si>
  <si>
    <t xml:space="preserve"> 2 Mn   146.037    181.3  101.5   89.5    1.38       35 </t>
  </si>
  <si>
    <t xml:space="preserve"> 3 Fe   134.743   2914.3    0.0   25.6    0.42      111 </t>
  </si>
  <si>
    <t xml:space="preserve"> 4 Si    77.808  25039.1  199.1  117.8    0.14       61 </t>
  </si>
  <si>
    <t xml:space="preserve"> 5 Ca   107.775    675.1  297.7  253.8    0.67       14 </t>
  </si>
  <si>
    <t xml:space="preserve"> 6 Cr   159.160      0.5   70.9   70.6  405.38 ?     51 </t>
  </si>
  <si>
    <t xml:space="preserve"> 7 Ni   115.404     13.7   38.1   34.6    8.75       66 </t>
  </si>
  <si>
    <t xml:space="preserve"> 8 Al    90.986     17.0   84.5   68.9   12.32       25 </t>
  </si>
  <si>
    <t xml:space="preserve"> Mg      0.5555    0.0033    0.6368    1.0020     0.9967     1.5673     1.0909</t>
  </si>
  <si>
    <t xml:space="preserve"> Mn      0.9832    0.0001    1.0020    0.7945     1.0575     1.1876     1.0358</t>
  </si>
  <si>
    <t xml:space="preserve"> Fe      0.9871    0.0002    1.0032    0.8061     1.0569     1.1697     0.9863</t>
  </si>
  <si>
    <t xml:space="preserve"> Si      0.6596    0.0002    0.7238    0.9817     1.0119     1.3906     1.0004</t>
  </si>
  <si>
    <t xml:space="preserve"> Ca      0.9305    0.0069    0.9638    0.9132     1.0478     1.0769     1.0038</t>
  </si>
  <si>
    <t xml:space="preserve"> Ni      0.9821    0.0000    0.9938    0.8132     1.0529     1.1751     1.1218</t>
  </si>
  <si>
    <t xml:space="preserve"> Al      0.5377    0.0063    0.6030    0.9631     1.0043     1.7039     1.4149</t>
  </si>
  <si>
    <t xml:space="preserve"> Mg      25.33     42.01     25.03     41.51     9.572   1.0909   0.23255   0.78063  </t>
  </si>
  <si>
    <t xml:space="preserve"> Mn       0.2854    0.3685    0.2820    0.3642   0.0477  1.0358   0.002755  0.008181  </t>
  </si>
  <si>
    <t xml:space="preserve"> Fe      15.47     19.90     15.28     19.66     2.544   0.9863   0.15686   2.11551  </t>
  </si>
  <si>
    <t xml:space="preserve"> Si      17.99     38.48     17.78     38.02     5.882   1.0004   0.17993   0.94368  </t>
  </si>
  <si>
    <t xml:space="preserve"> Ca       0.2287    0.3200    0.2260    0.3162   0.0524  1.0038   0.002279  0.006678  </t>
  </si>
  <si>
    <t xml:space="preserve"> Cr       0.0009    0.0013    0.0009    0.0013   0.0002  1.0309   0.000009  0.000013 ?</t>
  </si>
  <si>
    <t xml:space="preserve"> Ni       0.0722    0.0919    0.0713    0.0908   0.0113  1.1218   0.000644  0.000819  </t>
  </si>
  <si>
    <t xml:space="preserve"> Al       0.0158    0.0299    0.0156    0.0295   0.0054  1.4149   0.000112  0.000211  </t>
  </si>
  <si>
    <t xml:space="preserve"> O       41.80       -       41.31       -      24.000      -         -        </t>
  </si>
  <si>
    <t>Total:  101.19    101.19    100.00    100.00    18.115</t>
  </si>
  <si>
    <t xml:space="preserve">Unknown Specimen No. 120 </t>
  </si>
  <si>
    <t xml:space="preserve"> UNK No.      :  120            Comment : UnkA-C21MI_25_1                          </t>
  </si>
  <si>
    <t xml:space="preserve"> Stage        :    X=   18.3970  Y=   85.2410  Z=   11.4515 </t>
  </si>
  <si>
    <t xml:space="preserve"> Dated on Mar  2 08:56 2017 </t>
  </si>
  <si>
    <t xml:space="preserve"> 1 Mg   107.540  55745.6  293.7  238.1    0.10       39 </t>
  </si>
  <si>
    <t xml:space="preserve"> 2 Mn   146.037    140.5   95.4   91.4    1.67       35 </t>
  </si>
  <si>
    <t xml:space="preserve"> 3 Fe   134.743   2447.2    0.0   22.1    0.45      103 </t>
  </si>
  <si>
    <t xml:space="preserve"> 4 Si    77.808  25490.6  191.5  119.3    0.14       61 </t>
  </si>
  <si>
    <t xml:space="preserve"> 5 Ca   107.775    789.2  290.8  247.1    0.60       14 </t>
  </si>
  <si>
    <t xml:space="preserve"> 6 Cr   159.160      9.8   66.9   68.9   22.38       50 </t>
  </si>
  <si>
    <t xml:space="preserve"> 7 Ni   115.404     24.9   37.7   33.0    5.06       65 </t>
  </si>
  <si>
    <t xml:space="preserve"> 8 Al    90.986     17.4   84.6   67.0   11.96       24 </t>
  </si>
  <si>
    <t xml:space="preserve"> Mg      0.5712    0.0034    0.6548    0.9965     0.9990     1.5290     1.0642</t>
  </si>
  <si>
    <t xml:space="preserve"> Mn      0.9833    0.0003    1.0021    0.7904     1.0587     1.1921     1.0397</t>
  </si>
  <si>
    <t xml:space="preserve"> Fe      0.9871    0.0004    1.0032    0.8021     1.0581     1.1741     0.9900</t>
  </si>
  <si>
    <t xml:space="preserve"> Si      0.6616    0.0002    0.7260    0.9764     1.0142     1.3909     1.0006</t>
  </si>
  <si>
    <t xml:space="preserve"> Ca      0.9306    0.0058    0.9640    0.9084     1.0496     1.0817     1.0083</t>
  </si>
  <si>
    <t xml:space="preserve"> Cr      0.9781    0.0494    0.9993    0.8086     1.0585     1.1141     1.0438</t>
  </si>
  <si>
    <t xml:space="preserve"> Al      0.5399    0.0064    0.6055    0.9578     1.0066     1.7022     1.4135</t>
  </si>
  <si>
    <t xml:space="preserve"> Mg      26.81     44.46     26.46     43.88     9.968   1.0642   0.25235   0.84711  </t>
  </si>
  <si>
    <t xml:space="preserve"> Mn       0.2221    0.2868    0.2192    0.2831   0.0365  1.0397   0.002137  0.006344  </t>
  </si>
  <si>
    <t xml:space="preserve"> Fe      13.05     16.78     12.87     16.56     2.111   0.9900   0.13180   1.77752  </t>
  </si>
  <si>
    <t xml:space="preserve"> Si      18.32     39.20     18.08     38.69     5.896   1.0006   0.18329   0.96128  </t>
  </si>
  <si>
    <t xml:space="preserve"> Ca       0.2688    0.3760    0.2652    0.3711   0.0606  1.0083   0.002665  0.007812  </t>
  </si>
  <si>
    <t xml:space="preserve"> Cr       0.0166    0.0242    0.0164    0.0239   0.0029  1.0438   0.000159  0.000232  </t>
  </si>
  <si>
    <t xml:space="preserve"> Ni       0.1317    0.1676    0.1300    0.1654   0.0203  1.1246   0.001171  0.001490  </t>
  </si>
  <si>
    <t xml:space="preserve"> Al       0.0162    0.0307    0.0160    0.0303   0.0054  1.4135   0.000115  0.000217  </t>
  </si>
  <si>
    <t xml:space="preserve"> O       42.49       -       41.93       -      24.000      -         -        </t>
  </si>
  <si>
    <t>Total:  101.33    101.33    100.00    100.00    18.100</t>
  </si>
  <si>
    <t xml:space="preserve">Unknown Specimen No. 121 </t>
  </si>
  <si>
    <t xml:space="preserve"> UNK No.      :  121            Comment : UnkA-C21MI_25_2                          </t>
  </si>
  <si>
    <t xml:space="preserve"> Stage        :    X=   18.4430  Y=   85.1930  Z=   11.4515 </t>
  </si>
  <si>
    <t xml:space="preserve"> Dated on Mar  2 08:59 2017 </t>
  </si>
  <si>
    <t xml:space="preserve"> 1 Mg   107.540  55737.8  295.9  244.6    0.10       39 </t>
  </si>
  <si>
    <t xml:space="preserve"> 2 Mn   146.037    136.4   97.5   87.5    1.70       35 </t>
  </si>
  <si>
    <t xml:space="preserve"> 3 Fe   134.743   2434.9    0.0   25.1    0.46      110 </t>
  </si>
  <si>
    <t xml:space="preserve"> 4 Si    77.808  26013.9  201.3  112.6    0.14       61 </t>
  </si>
  <si>
    <t xml:space="preserve"> 5 Ca   107.775    787.8  289.8  248.2    0.60       14 </t>
  </si>
  <si>
    <t xml:space="preserve"> 6 Cr   159.160      9.0   68.9   69.5   24.55       51 </t>
  </si>
  <si>
    <t xml:space="preserve"> 7 Ni   115.404     22.8   38.6   34.7    5.55       66 </t>
  </si>
  <si>
    <t xml:space="preserve"> 8 Al    90.986     18.7   83.0   68.7   11.16       24 </t>
  </si>
  <si>
    <t xml:space="preserve"> Mg      0.5720    0.0035    0.6557    0.9961     0.9991     1.5271     1.0629</t>
  </si>
  <si>
    <t xml:space="preserve"> Mn      0.9832    0.0003    1.0021    0.7902     1.0588     1.1925     1.0400</t>
  </si>
  <si>
    <t xml:space="preserve"> Si      0.6628    0.0002    0.7273    0.9760     1.0143     1.3887     0.9990</t>
  </si>
  <si>
    <t xml:space="preserve"> Ca      0.9306    0.0057    0.9639    0.9081     1.0497     1.0821     1.0087</t>
  </si>
  <si>
    <t xml:space="preserve"> Cr      0.9781    0.0489    0.9993    0.8083     1.0586     1.1149     1.0447</t>
  </si>
  <si>
    <t xml:space="preserve"> Ni      0.9838    0.0000    0.9956    0.8089     1.0539     1.1783     1.1248</t>
  </si>
  <si>
    <t xml:space="preserve"> Al      0.5413    0.0065    0.6071    0.9575     1.0067     1.6980     1.4100</t>
  </si>
  <si>
    <t xml:space="preserve"> Mg      26.77     44.39     26.27     43.56     9.871   1.0629   0.25247   0.84751  </t>
  </si>
  <si>
    <t xml:space="preserve"> Mn       0.2158    0.2787    0.2118    0.2734   0.0352  1.0400   0.002075  0.006162  </t>
  </si>
  <si>
    <t xml:space="preserve"> Fe      12.99     16.71     12.75     16.40     2.085   0.9904   0.13122   1.76967  </t>
  </si>
  <si>
    <t xml:space="preserve"> Si      18.68     39.95     18.32     39.20     5.959   0.9990   0.18716   0.98161  </t>
  </si>
  <si>
    <t xml:space="preserve"> Ca       0.2685    0.3757    0.2635    0.3686   0.0600  1.0087   0.002662  0.007802  </t>
  </si>
  <si>
    <t xml:space="preserve"> Cr       0.0152    0.0221    0.0149    0.0217   0.0026  1.0447   0.000145  0.000212  </t>
  </si>
  <si>
    <t xml:space="preserve"> Ni       0.1207    0.1535    0.1184    0.1506   0.0184  1.1248   0.001073  0.001365  </t>
  </si>
  <si>
    <t xml:space="preserve"> Al       0.0174    0.0329    0.0171    0.0322   0.0058  1.4100   0.000123  0.000233  </t>
  </si>
  <si>
    <t xml:space="preserve"> O       42.84       -       42.04       -      24.000      -         -        </t>
  </si>
  <si>
    <t>Total:  101.92    101.92    100.00    100.00    18.037</t>
  </si>
  <si>
    <t xml:space="preserve">Unknown Specimen No. 122 </t>
  </si>
  <si>
    <t xml:space="preserve"> UNK No.      :  122            Comment : UnkA-C21MI_25_3                          </t>
  </si>
  <si>
    <t xml:space="preserve"> Stage        :    X=   18.3850  Y=   85.1925  Z=   11.4515 </t>
  </si>
  <si>
    <t xml:space="preserve"> Dated on Mar  2 09:03 2017 </t>
  </si>
  <si>
    <t xml:space="preserve"> 1 Mg   107.540  55815.4  294.5  234.5    0.10       39 </t>
  </si>
  <si>
    <t xml:space="preserve"> 2 Mn   146.037    142.5   96.3   86.0    1.64       34 </t>
  </si>
  <si>
    <t xml:space="preserve"> 3 Fe   134.743   2431.6    0.0   23.4    0.46      106 </t>
  </si>
  <si>
    <t xml:space="preserve"> 4 Si    77.808  25123.2  193.8  117.5    0.14       61 </t>
  </si>
  <si>
    <t xml:space="preserve"> 5 Ca   107.775    785.6  290.2  247.2    0.60       14 </t>
  </si>
  <si>
    <t xml:space="preserve"> 6 Cr   159.160      3.4   72.1   66.5   64.32 ?     51 </t>
  </si>
  <si>
    <t xml:space="preserve"> 7 Ni   115.404     23.7   39.7   34.0    5.37       66 </t>
  </si>
  <si>
    <t xml:space="preserve"> 8 Al    90.986     17.2   82.8   68.1   12.07       24 </t>
  </si>
  <si>
    <t xml:space="preserve"> Mg      0.5715    0.0034    0.6551    0.9964     0.9990     1.5282     1.0637</t>
  </si>
  <si>
    <t xml:space="preserve"> Mn      0.9833    0.0003    1.0021    0.7904     1.0588     1.1922     1.0397</t>
  </si>
  <si>
    <t xml:space="preserve"> Fe      0.9871    0.0004    1.0032    0.8020     1.0581     1.1742     0.9901</t>
  </si>
  <si>
    <t xml:space="preserve"> Si      0.6609    0.0002    0.7253    0.9763     1.0142     1.3923     1.0016</t>
  </si>
  <si>
    <t xml:space="preserve"> Ca      0.9307    0.0058    0.9640    0.9084     1.0496     1.0817     1.0083</t>
  </si>
  <si>
    <t xml:space="preserve"> Cr      0.9781    0.0494    0.9993    0.8086     1.0586     1.1141     1.0438</t>
  </si>
  <si>
    <t xml:space="preserve"> Al      0.5391    0.0063    0.6046    0.9578     1.0066     1.7047     1.4156</t>
  </si>
  <si>
    <t xml:space="preserve"> Mg      26.84     44.51     26.65     44.19    10.048   1.0637   0.25257   0.84783  </t>
  </si>
  <si>
    <t xml:space="preserve"> Mn       0.2252    0.2908    0.2236    0.2887   0.0373  1.0397   0.002166  0.006431  </t>
  </si>
  <si>
    <t xml:space="preserve"> Fe      12.96     16.67     12.87     16.55     2.112   0.9901   0.13091   1.76549  </t>
  </si>
  <si>
    <t xml:space="preserve"> Si      18.08     38.67     17.95     38.40     5.857   1.0016   0.18057   0.94704  </t>
  </si>
  <si>
    <t xml:space="preserve"> Ca       0.2674    0.3741    0.2655    0.3715   0.0607  1.0083   0.002652  0.007772  </t>
  </si>
  <si>
    <t xml:space="preserve"> Cr       0.0056    0.0082    0.0056    0.0082   0.0010  1.0438   0.000054  0.000079  </t>
  </si>
  <si>
    <t xml:space="preserve"> Ni       0.1252    0.1594    0.1243    0.1582   0.0194  1.1246   0.001113  0.001417  </t>
  </si>
  <si>
    <t xml:space="preserve"> Al       0.0160    0.0303    0.0159    0.0301   0.0054  1.4156   0.000113  0.000214  </t>
  </si>
  <si>
    <t xml:space="preserve"> O       42.20       -       41.90       -      24.000      -         -        </t>
  </si>
  <si>
    <t>Total:  100.72    100.72    100.00    100.00    18.140</t>
  </si>
  <si>
    <t xml:space="preserve">Unknown Specimen No. 123 </t>
  </si>
  <si>
    <t xml:space="preserve"> UNK No.      :  123            Comment : UnkA-C21MI_26_1                          </t>
  </si>
  <si>
    <t xml:space="preserve"> Stage        :    X=   18.0740  Y=   85.7585  Z=   11.4515 </t>
  </si>
  <si>
    <t xml:space="preserve"> Dated on Mar  2 09:06 2017 </t>
  </si>
  <si>
    <t xml:space="preserve"> 1 Mg   107.540  54885.8  293.1  235.3    0.10       39 </t>
  </si>
  <si>
    <t xml:space="preserve"> 2 Mn   146.037    148.2   96.3   87.6    1.59       34 </t>
  </si>
  <si>
    <t xml:space="preserve"> 3 Fe   134.743   2513.9    0.0   23.1    0.45      105 </t>
  </si>
  <si>
    <t xml:space="preserve"> 4 Si    77.808  25830.2  204.4  112.3    0.14       61 </t>
  </si>
  <si>
    <t xml:space="preserve"> 5 Ca   107.775    778.4  296.9  251.3    0.61       14 </t>
  </si>
  <si>
    <t xml:space="preserve"> 6 Cr   159.160      3.9   69.7   69.8   55.59 ?     51 </t>
  </si>
  <si>
    <t xml:space="preserve"> 7 Ni   115.404     21.9   39.7   34.6    5.77       67 </t>
  </si>
  <si>
    <t xml:space="preserve"> 8 Al    90.986     17.0   85.2   65.4   12.22       24 </t>
  </si>
  <si>
    <t xml:space="preserve"> Mg      0.5691    0.0035    0.6524    0.9971     0.9987     1.5341     1.0678</t>
  </si>
  <si>
    <t xml:space="preserve"> Si      0.6623    0.0002    0.7267    0.9770     1.0139     1.3889     0.9992</t>
  </si>
  <si>
    <t xml:space="preserve"> Ca      0.9306    0.0059    0.9639    0.9090     1.0494     1.0812     1.0078</t>
  </si>
  <si>
    <t xml:space="preserve"> Cr      0.9781    0.0505    0.9993    0.8091     1.0584     1.1124     1.0423</t>
  </si>
  <si>
    <t xml:space="preserve"> Al      0.5407    0.0065    0.6064    0.9584     1.0063     1.6989     1.4108</t>
  </si>
  <si>
    <t xml:space="preserve"> Mg      26.47     43.89     26.05     43.19     9.816   1.0678   0.24839   0.83379  </t>
  </si>
  <si>
    <t xml:space="preserve"> Mn       0.2342    0.3024    0.2305    0.2976   0.0384  1.0393   0.002254  0.006691  </t>
  </si>
  <si>
    <t xml:space="preserve"> Fe      13.39     17.23     13.18     16.95     2.162   0.9896   0.13535   1.82540  </t>
  </si>
  <si>
    <t xml:space="preserve"> Si      18.53     39.65     18.24     39.01     5.948   0.9992   0.18567   0.97379  </t>
  </si>
  <si>
    <t xml:space="preserve"> Ca       0.2648    0.3706    0.2606    0.3647   0.0596  1.0078   0.002628  0.007702  </t>
  </si>
  <si>
    <t xml:space="preserve"> Cr       0.0066    0.0096    0.0065    0.0094   0.0011  1.0423   0.000063  0.000092  </t>
  </si>
  <si>
    <t xml:space="preserve"> Ni       0.1158    0.1474    0.1140    0.1450   0.0178  1.1243   0.001030  0.001311  </t>
  </si>
  <si>
    <t xml:space="preserve"> Al       0.0158    0.0299    0.0156    0.0294   0.0053  1.4108   0.000112  0.000212  </t>
  </si>
  <si>
    <t xml:space="preserve"> O       42.59       -       41.91       -      24.000      -         -        </t>
  </si>
  <si>
    <t>Total:  101.62    101.62    100.00    100.00    18.048</t>
  </si>
  <si>
    <t xml:space="preserve">Unknown Specimen No. 124 </t>
  </si>
  <si>
    <t xml:space="preserve"> UNK No.      :  124            Comment : UnkA-C21MI_26_2                          </t>
  </si>
  <si>
    <t xml:space="preserve"> Stage        :    X=   18.1045  Y=   85.7415  Z=   11.4515 </t>
  </si>
  <si>
    <t xml:space="preserve"> Dated on Mar  2 09:09 2017 </t>
  </si>
  <si>
    <t xml:space="preserve"> 1 Mg   107.540  54912.4  293.2  230.4    0.10       38 </t>
  </si>
  <si>
    <t xml:space="preserve"> 2 Mn   146.037    150.9   96.8   88.0    1.57       35 </t>
  </si>
  <si>
    <t xml:space="preserve"> 3 Fe   134.743   2497.3    0.0   24.7    0.45      109 </t>
  </si>
  <si>
    <t xml:space="preserve"> 4 Si    77.808  25958.2  191.0  121.3    0.14       61 </t>
  </si>
  <si>
    <t xml:space="preserve"> 5 Ca   107.775    764.1  294.0  250.3    0.61       14 </t>
  </si>
  <si>
    <t xml:space="preserve"> 6 Cr   159.160      2.5   72.1   66.5   85.06 ?     50 </t>
  </si>
  <si>
    <t xml:space="preserve"> 7 Ni   115.404     22.0   38.0   33.9    5.70       65 </t>
  </si>
  <si>
    <t xml:space="preserve"> 8 Al    90.986     15.3   85.7   66.1   13.54       24 </t>
  </si>
  <si>
    <t xml:space="preserve"> Mg      0.5696    0.0035    0.6530    0.9969     0.9988     1.5328     1.0669</t>
  </si>
  <si>
    <t xml:space="preserve"> Mn      0.9832    0.0003    1.0021    0.7908     1.0586     1.1918     1.0394</t>
  </si>
  <si>
    <t xml:space="preserve"> Fe      0.9871    0.0004    1.0032    0.8024     1.0580     1.1738     0.9898</t>
  </si>
  <si>
    <t xml:space="preserve"> Si      0.6626    0.0002    0.7272    0.9768     1.0140     1.3883     0.9988</t>
  </si>
  <si>
    <t xml:space="preserve"> Ca      0.9306    0.0059    0.9639    0.9088     1.0494     1.0814     1.0080</t>
  </si>
  <si>
    <t xml:space="preserve"> Ni      0.9835    0.0000    0.9953    0.8094     1.0537     1.1779     1.1244</t>
  </si>
  <si>
    <t xml:space="preserve"> Al      0.5411    0.0065    0.6069    0.9582     1.0064     1.6978     1.4098</t>
  </si>
  <si>
    <t xml:space="preserve"> Mg      26.45     43.86     26.03     43.15     9.799   1.0669   0.24843   0.83394  </t>
  </si>
  <si>
    <t xml:space="preserve"> Mn       0.2384    0.3078    0.2346    0.3029   0.0391  1.0394   0.002294  0.006810  </t>
  </si>
  <si>
    <t xml:space="preserve"> Fe      13.30     17.11     13.09     16.83     2.145   0.9898   0.13442   1.81284  </t>
  </si>
  <si>
    <t xml:space="preserve"> Si      18.61     39.81     18.31     39.17     5.967   0.9988   0.18654   0.97832  </t>
  </si>
  <si>
    <t xml:space="preserve"> Ca       0.2600    0.3638    0.2558    0.3579   0.0584  1.0080   0.002579  0.007559  </t>
  </si>
  <si>
    <t xml:space="preserve"> Cr       0.0043    0.0063    0.0042    0.0062   0.0007  1.0428   0.000041  0.000060 ?</t>
  </si>
  <si>
    <t xml:space="preserve"> Ni       0.1158    0.1474    0.1140    0.1450   0.0178  1.1244   0.001030  0.001311  </t>
  </si>
  <si>
    <t xml:space="preserve"> Al       0.0143    0.0269    0.0140    0.0265   0.0048  1.4098   0.000101  0.000191  </t>
  </si>
  <si>
    <t xml:space="preserve"> O       42.64       -       41.95       -      24.000      -         -        </t>
  </si>
  <si>
    <t>Total:  101.64    101.64    100.00    100.00    18.031</t>
  </si>
  <si>
    <t xml:space="preserve">Unknown Specimen No. 125 </t>
  </si>
  <si>
    <t xml:space="preserve"> UNK No.      :  125            Comment : UnkA-C21MI_26_3                          </t>
  </si>
  <si>
    <t xml:space="preserve"> Stage        :    X=   18.1380  Y=   85.7590  Z=   11.4515 </t>
  </si>
  <si>
    <t xml:space="preserve"> Dated on Mar  2 09:13 2017 </t>
  </si>
  <si>
    <t xml:space="preserve"> 1 Mg   107.540  54449.3  288.5  226.2    0.10       38 </t>
  </si>
  <si>
    <t xml:space="preserve"> 2 Mn   146.037    151.8   97.6   87.1    1.57       35 </t>
  </si>
  <si>
    <t xml:space="preserve"> 3 Fe   134.743   2555.7    0.0   24.6    0.44      109 </t>
  </si>
  <si>
    <t xml:space="preserve"> 4 Si    77.808  25669.7  200.2  116.2    0.14       61 </t>
  </si>
  <si>
    <t xml:space="preserve"> 5 Ca   107.775    798.5  292.5  251.3    0.60       14 </t>
  </si>
  <si>
    <t xml:space="preserve"> 6 Cr   159.160      3.3   70.2   70.0   65.58 ?     51 </t>
  </si>
  <si>
    <t xml:space="preserve"> 7 Ni   115.404     21.8   37.9   32.9    5.71       65 </t>
  </si>
  <si>
    <t xml:space="preserve"> 8 Al    90.986     17.9   84.5   67.2   11.69       24 </t>
  </si>
  <si>
    <t xml:space="preserve"> Mg      0.5675    0.0034    0.6506    0.9977     0.9985     1.5379     1.0704</t>
  </si>
  <si>
    <t xml:space="preserve"> Mn      0.9832    0.0002    1.0020    0.7913     1.0585     1.1912     1.0389</t>
  </si>
  <si>
    <t xml:space="preserve"> Fe      0.9871    0.0004    1.0032    0.8030     1.0578     1.1732     0.9892</t>
  </si>
  <si>
    <t xml:space="preserve"> Si      0.6619    0.0002    0.7263    0.9775     1.0136     1.3893     0.9995</t>
  </si>
  <si>
    <t xml:space="preserve"> Ca      0.9306    0.0060    0.9639    0.9095     1.0492     1.0807     1.0073</t>
  </si>
  <si>
    <t xml:space="preserve"> Cr      0.9781    0.0514    0.9993    0.8095     1.0582     1.1110     1.0410</t>
  </si>
  <si>
    <t xml:space="preserve"> Ni      0.9833    0.0000    0.9951    0.8100     1.0536     1.1775     1.1240</t>
  </si>
  <si>
    <t xml:space="preserve"> Al      0.5402    0.0064    0.6059    0.9590     1.0060     1.6998     1.4115</t>
  </si>
  <si>
    <t xml:space="preserve"> Mg      26.32     43.65     25.95     43.03     9.799   1.0704   0.24634   0.82691  </t>
  </si>
  <si>
    <t xml:space="preserve"> Mn       0.2397    0.3096    0.2364    0.3052   0.0395  1.0389   0.002308  0.006852  </t>
  </si>
  <si>
    <t xml:space="preserve"> Fe      13.60     17.50     13.41     17.26     2.204   0.9892   0.13756   1.85522  </t>
  </si>
  <si>
    <t xml:space="preserve"> Si      18.42     39.40     18.16     38.85     5.934   0.9995   0.18446   0.96744  </t>
  </si>
  <si>
    <t xml:space="preserve"> Ca       0.2715    0.3799    0.2677    0.3745   0.0613  1.0073   0.002695  0.007899  </t>
  </si>
  <si>
    <t xml:space="preserve"> Cr       0.0056    0.0081    0.0055    0.0080   0.0010  1.0410   0.000053  0.000078  </t>
  </si>
  <si>
    <t xml:space="preserve"> Ni       0.1148    0.1461    0.1132    0.1441   0.0177  1.1240   0.001022  0.001300  </t>
  </si>
  <si>
    <t xml:space="preserve"> Al       0.0167    0.0315    0.0164    0.0310   0.0056  1.4115   0.000118  0.000223  </t>
  </si>
  <si>
    <t xml:space="preserve"> O       42.43       -       41.84       -      24.000      -         -        </t>
  </si>
  <si>
    <t>Total:  101.43    101.43    100.00    100.00    18.062</t>
  </si>
  <si>
    <t xml:space="preserve">Unknown Specimen No. 126 </t>
  </si>
  <si>
    <t xml:space="preserve"> UNK No.      :  126            Comment : SC-Olivine                               </t>
  </si>
  <si>
    <t xml:space="preserve"> Stage        :    X=   17.2360  Y=   25.6640  Z=   11.6455 </t>
  </si>
  <si>
    <t xml:space="preserve"> Dated on Mar  2 09:16 2017 </t>
  </si>
  <si>
    <t xml:space="preserve"> 1 Mg   107.540  66076.0  301.6  241.7    0.09       39 </t>
  </si>
  <si>
    <t xml:space="preserve"> 2 Mn   146.037     67.0   93.3   81.7    3.01       34 </t>
  </si>
  <si>
    <t xml:space="preserve"> 3 Fe   134.743   1382.2    0.0   22.0    0.61      103 </t>
  </si>
  <si>
    <t xml:space="preserve"> 4 Si    77.808  26669.0  191.3  108.6    0.14       60 </t>
  </si>
  <si>
    <t xml:space="preserve"> 5 Ca   107.775    208.8  270.4  228.4    1.66       14 </t>
  </si>
  <si>
    <t xml:space="preserve"> 6 Cr   159.160      7.1   66.5   61.9   29.75       49 </t>
  </si>
  <si>
    <t xml:space="preserve"> 7 Ni   115.404     53.1   35.4   31.2    2.66       63 </t>
  </si>
  <si>
    <t xml:space="preserve"> 8 Al    90.986     18.0   79.6   63.1   11.31       24 </t>
  </si>
  <si>
    <t xml:space="preserve"> Mg      0.6103    0.0037    0.6995    0.9838     1.0041     1.4417     1.0035</t>
  </si>
  <si>
    <t xml:space="preserve"> Mn      0.9835    0.0007    1.0023    0.7811     1.0616     1.2024     1.0486</t>
  </si>
  <si>
    <t xml:space="preserve"> Fe      0.9873    0.0011    1.0034    0.7926     1.0606     1.1842     0.9985</t>
  </si>
  <si>
    <t xml:space="preserve"> Si      0.6665    0.0001    0.7314    0.9641     1.0194     1.3911     1.0008</t>
  </si>
  <si>
    <t xml:space="preserve"> Ca      0.9307    0.0034    0.9640    0.8974     1.0538     1.0933     1.0190</t>
  </si>
  <si>
    <t xml:space="preserve"> Cr      0.9784    0.0289    0.9996    0.7990     1.0617     1.1462     1.0740</t>
  </si>
  <si>
    <t xml:space="preserve"> Ni      0.9875    0.0000    0.9993    0.7997     1.0558     1.1851     1.1313</t>
  </si>
  <si>
    <t xml:space="preserve"> Al      0.5453    0.0068    0.6116    0.9457     1.0118     1.6974     1.4095</t>
  </si>
  <si>
    <t xml:space="preserve"> Mg      29.98     49.71     29.70     49.24    10.795   1.0035   0.29912   1.00409  </t>
  </si>
  <si>
    <t xml:space="preserve"> Mn       0.1069    0.1380    0.1059    0.1367   0.0170  1.0486   0.001019  0.003027  </t>
  </si>
  <si>
    <t xml:space="preserve"> Fe       7.43      9.56      7.36      9.47     1.165   0.9985   0.07444   1.00398  </t>
  </si>
  <si>
    <t xml:space="preserve"> Si      19.18     41.03     19.00     40.64     5.977   1.0008   0.19176   1.00572  </t>
  </si>
  <si>
    <t xml:space="preserve"> Ca       0.0718    0.1005    0.0712    0.0996   0.0157  1.0190   0.000705  0.002066  </t>
  </si>
  <si>
    <t xml:space="preserve"> Cr       0.0123    0.0180    0.0122    0.0179   0.0021  1.0740   0.000115  0.000168  </t>
  </si>
  <si>
    <t xml:space="preserve"> Ni       0.2820    0.3588    0.2793    0.3555   0.0420  1.1313   0.002493  0.003172  </t>
  </si>
  <si>
    <t xml:space="preserve"> Al       0.0167    0.0316    0.0166    0.0313   0.0054  1.4095   0.000119  0.000224  </t>
  </si>
  <si>
    <t xml:space="preserve"> O       43.87       -       43.45       -      24.000      -         -        </t>
  </si>
  <si>
    <t>Total:  100.95    100.95    100.00    100.00    18.019</t>
  </si>
  <si>
    <t xml:space="preserve">Unknown Specimen No. 127 </t>
  </si>
  <si>
    <t xml:space="preserve"> UNK No.      :  127            Comment : SC-Olivine                               </t>
  </si>
  <si>
    <t xml:space="preserve"> Stage        :    X=   17.2075  Y=   25.6940  Z=   11.6455 </t>
  </si>
  <si>
    <t xml:space="preserve"> Dated on Mar  2 09:20 2017 </t>
  </si>
  <si>
    <t xml:space="preserve"> 1 Mg   107.540  66073.0  304.1  237.1    0.09       39 </t>
  </si>
  <si>
    <t xml:space="preserve"> 2 Mn   146.037     71.5   90.3   82.2    2.84       33 </t>
  </si>
  <si>
    <t xml:space="preserve"> 3 Fe   134.743   1364.5    0.0   24.2    0.61      108 </t>
  </si>
  <si>
    <t xml:space="preserve"> 4 Si    77.808  26883.3  189.2  116.0    0.14       60 </t>
  </si>
  <si>
    <t xml:space="preserve"> 5 Ca   107.775    208.4  267.7  230.3    1.66       14 </t>
  </si>
  <si>
    <t xml:space="preserve"> 6 Cr   159.160      3.8   69.7   69.0   56.76 ?     51 </t>
  </si>
  <si>
    <t xml:space="preserve"> 7 Ni   115.404     52.5   35.9   32.3    2.70       64 </t>
  </si>
  <si>
    <t xml:space="preserve"> 8 Al    90.986     18.5   85.0   64.3   11.28       24 </t>
  </si>
  <si>
    <t xml:space="preserve"> Mg      0.6109    0.0038    0.7003    0.9836     1.0042     1.4403     1.0025</t>
  </si>
  <si>
    <t xml:space="preserve"> Mn      0.9835    0.0007    1.0023    0.7809     1.0616     1.2026     1.0488</t>
  </si>
  <si>
    <t xml:space="preserve"> Fe      0.9873    0.0011    1.0034    0.7925     1.0607     1.1844     0.9987</t>
  </si>
  <si>
    <t xml:space="preserve"> Si      0.6671    0.0001    0.7320    0.9639     1.0195     1.3901     1.0001</t>
  </si>
  <si>
    <t xml:space="preserve"> Ca      0.9307    0.0033    0.9640    0.8972     1.0538     1.0935     1.0193</t>
  </si>
  <si>
    <t xml:space="preserve"> Cr      0.9784    0.0285    0.9996    0.7988     1.0617     1.1469     1.0746</t>
  </si>
  <si>
    <t xml:space="preserve"> Ni      0.9876    0.0000    0.9994    0.7996     1.0558     1.1852     1.1314</t>
  </si>
  <si>
    <t xml:space="preserve"> Al      0.5460    0.0068    0.6123    0.9455     1.0119     1.6954     1.4079</t>
  </si>
  <si>
    <t xml:space="preserve"> Mg      29.93     49.62     29.63     49.13    10.757   1.0025   0.29889   1.00334  </t>
  </si>
  <si>
    <t xml:space="preserve"> Mn       0.1140    0.1471    0.1128    0.1457   0.0181  1.0488   0.001087  0.003226  </t>
  </si>
  <si>
    <t xml:space="preserve"> Fe       7.33      9.43      7.26      9.34     1.147   0.9987   0.07344   0.99038  </t>
  </si>
  <si>
    <t xml:space="preserve"> Si      19.30     41.30     19.11     40.89     6.005   1.0001   0.19316   1.01308  </t>
  </si>
  <si>
    <t xml:space="preserve"> Ca       0.0717    0.1003    0.0710    0.0993   0.0156  1.0193   0.000703  0.002061  </t>
  </si>
  <si>
    <t xml:space="preserve"> Cr       0.0066    0.0097    0.0066    0.0096   0.0011  1.0746   0.000062  0.000090  </t>
  </si>
  <si>
    <t xml:space="preserve"> Ni       0.2789    0.3549    0.2761    0.3514   0.0415  1.1314   0.002465  0.003137  </t>
  </si>
  <si>
    <t xml:space="preserve"> Al       0.0171    0.0324    0.0170    0.0321   0.0056  1.4079   0.000122  0.000230  </t>
  </si>
  <si>
    <t xml:space="preserve"> O       43.95       -       43.51       -      24.000      -         -        </t>
  </si>
  <si>
    <t>Total:  101.00    101.00    100.00    100.00    17.991</t>
  </si>
  <si>
    <t xml:space="preserve">Unknown Specimen No. 128 </t>
  </si>
  <si>
    <t xml:space="preserve"> UNK No.      :  128            Comment : SC-Olivine                               </t>
  </si>
  <si>
    <t xml:space="preserve"> Stage        :    X=   17.1475  Y=   25.7290  Z=   11.6455 </t>
  </si>
  <si>
    <t xml:space="preserve"> Dated on Mar  2 09:23 2017 </t>
  </si>
  <si>
    <t xml:space="preserve"> 1 Mg   107.540  65884.7  301.9  239.1    0.09       39 </t>
  </si>
  <si>
    <t xml:space="preserve"> 2 Mn   146.037     68.4   93.4   80.9    2.96       34 </t>
  </si>
  <si>
    <t xml:space="preserve"> 3 Fe   134.743   1363.7    0.0   21.2    0.61      101 </t>
  </si>
  <si>
    <t xml:space="preserve"> 4 Si    77.808  26888.9  184.5  109.7    0.14       59 </t>
  </si>
  <si>
    <t xml:space="preserve"> 5 Ca   107.775    216.7  270.4  236.3    1.61       14 </t>
  </si>
  <si>
    <t xml:space="preserve"> 6 Cr   159.160      6.0   65.4   63.2   35.38 ?     49 </t>
  </si>
  <si>
    <t xml:space="preserve"> 7 Ni   115.404     53.9   35.8   30.8    2.63       63 </t>
  </si>
  <si>
    <t xml:space="preserve"> 8 Al    90.986     25.0   76.3   63.4    8.22       23 </t>
  </si>
  <si>
    <t xml:space="preserve"> Mg      0.6108    0.0038    0.7001    0.9836     1.0042     1.4406     1.0027</t>
  </si>
  <si>
    <t xml:space="preserve"> Mn      0.9835    0.0007    1.0023    0.7810     1.0616     1.2025     1.0488</t>
  </si>
  <si>
    <t xml:space="preserve"> Fe      0.9873    0.0012    1.0034    0.7925     1.0606     1.1843     0.9987</t>
  </si>
  <si>
    <t xml:space="preserve"> Si      0.6672    0.0001    0.7321    0.9639     1.0194     1.3899     0.9999</t>
  </si>
  <si>
    <t xml:space="preserve"> Cr      0.9784    0.0285    0.9996    0.7989     1.0617     1.1469     1.0746</t>
  </si>
  <si>
    <t xml:space="preserve"> Al      0.5461    0.0068    0.6125    0.9455     1.0119     1.6949     1.4075</t>
  </si>
  <si>
    <t xml:space="preserve"> Mg      29.84     49.47     29.59     49.06    10.740   1.0027   0.29789   0.99997  </t>
  </si>
  <si>
    <t xml:space="preserve"> Mn       0.1090    0.1408    0.1081    0.1396   0.0174  1.0488   0.001039  0.003086  </t>
  </si>
  <si>
    <t xml:space="preserve"> Fe       7.33      9.42      7.26      9.34     1.148   0.9987   0.07336   0.98933  </t>
  </si>
  <si>
    <t xml:space="preserve"> Si      19.30     41.28     19.14     40.93     6.011   0.9999   0.19311   1.01278  </t>
  </si>
  <si>
    <t xml:space="preserve"> Ca       0.0745    0.1042    0.0739    0.1034   0.0163  1.0193   0.000731  0.002142  </t>
  </si>
  <si>
    <t xml:space="preserve"> Cr       0.0104    0.0152    0.0103    0.0150   0.0017  1.0746   0.000096  0.000141  </t>
  </si>
  <si>
    <t xml:space="preserve"> Ni       0.2860    0.3640    0.2836    0.3609   0.0426  1.1314   0.002528  0.003217  </t>
  </si>
  <si>
    <t xml:space="preserve"> Al       0.0232    0.0438    0.0230    0.0434   0.0075  1.4075   0.000165  0.000311  </t>
  </si>
  <si>
    <t xml:space="preserve"> O       43.89       -       43.52       -      24.000      -         -        </t>
  </si>
  <si>
    <t>Total:  100.85    100.85    100.00    100.00    17.984</t>
  </si>
  <si>
    <t>LIFH</t>
  </si>
  <si>
    <t>Cr</t>
  </si>
  <si>
    <t>Ni</t>
  </si>
  <si>
    <t>Dif</t>
  </si>
  <si>
    <t>Mn2LH</t>
  </si>
  <si>
    <t>Ca5PH</t>
  </si>
  <si>
    <t>Cr2LH</t>
  </si>
  <si>
    <t>Ni3L</t>
  </si>
  <si>
    <t>SC-Olivine</t>
  </si>
  <si>
    <t>Wollastonite</t>
  </si>
  <si>
    <t>Cr2O3</t>
  </si>
  <si>
    <t>NiO</t>
  </si>
  <si>
    <t>Corundum</t>
  </si>
  <si>
    <t xml:space="preserve">          106    107    108    109    110    111    112    113  </t>
  </si>
  <si>
    <t xml:space="preserve">          114    115    116    117    118    119    120    121  </t>
  </si>
  <si>
    <t xml:space="preserve">          122    123    124    125    126    127    128  </t>
  </si>
  <si>
    <t>ql</t>
  </si>
  <si>
    <t>Average SC-Ol</t>
  </si>
  <si>
    <t>Stdev SC-Ol</t>
  </si>
  <si>
    <t>SRM SC-Ol</t>
  </si>
  <si>
    <t>Correction Factor</t>
  </si>
  <si>
    <t xml:space="preserve">   MgO Corr</t>
  </si>
  <si>
    <t xml:space="preserve">   FeO Corr</t>
  </si>
  <si>
    <t xml:space="preserve">   SiO2 Corr</t>
  </si>
  <si>
    <t xml:space="preserve">Precision </t>
  </si>
  <si>
    <t>Accuracy Err</t>
  </si>
  <si>
    <t>StdDev</t>
  </si>
  <si>
    <t>CorrFactor</t>
  </si>
  <si>
    <t>TOTAL</t>
  </si>
  <si>
    <t>RSD</t>
  </si>
  <si>
    <t xml:space="preserve">   CaO Corr</t>
  </si>
  <si>
    <t xml:space="preserve">   MgO</t>
  </si>
  <si>
    <t xml:space="preserve">   CaO</t>
  </si>
  <si>
    <t>Corrected</t>
  </si>
  <si>
    <t>Original</t>
  </si>
  <si>
    <t>Accuracy</t>
  </si>
  <si>
    <t>Accuracy Corrected</t>
  </si>
  <si>
    <t>Average Train</t>
  </si>
  <si>
    <t>Average Test</t>
  </si>
  <si>
    <t>2SIG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</si>
</sst>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%"/>
    <numFmt numFmtId="169" formatCode="0.0000"/>
    <numFmt numFmtId="179" formatCode="_(* #,##0.0000_);_(* \(#,##0.000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rial Unicode MS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9" fontId="0" fillId="0" borderId="0" xfId="1" applyFont="1"/>
    <xf numFmtId="165" fontId="0" fillId="0" borderId="0" xfId="1" applyNumberFormat="1" applyFont="1"/>
    <xf numFmtId="165" fontId="0" fillId="4" borderId="0" xfId="1" applyNumberFormat="1" applyFont="1" applyFill="1"/>
    <xf numFmtId="0" fontId="0" fillId="0" borderId="0" xfId="1" applyNumberFormat="1" applyFont="1"/>
    <xf numFmtId="0" fontId="0" fillId="5" borderId="0" xfId="0" applyFill="1"/>
    <xf numFmtId="10" fontId="0" fillId="5" borderId="0" xfId="1" applyNumberFormat="1" applyFont="1" applyFill="1"/>
    <xf numFmtId="2" fontId="0" fillId="0" borderId="0" xfId="0" applyNumberFormat="1"/>
    <xf numFmtId="0" fontId="0" fillId="0" borderId="0" xfId="0" applyFill="1"/>
    <xf numFmtId="0" fontId="0" fillId="7" borderId="0" xfId="0" applyFill="1"/>
    <xf numFmtId="169" fontId="0" fillId="6" borderId="0" xfId="0" applyNumberFormat="1" applyFill="1"/>
    <xf numFmtId="169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8" borderId="0" xfId="0" applyFill="1"/>
    <xf numFmtId="10" fontId="0" fillId="0" borderId="0" xfId="1" applyNumberFormat="1" applyFont="1"/>
    <xf numFmtId="169" fontId="0" fillId="0" borderId="0" xfId="0" applyNumberFormat="1" applyFill="1"/>
    <xf numFmtId="179" fontId="0" fillId="0" borderId="0" xfId="2" applyNumberFormat="1" applyFont="1"/>
    <xf numFmtId="10" fontId="0" fillId="0" borderId="0" xfId="1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'Oxides Corr'!$E$4</c:f>
              <c:strCache>
                <c:ptCount val="1"/>
                <c:pt idx="0">
                  <c:v>   SiO2 Corr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'Oxides Corr'!$N$8:$N$129</c:f>
              <c:numCache>
                <c:formatCode>General</c:formatCode>
                <c:ptCount val="122"/>
                <c:pt idx="0">
                  <c:v>84.845043100762197</c:v>
                </c:pt>
                <c:pt idx="1">
                  <c:v>84.42932291080227</c:v>
                </c:pt>
                <c:pt idx="2">
                  <c:v>85.44084295470536</c:v>
                </c:pt>
                <c:pt idx="3">
                  <c:v>83.813314132581709</c:v>
                </c:pt>
                <c:pt idx="4">
                  <c:v>83.88993711523166</c:v>
                </c:pt>
                <c:pt idx="5">
                  <c:v>83.625670146723508</c:v>
                </c:pt>
                <c:pt idx="6">
                  <c:v>86.728922924199424</c:v>
                </c:pt>
                <c:pt idx="7">
                  <c:v>86.541644944777673</c:v>
                </c:pt>
                <c:pt idx="8">
                  <c:v>86.635694324971126</c:v>
                </c:pt>
                <c:pt idx="9">
                  <c:v>86.653455830361665</c:v>
                </c:pt>
                <c:pt idx="10">
                  <c:v>86.444110408842036</c:v>
                </c:pt>
                <c:pt idx="11">
                  <c:v>86.972316789553403</c:v>
                </c:pt>
                <c:pt idx="12">
                  <c:v>85.03996971647436</c:v>
                </c:pt>
                <c:pt idx="13">
                  <c:v>85.055908073810087</c:v>
                </c:pt>
                <c:pt idx="14">
                  <c:v>85.000851906099385</c:v>
                </c:pt>
                <c:pt idx="15">
                  <c:v>86.721618782331447</c:v>
                </c:pt>
                <c:pt idx="16">
                  <c:v>86.805480111212233</c:v>
                </c:pt>
                <c:pt idx="17">
                  <c:v>86.459012237501298</c:v>
                </c:pt>
                <c:pt idx="18">
                  <c:v>85.204399533573635</c:v>
                </c:pt>
                <c:pt idx="19">
                  <c:v>85.195377273448628</c:v>
                </c:pt>
                <c:pt idx="20">
                  <c:v>85.327228718981729</c:v>
                </c:pt>
                <c:pt idx="21">
                  <c:v>90.217700216424234</c:v>
                </c:pt>
                <c:pt idx="22">
                  <c:v>90.287999302677662</c:v>
                </c:pt>
                <c:pt idx="23">
                  <c:v>90.20447606739998</c:v>
                </c:pt>
                <c:pt idx="24">
                  <c:v>86.874599893141948</c:v>
                </c:pt>
                <c:pt idx="25">
                  <c:v>86.553409829652097</c:v>
                </c:pt>
                <c:pt idx="26">
                  <c:v>87.05371677687863</c:v>
                </c:pt>
                <c:pt idx="27">
                  <c:v>85.053225840166178</c:v>
                </c:pt>
                <c:pt idx="28">
                  <c:v>85.35649168669768</c:v>
                </c:pt>
                <c:pt idx="29">
                  <c:v>85.508531001943339</c:v>
                </c:pt>
                <c:pt idx="30">
                  <c:v>83.615570393728049</c:v>
                </c:pt>
                <c:pt idx="31">
                  <c:v>83.41670317522086</c:v>
                </c:pt>
                <c:pt idx="32">
                  <c:v>83.402241947205567</c:v>
                </c:pt>
                <c:pt idx="33">
                  <c:v>86.38273739319277</c:v>
                </c:pt>
                <c:pt idx="34">
                  <c:v>86.567739160399753</c:v>
                </c:pt>
                <c:pt idx="35">
                  <c:v>86.431117815033687</c:v>
                </c:pt>
                <c:pt idx="36">
                  <c:v>81.950000314567461</c:v>
                </c:pt>
                <c:pt idx="37">
                  <c:v>81.761017990126007</c:v>
                </c:pt>
                <c:pt idx="38">
                  <c:v>81.615045798593584</c:v>
                </c:pt>
                <c:pt idx="39">
                  <c:v>81.654673131555739</c:v>
                </c:pt>
                <c:pt idx="40">
                  <c:v>81.438027710123819</c:v>
                </c:pt>
                <c:pt idx="41">
                  <c:v>80.335816216423908</c:v>
                </c:pt>
                <c:pt idx="42">
                  <c:v>84.517494763669362</c:v>
                </c:pt>
                <c:pt idx="43">
                  <c:v>83.715080451138604</c:v>
                </c:pt>
                <c:pt idx="44">
                  <c:v>85.488183365478591</c:v>
                </c:pt>
                <c:pt idx="45">
                  <c:v>78.766737840254692</c:v>
                </c:pt>
                <c:pt idx="46">
                  <c:v>78.730700986298856</c:v>
                </c:pt>
                <c:pt idx="47">
                  <c:v>78.810506868195631</c:v>
                </c:pt>
                <c:pt idx="48">
                  <c:v>78.890653844247794</c:v>
                </c:pt>
                <c:pt idx="49">
                  <c:v>78.511949575854743</c:v>
                </c:pt>
                <c:pt idx="50">
                  <c:v>78.777217546902051</c:v>
                </c:pt>
                <c:pt idx="51">
                  <c:v>78.503590363227374</c:v>
                </c:pt>
                <c:pt idx="52">
                  <c:v>78.766328263604279</c:v>
                </c:pt>
                <c:pt idx="53">
                  <c:v>78.807922440883317</c:v>
                </c:pt>
                <c:pt idx="54">
                  <c:v>78.759146466916405</c:v>
                </c:pt>
                <c:pt idx="55">
                  <c:v>90.198759829180958</c:v>
                </c:pt>
                <c:pt idx="56">
                  <c:v>90.162104098986134</c:v>
                </c:pt>
                <c:pt idx="57">
                  <c:v>90.299655131022305</c:v>
                </c:pt>
                <c:pt idx="58">
                  <c:v>84.522125006696569</c:v>
                </c:pt>
                <c:pt idx="59">
                  <c:v>84.735130146495891</c:v>
                </c:pt>
                <c:pt idx="60">
                  <c:v>84.618603150118503</c:v>
                </c:pt>
                <c:pt idx="61">
                  <c:v>80.846555045036979</c:v>
                </c:pt>
                <c:pt idx="62">
                  <c:v>80.270382277545195</c:v>
                </c:pt>
                <c:pt idx="63">
                  <c:v>80.141622033096297</c:v>
                </c:pt>
                <c:pt idx="64">
                  <c:v>79.215015052395472</c:v>
                </c:pt>
                <c:pt idx="65">
                  <c:v>79.377619885629116</c:v>
                </c:pt>
                <c:pt idx="66">
                  <c:v>79.268985193984207</c:v>
                </c:pt>
                <c:pt idx="67">
                  <c:v>83.297045052724101</c:v>
                </c:pt>
                <c:pt idx="68">
                  <c:v>84.883073875610691</c:v>
                </c:pt>
                <c:pt idx="69">
                  <c:v>83.312558608052669</c:v>
                </c:pt>
                <c:pt idx="70">
                  <c:v>83.752793746933449</c:v>
                </c:pt>
                <c:pt idx="71">
                  <c:v>83.24923360265781</c:v>
                </c:pt>
                <c:pt idx="72">
                  <c:v>83.614492408542986</c:v>
                </c:pt>
                <c:pt idx="73">
                  <c:v>83.959733666630811</c:v>
                </c:pt>
                <c:pt idx="74">
                  <c:v>83.38327089244234</c:v>
                </c:pt>
                <c:pt idx="75">
                  <c:v>82.954685668003847</c:v>
                </c:pt>
                <c:pt idx="76">
                  <c:v>83.68569814950996</c:v>
                </c:pt>
                <c:pt idx="77">
                  <c:v>81.989311737107641</c:v>
                </c:pt>
                <c:pt idx="78">
                  <c:v>81.818668612712628</c:v>
                </c:pt>
                <c:pt idx="79">
                  <c:v>79.276128166082117</c:v>
                </c:pt>
                <c:pt idx="80">
                  <c:v>79.416364964067512</c:v>
                </c:pt>
                <c:pt idx="81">
                  <c:v>79.296918264162301</c:v>
                </c:pt>
                <c:pt idx="82">
                  <c:v>79.869065375526205</c:v>
                </c:pt>
                <c:pt idx="83">
                  <c:v>79.765331460664626</c:v>
                </c:pt>
                <c:pt idx="84">
                  <c:v>79.909767806303506</c:v>
                </c:pt>
                <c:pt idx="85">
                  <c:v>90.200536154514253</c:v>
                </c:pt>
                <c:pt idx="86">
                  <c:v>90.256162695593986</c:v>
                </c:pt>
                <c:pt idx="87">
                  <c:v>90.340786609422651</c:v>
                </c:pt>
                <c:pt idx="88">
                  <c:v>80.885848222917502</c:v>
                </c:pt>
                <c:pt idx="89">
                  <c:v>80.593068586609633</c:v>
                </c:pt>
                <c:pt idx="90">
                  <c:v>80.708749222761099</c:v>
                </c:pt>
                <c:pt idx="91">
                  <c:v>82.351493821117259</c:v>
                </c:pt>
                <c:pt idx="92">
                  <c:v>81.238520679377331</c:v>
                </c:pt>
                <c:pt idx="93">
                  <c:v>81.648433609170311</c:v>
                </c:pt>
                <c:pt idx="94">
                  <c:v>82.419343363100367</c:v>
                </c:pt>
                <c:pt idx="95">
                  <c:v>82.189938204380127</c:v>
                </c:pt>
                <c:pt idx="96">
                  <c:v>82.348865972241924</c:v>
                </c:pt>
                <c:pt idx="97">
                  <c:v>79.357496795221266</c:v>
                </c:pt>
                <c:pt idx="98">
                  <c:v>79.440080825250732</c:v>
                </c:pt>
                <c:pt idx="99">
                  <c:v>79.363872038791925</c:v>
                </c:pt>
                <c:pt idx="100">
                  <c:v>84.924391486314889</c:v>
                </c:pt>
                <c:pt idx="101">
                  <c:v>84.958802582112639</c:v>
                </c:pt>
                <c:pt idx="102">
                  <c:v>85.02493342688372</c:v>
                </c:pt>
                <c:pt idx="103">
                  <c:v>85.736095004639793</c:v>
                </c:pt>
                <c:pt idx="104">
                  <c:v>85.613677016736489</c:v>
                </c:pt>
                <c:pt idx="105">
                  <c:v>85.564010174046146</c:v>
                </c:pt>
                <c:pt idx="106">
                  <c:v>84.606940225773158</c:v>
                </c:pt>
                <c:pt idx="107">
                  <c:v>84.760120550523553</c:v>
                </c:pt>
                <c:pt idx="108">
                  <c:v>84.493318307123644</c:v>
                </c:pt>
                <c:pt idx="109">
                  <c:v>80.630289951764226</c:v>
                </c:pt>
                <c:pt idx="110">
                  <c:v>80.571280737294842</c:v>
                </c:pt>
                <c:pt idx="111">
                  <c:v>80.568917747484477</c:v>
                </c:pt>
                <c:pt idx="112">
                  <c:v>79.248178456694689</c:v>
                </c:pt>
                <c:pt idx="113">
                  <c:v>79.153792994731745</c:v>
                </c:pt>
                <c:pt idx="114">
                  <c:v>79.131211670330771</c:v>
                </c:pt>
                <c:pt idx="115">
                  <c:v>78.834475337029204</c:v>
                </c:pt>
                <c:pt idx="116">
                  <c:v>82.378300596225799</c:v>
                </c:pt>
                <c:pt idx="117">
                  <c:v>82.416079274812262</c:v>
                </c:pt>
                <c:pt idx="118">
                  <c:v>82.489812918495133</c:v>
                </c:pt>
                <c:pt idx="119">
                  <c:v>81.799517529638337</c:v>
                </c:pt>
                <c:pt idx="120">
                  <c:v>81.893200641329329</c:v>
                </c:pt>
                <c:pt idx="121">
                  <c:v>81.484297702279633</c:v>
                </c:pt>
              </c:numCache>
            </c:numRef>
          </c:xVal>
          <c:yVal>
            <c:numRef>
              <c:f>'Oxides Corr'!$F$5:$F$132</c:f>
              <c:numCache>
                <c:formatCode>General</c:formatCode>
                <c:ptCount val="128"/>
                <c:pt idx="0">
                  <c:v>9.2566487619546708E-2</c:v>
                </c:pt>
                <c:pt idx="1">
                  <c:v>8.8408227433512385E-2</c:v>
                </c:pt>
                <c:pt idx="2">
                  <c:v>9.3922442028036165E-2</c:v>
                </c:pt>
                <c:pt idx="3">
                  <c:v>0.31964365256124722</c:v>
                </c:pt>
                <c:pt idx="4">
                  <c:v>0.31910127079785144</c:v>
                </c:pt>
                <c:pt idx="5">
                  <c:v>0.30445696318616533</c:v>
                </c:pt>
                <c:pt idx="6">
                  <c:v>0.30879601729333161</c:v>
                </c:pt>
                <c:pt idx="7">
                  <c:v>0.31123673522861262</c:v>
                </c:pt>
                <c:pt idx="8">
                  <c:v>0.30445696318616533</c:v>
                </c:pt>
                <c:pt idx="9">
                  <c:v>0.32434429451067731</c:v>
                </c:pt>
                <c:pt idx="10">
                  <c:v>0.32208437049652822</c:v>
                </c:pt>
                <c:pt idx="11">
                  <c:v>0.31837809511332371</c:v>
                </c:pt>
                <c:pt idx="12">
                  <c:v>0.32687540940652426</c:v>
                </c:pt>
                <c:pt idx="13">
                  <c:v>0.31873968295558758</c:v>
                </c:pt>
                <c:pt idx="14">
                  <c:v>0.32118040089086858</c:v>
                </c:pt>
                <c:pt idx="15">
                  <c:v>0.29351893095768372</c:v>
                </c:pt>
                <c:pt idx="16">
                  <c:v>0.29116860998296867</c:v>
                </c:pt>
                <c:pt idx="17">
                  <c:v>0.2869199528363684</c:v>
                </c:pt>
                <c:pt idx="18">
                  <c:v>0.31738372854709812</c:v>
                </c:pt>
                <c:pt idx="19">
                  <c:v>0.31892047687671948</c:v>
                </c:pt>
                <c:pt idx="20">
                  <c:v>0.33392637233066946</c:v>
                </c:pt>
                <c:pt idx="21">
                  <c:v>0.30924800209616143</c:v>
                </c:pt>
                <c:pt idx="22">
                  <c:v>0.30463775710729729</c:v>
                </c:pt>
                <c:pt idx="23">
                  <c:v>0.30472815406786324</c:v>
                </c:pt>
                <c:pt idx="24">
                  <c:v>8.9673784881435861E-2</c:v>
                </c:pt>
                <c:pt idx="25">
                  <c:v>9.4284029870300018E-2</c:v>
                </c:pt>
                <c:pt idx="26">
                  <c:v>9.3560854185772299E-2</c:v>
                </c:pt>
                <c:pt idx="27">
                  <c:v>0.30002751211843309</c:v>
                </c:pt>
                <c:pt idx="28">
                  <c:v>0.33871741124066551</c:v>
                </c:pt>
                <c:pt idx="29">
                  <c:v>0.28176732608410848</c:v>
                </c:pt>
                <c:pt idx="30">
                  <c:v>0.32000524040351103</c:v>
                </c:pt>
                <c:pt idx="31">
                  <c:v>0.31593737717804271</c:v>
                </c:pt>
                <c:pt idx="32">
                  <c:v>0.3072592689637102</c:v>
                </c:pt>
                <c:pt idx="33">
                  <c:v>0.3155757893357789</c:v>
                </c:pt>
                <c:pt idx="34">
                  <c:v>0.31512380453294908</c:v>
                </c:pt>
                <c:pt idx="35">
                  <c:v>0.31657015590200449</c:v>
                </c:pt>
                <c:pt idx="36">
                  <c:v>0.30635529935805056</c:v>
                </c:pt>
                <c:pt idx="37">
                  <c:v>0.30563212367352288</c:v>
                </c:pt>
                <c:pt idx="38">
                  <c:v>0.30210664221145028</c:v>
                </c:pt>
                <c:pt idx="39">
                  <c:v>0.34495480151971702</c:v>
                </c:pt>
                <c:pt idx="40">
                  <c:v>0.35625442159046244</c:v>
                </c:pt>
                <c:pt idx="41">
                  <c:v>0.34848028298178962</c:v>
                </c:pt>
                <c:pt idx="42">
                  <c:v>0.34875147386348748</c:v>
                </c:pt>
                <c:pt idx="43">
                  <c:v>0.33889820516179747</c:v>
                </c:pt>
                <c:pt idx="44">
                  <c:v>0.36167823922442027</c:v>
                </c:pt>
                <c:pt idx="45">
                  <c:v>0.29198218262806236</c:v>
                </c:pt>
                <c:pt idx="46">
                  <c:v>0.30328180269880783</c:v>
                </c:pt>
                <c:pt idx="47">
                  <c:v>0.28899908292938553</c:v>
                </c:pt>
                <c:pt idx="48">
                  <c:v>0.26395912485261364</c:v>
                </c:pt>
                <c:pt idx="49">
                  <c:v>0.2690213546443076</c:v>
                </c:pt>
                <c:pt idx="50">
                  <c:v>0.2835752652954277</c:v>
                </c:pt>
                <c:pt idx="51">
                  <c:v>0.26739420935412028</c:v>
                </c:pt>
                <c:pt idx="52">
                  <c:v>0.26468230053714137</c:v>
                </c:pt>
                <c:pt idx="53">
                  <c:v>0.26477269749770732</c:v>
                </c:pt>
                <c:pt idx="54">
                  <c:v>0.2667614306301585</c:v>
                </c:pt>
                <c:pt idx="55">
                  <c:v>0.26757500327525219</c:v>
                </c:pt>
                <c:pt idx="56">
                  <c:v>0.26106642211450282</c:v>
                </c:pt>
                <c:pt idx="57">
                  <c:v>0.27399318747543561</c:v>
                </c:pt>
                <c:pt idx="58">
                  <c:v>9.2024105856150923E-2</c:v>
                </c:pt>
                <c:pt idx="59">
                  <c:v>9.338006026464038E-2</c:v>
                </c:pt>
                <c:pt idx="60">
                  <c:v>9.2928075461810561E-2</c:v>
                </c:pt>
                <c:pt idx="61">
                  <c:v>0.31277348355823398</c:v>
                </c:pt>
                <c:pt idx="62">
                  <c:v>0.30843442945106775</c:v>
                </c:pt>
                <c:pt idx="63">
                  <c:v>0.30988078082012316</c:v>
                </c:pt>
                <c:pt idx="64">
                  <c:v>0.35137298571990044</c:v>
                </c:pt>
                <c:pt idx="65">
                  <c:v>0.31720293462596622</c:v>
                </c:pt>
                <c:pt idx="66">
                  <c:v>0.3527289401283899</c:v>
                </c:pt>
                <c:pt idx="67">
                  <c:v>0.28574479234901085</c:v>
                </c:pt>
                <c:pt idx="68">
                  <c:v>0.28230970784750425</c:v>
                </c:pt>
                <c:pt idx="69">
                  <c:v>0.29894274859164155</c:v>
                </c:pt>
                <c:pt idx="70">
                  <c:v>0.31376785012445962</c:v>
                </c:pt>
                <c:pt idx="71">
                  <c:v>0.29297654919428795</c:v>
                </c:pt>
                <c:pt idx="72">
                  <c:v>0.31864928599502162</c:v>
                </c:pt>
                <c:pt idx="73">
                  <c:v>0.33519192977859297</c:v>
                </c:pt>
                <c:pt idx="74">
                  <c:v>0.33220883007991614</c:v>
                </c:pt>
                <c:pt idx="75">
                  <c:v>0.34929385562688331</c:v>
                </c:pt>
                <c:pt idx="76">
                  <c:v>0.31548539237521289</c:v>
                </c:pt>
                <c:pt idx="77">
                  <c:v>0.35336171885235168</c:v>
                </c:pt>
                <c:pt idx="78">
                  <c:v>0.31892047687671948</c:v>
                </c:pt>
                <c:pt idx="79">
                  <c:v>0.31964365256124722</c:v>
                </c:pt>
                <c:pt idx="80">
                  <c:v>0.32859295165727759</c:v>
                </c:pt>
                <c:pt idx="81">
                  <c:v>0.32796017293331586</c:v>
                </c:pt>
                <c:pt idx="82">
                  <c:v>0.28348486833486175</c:v>
                </c:pt>
                <c:pt idx="83">
                  <c:v>0.27869382942486576</c:v>
                </c:pt>
                <c:pt idx="84">
                  <c:v>0.27562033276562298</c:v>
                </c:pt>
                <c:pt idx="85">
                  <c:v>0.29541726712956895</c:v>
                </c:pt>
                <c:pt idx="86">
                  <c:v>0.29867155770994369</c:v>
                </c:pt>
                <c:pt idx="87">
                  <c:v>0.29496528232673913</c:v>
                </c:pt>
                <c:pt idx="88">
                  <c:v>8.9583387920869895E-2</c:v>
                </c:pt>
                <c:pt idx="89">
                  <c:v>9.2204899777282842E-2</c:v>
                </c:pt>
                <c:pt idx="90">
                  <c:v>9.1752914974453037E-2</c:v>
                </c:pt>
                <c:pt idx="91">
                  <c:v>0.34911306170575135</c:v>
                </c:pt>
                <c:pt idx="92">
                  <c:v>0.34450281671688721</c:v>
                </c:pt>
                <c:pt idx="93">
                  <c:v>0.35083060395650467</c:v>
                </c:pt>
                <c:pt idx="94">
                  <c:v>0.36149744530328831</c:v>
                </c:pt>
                <c:pt idx="95">
                  <c:v>0.35083060395650467</c:v>
                </c:pt>
                <c:pt idx="96">
                  <c:v>0.35625442159046244</c:v>
                </c:pt>
                <c:pt idx="97">
                  <c:v>0.34820909210009171</c:v>
                </c:pt>
                <c:pt idx="98">
                  <c:v>0.34712432857330017</c:v>
                </c:pt>
                <c:pt idx="99">
                  <c:v>0.35209616140442818</c:v>
                </c:pt>
                <c:pt idx="100">
                  <c:v>0.24407179352810168</c:v>
                </c:pt>
                <c:pt idx="101">
                  <c:v>0.24072710598716099</c:v>
                </c:pt>
                <c:pt idx="102">
                  <c:v>0.24253504519848026</c:v>
                </c:pt>
                <c:pt idx="103">
                  <c:v>0.3107847504257828</c:v>
                </c:pt>
                <c:pt idx="104">
                  <c:v>0.30273942093541201</c:v>
                </c:pt>
                <c:pt idx="105">
                  <c:v>0.30653609327918252</c:v>
                </c:pt>
                <c:pt idx="106">
                  <c:v>0.33537272369972487</c:v>
                </c:pt>
                <c:pt idx="107">
                  <c:v>0.33220883007991614</c:v>
                </c:pt>
                <c:pt idx="108">
                  <c:v>0.36999475959648892</c:v>
                </c:pt>
                <c:pt idx="109">
                  <c:v>0.32018603432464299</c:v>
                </c:pt>
                <c:pt idx="110">
                  <c:v>0.31232149875540416</c:v>
                </c:pt>
                <c:pt idx="111">
                  <c:v>0.3132254683610638</c:v>
                </c:pt>
                <c:pt idx="112">
                  <c:v>0.29369972487881568</c:v>
                </c:pt>
                <c:pt idx="113">
                  <c:v>0.30671688720031443</c:v>
                </c:pt>
                <c:pt idx="114">
                  <c:v>0.30680728416088038</c:v>
                </c:pt>
                <c:pt idx="115">
                  <c:v>0.33365518144897155</c:v>
                </c:pt>
                <c:pt idx="116">
                  <c:v>0.31883007991615353</c:v>
                </c:pt>
                <c:pt idx="117">
                  <c:v>0.30409537534390146</c:v>
                </c:pt>
                <c:pt idx="118">
                  <c:v>0.28927027381108344</c:v>
                </c:pt>
                <c:pt idx="119">
                  <c:v>0.33989257172802306</c:v>
                </c:pt>
                <c:pt idx="120">
                  <c:v>0.33962138084632515</c:v>
                </c:pt>
                <c:pt idx="121">
                  <c:v>0.33817502947726974</c:v>
                </c:pt>
                <c:pt idx="122">
                  <c:v>0.33501113585746101</c:v>
                </c:pt>
                <c:pt idx="123">
                  <c:v>0.3288641425389755</c:v>
                </c:pt>
                <c:pt idx="124">
                  <c:v>0.34341805319009566</c:v>
                </c:pt>
                <c:pt idx="125">
                  <c:v>9.0848945368793399E-2</c:v>
                </c:pt>
                <c:pt idx="126">
                  <c:v>9.0668151447661466E-2</c:v>
                </c:pt>
                <c:pt idx="127">
                  <c:v>9.4193632909734051E-2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0-A241-AC10-071FF2E26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65663"/>
        <c:axId val="1346322431"/>
      </c:scatterChart>
      <c:valAx>
        <c:axId val="140086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346322431"/>
        <c:crosses val="autoZero"/>
        <c:crossBetween val="midCat"/>
      </c:valAx>
      <c:valAx>
        <c:axId val="13463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40086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'Oxides Corr'!$E$4</c:f>
              <c:strCache>
                <c:ptCount val="1"/>
                <c:pt idx="0">
                  <c:v>   SiO2 Corr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'Oxides Corr'!$N$44:$N$62</c:f>
              <c:numCache>
                <c:formatCode>General</c:formatCode>
                <c:ptCount val="19"/>
                <c:pt idx="0">
                  <c:v>81.950000314567461</c:v>
                </c:pt>
                <c:pt idx="1">
                  <c:v>81.761017990126007</c:v>
                </c:pt>
                <c:pt idx="2">
                  <c:v>81.615045798593584</c:v>
                </c:pt>
                <c:pt idx="3">
                  <c:v>81.654673131555739</c:v>
                </c:pt>
                <c:pt idx="4">
                  <c:v>81.438027710123819</c:v>
                </c:pt>
                <c:pt idx="5">
                  <c:v>80.335816216423908</c:v>
                </c:pt>
                <c:pt idx="6">
                  <c:v>84.517494763669362</c:v>
                </c:pt>
                <c:pt idx="7">
                  <c:v>83.715080451138604</c:v>
                </c:pt>
                <c:pt idx="8">
                  <c:v>85.488183365478591</c:v>
                </c:pt>
                <c:pt idx="9">
                  <c:v>78.766737840254692</c:v>
                </c:pt>
                <c:pt idx="10">
                  <c:v>78.730700986298856</c:v>
                </c:pt>
                <c:pt idx="11">
                  <c:v>78.810506868195631</c:v>
                </c:pt>
                <c:pt idx="12">
                  <c:v>78.890653844247794</c:v>
                </c:pt>
                <c:pt idx="13">
                  <c:v>78.511949575854743</c:v>
                </c:pt>
                <c:pt idx="14">
                  <c:v>78.777217546902051</c:v>
                </c:pt>
                <c:pt idx="15">
                  <c:v>78.503590363227374</c:v>
                </c:pt>
                <c:pt idx="16">
                  <c:v>78.766328263604279</c:v>
                </c:pt>
                <c:pt idx="17">
                  <c:v>78.807922440883317</c:v>
                </c:pt>
                <c:pt idx="18">
                  <c:v>78.759146466916405</c:v>
                </c:pt>
              </c:numCache>
            </c:numRef>
          </c:xVal>
          <c:yVal>
            <c:numRef>
              <c:f>'Oxides Corr'!$E$44:$E$62</c:f>
              <c:numCache>
                <c:formatCode>General</c:formatCode>
                <c:ptCount val="19"/>
                <c:pt idx="0">
                  <c:v>40.265354114008261</c:v>
                </c:pt>
                <c:pt idx="1">
                  <c:v>39.1149154250366</c:v>
                </c:pt>
                <c:pt idx="2">
                  <c:v>38.931659704669428</c:v>
                </c:pt>
                <c:pt idx="3">
                  <c:v>39.023287564853014</c:v>
                </c:pt>
                <c:pt idx="4">
                  <c:v>39.206543285220178</c:v>
                </c:pt>
                <c:pt idx="5">
                  <c:v>40.08209839364109</c:v>
                </c:pt>
                <c:pt idx="6">
                  <c:v>39.440703372356005</c:v>
                </c:pt>
                <c:pt idx="7">
                  <c:v>40.591142061327666</c:v>
                </c:pt>
                <c:pt idx="8">
                  <c:v>39.49160773912466</c:v>
                </c:pt>
                <c:pt idx="9">
                  <c:v>40.204268873885873</c:v>
                </c:pt>
                <c:pt idx="10">
                  <c:v>40.183907127178408</c:v>
                </c:pt>
                <c:pt idx="11">
                  <c:v>40.194088000532133</c:v>
                </c:pt>
                <c:pt idx="12">
                  <c:v>38.840031844485843</c:v>
                </c:pt>
                <c:pt idx="13">
                  <c:v>40.061736646933632</c:v>
                </c:pt>
                <c:pt idx="14">
                  <c:v>40.041374900226167</c:v>
                </c:pt>
                <c:pt idx="15">
                  <c:v>38.82985097113211</c:v>
                </c:pt>
                <c:pt idx="16">
                  <c:v>38.809489224424645</c:v>
                </c:pt>
                <c:pt idx="17">
                  <c:v>38.646595250764946</c:v>
                </c:pt>
                <c:pt idx="18">
                  <c:v>38.646595250764946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F9-C448-AA65-9B38E4EB5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616511"/>
        <c:axId val="1739618303"/>
      </c:scatterChart>
      <c:valAx>
        <c:axId val="173961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739618303"/>
        <c:crosses val="autoZero"/>
        <c:crossBetween val="midCat"/>
      </c:valAx>
      <c:valAx>
        <c:axId val="17396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73961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>
        <c:manualLayout>
          <c:layoutTarget val="inner"/>
          <c:xMode val="edge"/>
          <c:yMode val="edge"/>
          <c:x val="0.11763081859011286"/>
          <c:y val="0.10580553241348813"/>
          <c:w val="0.85159098263402011"/>
          <c:h val="0.83253262630519986"/>
        </c:manualLayout>
      </c:layout>
      <c:scatterChart>
        <c:scatterStyle val="lineMarker"/>
        <c:varyColors val="0"/>
        <c:ser>
          <c:idx val="0"/>
          <c:order val="0"/>
          <c:tx>
            <c:strRef>
              <c:f>StdCalc!$G$3</c:f>
              <c:strCache>
                <c:ptCount val="1"/>
                <c:pt idx="0">
                  <c:v>   Cr2O3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StdCalc!$G$4:$G$18</c:f>
              <c:numCache>
                <c:formatCode>General</c:formatCode>
                <c:ptCount val="15"/>
                <c:pt idx="0">
                  <c:v>3.1099999999999999E-2</c:v>
                </c:pt>
                <c:pt idx="1">
                  <c:v>1.6199999999999999E-2</c:v>
                </c:pt>
                <c:pt idx="2">
                  <c:v>1.7899999999999999E-2</c:v>
                </c:pt>
                <c:pt idx="3">
                  <c:v>7.1999999999999998E-3</c:v>
                </c:pt>
                <c:pt idx="4">
                  <c:v>1.4200000000000001E-2</c:v>
                </c:pt>
                <c:pt idx="5">
                  <c:v>1.9E-2</c:v>
                </c:pt>
                <c:pt idx="6">
                  <c:v>5.4000000000000003E-3</c:v>
                </c:pt>
                <c:pt idx="7">
                  <c:v>1.04E-2</c:v>
                </c:pt>
                <c:pt idx="8">
                  <c:v>1.43E-2</c:v>
                </c:pt>
                <c:pt idx="9">
                  <c:v>2.1499999999999998E-2</c:v>
                </c:pt>
                <c:pt idx="10">
                  <c:v>1.9300000000000001E-2</c:v>
                </c:pt>
                <c:pt idx="11">
                  <c:v>9.7999999999999997E-3</c:v>
                </c:pt>
                <c:pt idx="12">
                  <c:v>1.7999999999999999E-2</c:v>
                </c:pt>
                <c:pt idx="13">
                  <c:v>9.7000000000000003E-3</c:v>
                </c:pt>
                <c:pt idx="14">
                  <c:v>1.52E-2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5-A648-926E-BD25198C6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637695"/>
        <c:axId val="1260639487"/>
      </c:scatterChart>
      <c:valAx>
        <c:axId val="126063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260639487"/>
        <c:crosses val="autoZero"/>
        <c:crossBetween val="midCat"/>
      </c:valAx>
      <c:valAx>
        <c:axId val="126063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126063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760290</xdr:colOff>
      <xdr:row>13</xdr:row>
      <xdr:rowOff>94998</xdr:rowOff>
    </xdr:from>
    <xdr:to>
      <xdr:col>22</xdr:col>
      <xdr:colOff>386885</xdr:colOff>
      <xdr:row>26</xdr:row>
      <xdr:rowOff>200142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E3D5A-1A4B-2CAC-A828-F1F280FF0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741325</xdr:colOff>
      <xdr:row>29</xdr:row>
      <xdr:rowOff>60842</xdr:rowOff>
    </xdr:from>
    <xdr:to>
      <xdr:col>22</xdr:col>
      <xdr:colOff>351465</xdr:colOff>
      <xdr:row>42</xdr:row>
      <xdr:rowOff>116367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0807C3-B86B-E38E-CB98-0029DFA54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854710</xdr:colOff>
      <xdr:row>28</xdr:row>
      <xdr:rowOff>22860</xdr:rowOff>
    </xdr:from>
    <xdr:to>
      <xdr:col>5</xdr:col>
      <xdr:colOff>640080</xdr:colOff>
      <xdr:row>52</xdr:row>
      <xdr:rowOff>22861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7F96C-797C-5CD1-AE08-28EEBD73C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7C2D-AAD6-1C42-BB86-F04AFE2245F0}">
  <dimension ref="A1:N150"/>
  <sheetViews>
    <sheetView zoomScale="111" workbookViewId="0">
      <pane ySplit="4" topLeftCell="A5" activePane="bottomLeft" state="frozen"/>
      <selection pane="bottomLeft" activeCell="D26" sqref="D26"/>
    </sheetView>
  </sheetViews>
  <sheetFormatPr defaultColWidth="10.90625" defaultRowHeight="15"/>
  <cols>
    <col min="1" max="1" width="14.1796875" bestFit="1" customWidth="1"/>
    <col min="2" max="2" width="17.453125" bestFit="1" customWidth="1"/>
    <col min="3" max="3" width="19.453125" bestFit="1" customWidth="1"/>
    <col min="11" max="11" width="26.81640625" customWidth="1"/>
  </cols>
  <sheetData>
    <row r="1" spans="1:14" ht="15" customHeight="1">
      <c r="A1" t="s">
        <v>0</v>
      </c>
    </row>
    <row r="2" spans="1:14" ht="15" customHeight="1">
      <c r="A2" t="s">
        <v>1</v>
      </c>
      <c r="B2" t="s">
        <v>2</v>
      </c>
      <c r="C2" t="s">
        <v>3</v>
      </c>
      <c r="D2" t="s">
        <v>4</v>
      </c>
      <c r="E2">
        <v>1</v>
      </c>
      <c r="F2" t="s">
        <v>0</v>
      </c>
    </row>
    <row r="3" spans="1:14" ht="15" customHeight="1">
      <c r="A3" t="s">
        <v>0</v>
      </c>
    </row>
    <row r="4" spans="1:14" ht="15" customHeight="1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14" ht="15" customHeight="1">
      <c r="A5">
        <v>1</v>
      </c>
      <c r="B5">
        <v>49.78</v>
      </c>
      <c r="C5">
        <v>0.14779999999999999</v>
      </c>
      <c r="D5">
        <v>9.56</v>
      </c>
      <c r="E5">
        <v>39.72</v>
      </c>
      <c r="F5">
        <v>0.1024</v>
      </c>
      <c r="G5">
        <v>3.1099999999999999E-2</v>
      </c>
      <c r="H5">
        <v>0.36720000000000003</v>
      </c>
      <c r="I5">
        <v>3.1600000000000003E-2</v>
      </c>
      <c r="J5">
        <v>99.740200000000002</v>
      </c>
      <c r="K5" t="s">
        <v>16</v>
      </c>
      <c r="M5">
        <f>B5/(B5+D5)</f>
        <v>0.83889450623525441</v>
      </c>
      <c r="N5">
        <f>100*(B5/40.3)/((B5/40.3)+(D5/71.84))</f>
        <v>90.274603585866956</v>
      </c>
    </row>
    <row r="6" spans="1:14" ht="15" customHeight="1">
      <c r="A6">
        <v>2</v>
      </c>
      <c r="B6">
        <v>49.65</v>
      </c>
      <c r="C6">
        <v>0.14130000000000001</v>
      </c>
      <c r="D6">
        <v>9.61</v>
      </c>
      <c r="E6">
        <v>39.76</v>
      </c>
      <c r="F6">
        <v>9.7799999999999998E-2</v>
      </c>
      <c r="G6">
        <v>1.6199999999999999E-2</v>
      </c>
      <c r="H6">
        <v>0.38100000000000001</v>
      </c>
      <c r="I6">
        <v>3.3000000000000002E-2</v>
      </c>
      <c r="J6">
        <f>SUM(B6:I6)</f>
        <v>99.689300000000003</v>
      </c>
      <c r="K6" t="s">
        <v>16</v>
      </c>
    </row>
    <row r="7" spans="1:14" ht="15" customHeight="1">
      <c r="A7">
        <v>3</v>
      </c>
      <c r="B7">
        <v>49.6</v>
      </c>
      <c r="C7">
        <v>0.14399999999999999</v>
      </c>
      <c r="D7">
        <v>9.5</v>
      </c>
      <c r="E7">
        <v>39.65</v>
      </c>
      <c r="F7">
        <v>0.10390000000000001</v>
      </c>
      <c r="G7">
        <v>1.7899999999999999E-2</v>
      </c>
      <c r="H7">
        <v>0.34689999999999999</v>
      </c>
      <c r="I7">
        <v>3.44E-2</v>
      </c>
      <c r="J7">
        <f t="shared" ref="J7:J70" si="0">SUM(B7:I7)</f>
        <v>99.397100000000009</v>
      </c>
      <c r="K7" t="s">
        <v>16</v>
      </c>
    </row>
    <row r="8" spans="1:14" ht="15" customHeight="1">
      <c r="A8">
        <v>4</v>
      </c>
      <c r="B8">
        <v>46.01</v>
      </c>
      <c r="C8">
        <v>0.24210000000000001</v>
      </c>
      <c r="D8">
        <v>14.5</v>
      </c>
      <c r="E8">
        <v>38.700000000000003</v>
      </c>
      <c r="F8">
        <v>0.35360000000000003</v>
      </c>
      <c r="G8">
        <v>3.5499999999999997E-2</v>
      </c>
      <c r="H8">
        <v>0.20419999999999999</v>
      </c>
      <c r="I8">
        <v>3.5799999999999998E-2</v>
      </c>
      <c r="J8">
        <f t="shared" si="0"/>
        <v>100.0812</v>
      </c>
      <c r="K8" t="s">
        <v>17</v>
      </c>
    </row>
    <row r="9" spans="1:14">
      <c r="A9">
        <v>5</v>
      </c>
      <c r="B9">
        <v>45.73</v>
      </c>
      <c r="C9">
        <v>0.25779999999999997</v>
      </c>
      <c r="D9">
        <v>14.88</v>
      </c>
      <c r="E9">
        <v>38.520000000000003</v>
      </c>
      <c r="F9">
        <v>0.35299999999999998</v>
      </c>
      <c r="G9">
        <v>2.4400000000000002E-2</v>
      </c>
      <c r="H9">
        <v>0.19670000000000001</v>
      </c>
      <c r="I9">
        <v>3.4000000000000002E-2</v>
      </c>
      <c r="J9">
        <f t="shared" si="0"/>
        <v>99.995900000000006</v>
      </c>
      <c r="K9" t="s">
        <v>18</v>
      </c>
    </row>
    <row r="10" spans="1:14">
      <c r="A10">
        <v>6</v>
      </c>
      <c r="B10">
        <v>46.3</v>
      </c>
      <c r="C10">
        <v>0.22090000000000001</v>
      </c>
      <c r="D10">
        <v>13.92</v>
      </c>
      <c r="E10">
        <v>39.71</v>
      </c>
      <c r="F10">
        <v>0.33679999999999999</v>
      </c>
      <c r="G10">
        <v>2.6599999999999999E-2</v>
      </c>
      <c r="H10">
        <v>0.20880000000000001</v>
      </c>
      <c r="I10">
        <v>2.4799999999999999E-2</v>
      </c>
      <c r="J10">
        <f t="shared" si="0"/>
        <v>100.7479</v>
      </c>
      <c r="K10" t="s">
        <v>19</v>
      </c>
    </row>
    <row r="11" spans="1:14">
      <c r="A11">
        <v>7</v>
      </c>
      <c r="B11">
        <v>44.96</v>
      </c>
      <c r="C11">
        <v>0.25040000000000001</v>
      </c>
      <c r="D11">
        <v>15.32</v>
      </c>
      <c r="E11">
        <v>40</v>
      </c>
      <c r="F11">
        <v>0.34160000000000001</v>
      </c>
      <c r="G11">
        <v>1.7600000000000001E-2</v>
      </c>
      <c r="H11">
        <v>0.18029999999999999</v>
      </c>
      <c r="I11">
        <v>3.5200000000000002E-2</v>
      </c>
      <c r="J11">
        <f t="shared" si="0"/>
        <v>101.10510000000001</v>
      </c>
      <c r="K11" t="s">
        <v>20</v>
      </c>
    </row>
    <row r="12" spans="1:14">
      <c r="A12">
        <v>8</v>
      </c>
      <c r="B12">
        <v>44.92</v>
      </c>
      <c r="C12">
        <v>0.25240000000000001</v>
      </c>
      <c r="D12">
        <v>15.22</v>
      </c>
      <c r="E12">
        <v>38.43</v>
      </c>
      <c r="F12">
        <v>0.34429999999999999</v>
      </c>
      <c r="G12">
        <v>1.0999999999999999E-2</v>
      </c>
      <c r="H12">
        <v>0.19339999999999999</v>
      </c>
      <c r="I12">
        <v>3.9100000000000003E-2</v>
      </c>
      <c r="J12">
        <f t="shared" si="0"/>
        <v>99.410200000000003</v>
      </c>
      <c r="K12" t="s">
        <v>21</v>
      </c>
    </row>
    <row r="13" spans="1:14">
      <c r="A13">
        <v>9</v>
      </c>
      <c r="B13">
        <v>44.49</v>
      </c>
      <c r="C13">
        <v>0.2462</v>
      </c>
      <c r="D13">
        <v>15.37</v>
      </c>
      <c r="E13">
        <v>39.08</v>
      </c>
      <c r="F13">
        <v>0.33679999999999999</v>
      </c>
      <c r="G13">
        <v>4.8999999999999998E-3</v>
      </c>
      <c r="H13">
        <v>0.19650000000000001</v>
      </c>
      <c r="I13">
        <v>4.8800000000000003E-2</v>
      </c>
      <c r="J13">
        <f t="shared" si="0"/>
        <v>99.773200000000003</v>
      </c>
      <c r="K13" t="s">
        <v>22</v>
      </c>
    </row>
    <row r="14" spans="1:14">
      <c r="A14">
        <v>10</v>
      </c>
      <c r="B14">
        <v>47.3</v>
      </c>
      <c r="C14">
        <v>0.20649999999999999</v>
      </c>
      <c r="D14">
        <v>12.77</v>
      </c>
      <c r="E14">
        <v>38.99</v>
      </c>
      <c r="F14">
        <v>0.35880000000000001</v>
      </c>
      <c r="G14">
        <v>4.1799999999999997E-2</v>
      </c>
      <c r="H14">
        <v>0.2019</v>
      </c>
      <c r="I14">
        <v>4.5100000000000001E-2</v>
      </c>
      <c r="J14">
        <f t="shared" si="0"/>
        <v>99.914100000000005</v>
      </c>
      <c r="K14" t="s">
        <v>23</v>
      </c>
    </row>
    <row r="15" spans="1:14">
      <c r="A15">
        <v>11</v>
      </c>
      <c r="B15">
        <v>47.27</v>
      </c>
      <c r="C15">
        <v>0.21809999999999999</v>
      </c>
      <c r="D15">
        <v>12.97</v>
      </c>
      <c r="E15">
        <v>39.020000000000003</v>
      </c>
      <c r="F15">
        <v>0.35630000000000001</v>
      </c>
      <c r="G15">
        <v>3.1899999999999998E-2</v>
      </c>
      <c r="H15">
        <v>0.21240000000000001</v>
      </c>
      <c r="I15">
        <v>2.4199999999999999E-2</v>
      </c>
      <c r="J15">
        <f t="shared" si="0"/>
        <v>100.10290000000001</v>
      </c>
      <c r="K15" t="s">
        <v>24</v>
      </c>
    </row>
    <row r="16" spans="1:14">
      <c r="A16">
        <v>12</v>
      </c>
      <c r="B16">
        <v>47.14</v>
      </c>
      <c r="C16">
        <v>0.2082</v>
      </c>
      <c r="D16">
        <v>12.83</v>
      </c>
      <c r="E16">
        <v>40.15</v>
      </c>
      <c r="F16">
        <v>0.35220000000000001</v>
      </c>
      <c r="G16">
        <v>4.36E-2</v>
      </c>
      <c r="H16">
        <v>0.20979999999999999</v>
      </c>
      <c r="I16">
        <v>3.44E-2</v>
      </c>
      <c r="J16">
        <f t="shared" si="0"/>
        <v>100.9682</v>
      </c>
      <c r="K16" t="s">
        <v>25</v>
      </c>
    </row>
    <row r="17" spans="1:11">
      <c r="A17">
        <v>13</v>
      </c>
      <c r="B17">
        <v>47.47</v>
      </c>
      <c r="C17">
        <v>0.2114</v>
      </c>
      <c r="D17">
        <v>12.9</v>
      </c>
      <c r="E17">
        <v>40.01</v>
      </c>
      <c r="F17">
        <v>0.36159999999999998</v>
      </c>
      <c r="G17">
        <v>3.32E-2</v>
      </c>
      <c r="H17">
        <v>0.219</v>
      </c>
      <c r="I17">
        <v>3.5299999999999998E-2</v>
      </c>
      <c r="J17">
        <f t="shared" si="0"/>
        <v>101.24049999999998</v>
      </c>
      <c r="K17" t="s">
        <v>26</v>
      </c>
    </row>
    <row r="18" spans="1:11">
      <c r="A18">
        <v>14</v>
      </c>
      <c r="B18">
        <v>47.13</v>
      </c>
      <c r="C18">
        <v>0.20319999999999999</v>
      </c>
      <c r="D18">
        <v>13.04</v>
      </c>
      <c r="E18">
        <v>40.049999999999997</v>
      </c>
      <c r="F18">
        <v>0.35260000000000002</v>
      </c>
      <c r="G18">
        <v>3.3399999999999999E-2</v>
      </c>
      <c r="H18">
        <v>0.21940000000000001</v>
      </c>
      <c r="I18">
        <v>2.2700000000000001E-2</v>
      </c>
      <c r="J18">
        <f t="shared" si="0"/>
        <v>101.0513</v>
      </c>
      <c r="K18" t="s">
        <v>27</v>
      </c>
    </row>
    <row r="19" spans="1:11">
      <c r="A19">
        <v>15</v>
      </c>
      <c r="B19">
        <v>47.6</v>
      </c>
      <c r="C19">
        <v>0.20449999999999999</v>
      </c>
      <c r="D19">
        <v>12.58</v>
      </c>
      <c r="E19">
        <v>38.79</v>
      </c>
      <c r="F19">
        <v>0.3553</v>
      </c>
      <c r="G19">
        <v>4.0300000000000002E-2</v>
      </c>
      <c r="H19">
        <v>0.21820000000000001</v>
      </c>
      <c r="I19">
        <v>3.7999999999999999E-2</v>
      </c>
      <c r="J19">
        <f t="shared" si="0"/>
        <v>99.826299999999989</v>
      </c>
      <c r="K19" t="s">
        <v>28</v>
      </c>
    </row>
    <row r="20" spans="1:11">
      <c r="A20">
        <v>16</v>
      </c>
      <c r="B20">
        <v>46.04</v>
      </c>
      <c r="C20">
        <v>0.2346</v>
      </c>
      <c r="D20">
        <v>14.29</v>
      </c>
      <c r="E20">
        <v>39.86</v>
      </c>
      <c r="F20">
        <v>0.32469999999999999</v>
      </c>
      <c r="G20">
        <v>6.8400000000000002E-2</v>
      </c>
      <c r="H20">
        <v>0.19689999999999999</v>
      </c>
      <c r="I20">
        <v>3.6799999999999999E-2</v>
      </c>
      <c r="J20">
        <f t="shared" si="0"/>
        <v>101.0514</v>
      </c>
      <c r="K20" t="s">
        <v>29</v>
      </c>
    </row>
    <row r="21" spans="1:11">
      <c r="A21">
        <v>17</v>
      </c>
      <c r="B21">
        <v>46.13</v>
      </c>
      <c r="C21">
        <v>0.22720000000000001</v>
      </c>
      <c r="D21">
        <v>14.3</v>
      </c>
      <c r="E21">
        <v>38.909999999999997</v>
      </c>
      <c r="F21">
        <v>0.3221</v>
      </c>
      <c r="G21">
        <v>2.7900000000000001E-2</v>
      </c>
      <c r="H21">
        <v>0.2127</v>
      </c>
      <c r="I21">
        <v>2.8000000000000001E-2</v>
      </c>
      <c r="J21">
        <f t="shared" si="0"/>
        <v>100.15790000000001</v>
      </c>
      <c r="K21" t="s">
        <v>30</v>
      </c>
    </row>
    <row r="22" spans="1:11">
      <c r="A22">
        <v>18</v>
      </c>
      <c r="B22">
        <v>46.22</v>
      </c>
      <c r="C22">
        <v>0.23200000000000001</v>
      </c>
      <c r="D22">
        <v>14.39</v>
      </c>
      <c r="E22">
        <v>38.840000000000003</v>
      </c>
      <c r="F22">
        <v>0.31740000000000002</v>
      </c>
      <c r="G22">
        <v>1.52E-2</v>
      </c>
      <c r="H22">
        <v>0.2109</v>
      </c>
      <c r="I22">
        <v>2.7900000000000001E-2</v>
      </c>
      <c r="J22">
        <f t="shared" si="0"/>
        <v>100.2534</v>
      </c>
      <c r="K22" t="s">
        <v>31</v>
      </c>
    </row>
    <row r="23" spans="1:11">
      <c r="A23">
        <v>19</v>
      </c>
      <c r="B23">
        <v>47.27</v>
      </c>
      <c r="C23">
        <v>0.21779999999999999</v>
      </c>
      <c r="D23">
        <v>12.77</v>
      </c>
      <c r="E23">
        <v>38.79</v>
      </c>
      <c r="F23">
        <v>0.35110000000000002</v>
      </c>
      <c r="G23">
        <v>3.95E-2</v>
      </c>
      <c r="H23">
        <v>0.22040000000000001</v>
      </c>
      <c r="I23">
        <v>2.8799999999999999E-2</v>
      </c>
      <c r="J23">
        <f t="shared" si="0"/>
        <v>99.687600000000003</v>
      </c>
      <c r="K23" t="s">
        <v>32</v>
      </c>
    </row>
    <row r="24" spans="1:11">
      <c r="A24">
        <v>20</v>
      </c>
      <c r="B24">
        <v>47.43</v>
      </c>
      <c r="C24">
        <v>0.19869999999999999</v>
      </c>
      <c r="D24">
        <v>12.72</v>
      </c>
      <c r="E24">
        <v>38.86</v>
      </c>
      <c r="F24">
        <v>0.3528</v>
      </c>
      <c r="G24">
        <v>0.04</v>
      </c>
      <c r="H24">
        <v>0.2165</v>
      </c>
      <c r="I24">
        <v>2.6800000000000001E-2</v>
      </c>
      <c r="J24">
        <f t="shared" si="0"/>
        <v>99.844799999999992</v>
      </c>
      <c r="K24" t="s">
        <v>33</v>
      </c>
    </row>
    <row r="25" spans="1:11">
      <c r="A25">
        <v>21</v>
      </c>
      <c r="B25">
        <v>47.19</v>
      </c>
      <c r="C25">
        <v>0.21709999999999999</v>
      </c>
      <c r="D25">
        <v>13.04</v>
      </c>
      <c r="E25">
        <v>38.79</v>
      </c>
      <c r="F25">
        <v>0.36940000000000001</v>
      </c>
      <c r="G25">
        <v>3.1099999999999999E-2</v>
      </c>
      <c r="H25">
        <v>0.2205</v>
      </c>
      <c r="I25">
        <v>3.1300000000000001E-2</v>
      </c>
      <c r="J25">
        <f t="shared" si="0"/>
        <v>99.889399999999995</v>
      </c>
      <c r="K25" t="s">
        <v>34</v>
      </c>
    </row>
    <row r="26" spans="1:11">
      <c r="A26">
        <v>22</v>
      </c>
      <c r="B26">
        <v>46.25</v>
      </c>
      <c r="C26">
        <v>0.23400000000000001</v>
      </c>
      <c r="D26">
        <v>14.17</v>
      </c>
      <c r="E26">
        <v>38.72</v>
      </c>
      <c r="F26">
        <v>0.34210000000000002</v>
      </c>
      <c r="G26">
        <v>3.9E-2</v>
      </c>
      <c r="H26">
        <v>0.2248</v>
      </c>
      <c r="I26">
        <v>0.03</v>
      </c>
      <c r="J26">
        <f t="shared" si="0"/>
        <v>100.0099</v>
      </c>
      <c r="K26" t="s">
        <v>35</v>
      </c>
    </row>
    <row r="27" spans="1:11">
      <c r="A27">
        <v>23</v>
      </c>
      <c r="B27">
        <v>46.38</v>
      </c>
      <c r="C27">
        <v>0.2387</v>
      </c>
      <c r="D27">
        <v>14.22</v>
      </c>
      <c r="E27">
        <v>38.840000000000003</v>
      </c>
      <c r="F27">
        <v>0.33700000000000002</v>
      </c>
      <c r="G27">
        <v>2.24E-2</v>
      </c>
      <c r="H27">
        <v>0.22639999999999999</v>
      </c>
      <c r="I27">
        <v>2.8199999999999999E-2</v>
      </c>
      <c r="J27">
        <f t="shared" si="0"/>
        <v>100.29270000000001</v>
      </c>
      <c r="K27" t="s">
        <v>36</v>
      </c>
    </row>
    <row r="28" spans="1:11">
      <c r="A28">
        <v>24</v>
      </c>
      <c r="B28">
        <v>46.21</v>
      </c>
      <c r="C28">
        <v>0.2271</v>
      </c>
      <c r="D28">
        <v>14.02</v>
      </c>
      <c r="E28">
        <v>39.85</v>
      </c>
      <c r="F28">
        <v>0.33710000000000001</v>
      </c>
      <c r="G28">
        <v>2.3099999999999999E-2</v>
      </c>
      <c r="H28">
        <v>0.22059999999999999</v>
      </c>
      <c r="I28">
        <v>3.9199999999999999E-2</v>
      </c>
      <c r="J28">
        <f t="shared" si="0"/>
        <v>100.9271</v>
      </c>
      <c r="K28" t="s">
        <v>37</v>
      </c>
    </row>
    <row r="29" spans="1:11">
      <c r="A29">
        <v>25</v>
      </c>
      <c r="B29">
        <v>49.71</v>
      </c>
      <c r="C29">
        <v>0.14369999999999999</v>
      </c>
      <c r="D29">
        <v>9.51</v>
      </c>
      <c r="E29">
        <v>39.65</v>
      </c>
      <c r="F29">
        <v>9.9199999999999997E-2</v>
      </c>
      <c r="G29">
        <v>7.1999999999999998E-3</v>
      </c>
      <c r="H29">
        <v>0.35270000000000001</v>
      </c>
      <c r="I29">
        <v>3.1399999999999997E-2</v>
      </c>
      <c r="J29">
        <f t="shared" si="0"/>
        <v>99.504199999999997</v>
      </c>
      <c r="K29" t="s">
        <v>16</v>
      </c>
    </row>
    <row r="30" spans="1:11">
      <c r="A30">
        <v>26</v>
      </c>
      <c r="B30">
        <v>49.74</v>
      </c>
      <c r="C30">
        <v>0.14910000000000001</v>
      </c>
      <c r="D30">
        <v>9.44</v>
      </c>
      <c r="E30">
        <v>39.61</v>
      </c>
      <c r="F30">
        <v>0.1043</v>
      </c>
      <c r="G30">
        <v>1.4200000000000001E-2</v>
      </c>
      <c r="H30">
        <v>0.36449999999999999</v>
      </c>
      <c r="I30">
        <v>3.2099999999999997E-2</v>
      </c>
      <c r="J30">
        <f t="shared" si="0"/>
        <v>99.4542</v>
      </c>
      <c r="K30" t="s">
        <v>16</v>
      </c>
    </row>
    <row r="31" spans="1:11">
      <c r="A31">
        <v>27</v>
      </c>
      <c r="B31">
        <v>49.74</v>
      </c>
      <c r="C31">
        <v>0.1368</v>
      </c>
      <c r="D31">
        <v>9.5299999999999994</v>
      </c>
      <c r="E31">
        <v>39.46</v>
      </c>
      <c r="F31">
        <v>0.10349999999999999</v>
      </c>
      <c r="G31">
        <v>1.9E-2</v>
      </c>
      <c r="H31">
        <v>0.34589999999999999</v>
      </c>
      <c r="I31">
        <v>3.6799999999999999E-2</v>
      </c>
      <c r="J31">
        <f t="shared" si="0"/>
        <v>99.372000000000014</v>
      </c>
      <c r="K31" t="s">
        <v>16</v>
      </c>
    </row>
    <row r="32" spans="1:11">
      <c r="A32">
        <v>28</v>
      </c>
      <c r="B32">
        <v>47.08</v>
      </c>
      <c r="C32">
        <v>0.19900000000000001</v>
      </c>
      <c r="D32">
        <v>12.55</v>
      </c>
      <c r="E32">
        <v>40.409999999999997</v>
      </c>
      <c r="F32">
        <v>0.33189999999999997</v>
      </c>
      <c r="G32">
        <v>5.3600000000000002E-2</v>
      </c>
      <c r="H32">
        <v>0.22120000000000001</v>
      </c>
      <c r="I32">
        <v>4.4400000000000002E-2</v>
      </c>
      <c r="J32">
        <f t="shared" si="0"/>
        <v>100.89009999999999</v>
      </c>
      <c r="K32" t="s">
        <v>38</v>
      </c>
    </row>
    <row r="33" spans="1:11">
      <c r="A33">
        <v>29</v>
      </c>
      <c r="B33">
        <v>46.88</v>
      </c>
      <c r="C33">
        <v>0.21940000000000001</v>
      </c>
      <c r="D33">
        <v>12.85</v>
      </c>
      <c r="E33">
        <v>40.35</v>
      </c>
      <c r="F33">
        <v>0.37469999999999998</v>
      </c>
      <c r="G33">
        <v>3.0200000000000001E-2</v>
      </c>
      <c r="H33">
        <v>0.22</v>
      </c>
      <c r="I33">
        <v>3.9600000000000003E-2</v>
      </c>
      <c r="J33">
        <f t="shared" si="0"/>
        <v>100.9639</v>
      </c>
      <c r="K33" t="s">
        <v>39</v>
      </c>
    </row>
    <row r="34" spans="1:11">
      <c r="A34">
        <v>30</v>
      </c>
      <c r="B34">
        <v>47.22</v>
      </c>
      <c r="C34">
        <v>0.192</v>
      </c>
      <c r="D34">
        <v>12.39</v>
      </c>
      <c r="E34">
        <v>40.53</v>
      </c>
      <c r="F34">
        <v>0.31169999999999998</v>
      </c>
      <c r="G34">
        <v>3.3099999999999997E-2</v>
      </c>
      <c r="H34">
        <v>0.21659999999999999</v>
      </c>
      <c r="I34">
        <v>3.27E-2</v>
      </c>
      <c r="J34">
        <f t="shared" si="0"/>
        <v>100.92610000000001</v>
      </c>
      <c r="K34" t="s">
        <v>40</v>
      </c>
    </row>
    <row r="35" spans="1:11">
      <c r="A35">
        <v>31</v>
      </c>
      <c r="B35">
        <v>45.83</v>
      </c>
      <c r="C35">
        <v>0.22900000000000001</v>
      </c>
      <c r="D35">
        <v>14.21</v>
      </c>
      <c r="E35">
        <v>40.18</v>
      </c>
      <c r="F35">
        <v>0.35399999999999998</v>
      </c>
      <c r="G35">
        <v>0.02</v>
      </c>
      <c r="H35">
        <v>0.2329</v>
      </c>
      <c r="I35">
        <v>3.6600000000000001E-2</v>
      </c>
      <c r="J35">
        <f t="shared" si="0"/>
        <v>101.0925</v>
      </c>
      <c r="K35" t="s">
        <v>41</v>
      </c>
    </row>
    <row r="36" spans="1:11">
      <c r="A36">
        <v>32</v>
      </c>
      <c r="B36">
        <v>46.12</v>
      </c>
      <c r="C36">
        <v>0.2321</v>
      </c>
      <c r="D36">
        <v>13.96</v>
      </c>
      <c r="E36">
        <v>40.229999999999997</v>
      </c>
      <c r="F36">
        <v>0.34949999999999998</v>
      </c>
      <c r="G36">
        <v>2.86E-2</v>
      </c>
      <c r="H36">
        <v>0.23830000000000001</v>
      </c>
      <c r="I36">
        <v>3.6799999999999999E-2</v>
      </c>
      <c r="J36">
        <f t="shared" si="0"/>
        <v>101.1953</v>
      </c>
      <c r="K36" t="s">
        <v>42</v>
      </c>
    </row>
    <row r="37" spans="1:11">
      <c r="A37">
        <v>33</v>
      </c>
      <c r="B37">
        <v>46.62</v>
      </c>
      <c r="C37">
        <v>0.22739999999999999</v>
      </c>
      <c r="D37">
        <v>13.94</v>
      </c>
      <c r="E37">
        <v>40.03</v>
      </c>
      <c r="F37">
        <v>0.33989999999999998</v>
      </c>
      <c r="G37">
        <v>2.8400000000000002E-2</v>
      </c>
      <c r="H37">
        <v>0.2447</v>
      </c>
      <c r="I37">
        <v>2.8799999999999999E-2</v>
      </c>
      <c r="J37">
        <f t="shared" si="0"/>
        <v>101.4592</v>
      </c>
      <c r="K37" t="s">
        <v>43</v>
      </c>
    </row>
    <row r="38" spans="1:11">
      <c r="A38">
        <v>34</v>
      </c>
      <c r="B38">
        <v>44.92</v>
      </c>
      <c r="C38">
        <v>0.25319999999999998</v>
      </c>
      <c r="D38">
        <v>15.53</v>
      </c>
      <c r="E38">
        <v>40.04</v>
      </c>
      <c r="F38">
        <v>0.34910000000000002</v>
      </c>
      <c r="G38">
        <v>9.4000000000000004E-3</v>
      </c>
      <c r="H38">
        <v>0.21820000000000001</v>
      </c>
      <c r="I38">
        <v>3.5700000000000003E-2</v>
      </c>
      <c r="J38">
        <f t="shared" si="0"/>
        <v>101.35560000000001</v>
      </c>
      <c r="K38" t="s">
        <v>44</v>
      </c>
    </row>
    <row r="39" spans="1:11">
      <c r="A39">
        <v>35</v>
      </c>
      <c r="B39">
        <v>44.96</v>
      </c>
      <c r="C39">
        <v>0.2596</v>
      </c>
      <c r="D39">
        <v>15.77</v>
      </c>
      <c r="E39">
        <v>39.950000000000003</v>
      </c>
      <c r="F39">
        <v>0.34860000000000002</v>
      </c>
      <c r="G39">
        <v>1.03E-2</v>
      </c>
      <c r="H39">
        <v>0.1946</v>
      </c>
      <c r="I39">
        <v>3.1600000000000003E-2</v>
      </c>
      <c r="J39">
        <f t="shared" si="0"/>
        <v>101.5247</v>
      </c>
      <c r="K39" t="s">
        <v>45</v>
      </c>
    </row>
    <row r="40" spans="1:11">
      <c r="A40">
        <v>36</v>
      </c>
      <c r="B40">
        <v>44.97</v>
      </c>
      <c r="C40">
        <v>0.25259999999999999</v>
      </c>
      <c r="D40">
        <v>15.79</v>
      </c>
      <c r="E40">
        <v>40.01</v>
      </c>
      <c r="F40">
        <v>0.35020000000000001</v>
      </c>
      <c r="G40">
        <v>2.5399999999999999E-2</v>
      </c>
      <c r="H40">
        <v>0.19980000000000001</v>
      </c>
      <c r="I40">
        <v>3.7499999999999999E-2</v>
      </c>
      <c r="J40">
        <f t="shared" si="0"/>
        <v>101.63549999999999</v>
      </c>
      <c r="K40" t="s">
        <v>46</v>
      </c>
    </row>
    <row r="41" spans="1:11">
      <c r="A41">
        <v>37</v>
      </c>
      <c r="B41">
        <v>47.1</v>
      </c>
      <c r="C41">
        <v>0.21490000000000001</v>
      </c>
      <c r="D41">
        <v>13.1</v>
      </c>
      <c r="E41">
        <v>40.22</v>
      </c>
      <c r="F41">
        <v>0.33889999999999998</v>
      </c>
      <c r="G41">
        <v>4.1799999999999997E-2</v>
      </c>
      <c r="H41">
        <v>0.22189999999999999</v>
      </c>
      <c r="I41">
        <v>2.8500000000000001E-2</v>
      </c>
      <c r="J41">
        <f t="shared" si="0"/>
        <v>101.26599999999999</v>
      </c>
      <c r="K41" t="s">
        <v>47</v>
      </c>
    </row>
    <row r="42" spans="1:11">
      <c r="A42">
        <v>38</v>
      </c>
      <c r="B42">
        <v>47.23</v>
      </c>
      <c r="C42">
        <v>0.21790000000000001</v>
      </c>
      <c r="D42">
        <v>12.93</v>
      </c>
      <c r="E42">
        <v>40.229999999999997</v>
      </c>
      <c r="F42">
        <v>0.33810000000000001</v>
      </c>
      <c r="G42">
        <v>3.9600000000000003E-2</v>
      </c>
      <c r="H42">
        <v>0.20569999999999999</v>
      </c>
      <c r="I42">
        <v>3.0200000000000001E-2</v>
      </c>
      <c r="J42">
        <f t="shared" si="0"/>
        <v>101.22149999999998</v>
      </c>
      <c r="K42" t="s">
        <v>48</v>
      </c>
    </row>
    <row r="43" spans="1:11">
      <c r="A43">
        <v>39</v>
      </c>
      <c r="B43">
        <v>47.15</v>
      </c>
      <c r="C43">
        <v>0.20419999999999999</v>
      </c>
      <c r="D43">
        <v>13.06</v>
      </c>
      <c r="E43">
        <v>40.21</v>
      </c>
      <c r="F43">
        <v>0.3342</v>
      </c>
      <c r="G43">
        <v>2.4299999999999999E-2</v>
      </c>
      <c r="H43">
        <v>0.1993</v>
      </c>
      <c r="I43">
        <v>2.6200000000000001E-2</v>
      </c>
      <c r="J43">
        <f t="shared" si="0"/>
        <v>101.20819999999999</v>
      </c>
      <c r="K43" t="s">
        <v>49</v>
      </c>
    </row>
    <row r="44" spans="1:11">
      <c r="A44">
        <v>40</v>
      </c>
      <c r="B44">
        <v>44.08</v>
      </c>
      <c r="C44">
        <v>0.30709999999999998</v>
      </c>
      <c r="D44">
        <v>17.13</v>
      </c>
      <c r="E44">
        <v>39.549999999999997</v>
      </c>
      <c r="F44">
        <v>0.38159999999999999</v>
      </c>
      <c r="G44">
        <v>1.4E-2</v>
      </c>
      <c r="H44">
        <v>0.16669999999999999</v>
      </c>
      <c r="I44">
        <v>3.2300000000000002E-2</v>
      </c>
      <c r="J44">
        <f t="shared" si="0"/>
        <v>101.66170000000001</v>
      </c>
      <c r="K44" t="s">
        <v>50</v>
      </c>
    </row>
    <row r="45" spans="1:11">
      <c r="A45">
        <v>41</v>
      </c>
      <c r="B45">
        <v>43.98</v>
      </c>
      <c r="C45">
        <v>0.3095</v>
      </c>
      <c r="D45">
        <v>17.309999999999999</v>
      </c>
      <c r="E45">
        <v>38.42</v>
      </c>
      <c r="F45">
        <v>0.39410000000000001</v>
      </c>
      <c r="G45">
        <v>2.3999999999999998E-3</v>
      </c>
      <c r="H45">
        <v>0.1542</v>
      </c>
      <c r="I45">
        <v>3.3700000000000001E-2</v>
      </c>
      <c r="J45">
        <f t="shared" si="0"/>
        <v>100.60389999999998</v>
      </c>
      <c r="K45" t="s">
        <v>51</v>
      </c>
    </row>
    <row r="46" spans="1:11">
      <c r="A46">
        <v>42</v>
      </c>
      <c r="B46">
        <v>43.88</v>
      </c>
      <c r="C46">
        <v>0.30740000000000001</v>
      </c>
      <c r="D46">
        <v>17.440000000000001</v>
      </c>
      <c r="E46">
        <v>38.24</v>
      </c>
      <c r="F46">
        <v>0.38550000000000001</v>
      </c>
      <c r="G46">
        <v>1.38E-2</v>
      </c>
      <c r="H46">
        <v>0.14960000000000001</v>
      </c>
      <c r="I46">
        <v>2.9600000000000001E-2</v>
      </c>
      <c r="J46">
        <f t="shared" si="0"/>
        <v>100.44590000000001</v>
      </c>
      <c r="K46" t="s">
        <v>52</v>
      </c>
    </row>
    <row r="47" spans="1:11">
      <c r="A47">
        <v>43</v>
      </c>
      <c r="B47">
        <v>43.87</v>
      </c>
      <c r="C47">
        <v>0.3095</v>
      </c>
      <c r="D47">
        <v>17.39</v>
      </c>
      <c r="E47">
        <v>38.33</v>
      </c>
      <c r="F47">
        <v>0.38579999999999998</v>
      </c>
      <c r="G47">
        <v>1.4E-2</v>
      </c>
      <c r="H47">
        <v>0.15609999999999999</v>
      </c>
      <c r="I47">
        <v>2.8000000000000001E-2</v>
      </c>
      <c r="J47">
        <f t="shared" si="0"/>
        <v>100.48339999999999</v>
      </c>
      <c r="K47" t="s">
        <v>53</v>
      </c>
    </row>
    <row r="48" spans="1:11">
      <c r="A48">
        <v>44</v>
      </c>
      <c r="B48">
        <v>43.79</v>
      </c>
      <c r="C48">
        <v>0.31369999999999998</v>
      </c>
      <c r="D48">
        <v>17.61</v>
      </c>
      <c r="E48">
        <v>38.51</v>
      </c>
      <c r="F48">
        <v>0.37490000000000001</v>
      </c>
      <c r="G48">
        <v>1.2699999999999999E-2</v>
      </c>
      <c r="H48">
        <v>0.14349999999999999</v>
      </c>
      <c r="I48">
        <v>2.4400000000000002E-2</v>
      </c>
      <c r="J48">
        <f t="shared" si="0"/>
        <v>100.77919999999999</v>
      </c>
      <c r="K48" t="s">
        <v>54</v>
      </c>
    </row>
    <row r="49" spans="1:11">
      <c r="A49">
        <v>45</v>
      </c>
      <c r="B49">
        <v>42.86</v>
      </c>
      <c r="C49">
        <v>0.33960000000000001</v>
      </c>
      <c r="D49">
        <v>18.510000000000002</v>
      </c>
      <c r="E49">
        <v>39.369999999999997</v>
      </c>
      <c r="F49">
        <v>0.40010000000000001</v>
      </c>
      <c r="G49">
        <v>0</v>
      </c>
      <c r="H49">
        <v>0.14199999999999999</v>
      </c>
      <c r="I49">
        <v>2.3800000000000002E-2</v>
      </c>
      <c r="J49">
        <f t="shared" si="0"/>
        <v>101.64549999999998</v>
      </c>
      <c r="K49" t="s">
        <v>55</v>
      </c>
    </row>
    <row r="50" spans="1:11">
      <c r="A50">
        <v>46</v>
      </c>
      <c r="B50">
        <v>45.76</v>
      </c>
      <c r="C50">
        <v>0.31219999999999998</v>
      </c>
      <c r="D50">
        <v>14.79</v>
      </c>
      <c r="E50">
        <v>38.74</v>
      </c>
      <c r="F50">
        <v>0.32300000000000001</v>
      </c>
      <c r="G50">
        <v>1.46E-2</v>
      </c>
      <c r="H50">
        <v>0.2382</v>
      </c>
      <c r="I50">
        <v>2.1100000000000001E-2</v>
      </c>
      <c r="J50">
        <f t="shared" si="0"/>
        <v>100.1991</v>
      </c>
      <c r="K50" t="s">
        <v>56</v>
      </c>
    </row>
    <row r="51" spans="1:11">
      <c r="A51">
        <v>47</v>
      </c>
      <c r="B51">
        <v>45.19</v>
      </c>
      <c r="C51">
        <v>0.31919999999999998</v>
      </c>
      <c r="D51">
        <v>15.51</v>
      </c>
      <c r="E51">
        <v>39.869999999999997</v>
      </c>
      <c r="F51">
        <v>0.33550000000000002</v>
      </c>
      <c r="G51">
        <v>1.9800000000000002E-2</v>
      </c>
      <c r="H51">
        <v>0.22009999999999999</v>
      </c>
      <c r="I51">
        <v>2.29E-2</v>
      </c>
      <c r="J51">
        <f t="shared" si="0"/>
        <v>101.4875</v>
      </c>
      <c r="K51" t="s">
        <v>57</v>
      </c>
    </row>
    <row r="52" spans="1:11">
      <c r="A52">
        <v>48</v>
      </c>
      <c r="B52">
        <v>46.41</v>
      </c>
      <c r="C52">
        <v>0.32740000000000002</v>
      </c>
      <c r="D52">
        <v>13.9</v>
      </c>
      <c r="E52">
        <v>38.79</v>
      </c>
      <c r="F52">
        <v>0.31969999999999998</v>
      </c>
      <c r="G52">
        <v>3.0200000000000001E-2</v>
      </c>
      <c r="H52">
        <v>0.2437</v>
      </c>
      <c r="I52">
        <v>2.2100000000000002E-2</v>
      </c>
      <c r="J52">
        <f t="shared" si="0"/>
        <v>100.04309999999998</v>
      </c>
      <c r="K52" t="s">
        <v>58</v>
      </c>
    </row>
    <row r="53" spans="1:11">
      <c r="A53">
        <v>49</v>
      </c>
      <c r="B53">
        <v>41.84</v>
      </c>
      <c r="C53">
        <v>0.36609999999999998</v>
      </c>
      <c r="D53">
        <v>19.899999999999999</v>
      </c>
      <c r="E53">
        <v>39.49</v>
      </c>
      <c r="F53">
        <v>0.29199999999999998</v>
      </c>
      <c r="G53">
        <v>6.7999999999999996E-3</v>
      </c>
      <c r="H53">
        <v>0.1305</v>
      </c>
      <c r="I53">
        <v>2.2599999999999999E-2</v>
      </c>
      <c r="J53">
        <f t="shared" si="0"/>
        <v>102.048</v>
      </c>
      <c r="K53" t="s">
        <v>59</v>
      </c>
    </row>
    <row r="54" spans="1:11">
      <c r="A54">
        <v>50</v>
      </c>
      <c r="B54">
        <v>41.75</v>
      </c>
      <c r="C54">
        <v>0.35930000000000001</v>
      </c>
      <c r="D54">
        <v>19.899999999999999</v>
      </c>
      <c r="E54">
        <v>39.47</v>
      </c>
      <c r="F54">
        <v>0.29759999999999998</v>
      </c>
      <c r="G54">
        <v>0</v>
      </c>
      <c r="H54">
        <v>0.1363</v>
      </c>
      <c r="I54">
        <v>2.98E-2</v>
      </c>
      <c r="J54">
        <f t="shared" si="0"/>
        <v>101.943</v>
      </c>
      <c r="K54" t="s">
        <v>60</v>
      </c>
    </row>
    <row r="55" spans="1:11">
      <c r="A55">
        <v>51</v>
      </c>
      <c r="B55">
        <v>41.76</v>
      </c>
      <c r="C55">
        <v>0.36780000000000002</v>
      </c>
      <c r="D55">
        <v>19.809999999999999</v>
      </c>
      <c r="E55">
        <v>39.479999999999997</v>
      </c>
      <c r="F55">
        <v>0.31369999999999998</v>
      </c>
      <c r="G55">
        <v>4.4000000000000003E-3</v>
      </c>
      <c r="H55">
        <v>0.12520000000000001</v>
      </c>
      <c r="I55">
        <v>3.3099999999999997E-2</v>
      </c>
      <c r="J55">
        <f t="shared" si="0"/>
        <v>101.89420000000001</v>
      </c>
      <c r="K55" t="s">
        <v>61</v>
      </c>
    </row>
    <row r="56" spans="1:11">
      <c r="A56">
        <v>52</v>
      </c>
      <c r="B56">
        <v>41.94</v>
      </c>
      <c r="C56">
        <v>0.3553</v>
      </c>
      <c r="D56">
        <v>19.8</v>
      </c>
      <c r="E56">
        <v>38.15</v>
      </c>
      <c r="F56">
        <v>0.29580000000000001</v>
      </c>
      <c r="G56">
        <v>3.5999999999999999E-3</v>
      </c>
      <c r="H56">
        <v>0.1426</v>
      </c>
      <c r="I56">
        <v>2.9000000000000001E-2</v>
      </c>
      <c r="J56">
        <f t="shared" si="0"/>
        <v>100.71629999999999</v>
      </c>
      <c r="K56" t="s">
        <v>62</v>
      </c>
    </row>
    <row r="57" spans="1:11">
      <c r="A57">
        <v>53</v>
      </c>
      <c r="B57">
        <v>41.79</v>
      </c>
      <c r="C57">
        <v>0.36990000000000001</v>
      </c>
      <c r="D57">
        <v>20.18</v>
      </c>
      <c r="E57">
        <v>39.35</v>
      </c>
      <c r="F57">
        <v>0.2928</v>
      </c>
      <c r="G57">
        <v>4.1999999999999997E-3</v>
      </c>
      <c r="H57">
        <v>0.13850000000000001</v>
      </c>
      <c r="I57">
        <v>3.0599999999999999E-2</v>
      </c>
      <c r="J57">
        <f t="shared" si="0"/>
        <v>102.15599999999999</v>
      </c>
      <c r="K57" t="s">
        <v>63</v>
      </c>
    </row>
    <row r="58" spans="1:11">
      <c r="A58">
        <v>54</v>
      </c>
      <c r="B58">
        <v>41.74</v>
      </c>
      <c r="C58">
        <v>0.36609999999999998</v>
      </c>
      <c r="D58">
        <v>19.84</v>
      </c>
      <c r="E58">
        <v>39.33</v>
      </c>
      <c r="F58">
        <v>0.29289999999999999</v>
      </c>
      <c r="G58">
        <v>1.2999999999999999E-3</v>
      </c>
      <c r="H58">
        <v>0.1464</v>
      </c>
      <c r="I58">
        <v>2.8899999999999999E-2</v>
      </c>
      <c r="J58">
        <f t="shared" si="0"/>
        <v>101.7456</v>
      </c>
      <c r="K58" t="s">
        <v>64</v>
      </c>
    </row>
    <row r="59" spans="1:11">
      <c r="A59">
        <v>55</v>
      </c>
      <c r="B59">
        <v>41.79</v>
      </c>
      <c r="C59">
        <v>0.37340000000000001</v>
      </c>
      <c r="D59">
        <v>20.190000000000001</v>
      </c>
      <c r="E59">
        <v>38.14</v>
      </c>
      <c r="F59">
        <v>0.29509999999999997</v>
      </c>
      <c r="G59">
        <v>1.04E-2</v>
      </c>
      <c r="H59">
        <v>0.12770000000000001</v>
      </c>
      <c r="I59">
        <v>3.5099999999999999E-2</v>
      </c>
      <c r="J59">
        <f t="shared" si="0"/>
        <v>100.96170000000001</v>
      </c>
      <c r="K59" t="s">
        <v>65</v>
      </c>
    </row>
    <row r="60" spans="1:11">
      <c r="A60">
        <v>56</v>
      </c>
      <c r="B60">
        <v>41.86</v>
      </c>
      <c r="C60">
        <v>0.36709999999999998</v>
      </c>
      <c r="D60">
        <v>19.91</v>
      </c>
      <c r="E60">
        <v>38.119999999999997</v>
      </c>
      <c r="F60">
        <v>0.29599999999999999</v>
      </c>
      <c r="G60">
        <v>1.03E-2</v>
      </c>
      <c r="H60">
        <v>0.13370000000000001</v>
      </c>
      <c r="I60">
        <v>2.58E-2</v>
      </c>
      <c r="J60">
        <f t="shared" si="0"/>
        <v>100.72290000000002</v>
      </c>
      <c r="K60" t="s">
        <v>66</v>
      </c>
    </row>
    <row r="61" spans="1:11">
      <c r="A61">
        <v>57</v>
      </c>
      <c r="B61">
        <v>41.88</v>
      </c>
      <c r="C61">
        <v>0.3639</v>
      </c>
      <c r="D61">
        <v>19.87</v>
      </c>
      <c r="E61">
        <v>37.96</v>
      </c>
      <c r="F61">
        <v>0.2888</v>
      </c>
      <c r="G61">
        <v>0</v>
      </c>
      <c r="H61">
        <v>0.13200000000000001</v>
      </c>
      <c r="I61">
        <v>2.4500000000000001E-2</v>
      </c>
      <c r="J61">
        <f t="shared" si="0"/>
        <v>100.51920000000001</v>
      </c>
      <c r="K61" t="s">
        <v>67</v>
      </c>
    </row>
    <row r="62" spans="1:11">
      <c r="A62">
        <v>58</v>
      </c>
      <c r="B62">
        <v>41.8</v>
      </c>
      <c r="C62">
        <v>0.36820000000000003</v>
      </c>
      <c r="D62">
        <v>19.89</v>
      </c>
      <c r="E62">
        <v>37.96</v>
      </c>
      <c r="F62">
        <v>0.30309999999999998</v>
      </c>
      <c r="G62">
        <v>8.6999999999999994E-3</v>
      </c>
      <c r="H62">
        <v>0.13819999999999999</v>
      </c>
      <c r="I62">
        <v>3.9E-2</v>
      </c>
      <c r="J62">
        <f t="shared" si="0"/>
        <v>100.50720000000001</v>
      </c>
      <c r="K62" t="s">
        <v>68</v>
      </c>
    </row>
    <row r="63" spans="1:11">
      <c r="A63">
        <v>59</v>
      </c>
      <c r="B63">
        <v>49.76</v>
      </c>
      <c r="C63">
        <v>0.1487</v>
      </c>
      <c r="D63">
        <v>9.5399999999999991</v>
      </c>
      <c r="E63">
        <v>39.770000000000003</v>
      </c>
      <c r="F63">
        <v>0.1018</v>
      </c>
      <c r="G63">
        <v>5.4000000000000003E-3</v>
      </c>
      <c r="H63">
        <v>0.35520000000000002</v>
      </c>
      <c r="I63">
        <v>3.4000000000000002E-2</v>
      </c>
      <c r="J63">
        <f t="shared" si="0"/>
        <v>99.715099999999993</v>
      </c>
      <c r="K63" t="s">
        <v>16</v>
      </c>
    </row>
    <row r="64" spans="1:11">
      <c r="A64">
        <v>60</v>
      </c>
      <c r="B64">
        <v>49.97</v>
      </c>
      <c r="C64">
        <v>0.1457</v>
      </c>
      <c r="D64">
        <v>9.6199999999999992</v>
      </c>
      <c r="E64">
        <v>39.700000000000003</v>
      </c>
      <c r="F64">
        <v>0.1033</v>
      </c>
      <c r="G64">
        <v>1.04E-2</v>
      </c>
      <c r="H64">
        <v>0.3548</v>
      </c>
      <c r="I64">
        <v>3.1300000000000001E-2</v>
      </c>
      <c r="J64">
        <f t="shared" si="0"/>
        <v>99.935500000000005</v>
      </c>
      <c r="K64" t="s">
        <v>16</v>
      </c>
    </row>
    <row r="65" spans="1:11">
      <c r="A65">
        <v>61</v>
      </c>
      <c r="B65">
        <v>50.07</v>
      </c>
      <c r="C65">
        <v>0.1356</v>
      </c>
      <c r="D65">
        <v>9.49</v>
      </c>
      <c r="E65">
        <v>39.69</v>
      </c>
      <c r="F65">
        <v>0.1028</v>
      </c>
      <c r="G65">
        <v>1.43E-2</v>
      </c>
      <c r="H65">
        <v>0.37809999999999999</v>
      </c>
      <c r="I65">
        <v>3.8199999999999998E-2</v>
      </c>
      <c r="J65">
        <f t="shared" si="0"/>
        <v>99.919000000000011</v>
      </c>
      <c r="K65" t="s">
        <v>16</v>
      </c>
    </row>
    <row r="66" spans="1:11">
      <c r="A66">
        <v>62</v>
      </c>
      <c r="B66">
        <v>45.9</v>
      </c>
      <c r="C66">
        <v>0.24690000000000001</v>
      </c>
      <c r="D66">
        <v>14.83</v>
      </c>
      <c r="E66">
        <v>40.04</v>
      </c>
      <c r="F66">
        <v>0.34599999999999997</v>
      </c>
      <c r="G66">
        <v>1.5599999999999999E-2</v>
      </c>
      <c r="H66">
        <v>0.19439999999999999</v>
      </c>
      <c r="I66">
        <v>3.0800000000000001E-2</v>
      </c>
      <c r="J66">
        <f t="shared" si="0"/>
        <v>101.6037</v>
      </c>
      <c r="K66" t="s">
        <v>69</v>
      </c>
    </row>
    <row r="67" spans="1:11">
      <c r="A67">
        <v>63</v>
      </c>
      <c r="B67">
        <v>46.06</v>
      </c>
      <c r="C67">
        <v>0.2432</v>
      </c>
      <c r="D67">
        <v>14.64</v>
      </c>
      <c r="E67">
        <v>38.770000000000003</v>
      </c>
      <c r="F67">
        <v>0.3412</v>
      </c>
      <c r="G67">
        <v>1.43E-2</v>
      </c>
      <c r="H67">
        <v>0.1905</v>
      </c>
      <c r="I67">
        <v>2.7300000000000001E-2</v>
      </c>
      <c r="J67">
        <f t="shared" si="0"/>
        <v>100.2865</v>
      </c>
      <c r="K67" t="s">
        <v>70</v>
      </c>
    </row>
    <row r="68" spans="1:11">
      <c r="A68">
        <v>64</v>
      </c>
      <c r="B68">
        <v>45.96</v>
      </c>
      <c r="C68">
        <v>0.25280000000000002</v>
      </c>
      <c r="D68">
        <v>14.74</v>
      </c>
      <c r="E68">
        <v>39.89</v>
      </c>
      <c r="F68">
        <v>0.34279999999999999</v>
      </c>
      <c r="G68">
        <v>1.7000000000000001E-2</v>
      </c>
      <c r="H68">
        <v>0.18890000000000001</v>
      </c>
      <c r="I68">
        <v>2.8899999999999999E-2</v>
      </c>
      <c r="J68">
        <f t="shared" si="0"/>
        <v>101.4204</v>
      </c>
      <c r="K68" t="s">
        <v>71</v>
      </c>
    </row>
    <row r="69" spans="1:11">
      <c r="A69">
        <v>65</v>
      </c>
      <c r="B69">
        <v>43.23</v>
      </c>
      <c r="C69">
        <v>0.32240000000000002</v>
      </c>
      <c r="D69">
        <v>18.07</v>
      </c>
      <c r="E69">
        <v>39.39</v>
      </c>
      <c r="F69">
        <v>0.38869999999999999</v>
      </c>
      <c r="G69">
        <v>1.14E-2</v>
      </c>
      <c r="H69">
        <v>0.1573</v>
      </c>
      <c r="I69">
        <v>2.9499999999999998E-2</v>
      </c>
      <c r="J69">
        <f t="shared" si="0"/>
        <v>101.5993</v>
      </c>
      <c r="K69" t="s">
        <v>72</v>
      </c>
    </row>
    <row r="70" spans="1:11">
      <c r="A70">
        <v>66</v>
      </c>
      <c r="B70">
        <v>42.66</v>
      </c>
      <c r="C70">
        <v>0.33650000000000002</v>
      </c>
      <c r="D70">
        <v>18.5</v>
      </c>
      <c r="E70">
        <v>39.49</v>
      </c>
      <c r="F70">
        <v>0.35089999999999999</v>
      </c>
      <c r="G70">
        <v>3.2000000000000002E-3</v>
      </c>
      <c r="H70">
        <v>0.1384</v>
      </c>
      <c r="I70">
        <v>3.1600000000000003E-2</v>
      </c>
      <c r="J70">
        <f t="shared" si="0"/>
        <v>101.51060000000001</v>
      </c>
      <c r="K70" t="s">
        <v>73</v>
      </c>
    </row>
    <row r="71" spans="1:11">
      <c r="A71">
        <v>67</v>
      </c>
      <c r="B71">
        <v>42.75</v>
      </c>
      <c r="C71">
        <v>0.33300000000000002</v>
      </c>
      <c r="D71">
        <v>18.690000000000001</v>
      </c>
      <c r="E71">
        <v>38.229999999999997</v>
      </c>
      <c r="F71">
        <v>0.39019999999999999</v>
      </c>
      <c r="G71">
        <v>0</v>
      </c>
      <c r="H71">
        <v>0.11899999999999999</v>
      </c>
      <c r="I71">
        <v>2.7699999999999999E-2</v>
      </c>
      <c r="J71">
        <f t="shared" ref="J71:J132" si="1">SUM(B71:I71)</f>
        <v>100.53989999999997</v>
      </c>
      <c r="K71" t="s">
        <v>74</v>
      </c>
    </row>
    <row r="72" spans="1:11">
      <c r="A72">
        <v>68</v>
      </c>
      <c r="B72">
        <v>42.1</v>
      </c>
      <c r="C72">
        <v>0.3705</v>
      </c>
      <c r="D72">
        <v>19.489999999999998</v>
      </c>
      <c r="E72">
        <v>39.53</v>
      </c>
      <c r="F72">
        <v>0.31609999999999999</v>
      </c>
      <c r="G72">
        <v>3.7000000000000002E-3</v>
      </c>
      <c r="H72">
        <v>0.10829999999999999</v>
      </c>
      <c r="I72">
        <v>2.2599999999999999E-2</v>
      </c>
      <c r="J72">
        <f t="shared" si="1"/>
        <v>101.94119999999999</v>
      </c>
      <c r="K72" t="s">
        <v>75</v>
      </c>
    </row>
    <row r="73" spans="1:11">
      <c r="A73">
        <v>69</v>
      </c>
      <c r="B73">
        <v>42.17</v>
      </c>
      <c r="C73">
        <v>0.3649</v>
      </c>
      <c r="D73">
        <v>19.329999999999998</v>
      </c>
      <c r="E73">
        <v>38.56</v>
      </c>
      <c r="F73">
        <v>0.31230000000000002</v>
      </c>
      <c r="G73">
        <v>4.1999999999999997E-3</v>
      </c>
      <c r="H73">
        <v>0.12920000000000001</v>
      </c>
      <c r="I73">
        <v>2.7900000000000001E-2</v>
      </c>
      <c r="J73">
        <f t="shared" si="1"/>
        <v>100.8985</v>
      </c>
      <c r="K73" t="s">
        <v>76</v>
      </c>
    </row>
    <row r="74" spans="1:11">
      <c r="A74">
        <v>70</v>
      </c>
      <c r="B74">
        <v>42.13</v>
      </c>
      <c r="C74">
        <v>0.37709999999999999</v>
      </c>
      <c r="D74">
        <v>19.440000000000001</v>
      </c>
      <c r="E74">
        <v>39.43</v>
      </c>
      <c r="F74">
        <v>0.33069999999999999</v>
      </c>
      <c r="G74">
        <v>8.2000000000000007E-3</v>
      </c>
      <c r="H74">
        <v>0.12230000000000001</v>
      </c>
      <c r="I74">
        <v>2.8400000000000002E-2</v>
      </c>
      <c r="J74">
        <f t="shared" si="1"/>
        <v>101.86670000000001</v>
      </c>
      <c r="K74" t="s">
        <v>77</v>
      </c>
    </row>
    <row r="75" spans="1:11">
      <c r="A75">
        <v>71</v>
      </c>
      <c r="B75">
        <v>44.8</v>
      </c>
      <c r="C75">
        <v>0.29849999999999999</v>
      </c>
      <c r="D75">
        <v>15.85</v>
      </c>
      <c r="E75">
        <v>39.950000000000003</v>
      </c>
      <c r="F75">
        <v>0.34710000000000002</v>
      </c>
      <c r="G75">
        <v>1.2500000000000001E-2</v>
      </c>
      <c r="H75">
        <v>0.19359999999999999</v>
      </c>
      <c r="I75">
        <v>2.7900000000000001E-2</v>
      </c>
      <c r="J75">
        <f t="shared" si="1"/>
        <v>101.4796</v>
      </c>
      <c r="K75" t="s">
        <v>78</v>
      </c>
    </row>
    <row r="76" spans="1:11">
      <c r="A76">
        <v>72</v>
      </c>
      <c r="B76">
        <v>45.86</v>
      </c>
      <c r="C76">
        <v>0.28439999999999999</v>
      </c>
      <c r="D76">
        <v>14.41</v>
      </c>
      <c r="E76">
        <v>40</v>
      </c>
      <c r="F76">
        <v>0.3241</v>
      </c>
      <c r="G76">
        <v>2.4799999999999999E-2</v>
      </c>
      <c r="H76">
        <v>0.2321</v>
      </c>
      <c r="I76">
        <v>2.4500000000000001E-2</v>
      </c>
      <c r="J76">
        <f t="shared" si="1"/>
        <v>101.15990000000001</v>
      </c>
      <c r="K76" t="s">
        <v>79</v>
      </c>
    </row>
    <row r="77" spans="1:11">
      <c r="A77">
        <v>73</v>
      </c>
      <c r="B77">
        <v>44.85</v>
      </c>
      <c r="C77">
        <v>0.29549999999999998</v>
      </c>
      <c r="D77">
        <v>15.85</v>
      </c>
      <c r="E77">
        <v>39.82</v>
      </c>
      <c r="F77">
        <v>0.35249999999999998</v>
      </c>
      <c r="G77">
        <v>1.23E-2</v>
      </c>
      <c r="H77">
        <v>0.20100000000000001</v>
      </c>
      <c r="I77">
        <v>2.69E-2</v>
      </c>
      <c r="J77">
        <f t="shared" si="1"/>
        <v>101.40819999999999</v>
      </c>
      <c r="K77" t="s">
        <v>80</v>
      </c>
    </row>
    <row r="78" spans="1:11">
      <c r="A78">
        <v>74</v>
      </c>
      <c r="B78">
        <v>45.14</v>
      </c>
      <c r="C78">
        <v>0.30780000000000002</v>
      </c>
      <c r="D78">
        <v>15.45</v>
      </c>
      <c r="E78">
        <v>40.340000000000003</v>
      </c>
      <c r="F78">
        <v>0.37080000000000002</v>
      </c>
      <c r="G78">
        <v>2.5899999999999999E-2</v>
      </c>
      <c r="H78">
        <v>0.2117</v>
      </c>
      <c r="I78">
        <v>2.3199999999999998E-2</v>
      </c>
      <c r="J78">
        <f t="shared" si="1"/>
        <v>101.8694</v>
      </c>
      <c r="K78" t="s">
        <v>81</v>
      </c>
    </row>
    <row r="79" spans="1:11">
      <c r="A79">
        <v>75</v>
      </c>
      <c r="B79">
        <v>44.9</v>
      </c>
      <c r="C79">
        <v>0.29389999999999999</v>
      </c>
      <c r="D79">
        <v>15.94</v>
      </c>
      <c r="E79">
        <v>40.15</v>
      </c>
      <c r="F79">
        <v>0.36749999999999999</v>
      </c>
      <c r="G79">
        <v>1.55E-2</v>
      </c>
      <c r="H79">
        <v>0.20369999999999999</v>
      </c>
      <c r="I79">
        <v>2.5100000000000001E-2</v>
      </c>
      <c r="J79">
        <f t="shared" si="1"/>
        <v>101.89569999999999</v>
      </c>
      <c r="K79" t="s">
        <v>82</v>
      </c>
    </row>
    <row r="80" spans="1:11">
      <c r="A80">
        <v>76</v>
      </c>
      <c r="B80">
        <v>45.09</v>
      </c>
      <c r="C80">
        <v>0.30330000000000001</v>
      </c>
      <c r="D80">
        <v>15.59</v>
      </c>
      <c r="E80">
        <v>40.31</v>
      </c>
      <c r="F80">
        <v>0.38640000000000002</v>
      </c>
      <c r="G80">
        <v>8.3999999999999995E-3</v>
      </c>
      <c r="H80">
        <v>0.21149999999999999</v>
      </c>
      <c r="I80">
        <v>2.0299999999999999E-2</v>
      </c>
      <c r="J80">
        <f t="shared" si="1"/>
        <v>101.9199</v>
      </c>
      <c r="K80" t="s">
        <v>83</v>
      </c>
    </row>
    <row r="81" spans="1:11">
      <c r="A81">
        <v>77</v>
      </c>
      <c r="B81">
        <v>45.42</v>
      </c>
      <c r="C81">
        <v>0.29049999999999998</v>
      </c>
      <c r="D81">
        <v>15.31</v>
      </c>
      <c r="E81">
        <v>40.4</v>
      </c>
      <c r="F81">
        <v>0.34899999999999998</v>
      </c>
      <c r="G81">
        <v>2.5999999999999999E-2</v>
      </c>
      <c r="H81">
        <v>0.2077</v>
      </c>
      <c r="I81">
        <v>1.9300000000000001E-2</v>
      </c>
      <c r="J81">
        <f t="shared" si="1"/>
        <v>102.02250000000001</v>
      </c>
      <c r="K81" t="s">
        <v>84</v>
      </c>
    </row>
    <row r="82" spans="1:11">
      <c r="A82">
        <v>78</v>
      </c>
      <c r="B82">
        <v>44.88</v>
      </c>
      <c r="C82">
        <v>0.29899999999999999</v>
      </c>
      <c r="D82">
        <v>15.78</v>
      </c>
      <c r="E82">
        <v>40.26</v>
      </c>
      <c r="F82">
        <v>0.39090000000000003</v>
      </c>
      <c r="G82">
        <v>4.1000000000000003E-3</v>
      </c>
      <c r="H82">
        <v>0.19719999999999999</v>
      </c>
      <c r="I82">
        <v>2.76E-2</v>
      </c>
      <c r="J82">
        <f t="shared" si="1"/>
        <v>101.83879999999999</v>
      </c>
      <c r="K82" t="s">
        <v>85</v>
      </c>
    </row>
    <row r="83" spans="1:11">
      <c r="A83">
        <v>79</v>
      </c>
      <c r="B83">
        <v>44.63</v>
      </c>
      <c r="C83">
        <v>0.30359999999999998</v>
      </c>
      <c r="D83">
        <v>16.18</v>
      </c>
      <c r="E83">
        <v>40.229999999999997</v>
      </c>
      <c r="F83">
        <v>0.3528</v>
      </c>
      <c r="G83">
        <v>5.7999999999999996E-3</v>
      </c>
      <c r="H83">
        <v>0.1971</v>
      </c>
      <c r="I83">
        <v>2.1399999999999999E-2</v>
      </c>
      <c r="J83">
        <f t="shared" si="1"/>
        <v>101.92070000000001</v>
      </c>
      <c r="K83" t="s">
        <v>86</v>
      </c>
    </row>
    <row r="84" spans="1:11">
      <c r="A84">
        <v>80</v>
      </c>
      <c r="B84">
        <v>45.18</v>
      </c>
      <c r="C84">
        <v>0.2802</v>
      </c>
      <c r="D84">
        <v>15.54</v>
      </c>
      <c r="E84">
        <v>40.22</v>
      </c>
      <c r="F84">
        <v>0.35360000000000003</v>
      </c>
      <c r="G84">
        <v>1.7600000000000001E-2</v>
      </c>
      <c r="H84">
        <v>0.16719999999999999</v>
      </c>
      <c r="I84">
        <v>3.7900000000000003E-2</v>
      </c>
      <c r="J84">
        <f t="shared" si="1"/>
        <v>101.79649999999999</v>
      </c>
      <c r="K84" t="s">
        <v>87</v>
      </c>
    </row>
    <row r="85" spans="1:11">
      <c r="A85">
        <v>81</v>
      </c>
      <c r="B85">
        <v>44.12</v>
      </c>
      <c r="C85">
        <v>0.31480000000000002</v>
      </c>
      <c r="D85">
        <v>17.100000000000001</v>
      </c>
      <c r="E85">
        <v>40</v>
      </c>
      <c r="F85">
        <v>0.36349999999999999</v>
      </c>
      <c r="G85">
        <v>1.4E-2</v>
      </c>
      <c r="H85">
        <v>0.1673</v>
      </c>
      <c r="I85">
        <v>2.0899999999999998E-2</v>
      </c>
      <c r="J85">
        <f t="shared" si="1"/>
        <v>102.10049999999998</v>
      </c>
      <c r="K85" t="s">
        <v>88</v>
      </c>
    </row>
    <row r="86" spans="1:11">
      <c r="A86">
        <v>82</v>
      </c>
      <c r="B86">
        <v>43.87</v>
      </c>
      <c r="C86">
        <v>0.31879999999999997</v>
      </c>
      <c r="D86">
        <v>17.2</v>
      </c>
      <c r="E86">
        <v>39.86</v>
      </c>
      <c r="F86">
        <v>0.36280000000000001</v>
      </c>
      <c r="G86">
        <v>1.2200000000000001E-2</v>
      </c>
      <c r="H86">
        <v>0.16969999999999999</v>
      </c>
      <c r="I86">
        <v>4.02E-2</v>
      </c>
      <c r="J86">
        <f t="shared" si="1"/>
        <v>101.83370000000002</v>
      </c>
      <c r="K86" t="s">
        <v>89</v>
      </c>
    </row>
    <row r="87" spans="1:11">
      <c r="A87">
        <v>83</v>
      </c>
      <c r="B87">
        <v>42.17</v>
      </c>
      <c r="C87">
        <v>0.34399999999999997</v>
      </c>
      <c r="D87">
        <v>19.45</v>
      </c>
      <c r="E87">
        <v>38.74</v>
      </c>
      <c r="F87">
        <v>0.31359999999999999</v>
      </c>
      <c r="G87">
        <v>0</v>
      </c>
      <c r="H87">
        <v>0.1031</v>
      </c>
      <c r="I87">
        <v>2.7799999999999998E-2</v>
      </c>
      <c r="J87">
        <f t="shared" si="1"/>
        <v>101.1485</v>
      </c>
      <c r="K87" t="s">
        <v>90</v>
      </c>
    </row>
    <row r="88" spans="1:11">
      <c r="A88">
        <v>84</v>
      </c>
      <c r="B88">
        <v>42.27</v>
      </c>
      <c r="C88">
        <v>0.35299999999999998</v>
      </c>
      <c r="D88">
        <v>19.329999999999998</v>
      </c>
      <c r="E88">
        <v>39.590000000000003</v>
      </c>
      <c r="F88">
        <v>0.30830000000000002</v>
      </c>
      <c r="G88">
        <v>5.7000000000000002E-3</v>
      </c>
      <c r="H88">
        <v>0.1153</v>
      </c>
      <c r="I88">
        <v>3.5000000000000003E-2</v>
      </c>
      <c r="J88">
        <f t="shared" si="1"/>
        <v>102.00730000000001</v>
      </c>
      <c r="K88" t="s">
        <v>91</v>
      </c>
    </row>
    <row r="89" spans="1:11">
      <c r="A89">
        <v>85</v>
      </c>
      <c r="B89">
        <v>42.18</v>
      </c>
      <c r="C89">
        <v>0.3589</v>
      </c>
      <c r="D89">
        <v>19.43</v>
      </c>
      <c r="E89">
        <v>39.72</v>
      </c>
      <c r="F89">
        <v>0.3049</v>
      </c>
      <c r="G89">
        <v>6.7000000000000002E-3</v>
      </c>
      <c r="H89">
        <v>0.115</v>
      </c>
      <c r="I89">
        <v>2.7799999999999998E-2</v>
      </c>
      <c r="J89">
        <f t="shared" si="1"/>
        <v>102.14329999999998</v>
      </c>
      <c r="K89" t="s">
        <v>92</v>
      </c>
    </row>
    <row r="90" spans="1:11">
      <c r="A90">
        <v>86</v>
      </c>
      <c r="B90">
        <v>42.5</v>
      </c>
      <c r="C90">
        <v>0.3624</v>
      </c>
      <c r="D90">
        <v>18.899999999999999</v>
      </c>
      <c r="E90">
        <v>38.79</v>
      </c>
      <c r="F90">
        <v>0.32679999999999998</v>
      </c>
      <c r="G90">
        <v>1.2999999999999999E-3</v>
      </c>
      <c r="H90">
        <v>0.1137</v>
      </c>
      <c r="I90">
        <v>2.6700000000000002E-2</v>
      </c>
      <c r="J90">
        <f t="shared" si="1"/>
        <v>101.02090000000001</v>
      </c>
      <c r="K90" t="s">
        <v>93</v>
      </c>
    </row>
    <row r="91" spans="1:11">
      <c r="A91">
        <v>87</v>
      </c>
      <c r="B91">
        <v>42.54</v>
      </c>
      <c r="C91">
        <v>0.36080000000000001</v>
      </c>
      <c r="D91">
        <v>19.04</v>
      </c>
      <c r="E91">
        <v>38.79</v>
      </c>
      <c r="F91">
        <v>0.33040000000000003</v>
      </c>
      <c r="G91">
        <v>0</v>
      </c>
      <c r="H91">
        <v>0.1255</v>
      </c>
      <c r="I91">
        <v>2.12E-2</v>
      </c>
      <c r="J91">
        <f t="shared" si="1"/>
        <v>101.20789999999998</v>
      </c>
      <c r="K91" t="s">
        <v>94</v>
      </c>
    </row>
    <row r="92" spans="1:11">
      <c r="A92">
        <v>88</v>
      </c>
      <c r="B92">
        <v>42.45</v>
      </c>
      <c r="C92">
        <v>0.36109999999999998</v>
      </c>
      <c r="D92">
        <v>18.829999999999998</v>
      </c>
      <c r="E92">
        <v>38.74</v>
      </c>
      <c r="F92">
        <v>0.32629999999999998</v>
      </c>
      <c r="G92">
        <v>5.4999999999999997E-3</v>
      </c>
      <c r="H92">
        <v>0.1132</v>
      </c>
      <c r="I92">
        <v>3.1899999999999998E-2</v>
      </c>
      <c r="J92">
        <f t="shared" si="1"/>
        <v>100.858</v>
      </c>
      <c r="K92" t="s">
        <v>95</v>
      </c>
    </row>
    <row r="93" spans="1:11">
      <c r="A93">
        <v>89</v>
      </c>
      <c r="B93">
        <v>49.77</v>
      </c>
      <c r="C93">
        <v>0.1457</v>
      </c>
      <c r="D93">
        <v>9.5399999999999991</v>
      </c>
      <c r="E93">
        <v>40.18</v>
      </c>
      <c r="F93">
        <v>9.9099999999999994E-2</v>
      </c>
      <c r="G93">
        <v>2.1499999999999998E-2</v>
      </c>
      <c r="H93">
        <v>0.34010000000000001</v>
      </c>
      <c r="I93">
        <v>3.8899999999999997E-2</v>
      </c>
      <c r="J93">
        <f t="shared" si="1"/>
        <v>100.13530000000002</v>
      </c>
      <c r="K93" t="s">
        <v>16</v>
      </c>
    </row>
    <row r="94" spans="1:11">
      <c r="A94">
        <v>90</v>
      </c>
      <c r="B94">
        <v>49.77</v>
      </c>
      <c r="C94">
        <v>0.1421</v>
      </c>
      <c r="D94">
        <v>9.48</v>
      </c>
      <c r="E94">
        <v>40.340000000000003</v>
      </c>
      <c r="F94">
        <v>0.10199999999999999</v>
      </c>
      <c r="G94">
        <v>1.9300000000000001E-2</v>
      </c>
      <c r="H94">
        <v>0.28339999999999999</v>
      </c>
      <c r="I94">
        <v>3.0800000000000001E-2</v>
      </c>
      <c r="J94">
        <f t="shared" si="1"/>
        <v>100.16760000000001</v>
      </c>
      <c r="K94" t="s">
        <v>16</v>
      </c>
    </row>
    <row r="95" spans="1:11">
      <c r="A95">
        <v>91</v>
      </c>
      <c r="B95">
        <v>49.67</v>
      </c>
      <c r="C95">
        <v>0.1434</v>
      </c>
      <c r="D95">
        <v>9.3699999999999992</v>
      </c>
      <c r="E95">
        <v>40.22</v>
      </c>
      <c r="F95">
        <v>0.10150000000000001</v>
      </c>
      <c r="G95">
        <v>9.7999999999999997E-3</v>
      </c>
      <c r="H95">
        <v>0.35560000000000003</v>
      </c>
      <c r="I95">
        <v>2.9100000000000001E-2</v>
      </c>
      <c r="J95">
        <f t="shared" si="1"/>
        <v>99.8994</v>
      </c>
      <c r="K95" t="s">
        <v>16</v>
      </c>
    </row>
    <row r="96" spans="1:11">
      <c r="A96">
        <v>92</v>
      </c>
      <c r="B96">
        <v>43.22</v>
      </c>
      <c r="C96">
        <v>0.33579999999999999</v>
      </c>
      <c r="D96">
        <v>18.02</v>
      </c>
      <c r="E96">
        <v>38.700000000000003</v>
      </c>
      <c r="F96">
        <v>0.38619999999999999</v>
      </c>
      <c r="G96">
        <v>1E-4</v>
      </c>
      <c r="H96">
        <v>0.12590000000000001</v>
      </c>
      <c r="I96">
        <v>2.93E-2</v>
      </c>
      <c r="J96">
        <f t="shared" si="1"/>
        <v>100.81730000000002</v>
      </c>
      <c r="K96" t="s">
        <v>96</v>
      </c>
    </row>
    <row r="97" spans="1:11">
      <c r="A97">
        <v>93</v>
      </c>
      <c r="B97">
        <v>43.12</v>
      </c>
      <c r="C97">
        <v>0.33789999999999998</v>
      </c>
      <c r="D97">
        <v>18.32</v>
      </c>
      <c r="E97">
        <v>38.450000000000003</v>
      </c>
      <c r="F97">
        <v>0.38109999999999999</v>
      </c>
      <c r="G97">
        <v>5.1000000000000004E-3</v>
      </c>
      <c r="H97">
        <v>0.14990000000000001</v>
      </c>
      <c r="I97">
        <v>2.3599999999999999E-2</v>
      </c>
      <c r="J97">
        <f t="shared" si="1"/>
        <v>100.78760000000001</v>
      </c>
      <c r="K97" t="s">
        <v>97</v>
      </c>
    </row>
    <row r="98" spans="1:11">
      <c r="A98">
        <v>94</v>
      </c>
      <c r="B98">
        <v>43.18</v>
      </c>
      <c r="C98">
        <v>0.3211</v>
      </c>
      <c r="D98">
        <v>18.21</v>
      </c>
      <c r="E98">
        <v>38.409999999999997</v>
      </c>
      <c r="F98">
        <v>0.3881</v>
      </c>
      <c r="G98">
        <v>3.3E-3</v>
      </c>
      <c r="H98">
        <v>0.1381</v>
      </c>
      <c r="I98">
        <v>2.9399999999999999E-2</v>
      </c>
      <c r="J98">
        <f t="shared" si="1"/>
        <v>100.67999999999998</v>
      </c>
      <c r="K98" t="s">
        <v>98</v>
      </c>
    </row>
    <row r="99" spans="1:11">
      <c r="A99">
        <v>95</v>
      </c>
      <c r="B99">
        <v>44.14</v>
      </c>
      <c r="C99">
        <v>0.308</v>
      </c>
      <c r="D99">
        <v>16.690000000000001</v>
      </c>
      <c r="E99">
        <v>40</v>
      </c>
      <c r="F99">
        <v>0.39989999999999998</v>
      </c>
      <c r="G99">
        <v>1.95E-2</v>
      </c>
      <c r="H99">
        <v>0.15939999999999999</v>
      </c>
      <c r="I99">
        <v>3.2000000000000001E-2</v>
      </c>
      <c r="J99">
        <f t="shared" si="1"/>
        <v>101.7488</v>
      </c>
      <c r="K99" t="s">
        <v>99</v>
      </c>
    </row>
    <row r="100" spans="1:11">
      <c r="A100">
        <v>96</v>
      </c>
      <c r="B100">
        <v>43.39</v>
      </c>
      <c r="C100">
        <v>0.31640000000000001</v>
      </c>
      <c r="D100">
        <v>17.68</v>
      </c>
      <c r="E100">
        <v>39.79</v>
      </c>
      <c r="F100">
        <v>0.3881</v>
      </c>
      <c r="G100">
        <v>7.0000000000000001E-3</v>
      </c>
      <c r="H100">
        <v>0.15620000000000001</v>
      </c>
      <c r="I100">
        <v>3.0300000000000001E-2</v>
      </c>
      <c r="J100">
        <f t="shared" si="1"/>
        <v>101.758</v>
      </c>
      <c r="K100" t="s">
        <v>100</v>
      </c>
    </row>
    <row r="101" spans="1:11">
      <c r="A101">
        <v>97</v>
      </c>
      <c r="B101">
        <v>43.65</v>
      </c>
      <c r="C101">
        <v>0.2989</v>
      </c>
      <c r="D101">
        <v>17.309999999999999</v>
      </c>
      <c r="E101">
        <v>39.909999999999997</v>
      </c>
      <c r="F101">
        <v>0.39410000000000001</v>
      </c>
      <c r="G101">
        <v>9.7999999999999997E-3</v>
      </c>
      <c r="H101">
        <v>0.13400000000000001</v>
      </c>
      <c r="I101">
        <v>2.3099999999999999E-2</v>
      </c>
      <c r="J101">
        <f t="shared" si="1"/>
        <v>101.72989999999999</v>
      </c>
      <c r="K101" t="s">
        <v>101</v>
      </c>
    </row>
    <row r="102" spans="1:11">
      <c r="A102">
        <v>98</v>
      </c>
      <c r="B102">
        <v>44.4</v>
      </c>
      <c r="C102">
        <v>0.29110000000000003</v>
      </c>
      <c r="D102">
        <v>16.71</v>
      </c>
      <c r="E102">
        <v>40.06</v>
      </c>
      <c r="F102">
        <v>0.38519999999999999</v>
      </c>
      <c r="G102">
        <v>6.6E-3</v>
      </c>
      <c r="H102">
        <v>0.15179999999999999</v>
      </c>
      <c r="I102">
        <v>3.4099999999999998E-2</v>
      </c>
      <c r="J102">
        <f t="shared" si="1"/>
        <v>102.03879999999999</v>
      </c>
      <c r="K102" t="s">
        <v>102</v>
      </c>
    </row>
    <row r="103" spans="1:11">
      <c r="A103">
        <v>99</v>
      </c>
      <c r="B103">
        <v>44.36</v>
      </c>
      <c r="C103">
        <v>0.28460000000000002</v>
      </c>
      <c r="D103">
        <v>16.96</v>
      </c>
      <c r="E103">
        <v>39.909999999999997</v>
      </c>
      <c r="F103">
        <v>0.38400000000000001</v>
      </c>
      <c r="G103">
        <v>1.06E-2</v>
      </c>
      <c r="H103">
        <v>0.1547</v>
      </c>
      <c r="I103">
        <v>2.8199999999999999E-2</v>
      </c>
      <c r="J103">
        <f t="shared" si="1"/>
        <v>102.0921</v>
      </c>
      <c r="K103" t="s">
        <v>103</v>
      </c>
    </row>
    <row r="104" spans="1:11">
      <c r="A104">
        <v>100</v>
      </c>
      <c r="B104">
        <v>44.37</v>
      </c>
      <c r="C104">
        <v>0.2883</v>
      </c>
      <c r="D104">
        <v>16.78</v>
      </c>
      <c r="E104">
        <v>40.08</v>
      </c>
      <c r="F104">
        <v>0.38950000000000001</v>
      </c>
      <c r="G104">
        <v>8.3000000000000001E-3</v>
      </c>
      <c r="H104">
        <v>0.1595</v>
      </c>
      <c r="I104">
        <v>3.0200000000000001E-2</v>
      </c>
      <c r="J104">
        <f t="shared" si="1"/>
        <v>102.10579999999999</v>
      </c>
      <c r="K104" t="s">
        <v>104</v>
      </c>
    </row>
    <row r="105" spans="1:11">
      <c r="A105">
        <v>101</v>
      </c>
      <c r="B105">
        <v>42.14</v>
      </c>
      <c r="C105">
        <v>0.33729999999999999</v>
      </c>
      <c r="D105">
        <v>19.34</v>
      </c>
      <c r="E105">
        <v>38.68</v>
      </c>
      <c r="F105">
        <v>0.27</v>
      </c>
      <c r="G105">
        <v>1.0200000000000001E-2</v>
      </c>
      <c r="H105">
        <v>0.15679999999999999</v>
      </c>
      <c r="I105">
        <v>2.98E-2</v>
      </c>
      <c r="J105">
        <f t="shared" si="1"/>
        <v>100.96409999999999</v>
      </c>
      <c r="K105" t="s">
        <v>105</v>
      </c>
    </row>
    <row r="106" spans="1:11">
      <c r="A106">
        <v>102</v>
      </c>
      <c r="B106">
        <v>42.2</v>
      </c>
      <c r="C106">
        <v>0.34179999999999999</v>
      </c>
      <c r="D106">
        <v>19.27</v>
      </c>
      <c r="E106">
        <v>38.6</v>
      </c>
      <c r="F106">
        <v>0.26629999999999998</v>
      </c>
      <c r="G106">
        <v>4.8999999999999998E-3</v>
      </c>
      <c r="H106">
        <v>0.14549999999999999</v>
      </c>
      <c r="I106">
        <v>2.46E-2</v>
      </c>
      <c r="J106">
        <f t="shared" si="1"/>
        <v>100.85310000000001</v>
      </c>
      <c r="K106" t="s">
        <v>106</v>
      </c>
    </row>
    <row r="107" spans="1:11">
      <c r="A107">
        <v>103</v>
      </c>
      <c r="B107">
        <v>42.2</v>
      </c>
      <c r="C107">
        <v>0.33739999999999998</v>
      </c>
      <c r="D107">
        <v>19.36</v>
      </c>
      <c r="E107">
        <v>38.869999999999997</v>
      </c>
      <c r="F107">
        <v>0.26829999999999998</v>
      </c>
      <c r="G107">
        <v>3.5000000000000001E-3</v>
      </c>
      <c r="H107">
        <v>0.1517</v>
      </c>
      <c r="I107">
        <v>3.2199999999999999E-2</v>
      </c>
      <c r="J107">
        <f t="shared" si="1"/>
        <v>101.22310000000002</v>
      </c>
      <c r="K107" t="s">
        <v>107</v>
      </c>
    </row>
    <row r="108" spans="1:11">
      <c r="A108">
        <v>104</v>
      </c>
      <c r="B108">
        <v>46.04</v>
      </c>
      <c r="C108">
        <v>0.24049999999999999</v>
      </c>
      <c r="D108">
        <v>14.42</v>
      </c>
      <c r="E108">
        <v>39.83</v>
      </c>
      <c r="F108">
        <v>0.34379999999999999</v>
      </c>
      <c r="G108">
        <v>3.6600000000000001E-2</v>
      </c>
      <c r="H108">
        <v>0.20619999999999999</v>
      </c>
      <c r="I108">
        <v>3.1899999999999998E-2</v>
      </c>
      <c r="J108">
        <f t="shared" si="1"/>
        <v>101.14899999999999</v>
      </c>
      <c r="K108" t="s">
        <v>108</v>
      </c>
    </row>
    <row r="109" spans="1:11">
      <c r="A109">
        <v>105</v>
      </c>
      <c r="B109">
        <v>46.1</v>
      </c>
      <c r="C109">
        <v>0.23599999999999999</v>
      </c>
      <c r="D109">
        <v>14.4</v>
      </c>
      <c r="E109">
        <v>39.770000000000003</v>
      </c>
      <c r="F109">
        <v>0.33489999999999998</v>
      </c>
      <c r="G109">
        <v>3.0800000000000001E-2</v>
      </c>
      <c r="H109">
        <v>0.2223</v>
      </c>
      <c r="I109">
        <v>3.15E-2</v>
      </c>
      <c r="J109">
        <f t="shared" si="1"/>
        <v>101.1255</v>
      </c>
      <c r="K109" t="s">
        <v>109</v>
      </c>
    </row>
    <row r="110" spans="1:11">
      <c r="A110">
        <v>106</v>
      </c>
      <c r="B110">
        <v>46.05</v>
      </c>
      <c r="C110">
        <v>0.24110000000000001</v>
      </c>
      <c r="D110">
        <v>14.31</v>
      </c>
      <c r="E110">
        <v>39.79</v>
      </c>
      <c r="F110">
        <v>0.33910000000000001</v>
      </c>
      <c r="G110">
        <v>2.9399999999999999E-2</v>
      </c>
      <c r="H110">
        <v>0.20250000000000001</v>
      </c>
      <c r="I110">
        <v>2.6700000000000002E-2</v>
      </c>
      <c r="J110">
        <f t="shared" si="1"/>
        <v>100.9888</v>
      </c>
      <c r="K110" t="s">
        <v>110</v>
      </c>
    </row>
    <row r="111" spans="1:11">
      <c r="A111">
        <v>107</v>
      </c>
      <c r="B111">
        <v>46.57</v>
      </c>
      <c r="C111">
        <v>0.22320000000000001</v>
      </c>
      <c r="D111">
        <v>13.67</v>
      </c>
      <c r="E111">
        <v>39.840000000000003</v>
      </c>
      <c r="F111">
        <v>0.371</v>
      </c>
      <c r="G111">
        <v>2.6700000000000002E-2</v>
      </c>
      <c r="H111">
        <v>0.1978</v>
      </c>
      <c r="I111">
        <v>3.4700000000000002E-2</v>
      </c>
      <c r="J111">
        <f t="shared" si="1"/>
        <v>100.93340000000001</v>
      </c>
      <c r="K111" t="s">
        <v>111</v>
      </c>
    </row>
    <row r="112" spans="1:11">
      <c r="A112">
        <v>108</v>
      </c>
      <c r="B112">
        <v>46.58</v>
      </c>
      <c r="C112">
        <v>0.21940000000000001</v>
      </c>
      <c r="D112">
        <v>13.81</v>
      </c>
      <c r="E112">
        <v>40.770000000000003</v>
      </c>
      <c r="F112">
        <v>0.36749999999999999</v>
      </c>
      <c r="G112">
        <v>3.5799999999999998E-2</v>
      </c>
      <c r="H112">
        <v>0.18779999999999999</v>
      </c>
      <c r="I112">
        <v>2.3699999999999999E-2</v>
      </c>
      <c r="J112">
        <f t="shared" si="1"/>
        <v>101.99420000000001</v>
      </c>
      <c r="K112" t="s">
        <v>112</v>
      </c>
    </row>
    <row r="113" spans="1:11">
      <c r="A113">
        <v>109</v>
      </c>
      <c r="B113">
        <v>46.46</v>
      </c>
      <c r="C113">
        <v>0.2225</v>
      </c>
      <c r="D113">
        <v>13.83</v>
      </c>
      <c r="E113">
        <v>40.770000000000003</v>
      </c>
      <c r="F113">
        <v>0.4093</v>
      </c>
      <c r="G113">
        <v>3.73E-2</v>
      </c>
      <c r="H113">
        <v>0.19139999999999999</v>
      </c>
      <c r="I113">
        <v>2.69E-2</v>
      </c>
      <c r="J113">
        <f t="shared" si="1"/>
        <v>101.9474</v>
      </c>
      <c r="K113" t="s">
        <v>113</v>
      </c>
    </row>
    <row r="114" spans="1:11">
      <c r="A114">
        <v>110</v>
      </c>
      <c r="B114">
        <v>45.95</v>
      </c>
      <c r="C114">
        <v>0.25330000000000003</v>
      </c>
      <c r="D114">
        <v>14.75</v>
      </c>
      <c r="E114">
        <v>39.29</v>
      </c>
      <c r="F114">
        <v>0.35420000000000001</v>
      </c>
      <c r="G114">
        <v>2.6599999999999999E-2</v>
      </c>
      <c r="H114">
        <v>0.17710000000000001</v>
      </c>
      <c r="I114">
        <v>3.1E-2</v>
      </c>
      <c r="J114">
        <f t="shared" si="1"/>
        <v>100.83220000000001</v>
      </c>
      <c r="K114" t="s">
        <v>114</v>
      </c>
    </row>
    <row r="115" spans="1:11">
      <c r="A115">
        <v>111</v>
      </c>
      <c r="B115">
        <v>45.96</v>
      </c>
      <c r="C115">
        <v>0.25469999999999998</v>
      </c>
      <c r="D115">
        <v>14.58</v>
      </c>
      <c r="E115">
        <v>39.06</v>
      </c>
      <c r="F115">
        <v>0.34549999999999997</v>
      </c>
      <c r="G115">
        <v>1.7899999999999999E-2</v>
      </c>
      <c r="H115">
        <v>0.20080000000000001</v>
      </c>
      <c r="I115">
        <v>3.4099999999999998E-2</v>
      </c>
      <c r="J115">
        <f t="shared" si="1"/>
        <v>100.453</v>
      </c>
      <c r="K115" t="s">
        <v>115</v>
      </c>
    </row>
    <row r="116" spans="1:11">
      <c r="A116">
        <v>112</v>
      </c>
      <c r="B116">
        <v>45.83</v>
      </c>
      <c r="C116">
        <v>0.25130000000000002</v>
      </c>
      <c r="D116">
        <v>14.84</v>
      </c>
      <c r="E116">
        <v>40.44</v>
      </c>
      <c r="F116">
        <v>0.34649999999999997</v>
      </c>
      <c r="G116">
        <v>1.9800000000000002E-2</v>
      </c>
      <c r="H116">
        <v>0.185</v>
      </c>
      <c r="I116">
        <v>4.7100000000000003E-2</v>
      </c>
      <c r="J116">
        <f t="shared" si="1"/>
        <v>101.95970000000001</v>
      </c>
      <c r="K116" t="s">
        <v>116</v>
      </c>
    </row>
    <row r="117" spans="1:11">
      <c r="A117">
        <v>113</v>
      </c>
      <c r="B117">
        <v>43.27</v>
      </c>
      <c r="C117">
        <v>0.31459999999999999</v>
      </c>
      <c r="D117">
        <v>18.34</v>
      </c>
      <c r="E117">
        <v>39.72</v>
      </c>
      <c r="F117">
        <v>0.32490000000000002</v>
      </c>
      <c r="G117">
        <v>6.6E-3</v>
      </c>
      <c r="H117">
        <v>0.16520000000000001</v>
      </c>
      <c r="I117">
        <v>2.8199999999999999E-2</v>
      </c>
      <c r="J117">
        <f t="shared" si="1"/>
        <v>102.1695</v>
      </c>
      <c r="K117" t="s">
        <v>117</v>
      </c>
    </row>
    <row r="118" spans="1:11">
      <c r="A118">
        <v>114</v>
      </c>
      <c r="B118">
        <v>43.06</v>
      </c>
      <c r="C118">
        <v>0.31819999999999998</v>
      </c>
      <c r="D118">
        <v>18.32</v>
      </c>
      <c r="E118">
        <v>39.770000000000003</v>
      </c>
      <c r="F118">
        <v>0.33929999999999999</v>
      </c>
      <c r="G118">
        <v>1.1900000000000001E-2</v>
      </c>
      <c r="H118">
        <v>0.14660000000000001</v>
      </c>
      <c r="I118">
        <v>3.3099999999999997E-2</v>
      </c>
      <c r="J118">
        <f t="shared" si="1"/>
        <v>101.9991</v>
      </c>
      <c r="K118" t="s">
        <v>118</v>
      </c>
    </row>
    <row r="119" spans="1:11">
      <c r="A119">
        <v>115</v>
      </c>
      <c r="B119">
        <v>43.03</v>
      </c>
      <c r="C119">
        <v>0.31609999999999999</v>
      </c>
      <c r="D119">
        <v>18.309999999999999</v>
      </c>
      <c r="E119">
        <v>39.61</v>
      </c>
      <c r="F119">
        <v>0.33939999999999998</v>
      </c>
      <c r="G119">
        <v>8.0000000000000004E-4</v>
      </c>
      <c r="H119">
        <v>0.15590000000000001</v>
      </c>
      <c r="I119">
        <v>2.5399999999999999E-2</v>
      </c>
      <c r="J119">
        <f t="shared" si="1"/>
        <v>101.7876</v>
      </c>
      <c r="K119" t="s">
        <v>119</v>
      </c>
    </row>
    <row r="120" spans="1:11">
      <c r="A120">
        <v>116</v>
      </c>
      <c r="B120">
        <v>42.12</v>
      </c>
      <c r="C120">
        <v>0.37059999999999998</v>
      </c>
      <c r="D120">
        <v>19.46</v>
      </c>
      <c r="E120">
        <v>39.630000000000003</v>
      </c>
      <c r="F120">
        <v>0.36909999999999998</v>
      </c>
      <c r="G120">
        <v>1.1000000000000001E-3</v>
      </c>
      <c r="H120">
        <v>9.0999999999999998E-2</v>
      </c>
      <c r="I120">
        <v>4.0599999999999997E-2</v>
      </c>
      <c r="J120">
        <f t="shared" si="1"/>
        <v>102.08239999999999</v>
      </c>
      <c r="K120" t="s">
        <v>120</v>
      </c>
    </row>
    <row r="121" spans="1:11">
      <c r="A121">
        <v>117</v>
      </c>
      <c r="B121">
        <v>42.03</v>
      </c>
      <c r="C121">
        <v>0.3735</v>
      </c>
      <c r="D121">
        <v>19.53</v>
      </c>
      <c r="E121">
        <v>39.57</v>
      </c>
      <c r="F121">
        <v>0.35270000000000001</v>
      </c>
      <c r="G121">
        <v>0</v>
      </c>
      <c r="H121">
        <v>9.11E-2</v>
      </c>
      <c r="I121">
        <v>3.2599999999999997E-2</v>
      </c>
      <c r="J121">
        <f t="shared" si="1"/>
        <v>101.9799</v>
      </c>
      <c r="K121" t="s">
        <v>121</v>
      </c>
    </row>
    <row r="122" spans="1:11">
      <c r="A122">
        <v>118</v>
      </c>
      <c r="B122">
        <v>42.08</v>
      </c>
      <c r="C122">
        <v>0.36570000000000003</v>
      </c>
      <c r="D122">
        <v>19.579999999999998</v>
      </c>
      <c r="E122">
        <v>38.61</v>
      </c>
      <c r="F122">
        <v>0.33639999999999998</v>
      </c>
      <c r="G122">
        <v>0</v>
      </c>
      <c r="H122">
        <v>9.1600000000000001E-2</v>
      </c>
      <c r="I122">
        <v>2.5700000000000001E-2</v>
      </c>
      <c r="J122">
        <f t="shared" si="1"/>
        <v>101.08939999999998</v>
      </c>
      <c r="K122" t="s">
        <v>122</v>
      </c>
    </row>
    <row r="123" spans="1:11">
      <c r="A123">
        <v>119</v>
      </c>
      <c r="B123">
        <v>42.01</v>
      </c>
      <c r="C123">
        <v>0.36849999999999999</v>
      </c>
      <c r="D123">
        <v>19.899999999999999</v>
      </c>
      <c r="E123">
        <v>38.479999999999997</v>
      </c>
      <c r="F123">
        <v>0.32</v>
      </c>
      <c r="G123">
        <v>1.2999999999999999E-3</v>
      </c>
      <c r="H123">
        <v>9.1899999999999996E-2</v>
      </c>
      <c r="I123">
        <v>2.9899999999999999E-2</v>
      </c>
      <c r="J123">
        <f t="shared" si="1"/>
        <v>101.20159999999998</v>
      </c>
      <c r="K123" t="s">
        <v>123</v>
      </c>
    </row>
    <row r="124" spans="1:11">
      <c r="A124">
        <v>120</v>
      </c>
      <c r="B124">
        <v>44.46</v>
      </c>
      <c r="C124">
        <v>0.2868</v>
      </c>
      <c r="D124">
        <v>16.78</v>
      </c>
      <c r="E124">
        <v>39.200000000000003</v>
      </c>
      <c r="F124">
        <v>0.376</v>
      </c>
      <c r="G124">
        <v>2.4199999999999999E-2</v>
      </c>
      <c r="H124">
        <v>0.1676</v>
      </c>
      <c r="I124">
        <v>3.0700000000000002E-2</v>
      </c>
      <c r="J124">
        <f t="shared" si="1"/>
        <v>101.32529999999998</v>
      </c>
      <c r="K124" t="s">
        <v>124</v>
      </c>
    </row>
    <row r="125" spans="1:11">
      <c r="A125">
        <v>121</v>
      </c>
      <c r="B125">
        <v>44.39</v>
      </c>
      <c r="C125">
        <v>0.2787</v>
      </c>
      <c r="D125">
        <v>16.71</v>
      </c>
      <c r="E125">
        <v>39.950000000000003</v>
      </c>
      <c r="F125">
        <v>0.37569999999999998</v>
      </c>
      <c r="G125">
        <v>2.2100000000000002E-2</v>
      </c>
      <c r="H125">
        <v>0.1535</v>
      </c>
      <c r="I125">
        <v>3.2899999999999999E-2</v>
      </c>
      <c r="J125">
        <f t="shared" si="1"/>
        <v>101.91289999999998</v>
      </c>
      <c r="K125" t="s">
        <v>125</v>
      </c>
    </row>
    <row r="126" spans="1:11">
      <c r="A126">
        <v>122</v>
      </c>
      <c r="B126">
        <v>44.51</v>
      </c>
      <c r="C126">
        <v>0.2908</v>
      </c>
      <c r="D126">
        <v>16.670000000000002</v>
      </c>
      <c r="E126">
        <v>38.67</v>
      </c>
      <c r="F126">
        <v>0.37409999999999999</v>
      </c>
      <c r="G126">
        <v>8.2000000000000007E-3</v>
      </c>
      <c r="H126">
        <v>0.15939999999999999</v>
      </c>
      <c r="I126">
        <v>3.0300000000000001E-2</v>
      </c>
      <c r="J126">
        <f t="shared" si="1"/>
        <v>100.7128</v>
      </c>
      <c r="K126" t="s">
        <v>126</v>
      </c>
    </row>
    <row r="127" spans="1:11">
      <c r="A127">
        <v>123</v>
      </c>
      <c r="B127">
        <v>43.89</v>
      </c>
      <c r="C127">
        <v>0.3024</v>
      </c>
      <c r="D127">
        <v>17.23</v>
      </c>
      <c r="E127">
        <v>39.65</v>
      </c>
      <c r="F127">
        <v>0.37059999999999998</v>
      </c>
      <c r="G127">
        <v>9.5999999999999992E-3</v>
      </c>
      <c r="H127">
        <v>0.1474</v>
      </c>
      <c r="I127">
        <v>2.9899999999999999E-2</v>
      </c>
      <c r="J127">
        <f t="shared" si="1"/>
        <v>101.62989999999999</v>
      </c>
      <c r="K127" t="s">
        <v>127</v>
      </c>
    </row>
    <row r="128" spans="1:11">
      <c r="A128">
        <v>124</v>
      </c>
      <c r="B128">
        <v>43.86</v>
      </c>
      <c r="C128">
        <v>0.30780000000000002</v>
      </c>
      <c r="D128">
        <v>17.11</v>
      </c>
      <c r="E128">
        <v>39.81</v>
      </c>
      <c r="F128">
        <v>0.36380000000000001</v>
      </c>
      <c r="G128">
        <v>6.3E-3</v>
      </c>
      <c r="H128">
        <v>0.1474</v>
      </c>
      <c r="I128">
        <v>2.69E-2</v>
      </c>
      <c r="J128">
        <f t="shared" si="1"/>
        <v>101.6322</v>
      </c>
      <c r="K128" t="s">
        <v>128</v>
      </c>
    </row>
    <row r="129" spans="1:11">
      <c r="A129">
        <v>125</v>
      </c>
      <c r="B129">
        <v>43.65</v>
      </c>
      <c r="C129">
        <v>0.30959999999999999</v>
      </c>
      <c r="D129">
        <v>17.5</v>
      </c>
      <c r="E129">
        <v>39.4</v>
      </c>
      <c r="F129">
        <v>0.37990000000000002</v>
      </c>
      <c r="G129">
        <v>8.0999999999999996E-3</v>
      </c>
      <c r="H129">
        <v>0.14610000000000001</v>
      </c>
      <c r="I129">
        <v>3.15E-2</v>
      </c>
      <c r="J129">
        <f t="shared" si="1"/>
        <v>101.4252</v>
      </c>
      <c r="K129" t="s">
        <v>129</v>
      </c>
    </row>
    <row r="130" spans="1:11">
      <c r="A130">
        <v>126</v>
      </c>
      <c r="B130">
        <v>49.71</v>
      </c>
      <c r="C130">
        <v>0.13800000000000001</v>
      </c>
      <c r="D130">
        <v>9.56</v>
      </c>
      <c r="E130">
        <v>41.03</v>
      </c>
      <c r="F130">
        <v>0.10050000000000001</v>
      </c>
      <c r="G130">
        <v>1.7999999999999999E-2</v>
      </c>
      <c r="H130">
        <v>0.35880000000000001</v>
      </c>
      <c r="I130">
        <v>3.1600000000000003E-2</v>
      </c>
      <c r="J130">
        <f t="shared" si="1"/>
        <v>100.9469</v>
      </c>
      <c r="K130" t="s">
        <v>16</v>
      </c>
    </row>
    <row r="131" spans="1:11">
      <c r="A131">
        <v>127</v>
      </c>
      <c r="B131">
        <v>49.62</v>
      </c>
      <c r="C131">
        <v>0.14710000000000001</v>
      </c>
      <c r="D131">
        <v>9.43</v>
      </c>
      <c r="E131">
        <v>41.3</v>
      </c>
      <c r="F131">
        <v>0.1003</v>
      </c>
      <c r="G131">
        <v>9.7000000000000003E-3</v>
      </c>
      <c r="H131">
        <v>0.35489999999999999</v>
      </c>
      <c r="I131">
        <v>3.2399999999999998E-2</v>
      </c>
      <c r="J131">
        <f t="shared" si="1"/>
        <v>100.99439999999998</v>
      </c>
      <c r="K131" t="s">
        <v>16</v>
      </c>
    </row>
    <row r="132" spans="1:11">
      <c r="A132">
        <v>128</v>
      </c>
      <c r="B132">
        <v>49.47</v>
      </c>
      <c r="C132">
        <v>0.14080000000000001</v>
      </c>
      <c r="D132">
        <v>9.42</v>
      </c>
      <c r="E132">
        <v>41.28</v>
      </c>
      <c r="F132">
        <v>0.1042</v>
      </c>
      <c r="G132">
        <v>1.52E-2</v>
      </c>
      <c r="H132">
        <v>0.36399999999999999</v>
      </c>
      <c r="I132">
        <v>4.3799999999999999E-2</v>
      </c>
      <c r="J132">
        <f t="shared" si="1"/>
        <v>100.83800000000001</v>
      </c>
      <c r="K132" t="s">
        <v>16</v>
      </c>
    </row>
    <row r="133" spans="1:11">
      <c r="A133" s="5" t="s">
        <v>8727</v>
      </c>
      <c r="B133" s="5">
        <v>49.429900000000004</v>
      </c>
      <c r="C133" s="6">
        <v>0.14000000000000001</v>
      </c>
      <c r="D133" s="5">
        <v>9.5457000000000001</v>
      </c>
      <c r="E133" s="5">
        <v>40.815800000000003</v>
      </c>
      <c r="F133" s="6">
        <v>9.1999999999999998E-2</v>
      </c>
      <c r="G133" s="6">
        <v>1.4E-2</v>
      </c>
      <c r="H133" s="7">
        <v>0.37</v>
      </c>
      <c r="I133" s="6">
        <v>3.3000000000000002E-2</v>
      </c>
    </row>
    <row r="134" spans="1:11">
      <c r="C134" s="4"/>
      <c r="F134" s="4"/>
    </row>
    <row r="135" spans="1:11">
      <c r="A135" t="s">
        <v>8735</v>
      </c>
      <c r="B135">
        <v>1.0056955116524324</v>
      </c>
      <c r="F135">
        <v>1.106231884057971</v>
      </c>
    </row>
    <row r="139" spans="1:11">
      <c r="A139" t="s">
        <v>8725</v>
      </c>
      <c r="B139">
        <f>AVERAGE(B5:B7,B29:B31,B63:B65,B93:B95,B130:B132)</f>
        <v>49.735333333333337</v>
      </c>
      <c r="C139">
        <f>AVERAGE(C5:C7,C29:C31,C63:C65,C93:C95,C130:C132)</f>
        <v>0.14332</v>
      </c>
      <c r="D139">
        <f>AVERAGE(D5:D7,D29:D31,D63:D65,D93:D95,D130:D132)</f>
        <v>9.5066666666666659</v>
      </c>
      <c r="E139">
        <f>AVERAGE(E5:E7,E29:E31,E63:E65,E93:E95)</f>
        <v>39.8125</v>
      </c>
      <c r="F139">
        <f>AVERAGE(F5:F6,F7,F29:F31,F63:F65,F93:F95,F130:F132)</f>
        <v>0.10177333333333334</v>
      </c>
      <c r="G139">
        <f>AVERAGE(G6:G7,G29:G31,G63:G65,G93:G95,G130:G132)</f>
        <v>1.4149999999999999E-2</v>
      </c>
      <c r="H139">
        <f>AVERAGE(H5:H7,H29:H31,H63:H65,H93:H95,H130:H132)</f>
        <v>0.35353999999999991</v>
      </c>
      <c r="I139">
        <f>AVERAGE(I5:I7,I29:I31,I63:I65,I93:I95,I130:I132)</f>
        <v>3.3959999999999997E-2</v>
      </c>
    </row>
    <row r="140" spans="1:11">
      <c r="A140" t="s">
        <v>8726</v>
      </c>
      <c r="B140">
        <f>STDEV(B5:B7,B29:B31,B63:B65,B93:B95,B130:B131)</f>
        <v>0.12756381725445293</v>
      </c>
      <c r="C140">
        <f>STDEV(C5:C7,C29:C31,C63:C65,C93:C95,C130:C132)</f>
        <v>4.2340794243174691E-3</v>
      </c>
      <c r="D140">
        <f>STDEV(D5:D7,D29:D31,D63:D65,D93:D95,D130:D132)</f>
        <v>7.047458170621991E-2</v>
      </c>
      <c r="E140">
        <f>STDEV(E5:E7,E29:E31,E63:E65,E93:E95)</f>
        <v>0.27604759141726454</v>
      </c>
      <c r="F140">
        <f>STDEV(F5:F6,F7,F29:F31,F63:F65,F93:F95,F130:F132)</f>
        <v>2.0182972549958583E-3</v>
      </c>
      <c r="G140">
        <f>STDEV(G6:G7,G29:G31,G63:G65,G93:G95,G130:G132)</f>
        <v>4.9297760910301316E-3</v>
      </c>
      <c r="H140">
        <f>STDEV(H5:H7,H29:H31,H63:H65,H93:H95,H130:H132)</f>
        <v>2.238445889450983E-2</v>
      </c>
      <c r="I140">
        <f>STDEV(I5:I7,I29:I31,I63:I65,I93:I95,I130:I132)</f>
        <v>3.8973983996653818E-3</v>
      </c>
    </row>
    <row r="141" spans="1:11">
      <c r="A141" s="5" t="s">
        <v>8727</v>
      </c>
      <c r="B141" s="5">
        <v>49.429900000000004</v>
      </c>
      <c r="C141" s="6">
        <v>0.14000000000000001</v>
      </c>
      <c r="D141" s="5">
        <v>9.5457000000000001</v>
      </c>
      <c r="E141" s="5">
        <v>40.815800000000003</v>
      </c>
      <c r="F141" s="6">
        <v>9.1999999999999998E-2</v>
      </c>
      <c r="G141" s="6">
        <v>1.4E-2</v>
      </c>
      <c r="H141" s="7">
        <v>0.37</v>
      </c>
      <c r="I141" s="6">
        <v>3.3000000000000002E-2</v>
      </c>
    </row>
    <row r="142" spans="1:11">
      <c r="A142" t="s">
        <v>8728</v>
      </c>
      <c r="B142">
        <v>1.005666610695146</v>
      </c>
      <c r="F142">
        <f>F139/F141</f>
        <v>1.106231884057971</v>
      </c>
    </row>
    <row r="144" spans="1:11">
      <c r="A144" t="s">
        <v>8732</v>
      </c>
      <c r="B144" s="9">
        <f>B140</f>
        <v>0.12756381725445293</v>
      </c>
      <c r="C144" s="9">
        <f t="shared" ref="C144:I144" si="2">C140</f>
        <v>4.2340794243174691E-3</v>
      </c>
      <c r="D144" s="9">
        <f t="shared" si="2"/>
        <v>7.047458170621991E-2</v>
      </c>
      <c r="E144" s="9">
        <f t="shared" si="2"/>
        <v>0.27604759141726454</v>
      </c>
      <c r="F144" s="9">
        <f t="shared" si="2"/>
        <v>2.0182972549958583E-3</v>
      </c>
      <c r="G144" s="9">
        <f t="shared" si="2"/>
        <v>4.9297760910301316E-3</v>
      </c>
      <c r="H144" s="9">
        <f t="shared" si="2"/>
        <v>2.238445889450983E-2</v>
      </c>
      <c r="I144" s="9">
        <f t="shared" si="2"/>
        <v>3.8973983996653818E-3</v>
      </c>
    </row>
    <row r="145" spans="1:9">
      <c r="A145" t="s">
        <v>8733</v>
      </c>
      <c r="B145" s="9">
        <f>(ABS((B139-B141))/B141)</f>
        <v>6.1791210043583584E-3</v>
      </c>
      <c r="C145" s="10">
        <f>(ABS((C139-C141))/C141)</f>
        <v>2.3714285714285639E-2</v>
      </c>
      <c r="D145" s="9">
        <f t="shared" ref="D145:I145" si="3">(ABS((D139-D141))/D141)</f>
        <v>4.0891012008898399E-3</v>
      </c>
      <c r="E145" s="9">
        <f t="shared" si="3"/>
        <v>2.4581167097055621E-2</v>
      </c>
      <c r="F145" s="10">
        <f t="shared" si="3"/>
        <v>0.10623188405797111</v>
      </c>
      <c r="G145" s="10">
        <f t="shared" si="3"/>
        <v>1.0714285714285648E-2</v>
      </c>
      <c r="H145" s="10">
        <f t="shared" si="3"/>
        <v>4.4486486486486718E-2</v>
      </c>
      <c r="I145" s="10">
        <f t="shared" si="3"/>
        <v>2.9090909090908956E-2</v>
      </c>
    </row>
    <row r="150" spans="1:9">
      <c r="F150" s="3"/>
    </row>
  </sheetData>
  <autoFilter ref="A4:K138" xr:uid="{C2987C2D-AAD6-1C42-BB86-F04AFE2245F0}"/>
  <pageMargins left="0.7" right="0.7" top="0.75" bottom="0.75" header="0.3" footer="0.3"/>
  <ignoredErrors>
    <ignoredError sqref="J6:J1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8458-2D6D-3942-97FA-B8409A4CDE4F}">
  <dimension ref="A1:P141"/>
  <sheetViews>
    <sheetView tabSelected="1" zoomScale="86" workbookViewId="0">
      <pane ySplit="3" topLeftCell="A4" activePane="bottomLeft" state="frozen"/>
      <selection pane="bottomLeft" activeCell="E8" sqref="E8:E10"/>
    </sheetView>
  </sheetViews>
  <sheetFormatPr defaultColWidth="10.90625" defaultRowHeight="15"/>
  <cols>
    <col min="1" max="1" width="15.6328125" bestFit="1" customWidth="1"/>
  </cols>
  <sheetData>
    <row r="1" spans="1:16">
      <c r="A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>
        <v>1</v>
      </c>
      <c r="F2" t="s">
        <v>0</v>
      </c>
    </row>
    <row r="3" spans="1:16">
      <c r="A3" t="s">
        <v>0</v>
      </c>
    </row>
    <row r="4" spans="1:16">
      <c r="A4" t="s">
        <v>5</v>
      </c>
      <c r="B4" t="s">
        <v>8729</v>
      </c>
      <c r="C4" t="s">
        <v>7</v>
      </c>
      <c r="D4" t="s">
        <v>8730</v>
      </c>
      <c r="E4" t="s">
        <v>8731</v>
      </c>
      <c r="F4" t="s">
        <v>8738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N4" t="s">
        <v>136</v>
      </c>
      <c r="O4" t="s">
        <v>137</v>
      </c>
      <c r="P4" t="s">
        <v>14</v>
      </c>
    </row>
    <row r="5" spans="1:16">
      <c r="A5">
        <v>1</v>
      </c>
      <c r="B5">
        <f>Oxides!B5/StdCalc!B$26</f>
        <v>49.47429236089701</v>
      </c>
      <c r="C5">
        <f>Oxides!C5/StdCalc!C$26</f>
        <v>0.14437622104381803</v>
      </c>
      <c r="D5">
        <f>Oxides!D5/StdCalc!D$26</f>
        <v>9.5992523141654988</v>
      </c>
      <c r="E5">
        <f>Oxides!E5/StdCalc!E$26</f>
        <v>40.438428961021692</v>
      </c>
      <c r="F5">
        <f>Oxides!F5/StdCalc!F$26</f>
        <v>9.2566487619546708E-2</v>
      </c>
      <c r="G5">
        <f>Oxides!G5/StdCalc!G$26</f>
        <v>3.0770318021201414E-2</v>
      </c>
      <c r="H5">
        <f>Oxides!H5/StdCalc!H$26</f>
        <v>0.37892623065123421</v>
      </c>
      <c r="I5">
        <f>Oxides!I5/StdCalc!I$26</f>
        <v>3.1355670103092786E-2</v>
      </c>
      <c r="J5" s="14">
        <f>SUM(B5:I5)</f>
        <v>100.1899685635231</v>
      </c>
      <c r="K5" t="s">
        <v>16</v>
      </c>
      <c r="N5">
        <f>100*(B5/40.304)/((B5/40.304)+(D5/71.844))</f>
        <v>90.183787881570012</v>
      </c>
      <c r="O5">
        <f>100-N5</f>
        <v>9.8162121184299878</v>
      </c>
      <c r="P5">
        <f>SUM(N5:O5)</f>
        <v>100</v>
      </c>
    </row>
    <row r="6" spans="1:16">
      <c r="A6">
        <v>2</v>
      </c>
      <c r="B6">
        <f>Oxides!B6/StdCalc!B$26</f>
        <v>49.345090713510174</v>
      </c>
      <c r="C6">
        <f>Oxides!C6/StdCalc!C$26</f>
        <v>0.13802679319006422</v>
      </c>
      <c r="D6">
        <f>Oxides!D6/StdCalc!D$26</f>
        <v>9.6494576086956521</v>
      </c>
      <c r="E6">
        <f>Oxides!E6/StdCalc!E$26</f>
        <v>40.479152454436623</v>
      </c>
      <c r="F6">
        <f>Oxides!F6/StdCalc!F$26</f>
        <v>8.8408227433512385E-2</v>
      </c>
      <c r="G6">
        <f>Oxides!G6/StdCalc!G$26</f>
        <v>1.6028268551236749E-2</v>
      </c>
      <c r="H6">
        <f>Oxides!H6/StdCalc!H$26</f>
        <v>0.39316692232603545</v>
      </c>
      <c r="I6">
        <f>Oxides!I6/StdCalc!I$26</f>
        <v>3.274484536082474E-2</v>
      </c>
      <c r="J6" s="14">
        <f t="shared" ref="J6:J69" si="0">SUM(B6:I6)</f>
        <v>100.14207583350412</v>
      </c>
      <c r="K6" t="s">
        <v>16</v>
      </c>
      <c r="N6">
        <f t="shared" ref="N6:N69" si="1">100*(B6/40.304)/((B6/40.304)+(D6/71.844))</f>
        <v>90.114240853176881</v>
      </c>
      <c r="O6">
        <f t="shared" ref="O6:O69" si="2">100-N6</f>
        <v>9.8857591468231192</v>
      </c>
      <c r="P6">
        <f t="shared" ref="P6:P69" si="3">SUM(N6:O6)</f>
        <v>100</v>
      </c>
    </row>
    <row r="7" spans="1:16">
      <c r="A7">
        <v>3</v>
      </c>
      <c r="B7">
        <f>Oxides!B7/StdCalc!B$26</f>
        <v>49.295397772207551</v>
      </c>
      <c r="C7">
        <f>Oxides!C7/StdCalc!C$26</f>
        <v>0.14066424783700809</v>
      </c>
      <c r="D7">
        <f>Oxides!D7/StdCalc!D$26</f>
        <v>9.5390059607293125</v>
      </c>
      <c r="E7">
        <f>Oxides!E7/StdCalc!E$26</f>
        <v>40.367162847545572</v>
      </c>
      <c r="F7">
        <f>Oxides!F7/StdCalc!F$26</f>
        <v>9.3922442028036165E-2</v>
      </c>
      <c r="G7">
        <f>Oxides!G7/StdCalc!G$26</f>
        <v>1.7710247349823321E-2</v>
      </c>
      <c r="H7">
        <f>Oxides!H7/StdCalc!H$26</f>
        <v>0.3579779668107656</v>
      </c>
      <c r="I7">
        <f>Oxides!I7/StdCalc!I$26</f>
        <v>3.41340206185567E-2</v>
      </c>
      <c r="J7" s="14">
        <f t="shared" si="0"/>
        <v>99.845975505126617</v>
      </c>
      <c r="K7" t="s">
        <v>16</v>
      </c>
      <c r="N7">
        <f t="shared" si="1"/>
        <v>90.207429672901469</v>
      </c>
      <c r="O7">
        <f t="shared" si="2"/>
        <v>9.7925703270985309</v>
      </c>
      <c r="P7">
        <f t="shared" si="3"/>
        <v>100</v>
      </c>
    </row>
    <row r="8" spans="1:16">
      <c r="A8">
        <v>4</v>
      </c>
      <c r="B8">
        <f>Oxides!B8/StdCalc!B$26</f>
        <v>45.727444586678814</v>
      </c>
      <c r="C8">
        <f>Oxides!C8/StdCalc!C$26</f>
        <v>0.23649176667596991</v>
      </c>
      <c r="D8">
        <f>Oxides!D8/StdCalc!D$26</f>
        <v>14.55953541374474</v>
      </c>
      <c r="E8">
        <f>Oxides!E8/StdCalc!E$26</f>
        <v>39.399979878941082</v>
      </c>
      <c r="F8">
        <f>Oxides!F8/StdCalc!F$26</f>
        <v>0.31964365256124722</v>
      </c>
      <c r="G8">
        <f>Oxides!G8/StdCalc!G$26</f>
        <v>3.5123674911660775E-2</v>
      </c>
      <c r="H8">
        <f>Oxides!H8/StdCalc!H$26</f>
        <v>0.21072095941988567</v>
      </c>
      <c r="I8">
        <f>Oxides!I8/StdCalc!I$26</f>
        <v>3.5523195876288653E-2</v>
      </c>
      <c r="J8" s="14">
        <f t="shared" si="0"/>
        <v>100.5244631288097</v>
      </c>
      <c r="K8" t="s">
        <v>17</v>
      </c>
      <c r="N8">
        <f t="shared" si="1"/>
        <v>84.845043100762197</v>
      </c>
      <c r="O8">
        <f t="shared" si="2"/>
        <v>15.154956899237803</v>
      </c>
      <c r="P8">
        <f t="shared" si="3"/>
        <v>100</v>
      </c>
    </row>
    <row r="9" spans="1:16">
      <c r="A9">
        <v>5</v>
      </c>
      <c r="B9">
        <f>Oxides!B9/StdCalc!B$26</f>
        <v>45.449164115384093</v>
      </c>
      <c r="C9">
        <f>Oxides!C9/StdCalc!C$26</f>
        <v>0.25182807703042143</v>
      </c>
      <c r="D9">
        <f>Oxides!D9/StdCalc!D$26</f>
        <v>14.941095652173914</v>
      </c>
      <c r="E9">
        <f>Oxides!E9/StdCalc!E$26</f>
        <v>39.216724158573918</v>
      </c>
      <c r="F9">
        <f>Oxides!F9/StdCalc!F$26</f>
        <v>0.31910127079785144</v>
      </c>
      <c r="G9">
        <f>Oxides!G9/StdCalc!G$26</f>
        <v>2.4141342756183747E-2</v>
      </c>
      <c r="H9">
        <f>Oxides!H9/StdCalc!H$26</f>
        <v>0.20298145307488499</v>
      </c>
      <c r="I9">
        <f>Oxides!I9/StdCalc!I$26</f>
        <v>3.3737113402061855E-2</v>
      </c>
      <c r="J9" s="14">
        <f t="shared" si="0"/>
        <v>100.43877318319332</v>
      </c>
      <c r="K9" t="s">
        <v>18</v>
      </c>
      <c r="N9">
        <f t="shared" si="1"/>
        <v>84.42932291080227</v>
      </c>
      <c r="O9">
        <f t="shared" si="2"/>
        <v>15.57067708919773</v>
      </c>
      <c r="P9">
        <f t="shared" si="3"/>
        <v>100</v>
      </c>
    </row>
    <row r="10" spans="1:16">
      <c r="A10">
        <v>6</v>
      </c>
      <c r="B10">
        <f>Oxides!B10/StdCalc!B$26</f>
        <v>46.01566364623406</v>
      </c>
      <c r="C10">
        <f>Oxides!C10/StdCalc!C$26</f>
        <v>0.21578286352218815</v>
      </c>
      <c r="D10">
        <f>Oxides!D10/StdCalc!D$26</f>
        <v>13.977153997194952</v>
      </c>
      <c r="E10">
        <f>Oxides!E10/StdCalc!E$26</f>
        <v>40.428248087667967</v>
      </c>
      <c r="F10">
        <f>Oxides!F10/StdCalc!F$26</f>
        <v>0.30445696318616533</v>
      </c>
      <c r="G10">
        <f>Oxides!G10/StdCalc!G$26</f>
        <v>2.6318021201413428E-2</v>
      </c>
      <c r="H10">
        <f>Oxides!H10/StdCalc!H$26</f>
        <v>0.21546785664481943</v>
      </c>
      <c r="I10">
        <f>Oxides!I10/StdCalc!I$26</f>
        <v>2.4608247422680408E-2</v>
      </c>
      <c r="J10" s="14">
        <f t="shared" si="0"/>
        <v>101.20769968307425</v>
      </c>
      <c r="K10" t="s">
        <v>19</v>
      </c>
      <c r="N10">
        <f t="shared" si="1"/>
        <v>85.44084295470536</v>
      </c>
      <c r="O10">
        <f t="shared" si="2"/>
        <v>14.55915704529464</v>
      </c>
      <c r="P10">
        <f t="shared" si="3"/>
        <v>100</v>
      </c>
    </row>
    <row r="11" spans="1:16">
      <c r="A11">
        <v>7</v>
      </c>
      <c r="B11">
        <f>Oxides!B11/StdCalc!B$26</f>
        <v>44.683892819323617</v>
      </c>
      <c r="C11">
        <f>Oxides!C11/StdCalc!C$26</f>
        <v>0.24459949762768635</v>
      </c>
      <c r="D11">
        <f>Oxides!D11/StdCalc!D$26</f>
        <v>15.382902244039272</v>
      </c>
      <c r="E11">
        <f>Oxides!E11/StdCalc!E$26</f>
        <v>40.723493414926182</v>
      </c>
      <c r="F11">
        <f>Oxides!F11/StdCalc!F$26</f>
        <v>0.30879601729333161</v>
      </c>
      <c r="G11">
        <f>Oxides!G11/StdCalc!G$26</f>
        <v>1.7413427561837457E-2</v>
      </c>
      <c r="H11">
        <f>Oxides!H11/StdCalc!H$26</f>
        <v>0.18605773253381677</v>
      </c>
      <c r="I11">
        <f>Oxides!I11/StdCalc!I$26</f>
        <v>3.492783505154639E-2</v>
      </c>
      <c r="J11" s="14">
        <f t="shared" si="0"/>
        <v>101.58208298835729</v>
      </c>
      <c r="K11" t="s">
        <v>20</v>
      </c>
      <c r="N11">
        <f t="shared" si="1"/>
        <v>83.813314132581709</v>
      </c>
      <c r="O11">
        <f t="shared" si="2"/>
        <v>16.186685867418291</v>
      </c>
      <c r="P11">
        <f t="shared" si="3"/>
        <v>100</v>
      </c>
    </row>
    <row r="12" spans="1:16">
      <c r="A12">
        <v>8</v>
      </c>
      <c r="B12">
        <f>Oxides!B12/StdCalc!B$26</f>
        <v>44.644138466281511</v>
      </c>
      <c r="C12">
        <f>Oxides!C12/StdCalc!C$26</f>
        <v>0.24655316773653368</v>
      </c>
      <c r="D12">
        <f>Oxides!D12/StdCalc!D$26</f>
        <v>15.282491654978964</v>
      </c>
      <c r="E12">
        <f>Oxides!E12/StdCalc!E$26</f>
        <v>39.125096298390325</v>
      </c>
      <c r="F12">
        <f>Oxides!F12/StdCalc!F$26</f>
        <v>0.31123673522861262</v>
      </c>
      <c r="G12">
        <f>Oxides!G12/StdCalc!G$26</f>
        <v>1.0883392226148409E-2</v>
      </c>
      <c r="H12">
        <f>Oxides!H12/StdCalc!H$26</f>
        <v>0.19957607028308466</v>
      </c>
      <c r="I12">
        <f>Oxides!I12/StdCalc!I$26</f>
        <v>3.8797680412371131E-2</v>
      </c>
      <c r="J12" s="14">
        <f t="shared" si="0"/>
        <v>99.858773465537553</v>
      </c>
      <c r="K12" t="s">
        <v>21</v>
      </c>
      <c r="N12">
        <f t="shared" si="1"/>
        <v>83.88993711523166</v>
      </c>
      <c r="O12">
        <f t="shared" si="2"/>
        <v>16.11006288476834</v>
      </c>
      <c r="P12">
        <f t="shared" si="3"/>
        <v>100</v>
      </c>
    </row>
    <row r="13" spans="1:16">
      <c r="A13">
        <v>9</v>
      </c>
      <c r="B13">
        <f>Oxides!B13/StdCalc!B$26</f>
        <v>44.216779171078912</v>
      </c>
      <c r="C13">
        <f>Oxides!C13/StdCalc!C$26</f>
        <v>0.24049679039910693</v>
      </c>
      <c r="D13">
        <f>Oxides!D13/StdCalc!D$26</f>
        <v>15.433107538569425</v>
      </c>
      <c r="E13">
        <f>Oxides!E13/StdCalc!E$26</f>
        <v>39.786853066382875</v>
      </c>
      <c r="F13">
        <f>Oxides!F13/StdCalc!F$26</f>
        <v>0.30445696318616533</v>
      </c>
      <c r="G13">
        <f>Oxides!G13/StdCalc!G$26</f>
        <v>4.8480565371024735E-3</v>
      </c>
      <c r="H13">
        <f>Oxides!H13/StdCalc!H$26</f>
        <v>0.20277506623901828</v>
      </c>
      <c r="I13">
        <f>Oxides!I13/StdCalc!I$26</f>
        <v>4.8422680412371133E-2</v>
      </c>
      <c r="J13" s="14">
        <f t="shared" si="0"/>
        <v>100.23773933280496</v>
      </c>
      <c r="K13" t="s">
        <v>22</v>
      </c>
      <c r="N13">
        <f t="shared" si="1"/>
        <v>83.625670146723508</v>
      </c>
      <c r="O13">
        <f t="shared" si="2"/>
        <v>16.374329853276492</v>
      </c>
      <c r="P13">
        <f t="shared" si="3"/>
        <v>100</v>
      </c>
    </row>
    <row r="14" spans="1:16">
      <c r="A14">
        <v>10</v>
      </c>
      <c r="B14">
        <f>Oxides!B14/StdCalc!B$26</f>
        <v>47.009522472286626</v>
      </c>
      <c r="C14">
        <f>Oxides!C14/StdCalc!C$26</f>
        <v>0.20171643873848732</v>
      </c>
      <c r="D14">
        <f>Oxides!D14/StdCalc!D$26</f>
        <v>12.822432223001403</v>
      </c>
      <c r="E14">
        <f>Oxides!E14/StdCalc!E$26</f>
        <v>39.695225206199297</v>
      </c>
      <c r="F14">
        <f>Oxides!F14/StdCalc!F$26</f>
        <v>0.32434429451067731</v>
      </c>
      <c r="G14">
        <f>Oxides!G14/StdCalc!G$26</f>
        <v>4.1356890459363957E-2</v>
      </c>
      <c r="H14">
        <f>Oxides!H14/StdCalc!H$26</f>
        <v>0.20834751080741878</v>
      </c>
      <c r="I14">
        <f>Oxides!I14/StdCalc!I$26</f>
        <v>4.475128865979381E-2</v>
      </c>
      <c r="J14" s="14">
        <f t="shared" si="0"/>
        <v>100.34769632466308</v>
      </c>
      <c r="K14" t="s">
        <v>23</v>
      </c>
      <c r="N14">
        <f t="shared" si="1"/>
        <v>86.728922924199424</v>
      </c>
      <c r="O14">
        <f t="shared" si="2"/>
        <v>13.271077075800576</v>
      </c>
      <c r="P14">
        <f t="shared" si="3"/>
        <v>100</v>
      </c>
    </row>
    <row r="15" spans="1:16">
      <c r="A15">
        <v>11</v>
      </c>
      <c r="B15">
        <f>Oxides!B15/StdCalc!B$26</f>
        <v>46.979706707505059</v>
      </c>
      <c r="C15">
        <f>Oxides!C15/StdCalc!C$26</f>
        <v>0.21304772536980185</v>
      </c>
      <c r="D15">
        <f>Oxides!D15/StdCalc!D$26</f>
        <v>13.023253401122021</v>
      </c>
      <c r="E15">
        <f>Oxides!E15/StdCalc!E$26</f>
        <v>39.725767826260494</v>
      </c>
      <c r="F15">
        <f>Oxides!F15/StdCalc!F$26</f>
        <v>0.32208437049652822</v>
      </c>
      <c r="G15">
        <f>Oxides!G15/StdCalc!G$26</f>
        <v>3.156183745583039E-2</v>
      </c>
      <c r="H15">
        <f>Oxides!H15/StdCalc!H$26</f>
        <v>0.21918281969041978</v>
      </c>
      <c r="I15">
        <f>Oxides!I15/StdCalc!I$26</f>
        <v>2.4012886597938141E-2</v>
      </c>
      <c r="J15" s="14">
        <f t="shared" si="0"/>
        <v>100.53861757449809</v>
      </c>
      <c r="K15" t="s">
        <v>24</v>
      </c>
      <c r="N15">
        <f t="shared" si="1"/>
        <v>86.541644944777673</v>
      </c>
      <c r="O15">
        <f t="shared" si="2"/>
        <v>13.458355055222327</v>
      </c>
      <c r="P15">
        <f t="shared" si="3"/>
        <v>100</v>
      </c>
    </row>
    <row r="16" spans="1:16">
      <c r="A16">
        <v>12</v>
      </c>
      <c r="B16">
        <f>Oxides!B16/StdCalc!B$26</f>
        <v>46.850505060118223</v>
      </c>
      <c r="C16">
        <f>Oxides!C16/StdCalc!C$26</f>
        <v>0.20337705833100755</v>
      </c>
      <c r="D16">
        <f>Oxides!D16/StdCalc!D$26</f>
        <v>12.882678576437588</v>
      </c>
      <c r="E16">
        <f>Oxides!E16/StdCalc!E$26</f>
        <v>40.876206515232155</v>
      </c>
      <c r="F16">
        <f>Oxides!F16/StdCalc!F$26</f>
        <v>0.31837809511332371</v>
      </c>
      <c r="G16">
        <f>Oxides!G16/StdCalc!G$26</f>
        <v>4.3137809187279157E-2</v>
      </c>
      <c r="H16">
        <f>Oxides!H16/StdCalc!H$26</f>
        <v>0.21649979082415283</v>
      </c>
      <c r="I16">
        <f>Oxides!I16/StdCalc!I$26</f>
        <v>3.41340206185567E-2</v>
      </c>
      <c r="J16" s="14">
        <f t="shared" si="0"/>
        <v>101.42491692586229</v>
      </c>
      <c r="K16" t="s">
        <v>25</v>
      </c>
      <c r="N16">
        <f t="shared" si="1"/>
        <v>86.635694324971126</v>
      </c>
      <c r="O16">
        <f t="shared" si="2"/>
        <v>13.364305675028874</v>
      </c>
      <c r="P16">
        <f t="shared" si="3"/>
        <v>100</v>
      </c>
    </row>
    <row r="17" spans="1:16">
      <c r="A17">
        <v>13</v>
      </c>
      <c r="B17">
        <f>Oxides!B17/StdCalc!B$26</f>
        <v>47.178478472715568</v>
      </c>
      <c r="C17">
        <f>Oxides!C17/StdCalc!C$26</f>
        <v>0.2065029305051633</v>
      </c>
      <c r="D17">
        <f>Oxides!D17/StdCalc!D$26</f>
        <v>12.952965988779804</v>
      </c>
      <c r="E17">
        <f>Oxides!E17/StdCalc!E$26</f>
        <v>40.733674288279907</v>
      </c>
      <c r="F17">
        <f>Oxides!F17/StdCalc!F$26</f>
        <v>0.32687540940652426</v>
      </c>
      <c r="G17">
        <f>Oxides!G17/StdCalc!G$26</f>
        <v>3.2848056537102474E-2</v>
      </c>
      <c r="H17">
        <f>Oxides!H17/StdCalc!H$26</f>
        <v>0.22599358527402039</v>
      </c>
      <c r="I17">
        <f>Oxides!I17/StdCalc!I$26</f>
        <v>3.5027061855670096E-2</v>
      </c>
      <c r="J17" s="14">
        <f t="shared" si="0"/>
        <v>101.69236579335377</v>
      </c>
      <c r="K17" t="s">
        <v>26</v>
      </c>
      <c r="N17">
        <f t="shared" si="1"/>
        <v>86.653455830361665</v>
      </c>
      <c r="O17">
        <f t="shared" si="2"/>
        <v>13.346544169638335</v>
      </c>
      <c r="P17">
        <f t="shared" si="3"/>
        <v>100</v>
      </c>
    </row>
    <row r="18" spans="1:16">
      <c r="A18">
        <v>14</v>
      </c>
      <c r="B18">
        <f>Oxides!B18/StdCalc!B$26</f>
        <v>46.840566471857699</v>
      </c>
      <c r="C18">
        <f>Oxides!C18/StdCalc!C$26</f>
        <v>0.19849288305888921</v>
      </c>
      <c r="D18">
        <f>Oxides!D18/StdCalc!D$26</f>
        <v>13.093540813464235</v>
      </c>
      <c r="E18">
        <f>Oxides!E18/StdCalc!E$26</f>
        <v>40.774397781694837</v>
      </c>
      <c r="F18">
        <f>Oxides!F18/StdCalc!F$26</f>
        <v>0.31873968295558758</v>
      </c>
      <c r="G18">
        <f>Oxides!G18/StdCalc!G$26</f>
        <v>3.3045936395759715E-2</v>
      </c>
      <c r="H18">
        <f>Oxides!H18/StdCalc!H$26</f>
        <v>0.22640635894575376</v>
      </c>
      <c r="I18">
        <f>Oxides!I18/StdCalc!I$26</f>
        <v>2.2524484536082474E-2</v>
      </c>
      <c r="J18" s="14">
        <f t="shared" si="0"/>
        <v>101.50771441290884</v>
      </c>
      <c r="K18" t="s">
        <v>27</v>
      </c>
      <c r="N18">
        <f t="shared" si="1"/>
        <v>86.444110408842036</v>
      </c>
      <c r="O18">
        <f t="shared" si="2"/>
        <v>13.555889591157964</v>
      </c>
      <c r="P18">
        <f t="shared" si="3"/>
        <v>100</v>
      </c>
    </row>
    <row r="19" spans="1:16">
      <c r="A19">
        <v>15</v>
      </c>
      <c r="B19">
        <f>Oxides!B19/StdCalc!B$26</f>
        <v>47.307680120102404</v>
      </c>
      <c r="C19">
        <f>Oxides!C19/StdCalc!C$26</f>
        <v>0.19976276862963999</v>
      </c>
      <c r="D19">
        <f>Oxides!D19/StdCalc!D$26</f>
        <v>12.631652103786816</v>
      </c>
      <c r="E19">
        <f>Oxides!E19/StdCalc!E$26</f>
        <v>39.49160773912466</v>
      </c>
      <c r="F19">
        <f>Oxides!F19/StdCalc!F$26</f>
        <v>0.32118040089086858</v>
      </c>
      <c r="G19">
        <f>Oxides!G19/StdCalc!G$26</f>
        <v>3.9872791519434632E-2</v>
      </c>
      <c r="H19">
        <f>Oxides!H19/StdCalc!H$26</f>
        <v>0.22516803793055365</v>
      </c>
      <c r="I19">
        <f>Oxides!I19/StdCalc!I$26</f>
        <v>3.7706185567010303E-2</v>
      </c>
      <c r="J19" s="14">
        <f t="shared" si="0"/>
        <v>100.25463014755138</v>
      </c>
      <c r="K19" t="s">
        <v>28</v>
      </c>
      <c r="N19">
        <f t="shared" si="1"/>
        <v>86.972316789553403</v>
      </c>
      <c r="O19">
        <f t="shared" si="2"/>
        <v>13.027683210446597</v>
      </c>
      <c r="P19">
        <f t="shared" si="3"/>
        <v>100</v>
      </c>
    </row>
    <row r="20" spans="1:16">
      <c r="A20">
        <v>16</v>
      </c>
      <c r="B20">
        <f>Oxides!B20/StdCalc!B$26</f>
        <v>45.757260351460388</v>
      </c>
      <c r="C20">
        <f>Oxides!C20/StdCalc!C$26</f>
        <v>0.22916550376779238</v>
      </c>
      <c r="D20">
        <f>Oxides!D20/StdCalc!D$26</f>
        <v>14.348673176718092</v>
      </c>
      <c r="E20">
        <f>Oxides!E20/StdCalc!E$26</f>
        <v>40.580961187973941</v>
      </c>
      <c r="F20">
        <f>Oxides!F20/StdCalc!F$26</f>
        <v>0.29351893095768372</v>
      </c>
      <c r="G20">
        <f>Oxides!G20/StdCalc!G$26</f>
        <v>6.7674911660777395E-2</v>
      </c>
      <c r="H20">
        <f>Oxides!H20/StdCalc!H$26</f>
        <v>0.20318783991075165</v>
      </c>
      <c r="I20">
        <f>Oxides!I20/StdCalc!I$26</f>
        <v>3.6515463917525769E-2</v>
      </c>
      <c r="J20" s="14">
        <f t="shared" si="0"/>
        <v>101.51695736636695</v>
      </c>
      <c r="K20" t="s">
        <v>29</v>
      </c>
      <c r="N20">
        <f t="shared" si="1"/>
        <v>85.03996971647436</v>
      </c>
      <c r="O20">
        <f t="shared" si="2"/>
        <v>14.96003028352564</v>
      </c>
      <c r="P20">
        <f t="shared" si="3"/>
        <v>100</v>
      </c>
    </row>
    <row r="21" spans="1:16">
      <c r="A21">
        <v>17</v>
      </c>
      <c r="B21">
        <f>Oxides!B21/StdCalc!B$26</f>
        <v>45.846707645805125</v>
      </c>
      <c r="C21">
        <f>Oxides!C21/StdCalc!C$26</f>
        <v>0.22193692436505727</v>
      </c>
      <c r="D21">
        <f>Oxides!D21/StdCalc!D$26</f>
        <v>14.358714235624124</v>
      </c>
      <c r="E21">
        <f>Oxides!E21/StdCalc!E$26</f>
        <v>39.613778219369436</v>
      </c>
      <c r="F21">
        <f>Oxides!F21/StdCalc!F$26</f>
        <v>0.29116860998296867</v>
      </c>
      <c r="G21">
        <f>Oxides!G21/StdCalc!G$26</f>
        <v>2.7604240282685516E-2</v>
      </c>
      <c r="H21">
        <f>Oxides!H21/StdCalc!H$26</f>
        <v>0.21949239994421979</v>
      </c>
      <c r="I21">
        <f>Oxides!I21/StdCalc!I$26</f>
        <v>2.7783505154639173E-2</v>
      </c>
      <c r="J21" s="14">
        <f t="shared" si="0"/>
        <v>100.60718578052827</v>
      </c>
      <c r="K21" t="s">
        <v>30</v>
      </c>
      <c r="N21">
        <f t="shared" si="1"/>
        <v>85.055908073810087</v>
      </c>
      <c r="O21">
        <f t="shared" si="2"/>
        <v>14.944091926189913</v>
      </c>
      <c r="P21">
        <f t="shared" si="3"/>
        <v>100</v>
      </c>
    </row>
    <row r="22" spans="1:16">
      <c r="A22">
        <v>18</v>
      </c>
      <c r="B22">
        <f>Oxides!B22/StdCalc!B$26</f>
        <v>45.936154940149855</v>
      </c>
      <c r="C22">
        <f>Oxides!C22/StdCalc!C$26</f>
        <v>0.22662573262629085</v>
      </c>
      <c r="D22">
        <f>Oxides!D22/StdCalc!D$26</f>
        <v>14.449083765778402</v>
      </c>
      <c r="E22">
        <f>Oxides!E22/StdCalc!E$26</f>
        <v>39.542512105893323</v>
      </c>
      <c r="F22">
        <f>Oxides!F22/StdCalc!F$26</f>
        <v>0.2869199528363684</v>
      </c>
      <c r="G22">
        <f>Oxides!G22/StdCalc!G$26</f>
        <v>1.5038869257950531E-2</v>
      </c>
      <c r="H22">
        <f>Oxides!H22/StdCalc!H$26</f>
        <v>0.21763491842141963</v>
      </c>
      <c r="I22">
        <f>Oxides!I22/StdCalc!I$26</f>
        <v>2.7684278350515464E-2</v>
      </c>
      <c r="J22" s="14">
        <f t="shared" si="0"/>
        <v>100.70165456331414</v>
      </c>
      <c r="K22" t="s">
        <v>31</v>
      </c>
      <c r="N22">
        <f t="shared" si="1"/>
        <v>85.000851906099385</v>
      </c>
      <c r="O22">
        <f t="shared" si="2"/>
        <v>14.999148093900615</v>
      </c>
      <c r="P22">
        <f t="shared" si="3"/>
        <v>100</v>
      </c>
    </row>
    <row r="23" spans="1:16">
      <c r="A23">
        <v>19</v>
      </c>
      <c r="B23">
        <f>Oxides!B23/StdCalc!B$26</f>
        <v>46.979706707505059</v>
      </c>
      <c r="C23">
        <f>Oxides!C23/StdCalc!C$26</f>
        <v>0.21275467485347477</v>
      </c>
      <c r="D23">
        <f>Oxides!D23/StdCalc!D$26</f>
        <v>12.822432223001403</v>
      </c>
      <c r="E23">
        <f>Oxides!E23/StdCalc!E$26</f>
        <v>39.49160773912466</v>
      </c>
      <c r="F23">
        <f>Oxides!F23/StdCalc!F$26</f>
        <v>0.31738372854709812</v>
      </c>
      <c r="G23">
        <f>Oxides!G23/StdCalc!G$26</f>
        <v>3.9081272084805656E-2</v>
      </c>
      <c r="H23">
        <f>Oxides!H23/StdCalc!H$26</f>
        <v>0.22743829312508718</v>
      </c>
      <c r="I23">
        <f>Oxides!I23/StdCalc!I$26</f>
        <v>2.8577319587628863E-2</v>
      </c>
      <c r="J23" s="14">
        <f t="shared" si="0"/>
        <v>100.11898195782921</v>
      </c>
      <c r="K23" t="s">
        <v>32</v>
      </c>
      <c r="N23">
        <f t="shared" si="1"/>
        <v>86.721618782331447</v>
      </c>
      <c r="O23">
        <f t="shared" si="2"/>
        <v>13.278381217668553</v>
      </c>
      <c r="P23">
        <f t="shared" si="3"/>
        <v>100</v>
      </c>
    </row>
    <row r="24" spans="1:16">
      <c r="A24">
        <v>20</v>
      </c>
      <c r="B24">
        <f>Oxides!B24/StdCalc!B$26</f>
        <v>47.138724119673469</v>
      </c>
      <c r="C24">
        <f>Oxides!C24/StdCalc!C$26</f>
        <v>0.19409712531398271</v>
      </c>
      <c r="D24">
        <f>Oxides!D24/StdCalc!D$26</f>
        <v>12.77222692847125</v>
      </c>
      <c r="E24">
        <f>Oxides!E24/StdCalc!E$26</f>
        <v>39.562873852600781</v>
      </c>
      <c r="F24">
        <f>Oxides!F24/StdCalc!F$26</f>
        <v>0.31892047687671948</v>
      </c>
      <c r="G24">
        <f>Oxides!G24/StdCalc!G$26</f>
        <v>3.9575971731448764E-2</v>
      </c>
      <c r="H24">
        <f>Oxides!H24/StdCalc!H$26</f>
        <v>0.22341374982568682</v>
      </c>
      <c r="I24">
        <f>Oxides!I24/StdCalc!I$26</f>
        <v>2.6592783505154639E-2</v>
      </c>
      <c r="J24" s="14">
        <f t="shared" si="0"/>
        <v>100.27642500799847</v>
      </c>
      <c r="K24" t="s">
        <v>33</v>
      </c>
      <c r="N24">
        <f t="shared" si="1"/>
        <v>86.805480111212233</v>
      </c>
      <c r="O24">
        <f t="shared" si="2"/>
        <v>13.194519888787767</v>
      </c>
      <c r="P24">
        <f t="shared" si="3"/>
        <v>100</v>
      </c>
    </row>
    <row r="25" spans="1:16">
      <c r="A25">
        <v>21</v>
      </c>
      <c r="B25">
        <f>Oxides!B25/StdCalc!B$26</f>
        <v>46.900198001420847</v>
      </c>
      <c r="C25">
        <f>Oxides!C25/StdCalc!C$26</f>
        <v>0.21207089031537818</v>
      </c>
      <c r="D25">
        <f>Oxides!D25/StdCalc!D$26</f>
        <v>13.093540813464235</v>
      </c>
      <c r="E25">
        <f>Oxides!E25/StdCalc!E$26</f>
        <v>39.49160773912466</v>
      </c>
      <c r="F25">
        <f>Oxides!F25/StdCalc!F$26</f>
        <v>0.33392637233066946</v>
      </c>
      <c r="G25">
        <f>Oxides!G25/StdCalc!G$26</f>
        <v>3.0770318021201414E-2</v>
      </c>
      <c r="H25">
        <f>Oxides!H25/StdCalc!H$26</f>
        <v>0.2275414865430205</v>
      </c>
      <c r="I25">
        <f>Oxides!I25/StdCalc!I$26</f>
        <v>3.1057989690721648E-2</v>
      </c>
      <c r="J25" s="14">
        <f t="shared" si="0"/>
        <v>100.32071361091073</v>
      </c>
      <c r="K25" t="s">
        <v>34</v>
      </c>
      <c r="N25">
        <f t="shared" si="1"/>
        <v>86.459012237501298</v>
      </c>
      <c r="O25">
        <f t="shared" si="2"/>
        <v>13.540987762498702</v>
      </c>
      <c r="P25">
        <f t="shared" si="3"/>
        <v>100</v>
      </c>
    </row>
    <row r="26" spans="1:16">
      <c r="A26">
        <v>22</v>
      </c>
      <c r="B26">
        <f>Oxides!B26/StdCalc!B$26</f>
        <v>45.965970704931429</v>
      </c>
      <c r="C26">
        <f>Oxides!C26/StdCalc!C$26</f>
        <v>0.22857940273513819</v>
      </c>
      <c r="D26">
        <f>Oxides!D26/StdCalc!D$26</f>
        <v>14.228180469845723</v>
      </c>
      <c r="E26">
        <f>Oxides!E26/StdCalc!E$26</f>
        <v>39.42034162564854</v>
      </c>
      <c r="F26">
        <f>Oxides!F26/StdCalc!F$26</f>
        <v>0.30924800209616143</v>
      </c>
      <c r="G26">
        <f>Oxides!G26/StdCalc!G$26</f>
        <v>3.8586572438162547E-2</v>
      </c>
      <c r="H26">
        <f>Oxides!H26/StdCalc!H$26</f>
        <v>0.23197880351415426</v>
      </c>
      <c r="I26">
        <f>Oxides!I26/StdCalc!I$26</f>
        <v>2.9768041237113397E-2</v>
      </c>
      <c r="J26" s="14">
        <f t="shared" si="0"/>
        <v>100.45265362244642</v>
      </c>
      <c r="K26" t="s">
        <v>35</v>
      </c>
      <c r="N26">
        <f t="shared" si="1"/>
        <v>85.204399533573635</v>
      </c>
      <c r="O26">
        <f t="shared" si="2"/>
        <v>14.795600466426365</v>
      </c>
      <c r="P26">
        <f t="shared" si="3"/>
        <v>100</v>
      </c>
    </row>
    <row r="27" spans="1:16">
      <c r="A27">
        <v>23</v>
      </c>
      <c r="B27">
        <f>Oxides!B27/StdCalc!B$26</f>
        <v>46.095172352318272</v>
      </c>
      <c r="C27">
        <f>Oxides!C27/StdCalc!C$26</f>
        <v>0.23317052749092942</v>
      </c>
      <c r="D27">
        <f>Oxides!D27/StdCalc!D$26</f>
        <v>14.278385764375878</v>
      </c>
      <c r="E27">
        <f>Oxides!E27/StdCalc!E$26</f>
        <v>39.542512105893323</v>
      </c>
      <c r="F27">
        <f>Oxides!F27/StdCalc!F$26</f>
        <v>0.30463775710729729</v>
      </c>
      <c r="G27">
        <f>Oxides!G27/StdCalc!G$26</f>
        <v>2.2162544169611307E-2</v>
      </c>
      <c r="H27">
        <f>Oxides!H27/StdCalc!H$26</f>
        <v>0.23362989820108773</v>
      </c>
      <c r="I27">
        <f>Oxides!I27/StdCalc!I$26</f>
        <v>2.7981958762886595E-2</v>
      </c>
      <c r="J27" s="14">
        <f t="shared" si="0"/>
        <v>100.7376529083193</v>
      </c>
      <c r="K27" t="s">
        <v>36</v>
      </c>
      <c r="N27">
        <f t="shared" si="1"/>
        <v>85.195377273448628</v>
      </c>
      <c r="O27">
        <f t="shared" si="2"/>
        <v>14.804622726551372</v>
      </c>
      <c r="P27">
        <f t="shared" si="3"/>
        <v>100</v>
      </c>
    </row>
    <row r="28" spans="1:16">
      <c r="A28">
        <v>24</v>
      </c>
      <c r="B28">
        <f>Oxides!B28/StdCalc!B$26</f>
        <v>45.92621635188933</v>
      </c>
      <c r="C28">
        <f>Oxides!C28/StdCalc!C$26</f>
        <v>0.22183924085961487</v>
      </c>
      <c r="D28">
        <f>Oxides!D28/StdCalc!D$26</f>
        <v>14.07756458625526</v>
      </c>
      <c r="E28">
        <f>Oxides!E28/StdCalc!E$26</f>
        <v>40.570780314620208</v>
      </c>
      <c r="F28">
        <f>Oxides!F28/StdCalc!F$26</f>
        <v>0.30472815406786324</v>
      </c>
      <c r="G28">
        <f>Oxides!G28/StdCalc!G$26</f>
        <v>2.2855123674911659E-2</v>
      </c>
      <c r="H28">
        <f>Oxides!H28/StdCalc!H$26</f>
        <v>0.22764467996095386</v>
      </c>
      <c r="I28">
        <f>Oxides!I28/StdCalc!I$26</f>
        <v>3.8896907216494837E-2</v>
      </c>
      <c r="J28" s="14">
        <f t="shared" si="0"/>
        <v>101.39052535854465</v>
      </c>
      <c r="K28" t="s">
        <v>37</v>
      </c>
      <c r="N28">
        <f t="shared" si="1"/>
        <v>85.327228718981729</v>
      </c>
      <c r="O28">
        <f t="shared" si="2"/>
        <v>14.672771281018271</v>
      </c>
      <c r="P28">
        <f t="shared" si="3"/>
        <v>100</v>
      </c>
    </row>
    <row r="29" spans="1:16">
      <c r="A29">
        <v>25</v>
      </c>
      <c r="B29">
        <f>Oxides!B29/StdCalc!B$26</f>
        <v>49.40472224307333</v>
      </c>
      <c r="C29">
        <f>Oxides!C29/StdCalc!C$26</f>
        <v>0.14037119732068101</v>
      </c>
      <c r="D29">
        <f>Oxides!D29/StdCalc!D$26</f>
        <v>9.5490470196353439</v>
      </c>
      <c r="E29">
        <f>Oxides!E29/StdCalc!E$26</f>
        <v>40.367162847545572</v>
      </c>
      <c r="F29">
        <f>Oxides!F29/StdCalc!F$26</f>
        <v>8.9673784881435861E-2</v>
      </c>
      <c r="G29">
        <f>Oxides!G29/StdCalc!G$26</f>
        <v>7.1236749116607772E-3</v>
      </c>
      <c r="H29">
        <f>Oxides!H29/StdCalc!H$26</f>
        <v>0.36396318505089947</v>
      </c>
      <c r="I29">
        <f>Oxides!I29/StdCalc!I$26</f>
        <v>3.1157216494845354E-2</v>
      </c>
      <c r="J29" s="14">
        <f t="shared" si="0"/>
        <v>99.953221168913785</v>
      </c>
      <c r="K29" t="s">
        <v>16</v>
      </c>
      <c r="N29">
        <f t="shared" si="1"/>
        <v>90.217700216424234</v>
      </c>
      <c r="O29">
        <f t="shared" si="2"/>
        <v>9.7822997835757661</v>
      </c>
      <c r="P29">
        <f t="shared" si="3"/>
        <v>100</v>
      </c>
    </row>
    <row r="30" spans="1:16">
      <c r="A30">
        <v>26</v>
      </c>
      <c r="B30">
        <f>Oxides!B30/StdCalc!B$26</f>
        <v>49.434538007854911</v>
      </c>
      <c r="C30">
        <f>Oxides!C30/StdCalc!C$26</f>
        <v>0.14564610661456884</v>
      </c>
      <c r="D30">
        <f>Oxides!D30/StdCalc!D$26</f>
        <v>9.4787596072931279</v>
      </c>
      <c r="E30">
        <f>Oxides!E30/StdCalc!E$26</f>
        <v>40.326439354130649</v>
      </c>
      <c r="F30">
        <f>Oxides!F30/StdCalc!F$26</f>
        <v>9.4284029870300018E-2</v>
      </c>
      <c r="G30">
        <f>Oxides!G30/StdCalc!G$26</f>
        <v>1.4049469964664312E-2</v>
      </c>
      <c r="H30">
        <f>Oxides!H30/StdCalc!H$26</f>
        <v>0.37614000836703393</v>
      </c>
      <c r="I30">
        <f>Oxides!I30/StdCalc!I$26</f>
        <v>3.185180412371133E-2</v>
      </c>
      <c r="J30" s="14">
        <f t="shared" si="0"/>
        <v>99.901708388218964</v>
      </c>
      <c r="K30" t="s">
        <v>16</v>
      </c>
      <c r="N30">
        <f t="shared" si="1"/>
        <v>90.287999302677662</v>
      </c>
      <c r="O30">
        <f t="shared" si="2"/>
        <v>9.7120006973223383</v>
      </c>
      <c r="P30">
        <f t="shared" si="3"/>
        <v>100</v>
      </c>
    </row>
    <row r="31" spans="1:16">
      <c r="A31">
        <v>27</v>
      </c>
      <c r="B31">
        <f>Oxides!B31/StdCalc!B$26</f>
        <v>49.434538007854911</v>
      </c>
      <c r="C31">
        <f>Oxides!C31/StdCalc!C$26</f>
        <v>0.13363103544515773</v>
      </c>
      <c r="D31">
        <f>Oxides!D31/StdCalc!D$26</f>
        <v>9.5691291374474048</v>
      </c>
      <c r="E31">
        <f>Oxides!E31/StdCalc!E$26</f>
        <v>40.173726253824675</v>
      </c>
      <c r="F31">
        <f>Oxides!F31/StdCalc!F$26</f>
        <v>9.3560854185772299E-2</v>
      </c>
      <c r="G31">
        <f>Oxides!G31/StdCalc!G$26</f>
        <v>1.8798586572438162E-2</v>
      </c>
      <c r="H31">
        <f>Oxides!H31/StdCalc!H$26</f>
        <v>0.35694603263143215</v>
      </c>
      <c r="I31">
        <f>Oxides!I31/StdCalc!I$26</f>
        <v>3.6515463917525769E-2</v>
      </c>
      <c r="J31" s="14">
        <f t="shared" si="0"/>
        <v>99.81684537187931</v>
      </c>
      <c r="K31" t="s">
        <v>16</v>
      </c>
      <c r="N31">
        <f t="shared" si="1"/>
        <v>90.20447606739998</v>
      </c>
      <c r="O31">
        <f t="shared" si="2"/>
        <v>9.7955239326000196</v>
      </c>
      <c r="P31">
        <f t="shared" si="3"/>
        <v>100</v>
      </c>
    </row>
    <row r="32" spans="1:16">
      <c r="A32">
        <v>28</v>
      </c>
      <c r="B32">
        <f>Oxides!B32/StdCalc!B$26</f>
        <v>46.790873530555068</v>
      </c>
      <c r="C32">
        <f>Oxides!C32/StdCalc!C$26</f>
        <v>0.19439017583030982</v>
      </c>
      <c r="D32">
        <f>Oxides!D32/StdCalc!D$26</f>
        <v>12.601528927068724</v>
      </c>
      <c r="E32">
        <f>Oxides!E32/StdCalc!E$26</f>
        <v>41.140909222429173</v>
      </c>
      <c r="F32">
        <f>Oxides!F32/StdCalc!F$26</f>
        <v>0.30002751211843309</v>
      </c>
      <c r="G32">
        <f>Oxides!G32/StdCalc!G$26</f>
        <v>5.3031802120141344E-2</v>
      </c>
      <c r="H32">
        <f>Oxides!H32/StdCalc!H$26</f>
        <v>0.22826384046855391</v>
      </c>
      <c r="I32">
        <f>Oxides!I32/StdCalc!I$26</f>
        <v>4.4056701030927833E-2</v>
      </c>
      <c r="J32" s="14">
        <f t="shared" si="0"/>
        <v>101.35308171162133</v>
      </c>
      <c r="K32" t="s">
        <v>38</v>
      </c>
      <c r="N32">
        <f t="shared" si="1"/>
        <v>86.874599893141948</v>
      </c>
      <c r="O32">
        <f t="shared" si="2"/>
        <v>13.125400106858052</v>
      </c>
      <c r="P32">
        <f t="shared" si="3"/>
        <v>100</v>
      </c>
    </row>
    <row r="33" spans="1:16">
      <c r="A33">
        <v>29</v>
      </c>
      <c r="B33">
        <f>Oxides!B33/StdCalc!B$26</f>
        <v>46.592101765344552</v>
      </c>
      <c r="C33">
        <f>Oxides!C33/StdCalc!C$26</f>
        <v>0.21431761094055266</v>
      </c>
      <c r="D33">
        <f>Oxides!D33/StdCalc!D$26</f>
        <v>12.902760694249649</v>
      </c>
      <c r="E33">
        <f>Oxides!E33/StdCalc!E$26</f>
        <v>41.079823982306785</v>
      </c>
      <c r="F33">
        <f>Oxides!F33/StdCalc!F$26</f>
        <v>0.33871741124066551</v>
      </c>
      <c r="G33">
        <f>Oxides!G33/StdCalc!G$26</f>
        <v>2.9879858657243817E-2</v>
      </c>
      <c r="H33">
        <f>Oxides!H33/StdCalc!H$26</f>
        <v>0.22702551945335381</v>
      </c>
      <c r="I33">
        <f>Oxides!I33/StdCalc!I$26</f>
        <v>3.9293814432989689E-2</v>
      </c>
      <c r="J33" s="14">
        <f t="shared" si="0"/>
        <v>101.42392065662578</v>
      </c>
      <c r="K33" t="s">
        <v>39</v>
      </c>
      <c r="N33">
        <f t="shared" si="1"/>
        <v>86.553409829652097</v>
      </c>
      <c r="O33">
        <f t="shared" si="2"/>
        <v>13.446590170347903</v>
      </c>
      <c r="P33">
        <f t="shared" si="3"/>
        <v>100</v>
      </c>
    </row>
    <row r="34" spans="1:16">
      <c r="A34">
        <v>30</v>
      </c>
      <c r="B34">
        <f>Oxides!B34/StdCalc!B$26</f>
        <v>46.930013766202428</v>
      </c>
      <c r="C34">
        <f>Oxides!C34/StdCalc!C$26</f>
        <v>0.18755233044934416</v>
      </c>
      <c r="D34">
        <f>Oxides!D34/StdCalc!D$26</f>
        <v>12.440871984572231</v>
      </c>
      <c r="E34">
        <f>Oxides!E34/StdCalc!E$26</f>
        <v>41.263079702673956</v>
      </c>
      <c r="F34">
        <f>Oxides!F34/StdCalc!F$26</f>
        <v>0.28176732608410848</v>
      </c>
      <c r="G34">
        <f>Oxides!G34/StdCalc!G$26</f>
        <v>3.2749116607773847E-2</v>
      </c>
      <c r="H34">
        <f>Oxides!H34/StdCalc!H$26</f>
        <v>0.22351694324362015</v>
      </c>
      <c r="I34">
        <f>Oxides!I34/StdCalc!I$26</f>
        <v>3.2447164948453608E-2</v>
      </c>
      <c r="J34" s="14">
        <f t="shared" si="0"/>
        <v>101.39199833478192</v>
      </c>
      <c r="K34" t="s">
        <v>40</v>
      </c>
      <c r="N34">
        <f t="shared" si="1"/>
        <v>87.05371677687863</v>
      </c>
      <c r="O34">
        <f t="shared" si="2"/>
        <v>12.94628322312137</v>
      </c>
      <c r="P34">
        <f t="shared" si="3"/>
        <v>100</v>
      </c>
    </row>
    <row r="35" spans="1:16">
      <c r="A35">
        <v>31</v>
      </c>
      <c r="B35">
        <f>Oxides!B35/StdCalc!B$26</f>
        <v>45.548549997989348</v>
      </c>
      <c r="C35">
        <f>Oxides!C35/StdCalc!C$26</f>
        <v>0.22369522746301984</v>
      </c>
      <c r="D35">
        <f>Oxides!D35/StdCalc!D$26</f>
        <v>14.268344705469847</v>
      </c>
      <c r="E35">
        <f>Oxides!E35/StdCalc!E$26</f>
        <v>40.906749135293346</v>
      </c>
      <c r="F35">
        <f>Oxides!F35/StdCalc!F$26</f>
        <v>0.32000524040351103</v>
      </c>
      <c r="G35">
        <f>Oxides!G35/StdCalc!G$26</f>
        <v>1.9787985865724382E-2</v>
      </c>
      <c r="H35">
        <f>Oxides!H35/StdCalc!H$26</f>
        <v>0.24033747036675501</v>
      </c>
      <c r="I35">
        <f>Oxides!I35/StdCalc!I$26</f>
        <v>3.631701030927835E-2</v>
      </c>
      <c r="J35" s="14">
        <f t="shared" si="0"/>
        <v>101.56378677316083</v>
      </c>
      <c r="K35" t="s">
        <v>41</v>
      </c>
      <c r="N35">
        <f t="shared" si="1"/>
        <v>85.053225840166178</v>
      </c>
      <c r="O35">
        <f t="shared" si="2"/>
        <v>14.946774159833822</v>
      </c>
      <c r="P35">
        <f t="shared" si="3"/>
        <v>100</v>
      </c>
    </row>
    <row r="36" spans="1:16">
      <c r="A36">
        <v>32</v>
      </c>
      <c r="B36">
        <f>Oxides!B36/StdCalc!B$26</f>
        <v>45.836769057544593</v>
      </c>
      <c r="C36">
        <f>Oxides!C36/StdCalc!C$26</f>
        <v>0.22672341613173322</v>
      </c>
      <c r="D36">
        <f>Oxides!D36/StdCalc!D$26</f>
        <v>14.017318232819076</v>
      </c>
      <c r="E36">
        <f>Oxides!E36/StdCalc!E$26</f>
        <v>40.957653502062001</v>
      </c>
      <c r="F36">
        <f>Oxides!F36/StdCalc!F$26</f>
        <v>0.31593737717804271</v>
      </c>
      <c r="G36">
        <f>Oxides!G36/StdCalc!G$26</f>
        <v>2.8296819787985868E-2</v>
      </c>
      <c r="H36">
        <f>Oxides!H36/StdCalc!H$26</f>
        <v>0.24590991493515552</v>
      </c>
      <c r="I36">
        <f>Oxides!I36/StdCalc!I$26</f>
        <v>3.6515463917525769E-2</v>
      </c>
      <c r="J36" s="14">
        <f t="shared" si="0"/>
        <v>101.66512378437611</v>
      </c>
      <c r="K36" t="s">
        <v>42</v>
      </c>
      <c r="N36">
        <f t="shared" si="1"/>
        <v>85.35649168669768</v>
      </c>
      <c r="O36">
        <f t="shared" si="2"/>
        <v>14.64350831330232</v>
      </c>
      <c r="P36">
        <f t="shared" si="3"/>
        <v>100</v>
      </c>
    </row>
    <row r="37" spans="1:16">
      <c r="A37">
        <v>33</v>
      </c>
      <c r="B37">
        <f>Oxides!B37/StdCalc!B$26</f>
        <v>46.33369847057088</v>
      </c>
      <c r="C37">
        <f>Oxides!C37/StdCalc!C$26</f>
        <v>0.22213229137594198</v>
      </c>
      <c r="D37">
        <f>Oxides!D37/StdCalc!D$26</f>
        <v>13.997236115007013</v>
      </c>
      <c r="E37">
        <f>Oxides!E37/StdCalc!E$26</f>
        <v>40.754036034987379</v>
      </c>
      <c r="F37">
        <f>Oxides!F37/StdCalc!F$26</f>
        <v>0.3072592689637102</v>
      </c>
      <c r="G37">
        <f>Oxides!G37/StdCalc!G$26</f>
        <v>2.8098939929328624E-2</v>
      </c>
      <c r="H37">
        <f>Oxides!H37/StdCalc!H$26</f>
        <v>0.25251429368288941</v>
      </c>
      <c r="I37">
        <f>Oxides!I37/StdCalc!I$26</f>
        <v>2.8577319587628863E-2</v>
      </c>
      <c r="J37" s="14">
        <f t="shared" si="0"/>
        <v>101.92355273410476</v>
      </c>
      <c r="K37" t="s">
        <v>43</v>
      </c>
      <c r="N37">
        <f t="shared" si="1"/>
        <v>85.508531001943339</v>
      </c>
      <c r="O37">
        <f t="shared" si="2"/>
        <v>14.491468998056661</v>
      </c>
      <c r="P37">
        <f t="shared" si="3"/>
        <v>100</v>
      </c>
    </row>
    <row r="38" spans="1:16">
      <c r="A38">
        <v>34</v>
      </c>
      <c r="B38">
        <f>Oxides!B38/StdCalc!B$26</f>
        <v>44.644138466281511</v>
      </c>
      <c r="C38">
        <f>Oxides!C38/StdCalc!C$26</f>
        <v>0.24733463578007259</v>
      </c>
      <c r="D38">
        <f>Oxides!D38/StdCalc!D$26</f>
        <v>15.593764481065918</v>
      </c>
      <c r="E38">
        <f>Oxides!E38/StdCalc!E$26</f>
        <v>40.764216908341105</v>
      </c>
      <c r="F38">
        <f>Oxides!F38/StdCalc!F$26</f>
        <v>0.3155757893357789</v>
      </c>
      <c r="G38">
        <f>Oxides!G38/StdCalc!G$26</f>
        <v>9.3003533568904607E-3</v>
      </c>
      <c r="H38">
        <f>Oxides!H38/StdCalc!H$26</f>
        <v>0.22516803793055365</v>
      </c>
      <c r="I38">
        <f>Oxides!I38/StdCalc!I$26</f>
        <v>3.5423969072164947E-2</v>
      </c>
      <c r="J38" s="14">
        <f t="shared" si="0"/>
        <v>101.83492264116401</v>
      </c>
      <c r="K38" t="s">
        <v>44</v>
      </c>
      <c r="N38">
        <f t="shared" si="1"/>
        <v>83.615570393728049</v>
      </c>
      <c r="O38">
        <f t="shared" si="2"/>
        <v>16.384429606271951</v>
      </c>
      <c r="P38">
        <f t="shared" si="3"/>
        <v>100</v>
      </c>
    </row>
    <row r="39" spans="1:16">
      <c r="A39">
        <v>35</v>
      </c>
      <c r="B39">
        <f>Oxides!B39/StdCalc!B$26</f>
        <v>44.683892819323617</v>
      </c>
      <c r="C39">
        <f>Oxides!C39/StdCalc!C$26</f>
        <v>0.25358638012838408</v>
      </c>
      <c r="D39">
        <f>Oxides!D39/StdCalc!D$26</f>
        <v>15.83474989481066</v>
      </c>
      <c r="E39">
        <f>Oxides!E39/StdCalc!E$26</f>
        <v>40.672589048157526</v>
      </c>
      <c r="F39">
        <f>Oxides!F39/StdCalc!F$26</f>
        <v>0.31512380453294908</v>
      </c>
      <c r="G39">
        <f>Oxides!G39/StdCalc!G$26</f>
        <v>1.0190812720848057E-2</v>
      </c>
      <c r="H39">
        <f>Oxides!H39/StdCalc!H$26</f>
        <v>0.20081439129828477</v>
      </c>
      <c r="I39">
        <f>Oxides!I39/StdCalc!I$26</f>
        <v>3.1355670103092786E-2</v>
      </c>
      <c r="J39" s="14">
        <f t="shared" si="0"/>
        <v>102.00230282107536</v>
      </c>
      <c r="K39" t="s">
        <v>45</v>
      </c>
      <c r="N39">
        <f t="shared" si="1"/>
        <v>83.41670317522086</v>
      </c>
      <c r="O39">
        <f t="shared" si="2"/>
        <v>16.58329682477914</v>
      </c>
      <c r="P39">
        <f t="shared" si="3"/>
        <v>100</v>
      </c>
    </row>
    <row r="40" spans="1:16">
      <c r="A40">
        <v>36</v>
      </c>
      <c r="B40">
        <f>Oxides!B40/StdCalc!B$26</f>
        <v>44.693831407584142</v>
      </c>
      <c r="C40">
        <f>Oxides!C40/StdCalc!C$26</f>
        <v>0.2467485347474184</v>
      </c>
      <c r="D40">
        <f>Oxides!D40/StdCalc!D$26</f>
        <v>15.854832012622721</v>
      </c>
      <c r="E40">
        <f>Oxides!E40/StdCalc!E$26</f>
        <v>40.733674288279907</v>
      </c>
      <c r="F40">
        <f>Oxides!F40/StdCalc!F$26</f>
        <v>0.31657015590200449</v>
      </c>
      <c r="G40">
        <f>Oxides!G40/StdCalc!G$26</f>
        <v>2.5130742049469964E-2</v>
      </c>
      <c r="H40">
        <f>Oxides!H40/StdCalc!H$26</f>
        <v>0.20618044903081859</v>
      </c>
      <c r="I40">
        <f>Oxides!I40/StdCalc!I$26</f>
        <v>3.7210051546391745E-2</v>
      </c>
      <c r="J40" s="14">
        <f t="shared" si="0"/>
        <v>102.11417764176288</v>
      </c>
      <c r="K40" t="s">
        <v>46</v>
      </c>
      <c r="N40">
        <f t="shared" si="1"/>
        <v>83.402241947205567</v>
      </c>
      <c r="O40">
        <f t="shared" si="2"/>
        <v>16.597758052794433</v>
      </c>
      <c r="P40">
        <f t="shared" si="3"/>
        <v>100</v>
      </c>
    </row>
    <row r="41" spans="1:16">
      <c r="A41">
        <v>37</v>
      </c>
      <c r="B41">
        <f>Oxides!B41/StdCalc!B$26</f>
        <v>46.810750707076117</v>
      </c>
      <c r="C41">
        <f>Oxides!C41/StdCalc!C$26</f>
        <v>0.20992185319564613</v>
      </c>
      <c r="D41">
        <f>Oxides!D41/StdCalc!D$26</f>
        <v>13.15378716690042</v>
      </c>
      <c r="E41">
        <f>Oxides!E41/StdCalc!E$26</f>
        <v>40.947472628708276</v>
      </c>
      <c r="F41">
        <f>Oxides!F41/StdCalc!F$26</f>
        <v>0.30635529935805056</v>
      </c>
      <c r="G41">
        <f>Oxides!G41/StdCalc!G$26</f>
        <v>4.1356890459363957E-2</v>
      </c>
      <c r="H41">
        <f>Oxides!H41/StdCalc!H$26</f>
        <v>0.22898619439408729</v>
      </c>
      <c r="I41">
        <f>Oxides!I41/StdCalc!I$26</f>
        <v>2.8279639175257731E-2</v>
      </c>
      <c r="J41" s="14">
        <f t="shared" si="0"/>
        <v>101.72691037926721</v>
      </c>
      <c r="K41" t="s">
        <v>47</v>
      </c>
      <c r="N41">
        <f t="shared" si="1"/>
        <v>86.38273739319277</v>
      </c>
      <c r="O41">
        <f t="shared" si="2"/>
        <v>13.61726260680723</v>
      </c>
      <c r="P41">
        <f t="shared" si="3"/>
        <v>100</v>
      </c>
    </row>
    <row r="42" spans="1:16">
      <c r="A42">
        <v>38</v>
      </c>
      <c r="B42">
        <f>Oxides!B42/StdCalc!B$26</f>
        <v>46.939952354462946</v>
      </c>
      <c r="C42">
        <f>Oxides!C42/StdCalc!C$26</f>
        <v>0.21285235835891714</v>
      </c>
      <c r="D42">
        <f>Oxides!D42/StdCalc!D$26</f>
        <v>12.983089165497896</v>
      </c>
      <c r="E42">
        <f>Oxides!E42/StdCalc!E$26</f>
        <v>40.957653502062001</v>
      </c>
      <c r="F42">
        <f>Oxides!F42/StdCalc!F$26</f>
        <v>0.30563212367352288</v>
      </c>
      <c r="G42">
        <f>Oxides!G42/StdCalc!G$26</f>
        <v>3.9180212014134283E-2</v>
      </c>
      <c r="H42">
        <f>Oxides!H42/StdCalc!H$26</f>
        <v>0.21226886068888581</v>
      </c>
      <c r="I42">
        <f>Oxides!I42/StdCalc!I$26</f>
        <v>2.9966494845360823E-2</v>
      </c>
      <c r="J42" s="14">
        <f t="shared" si="0"/>
        <v>101.68059507160363</v>
      </c>
      <c r="K42" t="s">
        <v>48</v>
      </c>
      <c r="N42">
        <f t="shared" si="1"/>
        <v>86.567739160399753</v>
      </c>
      <c r="O42">
        <f t="shared" si="2"/>
        <v>13.432260839600247</v>
      </c>
      <c r="P42">
        <f t="shared" si="3"/>
        <v>100</v>
      </c>
    </row>
    <row r="43" spans="1:16">
      <c r="A43">
        <v>39</v>
      </c>
      <c r="B43">
        <f>Oxides!B43/StdCalc!B$26</f>
        <v>46.860443648378748</v>
      </c>
      <c r="C43">
        <f>Oxides!C43/StdCalc!C$26</f>
        <v>0.19946971811331288</v>
      </c>
      <c r="D43">
        <f>Oxides!D43/StdCalc!D$26</f>
        <v>13.113622931276298</v>
      </c>
      <c r="E43">
        <f>Oxides!E43/StdCalc!E$26</f>
        <v>40.937291755354543</v>
      </c>
      <c r="F43">
        <f>Oxides!F43/StdCalc!F$26</f>
        <v>0.30210664221145028</v>
      </c>
      <c r="G43">
        <f>Oxides!G43/StdCalc!G$26</f>
        <v>2.4042402826855123E-2</v>
      </c>
      <c r="H43">
        <f>Oxides!H43/StdCalc!H$26</f>
        <v>0.20566448194115189</v>
      </c>
      <c r="I43">
        <f>Oxides!I43/StdCalc!I$26</f>
        <v>2.5997422680412368E-2</v>
      </c>
      <c r="J43" s="14">
        <f t="shared" si="0"/>
        <v>101.66863900278278</v>
      </c>
      <c r="K43" t="s">
        <v>49</v>
      </c>
      <c r="N43">
        <f t="shared" si="1"/>
        <v>86.431117815033687</v>
      </c>
      <c r="O43">
        <f t="shared" si="2"/>
        <v>13.568882184966313</v>
      </c>
      <c r="P43">
        <f t="shared" si="3"/>
        <v>100</v>
      </c>
    </row>
    <row r="44" spans="1:16">
      <c r="A44">
        <v>40</v>
      </c>
      <c r="B44">
        <f>Oxides!B44/StdCalc!B$26</f>
        <v>43.809297052397348</v>
      </c>
      <c r="C44">
        <f>Oxides!C44/StdCalc!C$26</f>
        <v>0.29998604521350825</v>
      </c>
      <c r="D44">
        <f>Oxides!D44/StdCalc!D$26</f>
        <v>17.200333906030856</v>
      </c>
      <c r="E44">
        <f>Oxides!E44/StdCalc!E$26</f>
        <v>40.265354114008261</v>
      </c>
      <c r="F44">
        <f>Oxides!F44/StdCalc!F$26</f>
        <v>0.34495480151971702</v>
      </c>
      <c r="G44">
        <f>Oxides!G44/StdCalc!G$26</f>
        <v>1.3851590106007068E-2</v>
      </c>
      <c r="H44">
        <f>Oxides!H44/StdCalc!H$26</f>
        <v>0.17202342769488216</v>
      </c>
      <c r="I44">
        <f>Oxides!I44/StdCalc!I$26</f>
        <v>3.2050257731958763E-2</v>
      </c>
      <c r="J44" s="14">
        <f t="shared" si="0"/>
        <v>102.13785119470252</v>
      </c>
      <c r="K44" t="s">
        <v>50</v>
      </c>
      <c r="N44">
        <f t="shared" si="1"/>
        <v>81.950000314567461</v>
      </c>
      <c r="O44">
        <f t="shared" si="2"/>
        <v>18.049999685432539</v>
      </c>
      <c r="P44">
        <f t="shared" si="3"/>
        <v>100</v>
      </c>
    </row>
    <row r="45" spans="1:16">
      <c r="A45">
        <v>41</v>
      </c>
      <c r="B45">
        <f>Oxides!B45/StdCalc!B$26</f>
        <v>43.709911169792093</v>
      </c>
      <c r="C45">
        <f>Oxides!C45/StdCalc!C$26</f>
        <v>0.30233044934412506</v>
      </c>
      <c r="D45">
        <f>Oxides!D45/StdCalc!D$26</f>
        <v>17.38107296633941</v>
      </c>
      <c r="E45">
        <f>Oxides!E45/StdCalc!E$26</f>
        <v>39.1149154250366</v>
      </c>
      <c r="F45">
        <f>Oxides!F45/StdCalc!F$26</f>
        <v>0.35625442159046244</v>
      </c>
      <c r="G45">
        <f>Oxides!G45/StdCalc!G$26</f>
        <v>2.3745583038869257E-3</v>
      </c>
      <c r="H45">
        <f>Oxides!H45/StdCalc!H$26</f>
        <v>0.15912425045321435</v>
      </c>
      <c r="I45">
        <f>Oxides!I45/StdCalc!I$26</f>
        <v>3.3439432989690716E-2</v>
      </c>
      <c r="J45" s="14">
        <f t="shared" si="0"/>
        <v>101.05942267384948</v>
      </c>
      <c r="K45" t="s">
        <v>51</v>
      </c>
      <c r="N45">
        <f t="shared" si="1"/>
        <v>81.761017990126007</v>
      </c>
      <c r="O45">
        <f t="shared" si="2"/>
        <v>18.238982009873993</v>
      </c>
      <c r="P45">
        <f t="shared" si="3"/>
        <v>100</v>
      </c>
    </row>
    <row r="46" spans="1:16">
      <c r="A46">
        <v>42</v>
      </c>
      <c r="B46">
        <f>Oxides!B46/StdCalc!B$26</f>
        <v>43.610525287186839</v>
      </c>
      <c r="C46">
        <f>Oxides!C46/StdCalc!C$26</f>
        <v>0.30027909572983535</v>
      </c>
      <c r="D46">
        <f>Oxides!D46/StdCalc!D$26</f>
        <v>17.511606732117816</v>
      </c>
      <c r="E46">
        <f>Oxides!E46/StdCalc!E$26</f>
        <v>38.931659704669428</v>
      </c>
      <c r="F46">
        <f>Oxides!F46/StdCalc!F$26</f>
        <v>0.34848028298178962</v>
      </c>
      <c r="G46">
        <f>Oxides!G46/StdCalc!G$26</f>
        <v>1.3653710247349824E-2</v>
      </c>
      <c r="H46">
        <f>Oxides!H46/StdCalc!H$26</f>
        <v>0.15437735322828058</v>
      </c>
      <c r="I46">
        <f>Oxides!I46/StdCalc!I$26</f>
        <v>2.9371134020618556E-2</v>
      </c>
      <c r="J46" s="14">
        <f t="shared" si="0"/>
        <v>100.89995330018198</v>
      </c>
      <c r="K46" t="s">
        <v>52</v>
      </c>
      <c r="N46">
        <f t="shared" si="1"/>
        <v>81.615045798593584</v>
      </c>
      <c r="O46">
        <f t="shared" si="2"/>
        <v>18.384954201406416</v>
      </c>
      <c r="P46">
        <f t="shared" si="3"/>
        <v>100</v>
      </c>
    </row>
    <row r="47" spans="1:16">
      <c r="A47">
        <v>43</v>
      </c>
      <c r="B47">
        <f>Oxides!B47/StdCalc!B$26</f>
        <v>43.600586698926307</v>
      </c>
      <c r="C47">
        <f>Oxides!C47/StdCalc!C$26</f>
        <v>0.30233044934412506</v>
      </c>
      <c r="D47">
        <f>Oxides!D47/StdCalc!D$26</f>
        <v>17.461401437587661</v>
      </c>
      <c r="E47">
        <f>Oxides!E47/StdCalc!E$26</f>
        <v>39.023287564853014</v>
      </c>
      <c r="F47">
        <f>Oxides!F47/StdCalc!F$26</f>
        <v>0.34875147386348748</v>
      </c>
      <c r="G47">
        <f>Oxides!G47/StdCalc!G$26</f>
        <v>1.3851590106007068E-2</v>
      </c>
      <c r="H47">
        <f>Oxides!H47/StdCalc!H$26</f>
        <v>0.16108492539394784</v>
      </c>
      <c r="I47">
        <f>Oxides!I47/StdCalc!I$26</f>
        <v>2.7783505154639173E-2</v>
      </c>
      <c r="J47" s="14">
        <f t="shared" si="0"/>
        <v>100.93907764522919</v>
      </c>
      <c r="K47" t="s">
        <v>53</v>
      </c>
      <c r="N47">
        <f t="shared" si="1"/>
        <v>81.654673131555739</v>
      </c>
      <c r="O47">
        <f t="shared" si="2"/>
        <v>18.345326868444261</v>
      </c>
      <c r="P47">
        <f t="shared" si="3"/>
        <v>100</v>
      </c>
    </row>
    <row r="48" spans="1:16">
      <c r="A48">
        <v>44</v>
      </c>
      <c r="B48">
        <f>Oxides!B48/StdCalc!B$26</f>
        <v>43.521077992842109</v>
      </c>
      <c r="C48">
        <f>Oxides!C48/StdCalc!C$26</f>
        <v>0.30643315657270448</v>
      </c>
      <c r="D48">
        <f>Oxides!D48/StdCalc!D$26</f>
        <v>17.682304733520336</v>
      </c>
      <c r="E48">
        <f>Oxides!E48/StdCalc!E$26</f>
        <v>39.206543285220178</v>
      </c>
      <c r="F48">
        <f>Oxides!F48/StdCalc!F$26</f>
        <v>0.33889820516179747</v>
      </c>
      <c r="G48">
        <f>Oxides!G48/StdCalc!G$26</f>
        <v>1.2565371024734982E-2</v>
      </c>
      <c r="H48">
        <f>Oxides!H48/StdCalc!H$26</f>
        <v>0.14808255473434667</v>
      </c>
      <c r="I48">
        <f>Oxides!I48/StdCalc!I$26</f>
        <v>2.4211340206185566E-2</v>
      </c>
      <c r="J48" s="14">
        <f t="shared" si="0"/>
        <v>101.24011663928238</v>
      </c>
      <c r="K48" t="s">
        <v>54</v>
      </c>
      <c r="N48">
        <f t="shared" si="1"/>
        <v>81.438027710123819</v>
      </c>
      <c r="O48">
        <f t="shared" si="2"/>
        <v>18.561972289876181</v>
      </c>
      <c r="P48">
        <f t="shared" si="3"/>
        <v>100</v>
      </c>
    </row>
    <row r="49" spans="1:16">
      <c r="A49">
        <v>45</v>
      </c>
      <c r="B49">
        <f>Oxides!B49/StdCalc!B$26</f>
        <v>42.596789284613216</v>
      </c>
      <c r="C49">
        <f>Oxides!C49/StdCalc!C$26</f>
        <v>0.33173318448227745</v>
      </c>
      <c r="D49">
        <f>Oxides!D49/StdCalc!D$26</f>
        <v>18.586000035063115</v>
      </c>
      <c r="E49">
        <f>Oxides!E49/StdCalc!E$26</f>
        <v>40.08209839364109</v>
      </c>
      <c r="F49">
        <f>Oxides!F49/StdCalc!F$26</f>
        <v>0.36167823922442027</v>
      </c>
      <c r="G49">
        <f>Oxides!G49/StdCalc!G$26</f>
        <v>0</v>
      </c>
      <c r="H49">
        <f>Oxides!H49/StdCalc!H$26</f>
        <v>0.14653465346534653</v>
      </c>
      <c r="I49">
        <f>Oxides!I49/StdCalc!I$26</f>
        <v>2.3615979381443299E-2</v>
      </c>
      <c r="J49" s="14">
        <f t="shared" si="0"/>
        <v>102.12844976987091</v>
      </c>
      <c r="K49" t="s">
        <v>55</v>
      </c>
      <c r="N49">
        <f t="shared" si="1"/>
        <v>80.335816216423908</v>
      </c>
      <c r="O49">
        <f t="shared" si="2"/>
        <v>19.664183783576092</v>
      </c>
      <c r="P49">
        <f t="shared" si="3"/>
        <v>100</v>
      </c>
    </row>
    <row r="50" spans="1:16">
      <c r="A50">
        <v>46</v>
      </c>
      <c r="B50">
        <f>Oxides!B50/StdCalc!B$26</f>
        <v>45.478979880165667</v>
      </c>
      <c r="C50">
        <f>Oxides!C50/StdCalc!C$26</f>
        <v>0.30496790399106893</v>
      </c>
      <c r="D50">
        <f>Oxides!D50/StdCalc!D$26</f>
        <v>14.850726122019635</v>
      </c>
      <c r="E50">
        <f>Oxides!E50/StdCalc!E$26</f>
        <v>39.440703372356005</v>
      </c>
      <c r="F50">
        <f>Oxides!F50/StdCalc!F$26</f>
        <v>0.29198218262806236</v>
      </c>
      <c r="G50">
        <f>Oxides!G50/StdCalc!G$26</f>
        <v>1.4445229681978798E-2</v>
      </c>
      <c r="H50">
        <f>Oxides!H50/StdCalc!H$26</f>
        <v>0.24580672151722216</v>
      </c>
      <c r="I50">
        <f>Oxides!I50/StdCalc!I$26</f>
        <v>2.0936855670103092E-2</v>
      </c>
      <c r="J50" s="14">
        <f t="shared" si="0"/>
        <v>100.64854826802976</v>
      </c>
      <c r="K50" t="s">
        <v>56</v>
      </c>
      <c r="N50">
        <f t="shared" si="1"/>
        <v>84.517494763669362</v>
      </c>
      <c r="O50">
        <f t="shared" si="2"/>
        <v>15.482505236330638</v>
      </c>
      <c r="P50">
        <f t="shared" si="3"/>
        <v>100</v>
      </c>
    </row>
    <row r="51" spans="1:16">
      <c r="A51">
        <v>47</v>
      </c>
      <c r="B51">
        <f>Oxides!B51/StdCalc!B$26</f>
        <v>44.912480349315707</v>
      </c>
      <c r="C51">
        <f>Oxides!C51/StdCalc!C$26</f>
        <v>0.31180574937203465</v>
      </c>
      <c r="D51">
        <f>Oxides!D51/StdCalc!D$26</f>
        <v>15.573682363253857</v>
      </c>
      <c r="E51">
        <f>Oxides!E51/StdCalc!E$26</f>
        <v>40.591142061327666</v>
      </c>
      <c r="F51">
        <f>Oxides!F51/StdCalc!F$26</f>
        <v>0.30328180269880783</v>
      </c>
      <c r="G51">
        <f>Oxides!G51/StdCalc!G$26</f>
        <v>1.9590106007067142E-2</v>
      </c>
      <c r="H51">
        <f>Oxides!H51/StdCalc!H$26</f>
        <v>0.22712871287128714</v>
      </c>
      <c r="I51">
        <f>Oxides!I51/StdCalc!I$26</f>
        <v>2.2722938144329893E-2</v>
      </c>
      <c r="J51" s="14">
        <f t="shared" si="0"/>
        <v>101.96183408299076</v>
      </c>
      <c r="K51" t="s">
        <v>57</v>
      </c>
      <c r="N51">
        <f t="shared" si="1"/>
        <v>83.715080451138604</v>
      </c>
      <c r="O51">
        <f t="shared" si="2"/>
        <v>16.284919548861396</v>
      </c>
      <c r="P51">
        <f t="shared" si="3"/>
        <v>100</v>
      </c>
    </row>
    <row r="52" spans="1:16">
      <c r="A52">
        <v>48</v>
      </c>
      <c r="B52">
        <f>Oxides!B52/StdCalc!B$26</f>
        <v>46.124988117099839</v>
      </c>
      <c r="C52">
        <f>Oxides!C52/StdCalc!C$26</f>
        <v>0.31981579681830874</v>
      </c>
      <c r="D52">
        <f>Oxides!D52/StdCalc!D$26</f>
        <v>13.957071879382889</v>
      </c>
      <c r="E52">
        <f>Oxides!E52/StdCalc!E$26</f>
        <v>39.49160773912466</v>
      </c>
      <c r="F52">
        <f>Oxides!F52/StdCalc!F$26</f>
        <v>0.28899908292938553</v>
      </c>
      <c r="G52">
        <f>Oxides!G52/StdCalc!G$26</f>
        <v>2.9879858657243817E-2</v>
      </c>
      <c r="H52">
        <f>Oxides!H52/StdCalc!H$26</f>
        <v>0.25148235950355602</v>
      </c>
      <c r="I52">
        <f>Oxides!I52/StdCalc!I$26</f>
        <v>2.1929123711340204E-2</v>
      </c>
      <c r="J52" s="14">
        <f t="shared" si="0"/>
        <v>100.48577395722722</v>
      </c>
      <c r="K52" t="s">
        <v>58</v>
      </c>
      <c r="N52">
        <f t="shared" si="1"/>
        <v>85.488183365478591</v>
      </c>
      <c r="O52">
        <f t="shared" si="2"/>
        <v>14.511816634521409</v>
      </c>
      <c r="P52">
        <f t="shared" si="3"/>
        <v>100</v>
      </c>
    </row>
    <row r="53" spans="1:16">
      <c r="A53">
        <v>49</v>
      </c>
      <c r="B53">
        <f>Oxides!B53/StdCalc!B$26</f>
        <v>41.583053282039593</v>
      </c>
      <c r="C53">
        <f>Oxides!C53/StdCalc!C$26</f>
        <v>0.35761931342450465</v>
      </c>
      <c r="D53">
        <f>Oxides!D53/StdCalc!D$26</f>
        <v>19.981707223001401</v>
      </c>
      <c r="E53">
        <f>Oxides!E53/StdCalc!E$26</f>
        <v>40.204268873885873</v>
      </c>
      <c r="F53">
        <f>Oxides!F53/StdCalc!F$26</f>
        <v>0.26395912485261364</v>
      </c>
      <c r="G53">
        <f>Oxides!G53/StdCalc!G$26</f>
        <v>6.72791519434629E-3</v>
      </c>
      <c r="H53">
        <f>Oxides!H53/StdCalc!H$26</f>
        <v>0.13466741040301214</v>
      </c>
      <c r="I53">
        <f>Oxides!I53/StdCalc!I$26</f>
        <v>2.2425257731958758E-2</v>
      </c>
      <c r="J53" s="14">
        <f t="shared" si="0"/>
        <v>102.55442840053331</v>
      </c>
      <c r="K53" t="s">
        <v>59</v>
      </c>
      <c r="N53">
        <f t="shared" si="1"/>
        <v>78.766737840254692</v>
      </c>
      <c r="O53">
        <f t="shared" si="2"/>
        <v>21.233262159745308</v>
      </c>
      <c r="P53">
        <f t="shared" si="3"/>
        <v>100</v>
      </c>
    </row>
    <row r="54" spans="1:16">
      <c r="A54">
        <v>50</v>
      </c>
      <c r="B54">
        <f>Oxides!B54/StdCalc!B$26</f>
        <v>41.493605987694863</v>
      </c>
      <c r="C54">
        <f>Oxides!C54/StdCalc!C$26</f>
        <v>0.35097683505442373</v>
      </c>
      <c r="D54">
        <f>Oxides!D54/StdCalc!D$26</f>
        <v>19.981707223001401</v>
      </c>
      <c r="E54">
        <f>Oxides!E54/StdCalc!E$26</f>
        <v>40.183907127178408</v>
      </c>
      <c r="F54">
        <f>Oxides!F54/StdCalc!F$26</f>
        <v>0.2690213546443076</v>
      </c>
      <c r="G54">
        <f>Oxides!G54/StdCalc!G$26</f>
        <v>0</v>
      </c>
      <c r="H54">
        <f>Oxides!H54/StdCalc!H$26</f>
        <v>0.14065262864314601</v>
      </c>
      <c r="I54">
        <f>Oxides!I54/StdCalc!I$26</f>
        <v>2.9569587628865975E-2</v>
      </c>
      <c r="J54" s="14">
        <f t="shared" si="0"/>
        <v>102.44944074384543</v>
      </c>
      <c r="K54" t="s">
        <v>60</v>
      </c>
      <c r="N54">
        <f t="shared" si="1"/>
        <v>78.730700986298856</v>
      </c>
      <c r="O54">
        <f t="shared" si="2"/>
        <v>21.269299013701144</v>
      </c>
      <c r="P54">
        <f t="shared" si="3"/>
        <v>100</v>
      </c>
    </row>
    <row r="55" spans="1:16">
      <c r="A55">
        <v>51</v>
      </c>
      <c r="B55">
        <f>Oxides!B55/StdCalc!B$26</f>
        <v>41.503544575955381</v>
      </c>
      <c r="C55">
        <f>Oxides!C55/StdCalc!C$26</f>
        <v>0.35927993301702488</v>
      </c>
      <c r="D55">
        <f>Oxides!D55/StdCalc!D$26</f>
        <v>19.891337692847124</v>
      </c>
      <c r="E55">
        <f>Oxides!E55/StdCalc!E$26</f>
        <v>40.194088000532133</v>
      </c>
      <c r="F55">
        <f>Oxides!F55/StdCalc!F$26</f>
        <v>0.2835752652954277</v>
      </c>
      <c r="G55">
        <f>Oxides!G55/StdCalc!G$26</f>
        <v>4.3533568904593643E-3</v>
      </c>
      <c r="H55">
        <f>Oxides!H55/StdCalc!H$26</f>
        <v>0.12919815925254499</v>
      </c>
      <c r="I55">
        <f>Oxides!I55/StdCalc!I$26</f>
        <v>3.2844072164948446E-2</v>
      </c>
      <c r="J55" s="14">
        <f t="shared" si="0"/>
        <v>102.39822105595503</v>
      </c>
      <c r="K55" t="s">
        <v>61</v>
      </c>
      <c r="N55">
        <f t="shared" si="1"/>
        <v>78.810506868195631</v>
      </c>
      <c r="O55">
        <f t="shared" si="2"/>
        <v>21.189493131804369</v>
      </c>
      <c r="P55">
        <f t="shared" si="3"/>
        <v>100</v>
      </c>
    </row>
    <row r="56" spans="1:16">
      <c r="A56">
        <v>52</v>
      </c>
      <c r="B56">
        <f>Oxides!B56/StdCalc!B$26</f>
        <v>41.682439164644848</v>
      </c>
      <c r="C56">
        <f>Oxides!C56/StdCalc!C$26</f>
        <v>0.34706949483672905</v>
      </c>
      <c r="D56">
        <f>Oxides!D56/StdCalc!D$26</f>
        <v>19.881296633941094</v>
      </c>
      <c r="E56">
        <f>Oxides!E56/StdCalc!E$26</f>
        <v>38.840031844485843</v>
      </c>
      <c r="F56">
        <f>Oxides!F56/StdCalc!F$26</f>
        <v>0.26739420935412028</v>
      </c>
      <c r="G56">
        <f>Oxides!G56/StdCalc!G$26</f>
        <v>3.5618374558303886E-3</v>
      </c>
      <c r="H56">
        <f>Oxides!H56/StdCalc!H$26</f>
        <v>0.14715381397294661</v>
      </c>
      <c r="I56">
        <f>Oxides!I56/StdCalc!I$26</f>
        <v>2.8775773195876288E-2</v>
      </c>
      <c r="J56" s="14">
        <f t="shared" si="0"/>
        <v>101.1977227718873</v>
      </c>
      <c r="K56" t="s">
        <v>62</v>
      </c>
      <c r="N56">
        <f t="shared" si="1"/>
        <v>78.890653844247794</v>
      </c>
      <c r="O56">
        <f t="shared" si="2"/>
        <v>21.109346155752206</v>
      </c>
      <c r="P56">
        <f t="shared" si="3"/>
        <v>100</v>
      </c>
    </row>
    <row r="57" spans="1:16">
      <c r="A57">
        <v>53</v>
      </c>
      <c r="B57">
        <f>Oxides!B57/StdCalc!B$26</f>
        <v>41.533360340736962</v>
      </c>
      <c r="C57">
        <f>Oxides!C57/StdCalc!C$26</f>
        <v>0.36133128663131459</v>
      </c>
      <c r="D57">
        <f>Oxides!D57/StdCalc!D$26</f>
        <v>20.262856872370268</v>
      </c>
      <c r="E57">
        <f>Oxides!E57/StdCalc!E$26</f>
        <v>40.061736646933632</v>
      </c>
      <c r="F57">
        <f>Oxides!F57/StdCalc!F$26</f>
        <v>0.26468230053714137</v>
      </c>
      <c r="G57">
        <f>Oxides!G57/StdCalc!G$26</f>
        <v>4.1554770318021203E-3</v>
      </c>
      <c r="H57">
        <f>Oxides!H57/StdCalc!H$26</f>
        <v>0.14292288383767957</v>
      </c>
      <c r="I57">
        <f>Oxides!I57/StdCalc!I$26</f>
        <v>3.0363402061855664E-2</v>
      </c>
      <c r="J57" s="14">
        <f t="shared" si="0"/>
        <v>102.66140921014066</v>
      </c>
      <c r="K57" t="s">
        <v>63</v>
      </c>
      <c r="N57">
        <f t="shared" si="1"/>
        <v>78.511949575854743</v>
      </c>
      <c r="O57">
        <f t="shared" si="2"/>
        <v>21.488050424145257</v>
      </c>
      <c r="P57">
        <f t="shared" si="3"/>
        <v>100</v>
      </c>
    </row>
    <row r="58" spans="1:16">
      <c r="A58">
        <v>54</v>
      </c>
      <c r="B58">
        <f>Oxides!B58/StdCalc!B$26</f>
        <v>41.483667399434339</v>
      </c>
      <c r="C58">
        <f>Oxides!C58/StdCalc!C$26</f>
        <v>0.35761931342450465</v>
      </c>
      <c r="D58">
        <f>Oxides!D58/StdCalc!D$26</f>
        <v>19.92146086956522</v>
      </c>
      <c r="E58">
        <f>Oxides!E58/StdCalc!E$26</f>
        <v>40.041374900226167</v>
      </c>
      <c r="F58">
        <f>Oxides!F58/StdCalc!F$26</f>
        <v>0.26477269749770732</v>
      </c>
      <c r="G58">
        <f>Oxides!G58/StdCalc!G$26</f>
        <v>1.2862190812720849E-3</v>
      </c>
      <c r="H58">
        <f>Oxides!H58/StdCalc!H$26</f>
        <v>0.15107516385441364</v>
      </c>
      <c r="I58">
        <f>Oxides!I58/StdCalc!I$26</f>
        <v>2.8676546391752572E-2</v>
      </c>
      <c r="J58" s="14">
        <f t="shared" si="0"/>
        <v>102.24993310947536</v>
      </c>
      <c r="K58" t="s">
        <v>64</v>
      </c>
      <c r="N58">
        <f t="shared" si="1"/>
        <v>78.777217546902051</v>
      </c>
      <c r="O58">
        <f t="shared" si="2"/>
        <v>21.222782453097949</v>
      </c>
      <c r="P58">
        <f t="shared" si="3"/>
        <v>100</v>
      </c>
    </row>
    <row r="59" spans="1:16">
      <c r="A59">
        <v>55</v>
      </c>
      <c r="B59">
        <f>Oxides!B59/StdCalc!B$26</f>
        <v>41.533360340736962</v>
      </c>
      <c r="C59">
        <f>Oxides!C59/StdCalc!C$26</f>
        <v>0.36475020932179741</v>
      </c>
      <c r="D59">
        <f>Oxides!D59/StdCalc!D$26</f>
        <v>20.272897931276301</v>
      </c>
      <c r="E59">
        <f>Oxides!E59/StdCalc!E$26</f>
        <v>38.82985097113211</v>
      </c>
      <c r="F59">
        <f>Oxides!F59/StdCalc!F$26</f>
        <v>0.2667614306301585</v>
      </c>
      <c r="G59">
        <f>Oxides!G59/StdCalc!G$26</f>
        <v>1.0289752650176679E-2</v>
      </c>
      <c r="H59">
        <f>Oxides!H59/StdCalc!H$26</f>
        <v>0.13177799470087856</v>
      </c>
      <c r="I59">
        <f>Oxides!I59/StdCalc!I$26</f>
        <v>3.4828608247422677E-2</v>
      </c>
      <c r="J59" s="14">
        <f t="shared" si="0"/>
        <v>101.44451723869582</v>
      </c>
      <c r="K59" t="s">
        <v>65</v>
      </c>
      <c r="N59">
        <f t="shared" si="1"/>
        <v>78.503590363227374</v>
      </c>
      <c r="O59">
        <f t="shared" si="2"/>
        <v>21.496409636772626</v>
      </c>
      <c r="P59">
        <f t="shared" si="3"/>
        <v>100</v>
      </c>
    </row>
    <row r="60" spans="1:16">
      <c r="A60">
        <v>56</v>
      </c>
      <c r="B60">
        <f>Oxides!B60/StdCalc!B$26</f>
        <v>41.602930458560643</v>
      </c>
      <c r="C60">
        <f>Oxides!C60/StdCalc!C$26</f>
        <v>0.35859614847892829</v>
      </c>
      <c r="D60">
        <f>Oxides!D60/StdCalc!D$26</f>
        <v>19.991748281907434</v>
      </c>
      <c r="E60">
        <f>Oxides!E60/StdCalc!E$26</f>
        <v>38.809489224424645</v>
      </c>
      <c r="F60">
        <f>Oxides!F60/StdCalc!F$26</f>
        <v>0.26757500327525219</v>
      </c>
      <c r="G60">
        <f>Oxides!G60/StdCalc!G$26</f>
        <v>1.0190812720848057E-2</v>
      </c>
      <c r="H60">
        <f>Oxides!H60/StdCalc!H$26</f>
        <v>0.13796959977687911</v>
      </c>
      <c r="I60">
        <f>Oxides!I60/StdCalc!I$26</f>
        <v>2.5600515463917523E-2</v>
      </c>
      <c r="J60" s="14">
        <f t="shared" si="0"/>
        <v>101.20410004460855</v>
      </c>
      <c r="K60" t="s">
        <v>66</v>
      </c>
      <c r="N60">
        <f t="shared" si="1"/>
        <v>78.766328263604279</v>
      </c>
      <c r="O60">
        <f t="shared" si="2"/>
        <v>21.233671736395721</v>
      </c>
      <c r="P60">
        <f t="shared" si="3"/>
        <v>100</v>
      </c>
    </row>
    <row r="61" spans="1:16">
      <c r="A61">
        <v>57</v>
      </c>
      <c r="B61">
        <f>Oxides!B61/StdCalc!B$26</f>
        <v>41.622807635081699</v>
      </c>
      <c r="C61">
        <f>Oxides!C61/StdCalc!C$26</f>
        <v>0.35547027630477257</v>
      </c>
      <c r="D61">
        <f>Oxides!D61/StdCalc!D$26</f>
        <v>19.951584046283312</v>
      </c>
      <c r="E61">
        <f>Oxides!E61/StdCalc!E$26</f>
        <v>38.646595250764946</v>
      </c>
      <c r="F61">
        <f>Oxides!F61/StdCalc!F$26</f>
        <v>0.26106642211450282</v>
      </c>
      <c r="G61">
        <f>Oxides!G61/StdCalc!G$26</f>
        <v>0</v>
      </c>
      <c r="H61">
        <f>Oxides!H61/StdCalc!H$26</f>
        <v>0.13621531167201228</v>
      </c>
      <c r="I61">
        <f>Oxides!I61/StdCalc!I$26</f>
        <v>2.4310567010309276E-2</v>
      </c>
      <c r="J61" s="14">
        <f t="shared" si="0"/>
        <v>100.99804950923155</v>
      </c>
      <c r="K61" t="s">
        <v>67</v>
      </c>
      <c r="N61">
        <f t="shared" si="1"/>
        <v>78.807922440883317</v>
      </c>
      <c r="O61">
        <f t="shared" si="2"/>
        <v>21.192077559116683</v>
      </c>
      <c r="P61">
        <f t="shared" si="3"/>
        <v>100</v>
      </c>
    </row>
    <row r="62" spans="1:16">
      <c r="A62">
        <v>58</v>
      </c>
      <c r="B62">
        <f>Oxides!B62/StdCalc!B$26</f>
        <v>41.543298928997487</v>
      </c>
      <c r="C62">
        <f>Oxides!C62/StdCalc!C$26</f>
        <v>0.35967066703879436</v>
      </c>
      <c r="D62">
        <f>Oxides!D62/StdCalc!D$26</f>
        <v>19.971666164095375</v>
      </c>
      <c r="E62">
        <f>Oxides!E62/StdCalc!E$26</f>
        <v>38.646595250764946</v>
      </c>
      <c r="F62">
        <f>Oxides!F62/StdCalc!F$26</f>
        <v>0.27399318747543561</v>
      </c>
      <c r="G62">
        <f>Oxides!G62/StdCalc!G$26</f>
        <v>8.6077738515901066E-3</v>
      </c>
      <c r="H62">
        <f>Oxides!H62/StdCalc!H$26</f>
        <v>0.14261330358387952</v>
      </c>
      <c r="I62">
        <f>Oxides!I62/StdCalc!I$26</f>
        <v>3.8698453608247418E-2</v>
      </c>
      <c r="J62" s="14">
        <f t="shared" si="0"/>
        <v>100.98514372941577</v>
      </c>
      <c r="K62" t="s">
        <v>68</v>
      </c>
      <c r="N62">
        <f t="shared" si="1"/>
        <v>78.759146466916405</v>
      </c>
      <c r="O62">
        <f t="shared" si="2"/>
        <v>21.240853533083595</v>
      </c>
      <c r="P62">
        <f t="shared" si="3"/>
        <v>100</v>
      </c>
    </row>
    <row r="63" spans="1:16">
      <c r="A63">
        <v>59</v>
      </c>
      <c r="B63">
        <f>Oxides!B63/StdCalc!B$26</f>
        <v>49.454415184375954</v>
      </c>
      <c r="C63">
        <f>Oxides!C63/StdCalc!C$26</f>
        <v>0.14525537259279936</v>
      </c>
      <c r="D63">
        <f>Oxides!D63/StdCalc!D$26</f>
        <v>9.5791701963534361</v>
      </c>
      <c r="E63">
        <f>Oxides!E63/StdCalc!E$26</f>
        <v>40.489333327790355</v>
      </c>
      <c r="F63">
        <f>Oxides!F63/StdCalc!F$26</f>
        <v>9.2024105856150923E-2</v>
      </c>
      <c r="G63">
        <f>Oxides!G63/StdCalc!G$26</f>
        <v>5.3427561837455836E-3</v>
      </c>
      <c r="H63">
        <f>Oxides!H63/StdCalc!H$26</f>
        <v>0.36654302049923304</v>
      </c>
      <c r="I63">
        <f>Oxides!I63/StdCalc!I$26</f>
        <v>3.3737113402061855E-2</v>
      </c>
      <c r="J63" s="14">
        <f t="shared" si="0"/>
        <v>100.16582107705375</v>
      </c>
      <c r="K63" t="s">
        <v>16</v>
      </c>
      <c r="N63">
        <f t="shared" si="1"/>
        <v>90.198759829180958</v>
      </c>
      <c r="O63">
        <f t="shared" si="2"/>
        <v>9.8012401708190424</v>
      </c>
      <c r="P63">
        <f t="shared" si="3"/>
        <v>100</v>
      </c>
    </row>
    <row r="64" spans="1:16">
      <c r="A64">
        <v>60</v>
      </c>
      <c r="B64">
        <f>Oxides!B64/StdCalc!B$26</f>
        <v>49.663125537846994</v>
      </c>
      <c r="C64">
        <f>Oxides!C64/StdCalc!C$26</f>
        <v>0.14232486742952835</v>
      </c>
      <c r="D64">
        <f>Oxides!D64/StdCalc!D$26</f>
        <v>9.6594986676016834</v>
      </c>
      <c r="E64">
        <f>Oxides!E64/StdCalc!E$26</f>
        <v>40.418067214314235</v>
      </c>
      <c r="F64">
        <f>Oxides!F64/StdCalc!F$26</f>
        <v>9.338006026464038E-2</v>
      </c>
      <c r="G64">
        <f>Oxides!G64/StdCalc!G$26</f>
        <v>1.0289752650176679E-2</v>
      </c>
      <c r="H64">
        <f>Oxides!H64/StdCalc!H$26</f>
        <v>0.36613024682749967</v>
      </c>
      <c r="I64">
        <f>Oxides!I64/StdCalc!I$26</f>
        <v>3.1057989690721648E-2</v>
      </c>
      <c r="J64" s="14">
        <f t="shared" si="0"/>
        <v>100.38387433662548</v>
      </c>
      <c r="K64" t="s">
        <v>16</v>
      </c>
      <c r="N64">
        <f t="shared" si="1"/>
        <v>90.162104098986134</v>
      </c>
      <c r="O64">
        <f t="shared" si="2"/>
        <v>9.8378959010138658</v>
      </c>
      <c r="P64">
        <f t="shared" si="3"/>
        <v>100</v>
      </c>
    </row>
    <row r="65" spans="1:16">
      <c r="A65">
        <v>61</v>
      </c>
      <c r="B65">
        <f>Oxides!B65/StdCalc!B$26</f>
        <v>49.762511420452256</v>
      </c>
      <c r="C65">
        <f>Oxides!C65/StdCalc!C$26</f>
        <v>0.13245883337984932</v>
      </c>
      <c r="D65">
        <f>Oxides!D65/StdCalc!D$26</f>
        <v>9.5289649018232829</v>
      </c>
      <c r="E65">
        <f>Oxides!E65/StdCalc!E$26</f>
        <v>40.407886340960502</v>
      </c>
      <c r="F65">
        <f>Oxides!F65/StdCalc!F$26</f>
        <v>9.2928075461810561E-2</v>
      </c>
      <c r="G65">
        <f>Oxides!G65/StdCalc!G$26</f>
        <v>1.4148409893992934E-2</v>
      </c>
      <c r="H65">
        <f>Oxides!H65/StdCalc!H$26</f>
        <v>0.39017431320596851</v>
      </c>
      <c r="I65">
        <f>Oxides!I65/StdCalc!I$26</f>
        <v>3.7904639175257729E-2</v>
      </c>
      <c r="J65" s="14">
        <f t="shared" si="0"/>
        <v>100.36697693435292</v>
      </c>
      <c r="K65" t="s">
        <v>16</v>
      </c>
      <c r="N65">
        <f t="shared" si="1"/>
        <v>90.299655131022305</v>
      </c>
      <c r="O65">
        <f t="shared" si="2"/>
        <v>9.7003448689776945</v>
      </c>
      <c r="P65">
        <f t="shared" si="3"/>
        <v>100</v>
      </c>
    </row>
    <row r="66" spans="1:16">
      <c r="A66">
        <v>62</v>
      </c>
      <c r="B66">
        <f>Oxides!B66/StdCalc!B$26</f>
        <v>45.618120115813028</v>
      </c>
      <c r="C66">
        <f>Oxides!C66/StdCalc!C$26</f>
        <v>0.24118057493720349</v>
      </c>
      <c r="D66">
        <f>Oxides!D66/StdCalc!D$26</f>
        <v>14.890890357643759</v>
      </c>
      <c r="E66">
        <f>Oxides!E66/StdCalc!E$26</f>
        <v>40.764216908341105</v>
      </c>
      <c r="F66">
        <f>Oxides!F66/StdCalc!F$26</f>
        <v>0.31277348355823398</v>
      </c>
      <c r="G66">
        <f>Oxides!G66/StdCalc!G$26</f>
        <v>1.5434628975265017E-2</v>
      </c>
      <c r="H66">
        <f>Oxides!H66/StdCalc!H$26</f>
        <v>0.20060800446241808</v>
      </c>
      <c r="I66">
        <f>Oxides!I66/StdCalc!I$26</f>
        <v>3.056185567010309E-2</v>
      </c>
      <c r="J66" s="14">
        <f t="shared" si="0"/>
        <v>102.07378592940111</v>
      </c>
      <c r="K66" t="s">
        <v>69</v>
      </c>
      <c r="N66">
        <f t="shared" si="1"/>
        <v>84.522125006696569</v>
      </c>
      <c r="O66">
        <f t="shared" si="2"/>
        <v>15.477874993303431</v>
      </c>
      <c r="P66">
        <f t="shared" si="3"/>
        <v>100</v>
      </c>
    </row>
    <row r="67" spans="1:16">
      <c r="A67">
        <v>63</v>
      </c>
      <c r="B67">
        <f>Oxides!B67/StdCalc!B$26</f>
        <v>45.777137527981445</v>
      </c>
      <c r="C67">
        <f>Oxides!C67/StdCalc!C$26</f>
        <v>0.23756628523583592</v>
      </c>
      <c r="D67">
        <f>Oxides!D67/StdCalc!D$26</f>
        <v>14.700110238429174</v>
      </c>
      <c r="E67">
        <f>Oxides!E67/StdCalc!E$26</f>
        <v>39.471245992417202</v>
      </c>
      <c r="F67">
        <f>Oxides!F67/StdCalc!F$26</f>
        <v>0.30843442945106775</v>
      </c>
      <c r="G67">
        <f>Oxides!G67/StdCalc!G$26</f>
        <v>1.4148409893992934E-2</v>
      </c>
      <c r="H67">
        <f>Oxides!H67/StdCalc!H$26</f>
        <v>0.19658346116301773</v>
      </c>
      <c r="I67">
        <f>Oxides!I67/StdCalc!I$26</f>
        <v>2.7088917525773193E-2</v>
      </c>
      <c r="J67" s="14">
        <f t="shared" si="0"/>
        <v>100.7323152620975</v>
      </c>
      <c r="K67" t="s">
        <v>70</v>
      </c>
      <c r="N67">
        <f t="shared" si="1"/>
        <v>84.735130146495891</v>
      </c>
      <c r="O67">
        <f t="shared" si="2"/>
        <v>15.264869853504109</v>
      </c>
      <c r="P67">
        <f t="shared" si="3"/>
        <v>100</v>
      </c>
    </row>
    <row r="68" spans="1:16">
      <c r="A68">
        <v>64</v>
      </c>
      <c r="B68">
        <f>Oxides!B68/StdCalc!B$26</f>
        <v>45.67775164537619</v>
      </c>
      <c r="C68">
        <f>Oxides!C68/StdCalc!C$26</f>
        <v>0.24694390175830316</v>
      </c>
      <c r="D68">
        <f>Oxides!D68/StdCalc!D$26</f>
        <v>14.800520827489482</v>
      </c>
      <c r="E68">
        <f>Oxides!E68/StdCalc!E$26</f>
        <v>40.611503808035131</v>
      </c>
      <c r="F68">
        <f>Oxides!F68/StdCalc!F$26</f>
        <v>0.30988078082012316</v>
      </c>
      <c r="G68">
        <f>Oxides!G68/StdCalc!G$26</f>
        <v>1.6819787985865725E-2</v>
      </c>
      <c r="H68">
        <f>Oxides!H68/StdCalc!H$26</f>
        <v>0.19493236647608425</v>
      </c>
      <c r="I68">
        <f>Oxides!I68/StdCalc!I$26</f>
        <v>2.8676546391752572E-2</v>
      </c>
      <c r="J68" s="14">
        <f t="shared" si="0"/>
        <v>101.88702966433291</v>
      </c>
      <c r="K68" t="s">
        <v>71</v>
      </c>
      <c r="N68">
        <f t="shared" si="1"/>
        <v>84.618603150118503</v>
      </c>
      <c r="O68">
        <f t="shared" si="2"/>
        <v>15.381396849881497</v>
      </c>
      <c r="P68">
        <f t="shared" si="3"/>
        <v>100</v>
      </c>
    </row>
    <row r="69" spans="1:16">
      <c r="A69">
        <v>65</v>
      </c>
      <c r="B69">
        <f>Oxides!B69/StdCalc!B$26</f>
        <v>42.96451705025266</v>
      </c>
      <c r="C69">
        <f>Oxides!C69/StdCalc!C$26</f>
        <v>0.31493162154619042</v>
      </c>
      <c r="D69">
        <f>Oxides!D69/StdCalc!D$26</f>
        <v>18.144193443197757</v>
      </c>
      <c r="E69">
        <f>Oxides!E69/StdCalc!E$26</f>
        <v>40.102460140348555</v>
      </c>
      <c r="F69">
        <f>Oxides!F69/StdCalc!F$26</f>
        <v>0.35137298571990044</v>
      </c>
      <c r="G69">
        <f>Oxides!G69/StdCalc!G$26</f>
        <v>1.1279151943462897E-2</v>
      </c>
      <c r="H69">
        <f>Oxides!H69/StdCalc!H$26</f>
        <v>0.16232324640914797</v>
      </c>
      <c r="I69">
        <f>Oxides!I69/StdCalc!I$26</f>
        <v>2.9271907216494839E-2</v>
      </c>
      <c r="J69" s="14">
        <f t="shared" si="0"/>
        <v>102.08034954663418</v>
      </c>
      <c r="K69" t="s">
        <v>72</v>
      </c>
      <c r="N69">
        <f t="shared" si="1"/>
        <v>80.846555045036979</v>
      </c>
      <c r="O69">
        <f t="shared" si="2"/>
        <v>19.153444954963021</v>
      </c>
      <c r="P69">
        <f t="shared" si="3"/>
        <v>100</v>
      </c>
    </row>
    <row r="70" spans="1:16">
      <c r="A70">
        <v>66</v>
      </c>
      <c r="B70">
        <f>Oxides!B70/StdCalc!B$26</f>
        <v>42.3980175194027</v>
      </c>
      <c r="C70">
        <f>Oxides!C70/StdCalc!C$26</f>
        <v>0.3287049958135641</v>
      </c>
      <c r="D70">
        <f>Oxides!D70/StdCalc!D$26</f>
        <v>18.575958976157082</v>
      </c>
      <c r="E70">
        <f>Oxides!E70/StdCalc!E$26</f>
        <v>40.204268873885873</v>
      </c>
      <c r="F70">
        <f>Oxides!F70/StdCalc!F$26</f>
        <v>0.31720293462596622</v>
      </c>
      <c r="G70">
        <f>Oxides!G70/StdCalc!G$26</f>
        <v>3.1660777385159014E-3</v>
      </c>
      <c r="H70">
        <f>Oxides!H70/StdCalc!H$26</f>
        <v>0.14281969041974621</v>
      </c>
      <c r="I70">
        <f>Oxides!I70/StdCalc!I$26</f>
        <v>3.1355670103092786E-2</v>
      </c>
      <c r="J70" s="14">
        <f t="shared" ref="J70:J132" si="4">SUM(B70:I70)</f>
        <v>102.00149473814655</v>
      </c>
      <c r="K70" t="s">
        <v>73</v>
      </c>
      <c r="N70">
        <f t="shared" ref="N70:N132" si="5">100*(B70/40.304)/((B70/40.304)+(D70/71.844))</f>
        <v>80.270382277545195</v>
      </c>
      <c r="O70">
        <f t="shared" ref="O70:O132" si="6">100-N70</f>
        <v>19.729617722454805</v>
      </c>
      <c r="P70">
        <f t="shared" ref="P70:P132" si="7">SUM(N70:O70)</f>
        <v>100</v>
      </c>
    </row>
    <row r="71" spans="1:16">
      <c r="A71">
        <v>67</v>
      </c>
      <c r="B71">
        <f>Oxides!B71/StdCalc!B$26</f>
        <v>42.48746481374743</v>
      </c>
      <c r="C71">
        <f>Oxides!C71/StdCalc!C$26</f>
        <v>0.32528607312308128</v>
      </c>
      <c r="D71">
        <f>Oxides!D71/StdCalc!D$26</f>
        <v>18.766739095371673</v>
      </c>
      <c r="E71">
        <f>Oxides!E71/StdCalc!E$26</f>
        <v>38.921478831315696</v>
      </c>
      <c r="F71">
        <f>Oxides!F71/StdCalc!F$26</f>
        <v>0.3527289401283899</v>
      </c>
      <c r="G71">
        <f>Oxides!G71/StdCalc!G$26</f>
        <v>0</v>
      </c>
      <c r="H71">
        <f>Oxides!H71/StdCalc!H$26</f>
        <v>0.12280016734067774</v>
      </c>
      <c r="I71">
        <f>Oxides!I71/StdCalc!I$26</f>
        <v>2.7485824742268038E-2</v>
      </c>
      <c r="J71" s="14">
        <f t="shared" si="4"/>
        <v>101.0039837457692</v>
      </c>
      <c r="K71" t="s">
        <v>74</v>
      </c>
      <c r="N71">
        <f t="shared" si="5"/>
        <v>80.141622033096297</v>
      </c>
      <c r="O71">
        <f t="shared" si="6"/>
        <v>19.858377966903703</v>
      </c>
      <c r="P71">
        <f t="shared" si="7"/>
        <v>100</v>
      </c>
    </row>
    <row r="72" spans="1:16">
      <c r="A72">
        <v>68</v>
      </c>
      <c r="B72">
        <f>Oxides!B72/StdCalc!B$26</f>
        <v>41.841456576813265</v>
      </c>
      <c r="C72">
        <f>Oxides!C72/StdCalc!C$26</f>
        <v>0.3619173876639688</v>
      </c>
      <c r="D72">
        <f>Oxides!D72/StdCalc!D$26</f>
        <v>19.570023807854138</v>
      </c>
      <c r="E72">
        <f>Oxides!E72/StdCalc!E$26</f>
        <v>40.244992367300796</v>
      </c>
      <c r="F72">
        <f>Oxides!F72/StdCalc!F$26</f>
        <v>0.28574479234901085</v>
      </c>
      <c r="G72">
        <f>Oxides!G72/StdCalc!G$26</f>
        <v>3.6607773851590111E-3</v>
      </c>
      <c r="H72">
        <f>Oxides!H72/StdCalc!H$26</f>
        <v>0.11175847162181007</v>
      </c>
      <c r="I72">
        <f>Oxides!I72/StdCalc!I$26</f>
        <v>2.2425257731958758E-2</v>
      </c>
      <c r="J72" s="14">
        <f t="shared" si="4"/>
        <v>102.44197943872011</v>
      </c>
      <c r="K72" t="s">
        <v>75</v>
      </c>
      <c r="N72">
        <f t="shared" si="5"/>
        <v>79.215015052395472</v>
      </c>
      <c r="O72">
        <f t="shared" si="6"/>
        <v>20.784984947604528</v>
      </c>
      <c r="P72">
        <f t="shared" si="7"/>
        <v>100</v>
      </c>
    </row>
    <row r="73" spans="1:16">
      <c r="A73">
        <v>69</v>
      </c>
      <c r="B73">
        <f>Oxides!B73/StdCalc!B$26</f>
        <v>41.911026694636945</v>
      </c>
      <c r="C73">
        <f>Oxides!C73/StdCalc!C$26</f>
        <v>0.35644711135919627</v>
      </c>
      <c r="D73">
        <f>Oxides!D73/StdCalc!D$26</f>
        <v>19.409366865357644</v>
      </c>
      <c r="E73">
        <f>Oxides!E73/StdCalc!E$26</f>
        <v>39.257447651988841</v>
      </c>
      <c r="F73">
        <f>Oxides!F73/StdCalc!F$26</f>
        <v>0.28230970784750425</v>
      </c>
      <c r="G73">
        <f>Oxides!G73/StdCalc!G$26</f>
        <v>4.1554770318021203E-3</v>
      </c>
      <c r="H73">
        <f>Oxides!H73/StdCalc!H$26</f>
        <v>0.1333258959698787</v>
      </c>
      <c r="I73">
        <f>Oxides!I73/StdCalc!I$26</f>
        <v>2.7684278350515464E-2</v>
      </c>
      <c r="J73" s="14">
        <f t="shared" si="4"/>
        <v>101.38176368254233</v>
      </c>
      <c r="K73" t="s">
        <v>76</v>
      </c>
      <c r="N73">
        <f t="shared" si="5"/>
        <v>79.377619885629116</v>
      </c>
      <c r="O73">
        <f t="shared" si="6"/>
        <v>20.622380114370884</v>
      </c>
      <c r="P73">
        <f t="shared" si="7"/>
        <v>100</v>
      </c>
    </row>
    <row r="74" spans="1:16">
      <c r="A74">
        <v>70</v>
      </c>
      <c r="B74">
        <f>Oxides!B74/StdCalc!B$26</f>
        <v>41.871272341594839</v>
      </c>
      <c r="C74">
        <f>Oxides!C74/StdCalc!C$26</f>
        <v>0.36836449902316498</v>
      </c>
      <c r="D74">
        <f>Oxides!D74/StdCalc!D$26</f>
        <v>19.519818513323987</v>
      </c>
      <c r="E74">
        <f>Oxides!E74/StdCalc!E$26</f>
        <v>40.143183633763485</v>
      </c>
      <c r="F74">
        <f>Oxides!F74/StdCalc!F$26</f>
        <v>0.29894274859164155</v>
      </c>
      <c r="G74">
        <f>Oxides!G74/StdCalc!G$26</f>
        <v>8.1130742049469982E-3</v>
      </c>
      <c r="H74">
        <f>Oxides!H74/StdCalc!H$26</f>
        <v>0.12620555013247806</v>
      </c>
      <c r="I74">
        <f>Oxides!I74/StdCalc!I$26</f>
        <v>2.8180412371134018E-2</v>
      </c>
      <c r="J74" s="14">
        <f t="shared" si="4"/>
        <v>102.36408077300567</v>
      </c>
      <c r="K74" t="s">
        <v>77</v>
      </c>
      <c r="N74">
        <f t="shared" si="5"/>
        <v>79.268985193984207</v>
      </c>
      <c r="O74">
        <f t="shared" si="6"/>
        <v>20.731014806015793</v>
      </c>
      <c r="P74">
        <f t="shared" si="7"/>
        <v>100</v>
      </c>
    </row>
    <row r="75" spans="1:16">
      <c r="A75">
        <v>71</v>
      </c>
      <c r="B75">
        <f>Oxides!B75/StdCalc!B$26</f>
        <v>44.5248754071552</v>
      </c>
      <c r="C75">
        <f>Oxides!C75/StdCalc!C$26</f>
        <v>0.29158526374546473</v>
      </c>
      <c r="D75">
        <f>Oxides!D75/StdCalc!D$26</f>
        <v>15.915078366058907</v>
      </c>
      <c r="E75">
        <f>Oxides!E75/StdCalc!E$26</f>
        <v>40.672589048157526</v>
      </c>
      <c r="F75">
        <f>Oxides!F75/StdCalc!F$26</f>
        <v>0.31376785012445962</v>
      </c>
      <c r="G75">
        <f>Oxides!G75/StdCalc!G$26</f>
        <v>1.236749116607774E-2</v>
      </c>
      <c r="H75">
        <f>Oxides!H75/StdCalc!H$26</f>
        <v>0.19978245711895135</v>
      </c>
      <c r="I75">
        <f>Oxides!I75/StdCalc!I$26</f>
        <v>2.7684278350515464E-2</v>
      </c>
      <c r="J75" s="14">
        <f t="shared" si="4"/>
        <v>101.95773016187711</v>
      </c>
      <c r="K75" t="s">
        <v>78</v>
      </c>
      <c r="N75">
        <f t="shared" si="5"/>
        <v>83.297045052724101</v>
      </c>
      <c r="O75">
        <f t="shared" si="6"/>
        <v>16.702954947275899</v>
      </c>
      <c r="P75">
        <f t="shared" si="7"/>
        <v>100</v>
      </c>
    </row>
    <row r="76" spans="1:16">
      <c r="A76">
        <v>72</v>
      </c>
      <c r="B76">
        <f>Oxides!B76/StdCalc!B$26</f>
        <v>45.578365762770929</v>
      </c>
      <c r="C76">
        <f>Oxides!C76/StdCalc!C$26</f>
        <v>0.27781188947809099</v>
      </c>
      <c r="D76">
        <f>Oxides!D76/StdCalc!D$26</f>
        <v>14.469165883590463</v>
      </c>
      <c r="E76">
        <f>Oxides!E76/StdCalc!E$26</f>
        <v>40.723493414926182</v>
      </c>
      <c r="F76">
        <f>Oxides!F76/StdCalc!F$26</f>
        <v>0.29297654919428795</v>
      </c>
      <c r="G76">
        <f>Oxides!G76/StdCalc!G$26</f>
        <v>2.4537102473498232E-2</v>
      </c>
      <c r="H76">
        <f>Oxides!H76/StdCalc!H$26</f>
        <v>0.23951192302328828</v>
      </c>
      <c r="I76">
        <f>Oxides!I76/StdCalc!I$26</f>
        <v>2.4310567010309276E-2</v>
      </c>
      <c r="J76" s="14">
        <f t="shared" si="4"/>
        <v>101.63017309246705</v>
      </c>
      <c r="K76" t="s">
        <v>79</v>
      </c>
      <c r="N76">
        <f t="shared" si="5"/>
        <v>84.883073875610691</v>
      </c>
      <c r="O76">
        <f t="shared" si="6"/>
        <v>15.116926124389309</v>
      </c>
      <c r="P76">
        <f t="shared" si="7"/>
        <v>100</v>
      </c>
    </row>
    <row r="77" spans="1:16">
      <c r="A77">
        <v>73</v>
      </c>
      <c r="B77">
        <f>Oxides!B77/StdCalc!B$26</f>
        <v>44.574568348457831</v>
      </c>
      <c r="C77">
        <f>Oxides!C77/StdCalc!C$26</f>
        <v>0.28865475858219369</v>
      </c>
      <c r="D77">
        <f>Oxides!D77/StdCalc!D$26</f>
        <v>15.915078366058907</v>
      </c>
      <c r="E77">
        <f>Oxides!E77/StdCalc!E$26</f>
        <v>40.540237694559011</v>
      </c>
      <c r="F77">
        <f>Oxides!F77/StdCalc!F$26</f>
        <v>0.31864928599502162</v>
      </c>
      <c r="G77">
        <f>Oxides!G77/StdCalc!G$26</f>
        <v>1.2169611307420496E-2</v>
      </c>
      <c r="H77">
        <f>Oxides!H77/StdCalc!H$26</f>
        <v>0.20741877004601872</v>
      </c>
      <c r="I77">
        <f>Oxides!I77/StdCalc!I$26</f>
        <v>2.6692010309278348E-2</v>
      </c>
      <c r="J77" s="14">
        <f t="shared" si="4"/>
        <v>101.88346884531568</v>
      </c>
      <c r="K77" t="s">
        <v>80</v>
      </c>
      <c r="N77">
        <f t="shared" si="5"/>
        <v>83.312558608052669</v>
      </c>
      <c r="O77">
        <f t="shared" si="6"/>
        <v>16.687441391947331</v>
      </c>
      <c r="P77">
        <f t="shared" si="7"/>
        <v>100</v>
      </c>
    </row>
    <row r="78" spans="1:16">
      <c r="A78">
        <v>74</v>
      </c>
      <c r="B78">
        <f>Oxides!B78/StdCalc!B$26</f>
        <v>44.862787408013077</v>
      </c>
      <c r="C78">
        <f>Oxides!C78/StdCalc!C$26</f>
        <v>0.30066982975160483</v>
      </c>
      <c r="D78">
        <f>Oxides!D78/StdCalc!D$26</f>
        <v>15.513436009817672</v>
      </c>
      <c r="E78">
        <f>Oxides!E78/StdCalc!E$26</f>
        <v>41.069643108953059</v>
      </c>
      <c r="F78">
        <f>Oxides!F78/StdCalc!F$26</f>
        <v>0.33519192977859297</v>
      </c>
      <c r="G78">
        <f>Oxides!G78/StdCalc!G$26</f>
        <v>2.5625441696113076E-2</v>
      </c>
      <c r="H78">
        <f>Oxides!H78/StdCalc!H$26</f>
        <v>0.21846046576488637</v>
      </c>
      <c r="I78">
        <f>Oxides!I78/StdCalc!I$26</f>
        <v>2.3020618556701025E-2</v>
      </c>
      <c r="J78" s="14">
        <f t="shared" si="4"/>
        <v>102.3488348123317</v>
      </c>
      <c r="K78" t="s">
        <v>81</v>
      </c>
      <c r="N78">
        <f t="shared" si="5"/>
        <v>83.752793746933449</v>
      </c>
      <c r="O78">
        <f t="shared" si="6"/>
        <v>16.247206253066551</v>
      </c>
      <c r="P78">
        <f t="shared" si="7"/>
        <v>100</v>
      </c>
    </row>
    <row r="79" spans="1:16">
      <c r="A79">
        <v>75</v>
      </c>
      <c r="B79">
        <f>Oxides!B79/StdCalc!B$26</f>
        <v>44.624261289760462</v>
      </c>
      <c r="C79">
        <f>Oxides!C79/StdCalc!C$26</f>
        <v>0.28709182249511583</v>
      </c>
      <c r="D79">
        <f>Oxides!D79/StdCalc!D$26</f>
        <v>16.005447896213184</v>
      </c>
      <c r="E79">
        <f>Oxides!E79/StdCalc!E$26</f>
        <v>40.876206515232155</v>
      </c>
      <c r="F79">
        <f>Oxides!F79/StdCalc!F$26</f>
        <v>0.33220883007991614</v>
      </c>
      <c r="G79">
        <f>Oxides!G79/StdCalc!G$26</f>
        <v>1.5335689045936397E-2</v>
      </c>
      <c r="H79">
        <f>Oxides!H79/StdCalc!H$26</f>
        <v>0.21020499233021894</v>
      </c>
      <c r="I79">
        <f>Oxides!I79/StdCalc!I$26</f>
        <v>2.4905927835051543E-2</v>
      </c>
      <c r="J79" s="14">
        <f t="shared" si="4"/>
        <v>102.37566296299204</v>
      </c>
      <c r="K79" t="s">
        <v>82</v>
      </c>
      <c r="N79">
        <f t="shared" si="5"/>
        <v>83.24923360265781</v>
      </c>
      <c r="O79">
        <f t="shared" si="6"/>
        <v>16.75076639734219</v>
      </c>
      <c r="P79">
        <f t="shared" si="7"/>
        <v>100</v>
      </c>
    </row>
    <row r="80" spans="1:16">
      <c r="A80">
        <v>76</v>
      </c>
      <c r="B80">
        <f>Oxides!B80/StdCalc!B$26</f>
        <v>44.813094466710453</v>
      </c>
      <c r="C80">
        <f>Oxides!C80/StdCalc!C$26</f>
        <v>0.29627407200669836</v>
      </c>
      <c r="D80">
        <f>Oxides!D80/StdCalc!D$26</f>
        <v>15.654010834502104</v>
      </c>
      <c r="E80">
        <f>Oxides!E80/StdCalc!E$26</f>
        <v>41.039100488891862</v>
      </c>
      <c r="F80">
        <f>Oxides!F80/StdCalc!F$26</f>
        <v>0.34929385562688331</v>
      </c>
      <c r="G80">
        <f>Oxides!G80/StdCalc!G$26</f>
        <v>8.3109540636042405E-3</v>
      </c>
      <c r="H80">
        <f>Oxides!H80/StdCalc!H$26</f>
        <v>0.21825407892901968</v>
      </c>
      <c r="I80">
        <f>Oxides!I80/StdCalc!I$26</f>
        <v>2.0143041237113399E-2</v>
      </c>
      <c r="J80" s="14">
        <f t="shared" si="4"/>
        <v>102.39848179196774</v>
      </c>
      <c r="K80" t="s">
        <v>83</v>
      </c>
      <c r="N80">
        <f t="shared" si="5"/>
        <v>83.614492408542986</v>
      </c>
      <c r="O80">
        <f t="shared" si="6"/>
        <v>16.385507591457014</v>
      </c>
      <c r="P80">
        <f t="shared" si="7"/>
        <v>100</v>
      </c>
    </row>
    <row r="81" spans="1:16">
      <c r="A81">
        <v>77</v>
      </c>
      <c r="B81">
        <f>Oxides!B81/StdCalc!B$26</f>
        <v>45.141067879307798</v>
      </c>
      <c r="C81">
        <f>Oxides!C81/StdCalc!C$26</f>
        <v>0.28377058331007537</v>
      </c>
      <c r="D81">
        <f>Oxides!D81/StdCalc!D$26</f>
        <v>15.372861185133241</v>
      </c>
      <c r="E81">
        <f>Oxides!E81/StdCalc!E$26</f>
        <v>41.13072834907544</v>
      </c>
      <c r="F81">
        <f>Oxides!F81/StdCalc!F$26</f>
        <v>0.31548539237521289</v>
      </c>
      <c r="G81">
        <f>Oxides!G81/StdCalc!G$26</f>
        <v>2.5724381625441696E-2</v>
      </c>
      <c r="H81">
        <f>Oxides!H81/StdCalc!H$26</f>
        <v>0.21433272904755266</v>
      </c>
      <c r="I81">
        <f>Oxides!I81/StdCalc!I$26</f>
        <v>1.9150773195876287E-2</v>
      </c>
      <c r="J81" s="14">
        <f t="shared" si="4"/>
        <v>102.50312127307062</v>
      </c>
      <c r="K81" t="s">
        <v>84</v>
      </c>
      <c r="N81">
        <f t="shared" si="5"/>
        <v>83.959733666630811</v>
      </c>
      <c r="O81">
        <f t="shared" si="6"/>
        <v>16.040266333369189</v>
      </c>
      <c r="P81">
        <f t="shared" si="7"/>
        <v>100</v>
      </c>
    </row>
    <row r="82" spans="1:16">
      <c r="A82">
        <v>78</v>
      </c>
      <c r="B82">
        <f>Oxides!B82/StdCalc!B$26</f>
        <v>44.604384113239412</v>
      </c>
      <c r="C82">
        <f>Oxides!C82/StdCalc!C$26</f>
        <v>0.29207368127267658</v>
      </c>
      <c r="D82">
        <f>Oxides!D82/StdCalc!D$26</f>
        <v>15.844790953716689</v>
      </c>
      <c r="E82">
        <f>Oxides!E82/StdCalc!E$26</f>
        <v>40.988196122123199</v>
      </c>
      <c r="F82">
        <f>Oxides!F82/StdCalc!F$26</f>
        <v>0.35336171885235168</v>
      </c>
      <c r="G82">
        <f>Oxides!G82/StdCalc!G$26</f>
        <v>4.0565371024734991E-3</v>
      </c>
      <c r="H82">
        <f>Oxides!H82/StdCalc!H$26</f>
        <v>0.20349742016455166</v>
      </c>
      <c r="I82">
        <f>Oxides!I82/StdCalc!I$26</f>
        <v>2.7386597938144325E-2</v>
      </c>
      <c r="J82" s="14">
        <f t="shared" si="4"/>
        <v>102.31774714440951</v>
      </c>
      <c r="K82" t="s">
        <v>85</v>
      </c>
      <c r="N82">
        <f t="shared" si="5"/>
        <v>83.38327089244234</v>
      </c>
      <c r="O82">
        <f t="shared" si="6"/>
        <v>16.61672910755766</v>
      </c>
      <c r="P82">
        <f t="shared" si="7"/>
        <v>100</v>
      </c>
    </row>
    <row r="83" spans="1:16">
      <c r="A83">
        <v>79</v>
      </c>
      <c r="B83">
        <f>Oxides!B83/StdCalc!B$26</f>
        <v>44.355919406726272</v>
      </c>
      <c r="C83">
        <f>Oxides!C83/StdCalc!C$26</f>
        <v>0.29656712252302542</v>
      </c>
      <c r="D83">
        <f>Oxides!D83/StdCalc!D$26</f>
        <v>16.246433309957926</v>
      </c>
      <c r="E83">
        <f>Oxides!E83/StdCalc!E$26</f>
        <v>40.957653502062001</v>
      </c>
      <c r="F83">
        <f>Oxides!F83/StdCalc!F$26</f>
        <v>0.31892047687671948</v>
      </c>
      <c r="G83">
        <f>Oxides!G83/StdCalc!G$26</f>
        <v>5.7385159010600708E-3</v>
      </c>
      <c r="H83">
        <f>Oxides!H83/StdCalc!H$26</f>
        <v>0.20339422674661833</v>
      </c>
      <c r="I83">
        <f>Oxides!I83/StdCalc!I$26</f>
        <v>2.1234536082474224E-2</v>
      </c>
      <c r="J83" s="14">
        <f t="shared" si="4"/>
        <v>102.40586109687609</v>
      </c>
      <c r="K83" t="s">
        <v>86</v>
      </c>
      <c r="N83">
        <f t="shared" si="5"/>
        <v>82.954685668003847</v>
      </c>
      <c r="O83">
        <f t="shared" si="6"/>
        <v>17.045314331996153</v>
      </c>
      <c r="P83">
        <f t="shared" si="7"/>
        <v>100</v>
      </c>
    </row>
    <row r="84" spans="1:16">
      <c r="A84">
        <v>80</v>
      </c>
      <c r="B84">
        <f>Oxides!B84/StdCalc!B$26</f>
        <v>44.902541761055183</v>
      </c>
      <c r="C84">
        <f>Oxides!C84/StdCalc!C$26</f>
        <v>0.27370918224951163</v>
      </c>
      <c r="D84">
        <f>Oxides!D84/StdCalc!D$26</f>
        <v>15.603805539971949</v>
      </c>
      <c r="E84">
        <f>Oxides!E84/StdCalc!E$26</f>
        <v>40.947472628708276</v>
      </c>
      <c r="F84">
        <f>Oxides!F84/StdCalc!F$26</f>
        <v>0.31964365256124722</v>
      </c>
      <c r="G84">
        <f>Oxides!G84/StdCalc!G$26</f>
        <v>1.7413427561837457E-2</v>
      </c>
      <c r="H84">
        <f>Oxides!H84/StdCalc!H$26</f>
        <v>0.17253939478454888</v>
      </c>
      <c r="I84">
        <f>Oxides!I84/StdCalc!I$26</f>
        <v>3.7606958762886597E-2</v>
      </c>
      <c r="J84" s="14">
        <f t="shared" si="4"/>
        <v>102.27473254565545</v>
      </c>
      <c r="K84" t="s">
        <v>87</v>
      </c>
      <c r="N84">
        <f t="shared" si="5"/>
        <v>83.68569814950996</v>
      </c>
      <c r="O84">
        <f t="shared" si="6"/>
        <v>16.31430185049004</v>
      </c>
      <c r="P84">
        <f t="shared" si="7"/>
        <v>100</v>
      </c>
    </row>
    <row r="85" spans="1:16">
      <c r="A85">
        <v>81</v>
      </c>
      <c r="B85">
        <f>Oxides!B85/StdCalc!B$26</f>
        <v>43.849051405439454</v>
      </c>
      <c r="C85">
        <f>Oxides!C85/StdCalc!C$26</f>
        <v>0.30750767513257055</v>
      </c>
      <c r="D85">
        <f>Oxides!D85/StdCalc!D$26</f>
        <v>17.170210729312764</v>
      </c>
      <c r="E85">
        <f>Oxides!E85/StdCalc!E$26</f>
        <v>40.723493414926182</v>
      </c>
      <c r="F85">
        <f>Oxides!F85/StdCalc!F$26</f>
        <v>0.32859295165727759</v>
      </c>
      <c r="G85">
        <f>Oxides!G85/StdCalc!G$26</f>
        <v>1.3851590106007068E-2</v>
      </c>
      <c r="H85">
        <f>Oxides!H85/StdCalc!H$26</f>
        <v>0.17264258820248224</v>
      </c>
      <c r="I85">
        <f>Oxides!I85/StdCalc!I$26</f>
        <v>2.0738402061855666E-2</v>
      </c>
      <c r="J85" s="14">
        <f t="shared" si="4"/>
        <v>102.58608875683858</v>
      </c>
      <c r="K85" t="s">
        <v>88</v>
      </c>
      <c r="N85">
        <f t="shared" si="5"/>
        <v>81.989311737107641</v>
      </c>
      <c r="O85">
        <f t="shared" si="6"/>
        <v>18.010688262892359</v>
      </c>
      <c r="P85">
        <f t="shared" si="7"/>
        <v>100</v>
      </c>
    </row>
    <row r="86" spans="1:16">
      <c r="A86">
        <v>82</v>
      </c>
      <c r="B86">
        <f>Oxides!B86/StdCalc!B$26</f>
        <v>43.600586698926307</v>
      </c>
      <c r="C86">
        <f>Oxides!C86/StdCalc!C$26</f>
        <v>0.31141501535026517</v>
      </c>
      <c r="D86">
        <f>Oxides!D86/StdCalc!D$26</f>
        <v>17.27062131837307</v>
      </c>
      <c r="E86">
        <f>Oxides!E86/StdCalc!E$26</f>
        <v>40.580961187973941</v>
      </c>
      <c r="F86">
        <f>Oxides!F86/StdCalc!F$26</f>
        <v>0.32796017293331586</v>
      </c>
      <c r="G86">
        <f>Oxides!G86/StdCalc!G$26</f>
        <v>1.2070671378091874E-2</v>
      </c>
      <c r="H86">
        <f>Oxides!H86/StdCalc!H$26</f>
        <v>0.17511923023288245</v>
      </c>
      <c r="I86">
        <f>Oxides!I86/StdCalc!I$26</f>
        <v>3.9889175257731953E-2</v>
      </c>
      <c r="J86" s="14">
        <f t="shared" si="4"/>
        <v>102.31862347042561</v>
      </c>
      <c r="K86" t="s">
        <v>89</v>
      </c>
      <c r="N86">
        <f t="shared" si="5"/>
        <v>81.818668612712628</v>
      </c>
      <c r="O86">
        <f t="shared" si="6"/>
        <v>18.181331387287372</v>
      </c>
      <c r="P86">
        <f t="shared" si="7"/>
        <v>100</v>
      </c>
    </row>
    <row r="87" spans="1:16">
      <c r="A87">
        <v>83</v>
      </c>
      <c r="B87">
        <f>Oxides!B87/StdCalc!B$26</f>
        <v>41.911026694636945</v>
      </c>
      <c r="C87">
        <f>Oxides!C87/StdCalc!C$26</f>
        <v>0.33603125872174155</v>
      </c>
      <c r="D87">
        <f>Oxides!D87/StdCalc!D$26</f>
        <v>19.529859572230013</v>
      </c>
      <c r="E87">
        <f>Oxides!E87/StdCalc!E$26</f>
        <v>39.440703372356005</v>
      </c>
      <c r="F87">
        <f>Oxides!F87/StdCalc!F$26</f>
        <v>0.28348486833486175</v>
      </c>
      <c r="G87">
        <f>Oxides!G87/StdCalc!G$26</f>
        <v>0</v>
      </c>
      <c r="H87">
        <f>Oxides!H87/StdCalc!H$26</f>
        <v>0.10639241388927625</v>
      </c>
      <c r="I87">
        <f>Oxides!I87/StdCalc!I$26</f>
        <v>2.7585051546391747E-2</v>
      </c>
      <c r="J87" s="14">
        <f t="shared" si="4"/>
        <v>101.63508323171524</v>
      </c>
      <c r="K87" t="s">
        <v>90</v>
      </c>
      <c r="N87">
        <f t="shared" si="5"/>
        <v>79.276128166082117</v>
      </c>
      <c r="O87">
        <f t="shared" si="6"/>
        <v>20.723871833917883</v>
      </c>
      <c r="P87">
        <f t="shared" si="7"/>
        <v>100</v>
      </c>
    </row>
    <row r="88" spans="1:16">
      <c r="A88">
        <v>84</v>
      </c>
      <c r="B88">
        <f>Oxides!B88/StdCalc!B$26</f>
        <v>42.010412577242199</v>
      </c>
      <c r="C88">
        <f>Oxides!C88/StdCalc!C$26</f>
        <v>0.34482277421155461</v>
      </c>
      <c r="D88">
        <f>Oxides!D88/StdCalc!D$26</f>
        <v>19.409366865357644</v>
      </c>
      <c r="E88">
        <f>Oxides!E88/StdCalc!E$26</f>
        <v>40.306077607423191</v>
      </c>
      <c r="F88">
        <f>Oxides!F88/StdCalc!F$26</f>
        <v>0.27869382942486576</v>
      </c>
      <c r="G88">
        <f>Oxides!G88/StdCalc!G$26</f>
        <v>5.6395759717314487E-3</v>
      </c>
      <c r="H88">
        <f>Oxides!H88/StdCalc!H$26</f>
        <v>0.11898201087714406</v>
      </c>
      <c r="I88">
        <f>Oxides!I88/StdCalc!I$26</f>
        <v>3.4729381443298971E-2</v>
      </c>
      <c r="J88" s="14">
        <f t="shared" si="4"/>
        <v>102.50872462195163</v>
      </c>
      <c r="K88" t="s">
        <v>91</v>
      </c>
      <c r="N88">
        <f t="shared" si="5"/>
        <v>79.416364964067512</v>
      </c>
      <c r="O88">
        <f t="shared" si="6"/>
        <v>20.583635035932488</v>
      </c>
      <c r="P88">
        <f t="shared" si="7"/>
        <v>100</v>
      </c>
    </row>
    <row r="89" spans="1:16">
      <c r="A89">
        <v>85</v>
      </c>
      <c r="B89">
        <f>Oxides!B89/StdCalc!B$26</f>
        <v>41.920965282897463</v>
      </c>
      <c r="C89">
        <f>Oxides!C89/StdCalc!C$26</f>
        <v>0.35058610103265425</v>
      </c>
      <c r="D89">
        <f>Oxides!D89/StdCalc!D$26</f>
        <v>19.509777454417954</v>
      </c>
      <c r="E89">
        <f>Oxides!E89/StdCalc!E$26</f>
        <v>40.438428961021692</v>
      </c>
      <c r="F89">
        <f>Oxides!F89/StdCalc!F$26</f>
        <v>0.27562033276562298</v>
      </c>
      <c r="G89">
        <f>Oxides!G89/StdCalc!G$26</f>
        <v>6.628975265017668E-3</v>
      </c>
      <c r="H89">
        <f>Oxides!H89/StdCalc!H$26</f>
        <v>0.11867243062334404</v>
      </c>
      <c r="I89">
        <f>Oxides!I89/StdCalc!I$26</f>
        <v>2.7585051546391747E-2</v>
      </c>
      <c r="J89" s="14">
        <f t="shared" si="4"/>
        <v>102.64826458957016</v>
      </c>
      <c r="K89" t="s">
        <v>92</v>
      </c>
      <c r="N89">
        <f t="shared" si="5"/>
        <v>79.296918264162301</v>
      </c>
      <c r="O89">
        <f t="shared" si="6"/>
        <v>20.703081735837699</v>
      </c>
      <c r="P89">
        <f t="shared" si="7"/>
        <v>100</v>
      </c>
    </row>
    <row r="90" spans="1:16">
      <c r="A90">
        <v>86</v>
      </c>
      <c r="B90">
        <f>Oxides!B90/StdCalc!B$26</f>
        <v>42.23900010723429</v>
      </c>
      <c r="C90">
        <f>Oxides!C90/StdCalc!C$26</f>
        <v>0.35400502372313708</v>
      </c>
      <c r="D90">
        <f>Oxides!D90/StdCalc!D$26</f>
        <v>18.977601332398315</v>
      </c>
      <c r="E90">
        <f>Oxides!E90/StdCalc!E$26</f>
        <v>39.49160773912466</v>
      </c>
      <c r="F90">
        <f>Oxides!F90/StdCalc!F$26</f>
        <v>0.29541726712956895</v>
      </c>
      <c r="G90">
        <f>Oxides!G90/StdCalc!G$26</f>
        <v>1.2862190812720849E-3</v>
      </c>
      <c r="H90">
        <f>Oxides!H90/StdCalc!H$26</f>
        <v>0.11733091619021058</v>
      </c>
      <c r="I90">
        <f>Oxides!I90/StdCalc!I$26</f>
        <v>2.6493556701030926E-2</v>
      </c>
      <c r="J90" s="14">
        <f t="shared" si="4"/>
        <v>101.50274216158247</v>
      </c>
      <c r="K90" t="s">
        <v>93</v>
      </c>
      <c r="N90">
        <f t="shared" si="5"/>
        <v>79.869065375526205</v>
      </c>
      <c r="O90">
        <f t="shared" si="6"/>
        <v>20.130934624473795</v>
      </c>
      <c r="P90">
        <f t="shared" si="7"/>
        <v>100</v>
      </c>
    </row>
    <row r="91" spans="1:16">
      <c r="A91">
        <v>87</v>
      </c>
      <c r="B91">
        <f>Oxides!B91/StdCalc!B$26</f>
        <v>42.278754460276389</v>
      </c>
      <c r="C91">
        <f>Oxides!C91/StdCalc!C$26</f>
        <v>0.35244208763605922</v>
      </c>
      <c r="D91">
        <f>Oxides!D91/StdCalc!D$26</f>
        <v>19.11817615708275</v>
      </c>
      <c r="E91">
        <f>Oxides!E91/StdCalc!E$26</f>
        <v>39.49160773912466</v>
      </c>
      <c r="F91">
        <f>Oxides!F91/StdCalc!F$26</f>
        <v>0.29867155770994369</v>
      </c>
      <c r="G91">
        <f>Oxides!G91/StdCalc!G$26</f>
        <v>0</v>
      </c>
      <c r="H91">
        <f>Oxides!H91/StdCalc!H$26</f>
        <v>0.129507739506345</v>
      </c>
      <c r="I91">
        <f>Oxides!I91/StdCalc!I$26</f>
        <v>2.1036082474226801E-2</v>
      </c>
      <c r="J91" s="14">
        <f t="shared" si="4"/>
        <v>101.69019582381037</v>
      </c>
      <c r="K91" t="s">
        <v>94</v>
      </c>
      <c r="N91">
        <f t="shared" si="5"/>
        <v>79.765331460664626</v>
      </c>
      <c r="O91">
        <f t="shared" si="6"/>
        <v>20.234668539335374</v>
      </c>
      <c r="P91">
        <f t="shared" si="7"/>
        <v>100</v>
      </c>
    </row>
    <row r="92" spans="1:16">
      <c r="A92">
        <v>88</v>
      </c>
      <c r="B92">
        <f>Oxides!B92/StdCalc!B$26</f>
        <v>42.189307165931666</v>
      </c>
      <c r="C92">
        <f>Oxides!C92/StdCalc!C$26</f>
        <v>0.35273513815238627</v>
      </c>
      <c r="D92">
        <f>Oxides!D92/StdCalc!D$26</f>
        <v>18.907313920056101</v>
      </c>
      <c r="E92">
        <f>Oxides!E92/StdCalc!E$26</f>
        <v>39.440703372356005</v>
      </c>
      <c r="F92">
        <f>Oxides!F92/StdCalc!F$26</f>
        <v>0.29496528232673913</v>
      </c>
      <c r="G92">
        <f>Oxides!G92/StdCalc!G$26</f>
        <v>5.4416961130742047E-3</v>
      </c>
      <c r="H92">
        <f>Oxides!H92/StdCalc!H$26</f>
        <v>0.11681494910054387</v>
      </c>
      <c r="I92">
        <f>Oxides!I92/StdCalc!I$26</f>
        <v>3.1653350515463911E-2</v>
      </c>
      <c r="J92" s="14">
        <f t="shared" si="4"/>
        <v>101.33893487455198</v>
      </c>
      <c r="K92" t="s">
        <v>95</v>
      </c>
      <c r="N92">
        <f t="shared" si="5"/>
        <v>79.909767806303506</v>
      </c>
      <c r="O92">
        <f t="shared" si="6"/>
        <v>20.090232193696494</v>
      </c>
      <c r="P92">
        <f t="shared" si="7"/>
        <v>100</v>
      </c>
    </row>
    <row r="93" spans="1:16">
      <c r="A93">
        <v>89</v>
      </c>
      <c r="B93">
        <f>Oxides!B93/StdCalc!B$26</f>
        <v>49.464353772636485</v>
      </c>
      <c r="C93">
        <f>Oxides!C93/StdCalc!C$26</f>
        <v>0.14232486742952835</v>
      </c>
      <c r="D93">
        <f>Oxides!D93/StdCalc!D$26</f>
        <v>9.5791701963534361</v>
      </c>
      <c r="E93">
        <f>Oxides!E93/StdCalc!E$26</f>
        <v>40.906749135293346</v>
      </c>
      <c r="F93">
        <f>Oxides!F93/StdCalc!F$26</f>
        <v>8.9583387920869895E-2</v>
      </c>
      <c r="G93">
        <f>Oxides!G93/StdCalc!G$26</f>
        <v>2.1272084805653711E-2</v>
      </c>
      <c r="H93">
        <f>Oxides!H93/StdCalc!H$26</f>
        <v>0.35096081439129834</v>
      </c>
      <c r="I93">
        <f>Oxides!I93/StdCalc!I$26</f>
        <v>3.8599226804123705E-2</v>
      </c>
      <c r="J93" s="14">
        <f t="shared" si="4"/>
        <v>100.59301348563474</v>
      </c>
      <c r="K93" t="s">
        <v>16</v>
      </c>
      <c r="N93">
        <f t="shared" si="5"/>
        <v>90.200536154514253</v>
      </c>
      <c r="O93">
        <f t="shared" si="6"/>
        <v>9.7994638454857466</v>
      </c>
      <c r="P93">
        <f t="shared" si="7"/>
        <v>100</v>
      </c>
    </row>
    <row r="94" spans="1:16">
      <c r="A94">
        <v>90</v>
      </c>
      <c r="B94">
        <f>Oxides!B94/StdCalc!B$26</f>
        <v>49.464353772636485</v>
      </c>
      <c r="C94">
        <f>Oxides!C94/StdCalc!C$26</f>
        <v>0.13880826123360315</v>
      </c>
      <c r="D94">
        <f>Oxides!D94/StdCalc!D$26</f>
        <v>9.5189238429172516</v>
      </c>
      <c r="E94">
        <f>Oxides!E94/StdCalc!E$26</f>
        <v>41.069643108953059</v>
      </c>
      <c r="F94">
        <f>Oxides!F94/StdCalc!F$26</f>
        <v>9.2204899777282842E-2</v>
      </c>
      <c r="G94">
        <f>Oxides!G94/StdCalc!G$26</f>
        <v>1.909540636042403E-2</v>
      </c>
      <c r="H94">
        <f>Oxides!H94/StdCalc!H$26</f>
        <v>0.29245014642309303</v>
      </c>
      <c r="I94">
        <f>Oxides!I94/StdCalc!I$26</f>
        <v>3.056185567010309E-2</v>
      </c>
      <c r="J94" s="14">
        <f t="shared" si="4"/>
        <v>100.62604129397131</v>
      </c>
      <c r="K94" t="s">
        <v>16</v>
      </c>
      <c r="N94">
        <f t="shared" si="5"/>
        <v>90.256162695593986</v>
      </c>
      <c r="O94">
        <f t="shared" si="6"/>
        <v>9.7438373044060143</v>
      </c>
      <c r="P94">
        <f t="shared" si="7"/>
        <v>100</v>
      </c>
    </row>
    <row r="95" spans="1:16">
      <c r="A95">
        <v>91</v>
      </c>
      <c r="B95">
        <f>Oxides!B95/StdCalc!B$26</f>
        <v>49.364967890031231</v>
      </c>
      <c r="C95">
        <f>Oxides!C95/StdCalc!C$26</f>
        <v>0.1400781468043539</v>
      </c>
      <c r="D95">
        <f>Oxides!D95/StdCalc!D$26</f>
        <v>9.408472194950912</v>
      </c>
      <c r="E95">
        <f>Oxides!E95/StdCalc!E$26</f>
        <v>40.947472628708276</v>
      </c>
      <c r="F95">
        <f>Oxides!F95/StdCalc!F$26</f>
        <v>9.1752914974453037E-2</v>
      </c>
      <c r="G95">
        <f>Oxides!G95/StdCalc!G$26</f>
        <v>9.696113074204947E-3</v>
      </c>
      <c r="H95">
        <f>Oxides!H95/StdCalc!H$26</f>
        <v>0.36695579417096647</v>
      </c>
      <c r="I95">
        <f>Oxides!I95/StdCalc!I$26</f>
        <v>2.8874999999999998E-2</v>
      </c>
      <c r="J95" s="14">
        <f t="shared" si="4"/>
        <v>100.35827068271439</v>
      </c>
      <c r="K95" t="s">
        <v>16</v>
      </c>
      <c r="N95">
        <f t="shared" si="5"/>
        <v>90.340786609422651</v>
      </c>
      <c r="O95">
        <f t="shared" si="6"/>
        <v>9.6592133905773494</v>
      </c>
      <c r="P95">
        <f t="shared" si="7"/>
        <v>100</v>
      </c>
    </row>
    <row r="96" spans="1:16">
      <c r="A96">
        <v>92</v>
      </c>
      <c r="B96">
        <f>Oxides!B96/StdCalc!B$26</f>
        <v>42.954578461992142</v>
      </c>
      <c r="C96">
        <f>Oxides!C96/StdCalc!C$26</f>
        <v>0.32802121127546752</v>
      </c>
      <c r="D96">
        <f>Oxides!D96/StdCalc!D$26</f>
        <v>18.093988148667602</v>
      </c>
      <c r="E96">
        <f>Oxides!E96/StdCalc!E$26</f>
        <v>39.399979878941082</v>
      </c>
      <c r="F96">
        <f>Oxides!F96/StdCalc!F$26</f>
        <v>0.34911306170575135</v>
      </c>
      <c r="G96">
        <f>Oxides!G96/StdCalc!G$26</f>
        <v>9.893992932862192E-5</v>
      </c>
      <c r="H96">
        <f>Oxides!H96/StdCalc!H$26</f>
        <v>0.1299205131780784</v>
      </c>
      <c r="I96">
        <f>Oxides!I96/StdCalc!I$26</f>
        <v>2.907345360824742E-2</v>
      </c>
      <c r="J96" s="14">
        <f t="shared" si="4"/>
        <v>101.28477366929771</v>
      </c>
      <c r="K96" t="s">
        <v>96</v>
      </c>
      <c r="N96">
        <f t="shared" si="5"/>
        <v>80.885848222917502</v>
      </c>
      <c r="O96">
        <f t="shared" si="6"/>
        <v>19.114151777082498</v>
      </c>
      <c r="P96">
        <f t="shared" si="7"/>
        <v>100</v>
      </c>
    </row>
    <row r="97" spans="1:16">
      <c r="A97">
        <v>93</v>
      </c>
      <c r="B97">
        <f>Oxides!B97/StdCalc!B$26</f>
        <v>42.85519257938688</v>
      </c>
      <c r="C97">
        <f>Oxides!C97/StdCalc!C$26</f>
        <v>0.33007256488975723</v>
      </c>
      <c r="D97">
        <f>Oxides!D97/StdCalc!D$26</f>
        <v>18.395219915848529</v>
      </c>
      <c r="E97">
        <f>Oxides!E97/StdCalc!E$26</f>
        <v>39.145458045097797</v>
      </c>
      <c r="F97">
        <f>Oxides!F97/StdCalc!F$26</f>
        <v>0.34450281671688721</v>
      </c>
      <c r="G97">
        <f>Oxides!G97/StdCalc!G$26</f>
        <v>5.0459363957597175E-3</v>
      </c>
      <c r="H97">
        <f>Oxides!H97/StdCalc!H$26</f>
        <v>0.15468693348208062</v>
      </c>
      <c r="I97">
        <f>Oxides!I97/StdCalc!I$26</f>
        <v>2.3417525773195873E-2</v>
      </c>
      <c r="J97" s="14">
        <f t="shared" si="4"/>
        <v>101.25359631759089</v>
      </c>
      <c r="K97" t="s">
        <v>97</v>
      </c>
      <c r="N97">
        <f t="shared" si="5"/>
        <v>80.593068586609633</v>
      </c>
      <c r="O97">
        <f t="shared" si="6"/>
        <v>19.406931413390367</v>
      </c>
      <c r="P97">
        <f t="shared" si="7"/>
        <v>100</v>
      </c>
    </row>
    <row r="98" spans="1:16">
      <c r="A98">
        <v>94</v>
      </c>
      <c r="B98">
        <f>Oxides!B98/StdCalc!B$26</f>
        <v>42.914824108950036</v>
      </c>
      <c r="C98">
        <f>Oxides!C98/StdCalc!C$26</f>
        <v>0.31366173597543962</v>
      </c>
      <c r="D98">
        <f>Oxides!D98/StdCalc!D$26</f>
        <v>18.284768267882189</v>
      </c>
      <c r="E98">
        <f>Oxides!E98/StdCalc!E$26</f>
        <v>39.10473455168286</v>
      </c>
      <c r="F98">
        <f>Oxides!F98/StdCalc!F$26</f>
        <v>0.35083060395650467</v>
      </c>
      <c r="G98">
        <f>Oxides!G98/StdCalc!G$26</f>
        <v>3.265017667844523E-3</v>
      </c>
      <c r="H98">
        <f>Oxides!H98/StdCalc!H$26</f>
        <v>0.1425101101659462</v>
      </c>
      <c r="I98">
        <f>Oxides!I98/StdCalc!I$26</f>
        <v>2.917268041237113E-2</v>
      </c>
      <c r="J98" s="14">
        <f t="shared" si="4"/>
        <v>101.14376707669319</v>
      </c>
      <c r="K98" t="s">
        <v>98</v>
      </c>
      <c r="N98">
        <f t="shared" si="5"/>
        <v>80.708749222761099</v>
      </c>
      <c r="O98">
        <f t="shared" si="6"/>
        <v>19.291250777238901</v>
      </c>
      <c r="P98">
        <f t="shared" si="7"/>
        <v>100</v>
      </c>
    </row>
    <row r="99" spans="1:16">
      <c r="A99">
        <v>95</v>
      </c>
      <c r="B99">
        <f>Oxides!B99/StdCalc!B$26</f>
        <v>43.86892858196051</v>
      </c>
      <c r="C99">
        <f>Oxides!C99/StdCalc!C$26</f>
        <v>0.30086519676248957</v>
      </c>
      <c r="D99">
        <f>Oxides!D99/StdCalc!D$26</f>
        <v>16.758527314165498</v>
      </c>
      <c r="E99">
        <f>Oxides!E99/StdCalc!E$26</f>
        <v>40.723493414926182</v>
      </c>
      <c r="F99">
        <f>Oxides!F99/StdCalc!F$26</f>
        <v>0.36149744530328831</v>
      </c>
      <c r="G99">
        <f>Oxides!G99/StdCalc!G$26</f>
        <v>1.9293286219081274E-2</v>
      </c>
      <c r="H99">
        <f>Oxides!H99/StdCalc!H$26</f>
        <v>0.16449030818574814</v>
      </c>
      <c r="I99">
        <f>Oxides!I99/StdCalc!I$26</f>
        <v>3.1752577319587624E-2</v>
      </c>
      <c r="J99" s="14">
        <f t="shared" si="4"/>
        <v>102.22884812484239</v>
      </c>
      <c r="K99" t="s">
        <v>99</v>
      </c>
      <c r="N99">
        <f t="shared" si="5"/>
        <v>82.351493821117259</v>
      </c>
      <c r="O99">
        <f t="shared" si="6"/>
        <v>17.648506178882741</v>
      </c>
      <c r="P99">
        <f t="shared" si="7"/>
        <v>100</v>
      </c>
    </row>
    <row r="100" spans="1:16">
      <c r="A100">
        <v>96</v>
      </c>
      <c r="B100">
        <f>Oxides!B100/StdCalc!B$26</f>
        <v>43.123534462421077</v>
      </c>
      <c r="C100">
        <f>Oxides!C100/StdCalc!C$26</f>
        <v>0.30907061121964841</v>
      </c>
      <c r="D100">
        <f>Oxides!D100/StdCalc!D$26</f>
        <v>17.752592145862554</v>
      </c>
      <c r="E100">
        <f>Oxides!E100/StdCalc!E$26</f>
        <v>40.50969507449782</v>
      </c>
      <c r="F100">
        <f>Oxides!F100/StdCalc!F$26</f>
        <v>0.35083060395650467</v>
      </c>
      <c r="G100">
        <f>Oxides!G100/StdCalc!G$26</f>
        <v>6.9257950530035341E-3</v>
      </c>
      <c r="H100">
        <f>Oxides!H100/StdCalc!H$26</f>
        <v>0.16118811881188119</v>
      </c>
      <c r="I100">
        <f>Oxides!I100/StdCalc!I$26</f>
        <v>3.0065721649484532E-2</v>
      </c>
      <c r="J100" s="14">
        <f t="shared" si="4"/>
        <v>102.24390253347198</v>
      </c>
      <c r="K100" t="s">
        <v>100</v>
      </c>
      <c r="N100">
        <f t="shared" si="5"/>
        <v>81.238520679377331</v>
      </c>
      <c r="O100">
        <f t="shared" si="6"/>
        <v>18.761479320622669</v>
      </c>
      <c r="P100">
        <f t="shared" si="7"/>
        <v>100</v>
      </c>
    </row>
    <row r="101" spans="1:16">
      <c r="A101">
        <v>97</v>
      </c>
      <c r="B101">
        <f>Oxides!B101/StdCalc!B$26</f>
        <v>43.381937757194741</v>
      </c>
      <c r="C101">
        <f>Oxides!C101/StdCalc!C$26</f>
        <v>0.29197599776723421</v>
      </c>
      <c r="D101">
        <f>Oxides!D101/StdCalc!D$26</f>
        <v>17.38107296633941</v>
      </c>
      <c r="E101">
        <f>Oxides!E101/StdCalc!E$26</f>
        <v>40.631865554742596</v>
      </c>
      <c r="F101">
        <f>Oxides!F101/StdCalc!F$26</f>
        <v>0.35625442159046244</v>
      </c>
      <c r="G101">
        <f>Oxides!G101/StdCalc!G$26</f>
        <v>9.696113074204947E-3</v>
      </c>
      <c r="H101">
        <f>Oxides!H101/StdCalc!H$26</f>
        <v>0.13827918003067916</v>
      </c>
      <c r="I101">
        <f>Oxides!I101/StdCalc!I$26</f>
        <v>2.2921391752577316E-2</v>
      </c>
      <c r="J101" s="14">
        <f t="shared" si="4"/>
        <v>102.2140033824919</v>
      </c>
      <c r="K101" t="s">
        <v>101</v>
      </c>
      <c r="N101">
        <f t="shared" si="5"/>
        <v>81.648433609170311</v>
      </c>
      <c r="O101">
        <f t="shared" si="6"/>
        <v>18.351566390829689</v>
      </c>
      <c r="P101">
        <f t="shared" si="7"/>
        <v>100</v>
      </c>
    </row>
    <row r="102" spans="1:16">
      <c r="A102">
        <v>98</v>
      </c>
      <c r="B102">
        <f>Oxides!B102/StdCalc!B$26</f>
        <v>44.127331876734175</v>
      </c>
      <c r="C102">
        <f>Oxides!C102/StdCalc!C$26</f>
        <v>0.28435668434272959</v>
      </c>
      <c r="D102">
        <f>Oxides!D102/StdCalc!D$26</f>
        <v>16.778609431977561</v>
      </c>
      <c r="E102">
        <f>Oxides!E102/StdCalc!E$26</f>
        <v>40.78457865504857</v>
      </c>
      <c r="F102">
        <f>Oxides!F102/StdCalc!F$26</f>
        <v>0.34820909210009171</v>
      </c>
      <c r="G102">
        <f>Oxides!G102/StdCalc!G$26</f>
        <v>6.530035335689046E-3</v>
      </c>
      <c r="H102">
        <f>Oxides!H102/StdCalc!H$26</f>
        <v>0.15664760842281411</v>
      </c>
      <c r="I102">
        <f>Oxides!I102/StdCalc!I$26</f>
        <v>3.3836340206185561E-2</v>
      </c>
      <c r="J102" s="14">
        <f t="shared" si="4"/>
        <v>102.52009972416782</v>
      </c>
      <c r="K102" t="s">
        <v>102</v>
      </c>
      <c r="N102">
        <f t="shared" si="5"/>
        <v>82.419343363100367</v>
      </c>
      <c r="O102">
        <f t="shared" si="6"/>
        <v>17.580656636899633</v>
      </c>
      <c r="P102">
        <f t="shared" si="7"/>
        <v>100</v>
      </c>
    </row>
    <row r="103" spans="1:16">
      <c r="A103">
        <v>99</v>
      </c>
      <c r="B103">
        <f>Oxides!B103/StdCalc!B$26</f>
        <v>44.087577523692069</v>
      </c>
      <c r="C103">
        <f>Oxides!C103/StdCalc!C$26</f>
        <v>0.27800725648897578</v>
      </c>
      <c r="D103">
        <f>Oxides!D103/StdCalc!D$26</f>
        <v>17.029635904628332</v>
      </c>
      <c r="E103">
        <f>Oxides!E103/StdCalc!E$26</f>
        <v>40.631865554742596</v>
      </c>
      <c r="F103">
        <f>Oxides!F103/StdCalc!F$26</f>
        <v>0.34712432857330017</v>
      </c>
      <c r="G103">
        <f>Oxides!G103/StdCalc!G$26</f>
        <v>1.0487632508833923E-2</v>
      </c>
      <c r="H103">
        <f>Oxides!H103/StdCalc!H$26</f>
        <v>0.15964021754288107</v>
      </c>
      <c r="I103">
        <f>Oxides!I103/StdCalc!I$26</f>
        <v>2.7981958762886595E-2</v>
      </c>
      <c r="J103" s="14">
        <f t="shared" si="4"/>
        <v>102.57232037693989</v>
      </c>
      <c r="K103" t="s">
        <v>103</v>
      </c>
      <c r="N103">
        <f t="shared" si="5"/>
        <v>82.189938204380127</v>
      </c>
      <c r="O103">
        <f t="shared" si="6"/>
        <v>17.810061795619873</v>
      </c>
      <c r="P103">
        <f t="shared" si="7"/>
        <v>100</v>
      </c>
    </row>
    <row r="104" spans="1:16">
      <c r="A104">
        <v>100</v>
      </c>
      <c r="B104">
        <f>Oxides!B104/StdCalc!B$26</f>
        <v>44.097516111952594</v>
      </c>
      <c r="C104">
        <f>Oxides!C104/StdCalc!C$26</f>
        <v>0.28162154619034335</v>
      </c>
      <c r="D104">
        <f>Oxides!D104/StdCalc!D$26</f>
        <v>16.848896844319778</v>
      </c>
      <c r="E104">
        <f>Oxides!E104/StdCalc!E$26</f>
        <v>40.804940401756028</v>
      </c>
      <c r="F104">
        <f>Oxides!F104/StdCalc!F$26</f>
        <v>0.35209616140442818</v>
      </c>
      <c r="G104">
        <f>Oxides!G104/StdCalc!G$26</f>
        <v>8.2120141342756185E-3</v>
      </c>
      <c r="H104">
        <f>Oxides!H104/StdCalc!H$26</f>
        <v>0.1645935016036815</v>
      </c>
      <c r="I104">
        <f>Oxides!I104/StdCalc!I$26</f>
        <v>2.9966494845360823E-2</v>
      </c>
      <c r="J104" s="14">
        <f t="shared" si="4"/>
        <v>102.58784307620648</v>
      </c>
      <c r="K104" t="s">
        <v>104</v>
      </c>
      <c r="N104">
        <f t="shared" si="5"/>
        <v>82.348865972241924</v>
      </c>
      <c r="O104">
        <f t="shared" si="6"/>
        <v>17.651134027758076</v>
      </c>
      <c r="P104">
        <f t="shared" si="7"/>
        <v>100</v>
      </c>
    </row>
    <row r="105" spans="1:16">
      <c r="A105">
        <v>101</v>
      </c>
      <c r="B105">
        <f>Oxides!B105/StdCalc!B$26</f>
        <v>41.881210929855364</v>
      </c>
      <c r="C105">
        <f>Oxides!C105/StdCalc!C$26</f>
        <v>0.32948646385710301</v>
      </c>
      <c r="D105">
        <f>Oxides!D105/StdCalc!D$26</f>
        <v>19.419407924263677</v>
      </c>
      <c r="E105">
        <f>Oxides!E105/StdCalc!E$26</f>
        <v>39.379618132233617</v>
      </c>
      <c r="F105">
        <f>Oxides!F105/StdCalc!F$26</f>
        <v>0.24407179352810168</v>
      </c>
      <c r="G105">
        <f>Oxides!G105/StdCalc!G$26</f>
        <v>1.0091872791519435E-2</v>
      </c>
      <c r="H105">
        <f>Oxides!H105/StdCalc!H$26</f>
        <v>0.16180727931948125</v>
      </c>
      <c r="I105">
        <f>Oxides!I105/StdCalc!I$26</f>
        <v>2.9569587628865975E-2</v>
      </c>
      <c r="J105" s="14">
        <f t="shared" si="4"/>
        <v>101.45526398347774</v>
      </c>
      <c r="K105" t="s">
        <v>105</v>
      </c>
      <c r="N105">
        <f t="shared" si="5"/>
        <v>79.357496795221266</v>
      </c>
      <c r="O105">
        <f t="shared" si="6"/>
        <v>20.642503204778734</v>
      </c>
      <c r="P105">
        <f t="shared" si="7"/>
        <v>100</v>
      </c>
    </row>
    <row r="106" spans="1:16">
      <c r="A106">
        <v>102</v>
      </c>
      <c r="B106">
        <f>Oxides!B106/StdCalc!B$26</f>
        <v>41.940842459418519</v>
      </c>
      <c r="C106">
        <f>Oxides!C106/StdCalc!C$26</f>
        <v>0.33388222160200953</v>
      </c>
      <c r="D106">
        <f>Oxides!D106/StdCalc!D$26</f>
        <v>19.349120511921459</v>
      </c>
      <c r="E106">
        <f>Oxides!E106/StdCalc!E$26</f>
        <v>39.298171145403764</v>
      </c>
      <c r="F106">
        <f>Oxides!F106/StdCalc!F$26</f>
        <v>0.24072710598716099</v>
      </c>
      <c r="G106">
        <f>Oxides!G106/StdCalc!G$26</f>
        <v>4.8480565371024735E-3</v>
      </c>
      <c r="H106">
        <f>Oxides!H106/StdCalc!H$26</f>
        <v>0.15014642309301351</v>
      </c>
      <c r="I106">
        <f>Oxides!I106/StdCalc!I$26</f>
        <v>2.4409793814432989E-2</v>
      </c>
      <c r="J106" s="14">
        <f t="shared" si="4"/>
        <v>101.34214771777745</v>
      </c>
      <c r="K106" t="s">
        <v>106</v>
      </c>
      <c r="N106">
        <f t="shared" si="5"/>
        <v>79.440080825250732</v>
      </c>
      <c r="O106">
        <f t="shared" si="6"/>
        <v>20.559919174749268</v>
      </c>
      <c r="P106">
        <f t="shared" si="7"/>
        <v>100</v>
      </c>
    </row>
    <row r="107" spans="1:16">
      <c r="A107">
        <v>103</v>
      </c>
      <c r="B107">
        <f>Oxides!B107/StdCalc!B$26</f>
        <v>41.940842459418519</v>
      </c>
      <c r="C107">
        <f>Oxides!C107/StdCalc!C$26</f>
        <v>0.32958414736254538</v>
      </c>
      <c r="D107">
        <f>Oxides!D107/StdCalc!D$26</f>
        <v>19.439490042075736</v>
      </c>
      <c r="E107">
        <f>Oxides!E107/StdCalc!E$26</f>
        <v>39.573054725954513</v>
      </c>
      <c r="F107">
        <f>Oxides!F107/StdCalc!F$26</f>
        <v>0.24253504519848026</v>
      </c>
      <c r="G107">
        <f>Oxides!G107/StdCalc!G$26</f>
        <v>3.462897526501767E-3</v>
      </c>
      <c r="H107">
        <f>Oxides!H107/StdCalc!H$26</f>
        <v>0.15654441500488078</v>
      </c>
      <c r="I107">
        <f>Oxides!I107/StdCalc!I$26</f>
        <v>3.195103092783505E-2</v>
      </c>
      <c r="J107" s="14">
        <f t="shared" si="4"/>
        <v>101.71746476346902</v>
      </c>
      <c r="K107" t="s">
        <v>107</v>
      </c>
      <c r="N107">
        <f t="shared" si="5"/>
        <v>79.363872038791925</v>
      </c>
      <c r="O107">
        <f t="shared" si="6"/>
        <v>20.636127961208075</v>
      </c>
      <c r="P107">
        <f t="shared" si="7"/>
        <v>100</v>
      </c>
    </row>
    <row r="108" spans="1:16">
      <c r="A108">
        <v>104</v>
      </c>
      <c r="B108">
        <f>Oxides!B108/StdCalc!B$26</f>
        <v>45.757260351460388</v>
      </c>
      <c r="C108">
        <f>Oxides!C108/StdCalc!C$26</f>
        <v>0.23492883058889202</v>
      </c>
      <c r="D108">
        <f>Oxides!D108/StdCalc!D$26</f>
        <v>14.479206942496495</v>
      </c>
      <c r="E108">
        <f>Oxides!E108/StdCalc!E$26</f>
        <v>40.550418567912743</v>
      </c>
      <c r="F108">
        <f>Oxides!F108/StdCalc!F$26</f>
        <v>0.3107847504257828</v>
      </c>
      <c r="G108">
        <f>Oxides!G108/StdCalc!G$26</f>
        <v>3.6212014134275619E-2</v>
      </c>
      <c r="H108">
        <f>Oxides!H108/StdCalc!H$26</f>
        <v>0.21278482777855251</v>
      </c>
      <c r="I108">
        <f>Oxides!I108/StdCalc!I$26</f>
        <v>3.1653350515463911E-2</v>
      </c>
      <c r="J108" s="14">
        <f t="shared" si="4"/>
        <v>101.6132496353126</v>
      </c>
      <c r="K108" t="s">
        <v>108</v>
      </c>
      <c r="N108">
        <f t="shared" si="5"/>
        <v>84.924391486314889</v>
      </c>
      <c r="O108">
        <f t="shared" si="6"/>
        <v>15.075608513685111</v>
      </c>
      <c r="P108">
        <f t="shared" si="7"/>
        <v>100</v>
      </c>
    </row>
    <row r="109" spans="1:16">
      <c r="A109">
        <v>105</v>
      </c>
      <c r="B109">
        <f>Oxides!B109/StdCalc!B$26</f>
        <v>45.816891881023551</v>
      </c>
      <c r="C109">
        <f>Oxides!C109/StdCalc!C$26</f>
        <v>0.2305330728439855</v>
      </c>
      <c r="D109">
        <f>Oxides!D109/StdCalc!D$26</f>
        <v>14.459124824684432</v>
      </c>
      <c r="E109">
        <f>Oxides!E109/StdCalc!E$26</f>
        <v>40.489333327790355</v>
      </c>
      <c r="F109">
        <f>Oxides!F109/StdCalc!F$26</f>
        <v>0.30273942093541201</v>
      </c>
      <c r="G109">
        <f>Oxides!G109/StdCalc!G$26</f>
        <v>3.0473498233215549E-2</v>
      </c>
      <c r="H109">
        <f>Oxides!H109/StdCalc!H$26</f>
        <v>0.22939896806582069</v>
      </c>
      <c r="I109">
        <f>Oxides!I109/StdCalc!I$26</f>
        <v>3.1256443298969067E-2</v>
      </c>
      <c r="J109" s="14">
        <f t="shared" si="4"/>
        <v>101.58975143687574</v>
      </c>
      <c r="K109" t="s">
        <v>109</v>
      </c>
      <c r="N109">
        <f t="shared" si="5"/>
        <v>84.958802582112639</v>
      </c>
      <c r="O109">
        <f t="shared" si="6"/>
        <v>15.041197417887361</v>
      </c>
      <c r="P109">
        <f t="shared" si="7"/>
        <v>100</v>
      </c>
    </row>
    <row r="110" spans="1:16">
      <c r="A110">
        <v>106</v>
      </c>
      <c r="B110">
        <f>Oxides!B110/StdCalc!B$26</f>
        <v>45.767198939720913</v>
      </c>
      <c r="C110">
        <f>Oxides!C110/StdCalc!C$26</f>
        <v>0.23551493162154624</v>
      </c>
      <c r="D110">
        <f>Oxides!D110/StdCalc!D$26</f>
        <v>14.368755294530155</v>
      </c>
      <c r="E110">
        <f>Oxides!E110/StdCalc!E$26</f>
        <v>40.50969507449782</v>
      </c>
      <c r="F110">
        <f>Oxides!F110/StdCalc!F$26</f>
        <v>0.30653609327918252</v>
      </c>
      <c r="G110">
        <f>Oxides!G110/StdCalc!G$26</f>
        <v>2.9088339222614841E-2</v>
      </c>
      <c r="H110">
        <f>Oxides!H110/StdCalc!H$26</f>
        <v>0.20896667131501886</v>
      </c>
      <c r="I110">
        <f>Oxides!I110/StdCalc!I$26</f>
        <v>2.6493556701030926E-2</v>
      </c>
      <c r="J110" s="14">
        <f t="shared" si="4"/>
        <v>101.45224890088826</v>
      </c>
      <c r="K110" t="s">
        <v>110</v>
      </c>
      <c r="N110">
        <f t="shared" si="5"/>
        <v>85.02493342688372</v>
      </c>
      <c r="O110">
        <f t="shared" si="6"/>
        <v>14.97506657311628</v>
      </c>
      <c r="P110">
        <f t="shared" si="7"/>
        <v>100</v>
      </c>
    </row>
    <row r="111" spans="1:16">
      <c r="A111">
        <v>107</v>
      </c>
      <c r="B111">
        <f>Oxides!B111/StdCalc!B$26</f>
        <v>46.284005529268256</v>
      </c>
      <c r="C111">
        <f>Oxides!C111/StdCalc!C$26</f>
        <v>0.21802958414736259</v>
      </c>
      <c r="D111">
        <f>Oxides!D111/StdCalc!D$26</f>
        <v>13.726127524544181</v>
      </c>
      <c r="E111">
        <f>Oxides!E111/StdCalc!E$26</f>
        <v>40.560599441266476</v>
      </c>
      <c r="F111">
        <f>Oxides!F111/StdCalc!F$26</f>
        <v>0.33537272369972487</v>
      </c>
      <c r="G111">
        <f>Oxides!G111/StdCalc!G$26</f>
        <v>2.6416961130742052E-2</v>
      </c>
      <c r="H111">
        <f>Oxides!H111/StdCalc!H$26</f>
        <v>0.20411658067215174</v>
      </c>
      <c r="I111">
        <f>Oxides!I111/StdCalc!I$26</f>
        <v>3.4431701030927832E-2</v>
      </c>
      <c r="J111" s="14">
        <f t="shared" si="4"/>
        <v>101.3891000457598</v>
      </c>
      <c r="K111" t="s">
        <v>111</v>
      </c>
      <c r="N111">
        <f t="shared" si="5"/>
        <v>85.736095004639793</v>
      </c>
      <c r="O111">
        <f t="shared" si="6"/>
        <v>14.263904995360207</v>
      </c>
      <c r="P111">
        <f t="shared" si="7"/>
        <v>100</v>
      </c>
    </row>
    <row r="112" spans="1:16">
      <c r="A112">
        <v>108</v>
      </c>
      <c r="B112">
        <f>Oxides!B112/StdCalc!B$26</f>
        <v>46.293944117528781</v>
      </c>
      <c r="C112">
        <f>Oxides!C112/StdCalc!C$26</f>
        <v>0.21431761094055266</v>
      </c>
      <c r="D112">
        <f>Oxides!D112/StdCalc!D$26</f>
        <v>13.866702349228612</v>
      </c>
      <c r="E112">
        <f>Oxides!E112/StdCalc!E$26</f>
        <v>41.507420663163515</v>
      </c>
      <c r="F112">
        <f>Oxides!F112/StdCalc!F$26</f>
        <v>0.33220883007991614</v>
      </c>
      <c r="G112">
        <f>Oxides!G112/StdCalc!G$26</f>
        <v>3.5420494699646643E-2</v>
      </c>
      <c r="H112">
        <f>Oxides!H112/StdCalc!H$26</f>
        <v>0.19379723887881747</v>
      </c>
      <c r="I112">
        <f>Oxides!I112/StdCalc!I$26</f>
        <v>2.3516752577319583E-2</v>
      </c>
      <c r="J112" s="14">
        <f t="shared" si="4"/>
        <v>102.46732805709716</v>
      </c>
      <c r="K112" t="s">
        <v>112</v>
      </c>
      <c r="N112">
        <f t="shared" si="5"/>
        <v>85.613677016736489</v>
      </c>
      <c r="O112">
        <f t="shared" si="6"/>
        <v>14.386322983263511</v>
      </c>
      <c r="P112">
        <f t="shared" si="7"/>
        <v>100</v>
      </c>
    </row>
    <row r="113" spans="1:16">
      <c r="A113">
        <v>109</v>
      </c>
      <c r="B113">
        <f>Oxides!B113/StdCalc!B$26</f>
        <v>46.17468105840247</v>
      </c>
      <c r="C113">
        <f>Oxides!C113/StdCalc!C$26</f>
        <v>0.217345799609266</v>
      </c>
      <c r="D113">
        <f>Oxides!D113/StdCalc!D$26</f>
        <v>13.886784467040673</v>
      </c>
      <c r="E113">
        <f>Oxides!E113/StdCalc!E$26</f>
        <v>41.507420663163515</v>
      </c>
      <c r="F113">
        <f>Oxides!F113/StdCalc!F$26</f>
        <v>0.36999475959648892</v>
      </c>
      <c r="G113">
        <f>Oxides!G113/StdCalc!G$26</f>
        <v>3.6904593639575975E-2</v>
      </c>
      <c r="H113">
        <f>Oxides!H113/StdCalc!H$26</f>
        <v>0.19751220192441779</v>
      </c>
      <c r="I113">
        <f>Oxides!I113/StdCalc!I$26</f>
        <v>2.6692010309278348E-2</v>
      </c>
      <c r="J113" s="14">
        <f t="shared" si="4"/>
        <v>102.41733555368569</v>
      </c>
      <c r="K113" t="s">
        <v>113</v>
      </c>
      <c r="N113">
        <f t="shared" si="5"/>
        <v>85.564010174046146</v>
      </c>
      <c r="O113">
        <f t="shared" si="6"/>
        <v>14.435989825953854</v>
      </c>
      <c r="P113">
        <f t="shared" si="7"/>
        <v>100</v>
      </c>
    </row>
    <row r="114" spans="1:16">
      <c r="A114">
        <v>110</v>
      </c>
      <c r="B114">
        <f>Oxides!B114/StdCalc!B$26</f>
        <v>45.667813057115666</v>
      </c>
      <c r="C114">
        <f>Oxides!C114/StdCalc!C$26</f>
        <v>0.24743231928551498</v>
      </c>
      <c r="D114">
        <f>Oxides!D114/StdCalc!D$26</f>
        <v>14.810561886395513</v>
      </c>
      <c r="E114">
        <f>Oxides!E114/StdCalc!E$26</f>
        <v>40.000651406811237</v>
      </c>
      <c r="F114">
        <f>Oxides!F114/StdCalc!F$26</f>
        <v>0.32018603432464299</v>
      </c>
      <c r="G114">
        <f>Oxides!G114/StdCalc!G$26</f>
        <v>2.6318021201413428E-2</v>
      </c>
      <c r="H114">
        <f>Oxides!H114/StdCalc!H$26</f>
        <v>0.18275554315994982</v>
      </c>
      <c r="I114">
        <f>Oxides!I114/StdCalc!I$26</f>
        <v>3.0760309278350512E-2</v>
      </c>
      <c r="J114" s="14">
        <f t="shared" si="4"/>
        <v>101.2864785775723</v>
      </c>
      <c r="K114" t="s">
        <v>114</v>
      </c>
      <c r="N114">
        <f t="shared" si="5"/>
        <v>84.606940225773158</v>
      </c>
      <c r="O114">
        <f t="shared" si="6"/>
        <v>15.393059774226842</v>
      </c>
      <c r="P114">
        <f t="shared" si="7"/>
        <v>100</v>
      </c>
    </row>
    <row r="115" spans="1:16">
      <c r="A115">
        <v>111</v>
      </c>
      <c r="B115">
        <f>Oxides!B115/StdCalc!B$26</f>
        <v>45.67775164537619</v>
      </c>
      <c r="C115">
        <f>Oxides!C115/StdCalc!C$26</f>
        <v>0.24879988836170808</v>
      </c>
      <c r="D115">
        <f>Oxides!D115/StdCalc!D$26</f>
        <v>14.639863884992987</v>
      </c>
      <c r="E115">
        <f>Oxides!E115/StdCalc!E$26</f>
        <v>39.766491319675417</v>
      </c>
      <c r="F115">
        <f>Oxides!F115/StdCalc!F$26</f>
        <v>0.31232149875540416</v>
      </c>
      <c r="G115">
        <f>Oxides!G115/StdCalc!G$26</f>
        <v>1.7710247349823321E-2</v>
      </c>
      <c r="H115">
        <f>Oxides!H115/StdCalc!H$26</f>
        <v>0.20721238321015203</v>
      </c>
      <c r="I115">
        <f>Oxides!I115/StdCalc!I$26</f>
        <v>3.3836340206185561E-2</v>
      </c>
      <c r="J115" s="14">
        <f t="shared" si="4"/>
        <v>100.90398720792787</v>
      </c>
      <c r="K115" t="s">
        <v>115</v>
      </c>
      <c r="N115">
        <f t="shared" si="5"/>
        <v>84.760120550523553</v>
      </c>
      <c r="O115">
        <f t="shared" si="6"/>
        <v>15.239879449476447</v>
      </c>
      <c r="P115">
        <f t="shared" si="7"/>
        <v>100</v>
      </c>
    </row>
    <row r="116" spans="1:16">
      <c r="A116">
        <v>112</v>
      </c>
      <c r="B116">
        <f>Oxides!B116/StdCalc!B$26</f>
        <v>45.548549997989348</v>
      </c>
      <c r="C116">
        <f>Oxides!C116/StdCalc!C$26</f>
        <v>0.24547864917666765</v>
      </c>
      <c r="D116">
        <f>Oxides!D116/StdCalc!D$26</f>
        <v>14.90093141654979</v>
      </c>
      <c r="E116">
        <f>Oxides!E116/StdCalc!E$26</f>
        <v>41.171451842490363</v>
      </c>
      <c r="F116">
        <f>Oxides!F116/StdCalc!F$26</f>
        <v>0.3132254683610638</v>
      </c>
      <c r="G116">
        <f>Oxides!G116/StdCalc!G$26</f>
        <v>1.9590106007067142E-2</v>
      </c>
      <c r="H116">
        <f>Oxides!H116/StdCalc!H$26</f>
        <v>0.19090782317668387</v>
      </c>
      <c r="I116">
        <f>Oxides!I116/StdCalc!I$26</f>
        <v>4.6735824742268041E-2</v>
      </c>
      <c r="J116" s="14">
        <f t="shared" si="4"/>
        <v>102.43687112849327</v>
      </c>
      <c r="K116" t="s">
        <v>116</v>
      </c>
      <c r="N116">
        <f t="shared" si="5"/>
        <v>84.493318307123644</v>
      </c>
      <c r="O116">
        <f t="shared" si="6"/>
        <v>15.506681692876356</v>
      </c>
      <c r="P116">
        <f t="shared" si="7"/>
        <v>100</v>
      </c>
    </row>
    <row r="117" spans="1:16">
      <c r="A117">
        <v>113</v>
      </c>
      <c r="B117">
        <f>Oxides!B117/StdCalc!B$26</f>
        <v>43.004271403294773</v>
      </c>
      <c r="C117">
        <f>Oxides!C117/StdCalc!C$26</f>
        <v>0.30731230812168575</v>
      </c>
      <c r="D117">
        <f>Oxides!D117/StdCalc!D$26</f>
        <v>18.415302033660591</v>
      </c>
      <c r="E117">
        <f>Oxides!E117/StdCalc!E$26</f>
        <v>40.438428961021692</v>
      </c>
      <c r="F117">
        <f>Oxides!F117/StdCalc!F$26</f>
        <v>0.29369972487881568</v>
      </c>
      <c r="G117">
        <f>Oxides!G117/StdCalc!G$26</f>
        <v>6.530035335689046E-3</v>
      </c>
      <c r="H117">
        <f>Oxides!H117/StdCalc!H$26</f>
        <v>0.17047552642588204</v>
      </c>
      <c r="I117">
        <f>Oxides!I117/StdCalc!I$26</f>
        <v>2.7981958762886595E-2</v>
      </c>
      <c r="J117" s="14">
        <f t="shared" si="4"/>
        <v>102.66400195150202</v>
      </c>
      <c r="K117" t="s">
        <v>117</v>
      </c>
      <c r="N117">
        <f t="shared" si="5"/>
        <v>80.630289951764226</v>
      </c>
      <c r="O117">
        <f t="shared" si="6"/>
        <v>19.369710048235774</v>
      </c>
      <c r="P117">
        <f t="shared" si="7"/>
        <v>100</v>
      </c>
    </row>
    <row r="118" spans="1:16">
      <c r="A118">
        <v>114</v>
      </c>
      <c r="B118">
        <f>Oxides!B118/StdCalc!B$26</f>
        <v>42.795561049823732</v>
      </c>
      <c r="C118">
        <f>Oxides!C118/StdCalc!C$26</f>
        <v>0.31082891431761095</v>
      </c>
      <c r="D118">
        <f>Oxides!D118/StdCalc!D$26</f>
        <v>18.395219915848529</v>
      </c>
      <c r="E118">
        <f>Oxides!E118/StdCalc!E$26</f>
        <v>40.489333327790355</v>
      </c>
      <c r="F118">
        <f>Oxides!F118/StdCalc!F$26</f>
        <v>0.30671688720031443</v>
      </c>
      <c r="G118">
        <f>Oxides!G118/StdCalc!G$26</f>
        <v>1.1773851590106008E-2</v>
      </c>
      <c r="H118">
        <f>Oxides!H118/StdCalc!H$26</f>
        <v>0.15128155069028032</v>
      </c>
      <c r="I118">
        <f>Oxides!I118/StdCalc!I$26</f>
        <v>3.2844072164948446E-2</v>
      </c>
      <c r="J118" s="14">
        <f t="shared" si="4"/>
        <v>102.49355956942587</v>
      </c>
      <c r="K118" t="s">
        <v>118</v>
      </c>
      <c r="N118">
        <f t="shared" si="5"/>
        <v>80.571280737294842</v>
      </c>
      <c r="O118">
        <f t="shared" si="6"/>
        <v>19.428719262705158</v>
      </c>
      <c r="P118">
        <f t="shared" si="7"/>
        <v>100</v>
      </c>
    </row>
    <row r="119" spans="1:16">
      <c r="A119">
        <v>115</v>
      </c>
      <c r="B119">
        <f>Oxides!B119/StdCalc!B$26</f>
        <v>42.765745285042151</v>
      </c>
      <c r="C119">
        <f>Oxides!C119/StdCalc!C$26</f>
        <v>0.3087775607033213</v>
      </c>
      <c r="D119">
        <f>Oxides!D119/StdCalc!D$26</f>
        <v>18.385178856942495</v>
      </c>
      <c r="E119">
        <f>Oxides!E119/StdCalc!E$26</f>
        <v>40.326439354130649</v>
      </c>
      <c r="F119">
        <f>Oxides!F119/StdCalc!F$26</f>
        <v>0.30680728416088038</v>
      </c>
      <c r="G119">
        <f>Oxides!G119/StdCalc!G$26</f>
        <v>7.9151943462897536E-4</v>
      </c>
      <c r="H119">
        <f>Oxides!H119/StdCalc!H$26</f>
        <v>0.16087853855808118</v>
      </c>
      <c r="I119">
        <f>Oxides!I119/StdCalc!I$26</f>
        <v>2.5203608247422675E-2</v>
      </c>
      <c r="J119" s="14">
        <f t="shared" si="4"/>
        <v>102.27982200721964</v>
      </c>
      <c r="K119" t="s">
        <v>119</v>
      </c>
      <c r="N119">
        <f t="shared" si="5"/>
        <v>80.568917747484477</v>
      </c>
      <c r="O119">
        <f t="shared" si="6"/>
        <v>19.431082252515523</v>
      </c>
      <c r="P119">
        <f t="shared" si="7"/>
        <v>100</v>
      </c>
    </row>
    <row r="120" spans="1:16">
      <c r="A120">
        <v>116</v>
      </c>
      <c r="B120">
        <f>Oxides!B120/StdCalc!B$26</f>
        <v>41.861333753334307</v>
      </c>
      <c r="C120">
        <f>Oxides!C120/StdCalc!C$26</f>
        <v>0.36201507116941112</v>
      </c>
      <c r="D120">
        <f>Oxides!D120/StdCalc!D$26</f>
        <v>19.539900631136046</v>
      </c>
      <c r="E120">
        <f>Oxides!E120/StdCalc!E$26</f>
        <v>40.346801100838114</v>
      </c>
      <c r="F120">
        <f>Oxides!F120/StdCalc!F$26</f>
        <v>0.33365518144897155</v>
      </c>
      <c r="G120">
        <f>Oxides!G120/StdCalc!G$26</f>
        <v>1.0883392226148411E-3</v>
      </c>
      <c r="H120">
        <f>Oxides!H120/StdCalc!H$26</f>
        <v>9.3906010319341801E-2</v>
      </c>
      <c r="I120">
        <f>Oxides!I120/StdCalc!I$26</f>
        <v>4.0286082474226798E-2</v>
      </c>
      <c r="J120" s="14">
        <f t="shared" si="4"/>
        <v>102.57898616994305</v>
      </c>
      <c r="K120" t="s">
        <v>120</v>
      </c>
      <c r="N120">
        <f t="shared" si="5"/>
        <v>79.248178456694689</v>
      </c>
      <c r="O120">
        <f t="shared" si="6"/>
        <v>20.751821543305311</v>
      </c>
      <c r="P120">
        <f t="shared" si="7"/>
        <v>100</v>
      </c>
    </row>
    <row r="121" spans="1:16">
      <c r="A121">
        <v>117</v>
      </c>
      <c r="B121">
        <f>Oxides!B121/StdCalc!B$26</f>
        <v>41.771886458989584</v>
      </c>
      <c r="C121">
        <f>Oxides!C121/StdCalc!C$26</f>
        <v>0.36484789282723978</v>
      </c>
      <c r="D121">
        <f>Oxides!D121/StdCalc!D$26</f>
        <v>19.610188043478264</v>
      </c>
      <c r="E121">
        <f>Oxides!E121/StdCalc!E$26</f>
        <v>40.285715860715726</v>
      </c>
      <c r="F121">
        <f>Oxides!F121/StdCalc!F$26</f>
        <v>0.31883007991615353</v>
      </c>
      <c r="G121">
        <f>Oxides!G121/StdCalc!G$26</f>
        <v>0</v>
      </c>
      <c r="H121">
        <f>Oxides!H121/StdCalc!H$26</f>
        <v>9.4009203737275143E-2</v>
      </c>
      <c r="I121">
        <f>Oxides!I121/StdCalc!I$26</f>
        <v>3.2347938144329888E-2</v>
      </c>
      <c r="J121" s="14">
        <f t="shared" si="4"/>
        <v>102.47782547780857</v>
      </c>
      <c r="K121" t="s">
        <v>121</v>
      </c>
      <c r="N121">
        <f t="shared" si="5"/>
        <v>79.153792994731745</v>
      </c>
      <c r="O121">
        <f t="shared" si="6"/>
        <v>20.846207005268255</v>
      </c>
      <c r="P121">
        <f t="shared" si="7"/>
        <v>100</v>
      </c>
    </row>
    <row r="122" spans="1:16">
      <c r="A122">
        <v>118</v>
      </c>
      <c r="B122">
        <f>Oxides!B122/StdCalc!B$26</f>
        <v>41.821579400292208</v>
      </c>
      <c r="C122">
        <f>Oxides!C122/StdCalc!C$26</f>
        <v>0.35722857940273522</v>
      </c>
      <c r="D122">
        <f>Oxides!D122/StdCalc!D$26</f>
        <v>19.660393338008415</v>
      </c>
      <c r="E122">
        <f>Oxides!E122/StdCalc!E$26</f>
        <v>39.308352018757496</v>
      </c>
      <c r="F122">
        <f>Oxides!F122/StdCalc!F$26</f>
        <v>0.30409537534390146</v>
      </c>
      <c r="G122">
        <f>Oxides!G122/StdCalc!G$26</f>
        <v>0</v>
      </c>
      <c r="H122">
        <f>Oxides!H122/StdCalc!H$26</f>
        <v>9.4525170826941854E-2</v>
      </c>
      <c r="I122">
        <f>Oxides!I122/StdCalc!I$26</f>
        <v>2.5501288659793814E-2</v>
      </c>
      <c r="J122" s="14">
        <f t="shared" si="4"/>
        <v>101.57167517129149</v>
      </c>
      <c r="K122" t="s">
        <v>122</v>
      </c>
      <c r="N122">
        <f t="shared" si="5"/>
        <v>79.131211670330771</v>
      </c>
      <c r="O122">
        <f t="shared" si="6"/>
        <v>20.868788329669229</v>
      </c>
      <c r="P122">
        <f t="shared" si="7"/>
        <v>100</v>
      </c>
    </row>
    <row r="123" spans="1:16">
      <c r="A123">
        <v>119</v>
      </c>
      <c r="B123">
        <f>Oxides!B123/StdCalc!B$26</f>
        <v>41.752009282468528</v>
      </c>
      <c r="C123">
        <f>Oxides!C123/StdCalc!C$26</f>
        <v>0.35996371755512147</v>
      </c>
      <c r="D123">
        <f>Oxides!D123/StdCalc!D$26</f>
        <v>19.981707223001401</v>
      </c>
      <c r="E123">
        <f>Oxides!E123/StdCalc!E$26</f>
        <v>39.17600066515898</v>
      </c>
      <c r="F123">
        <f>Oxides!F123/StdCalc!F$26</f>
        <v>0.28927027381108344</v>
      </c>
      <c r="G123">
        <f>Oxides!G123/StdCalc!G$26</f>
        <v>1.2862190812720849E-3</v>
      </c>
      <c r="H123">
        <f>Oxides!H123/StdCalc!H$26</f>
        <v>9.483475108074188E-2</v>
      </c>
      <c r="I123">
        <f>Oxides!I123/StdCalc!I$26</f>
        <v>2.9668814432989687E-2</v>
      </c>
      <c r="J123" s="14">
        <f t="shared" si="4"/>
        <v>101.68474094659011</v>
      </c>
      <c r="K123" t="s">
        <v>123</v>
      </c>
      <c r="N123">
        <f t="shared" si="5"/>
        <v>78.834475337029204</v>
      </c>
      <c r="O123">
        <f t="shared" si="6"/>
        <v>21.165524662970796</v>
      </c>
      <c r="P123">
        <f t="shared" si="7"/>
        <v>100</v>
      </c>
    </row>
    <row r="124" spans="1:16">
      <c r="A124">
        <v>120</v>
      </c>
      <c r="B124">
        <f>Oxides!B124/StdCalc!B$26</f>
        <v>44.18696340629733</v>
      </c>
      <c r="C124">
        <f>Oxides!C124/StdCalc!C$26</f>
        <v>0.28015629360870781</v>
      </c>
      <c r="D124">
        <f>Oxides!D124/StdCalc!D$26</f>
        <v>16.848896844319778</v>
      </c>
      <c r="E124">
        <f>Oxides!E124/StdCalc!E$26</f>
        <v>39.909023546627658</v>
      </c>
      <c r="F124">
        <f>Oxides!F124/StdCalc!F$26</f>
        <v>0.33989257172802306</v>
      </c>
      <c r="G124">
        <f>Oxides!G124/StdCalc!G$26</f>
        <v>2.3943462897526503E-2</v>
      </c>
      <c r="H124">
        <f>Oxides!H124/StdCalc!H$26</f>
        <v>0.17295216845628225</v>
      </c>
      <c r="I124">
        <f>Oxides!I124/StdCalc!I$26</f>
        <v>3.046262886597938E-2</v>
      </c>
      <c r="J124" s="14">
        <f t="shared" si="4"/>
        <v>101.79229092280127</v>
      </c>
      <c r="K124" t="s">
        <v>124</v>
      </c>
      <c r="N124">
        <f t="shared" si="5"/>
        <v>82.378300596225799</v>
      </c>
      <c r="O124">
        <f t="shared" si="6"/>
        <v>17.621699403774201</v>
      </c>
      <c r="P124">
        <f t="shared" si="7"/>
        <v>100</v>
      </c>
    </row>
    <row r="125" spans="1:16">
      <c r="A125">
        <v>121</v>
      </c>
      <c r="B125">
        <f>Oxides!B125/StdCalc!B$26</f>
        <v>44.11739328847365</v>
      </c>
      <c r="C125">
        <f>Oxides!C125/StdCalc!C$26</f>
        <v>0.27224392966787614</v>
      </c>
      <c r="D125">
        <f>Oxides!D125/StdCalc!D$26</f>
        <v>16.778609431977561</v>
      </c>
      <c r="E125">
        <f>Oxides!E125/StdCalc!E$26</f>
        <v>40.672589048157526</v>
      </c>
      <c r="F125">
        <f>Oxides!F125/StdCalc!F$26</f>
        <v>0.33962138084632515</v>
      </c>
      <c r="G125">
        <f>Oxides!G125/StdCalc!G$26</f>
        <v>2.1865724381625443E-2</v>
      </c>
      <c r="H125">
        <f>Oxides!H125/StdCalc!H$26</f>
        <v>0.15840189652768094</v>
      </c>
      <c r="I125">
        <f>Oxides!I125/StdCalc!I$26</f>
        <v>3.2645618556701027E-2</v>
      </c>
      <c r="J125" s="14">
        <f t="shared" si="4"/>
        <v>102.39337031858894</v>
      </c>
      <c r="K125" t="s">
        <v>125</v>
      </c>
      <c r="N125">
        <f t="shared" si="5"/>
        <v>82.416079274812262</v>
      </c>
      <c r="O125">
        <f t="shared" si="6"/>
        <v>17.583920725187738</v>
      </c>
      <c r="P125">
        <f t="shared" si="7"/>
        <v>100</v>
      </c>
    </row>
    <row r="126" spans="1:16">
      <c r="A126">
        <v>122</v>
      </c>
      <c r="B126">
        <f>Oxides!B126/StdCalc!B$26</f>
        <v>44.236656347599954</v>
      </c>
      <c r="C126">
        <f>Oxides!C126/StdCalc!C$26</f>
        <v>0.28406363382640248</v>
      </c>
      <c r="D126">
        <f>Oxides!D126/StdCalc!D$26</f>
        <v>16.738445196353439</v>
      </c>
      <c r="E126">
        <f>Oxides!E126/StdCalc!E$26</f>
        <v>39.369437258879884</v>
      </c>
      <c r="F126">
        <f>Oxides!F126/StdCalc!F$26</f>
        <v>0.33817502947726974</v>
      </c>
      <c r="G126">
        <f>Oxides!G126/StdCalc!G$26</f>
        <v>8.1130742049469982E-3</v>
      </c>
      <c r="H126">
        <f>Oxides!H126/StdCalc!H$26</f>
        <v>0.16449030818574814</v>
      </c>
      <c r="I126">
        <f>Oxides!I126/StdCalc!I$26</f>
        <v>3.0065721649484532E-2</v>
      </c>
      <c r="J126" s="14">
        <f t="shared" si="4"/>
        <v>101.16944657017712</v>
      </c>
      <c r="K126" t="s">
        <v>126</v>
      </c>
      <c r="N126">
        <f t="shared" si="5"/>
        <v>82.489812918495133</v>
      </c>
      <c r="O126">
        <f t="shared" si="6"/>
        <v>17.510187081504867</v>
      </c>
      <c r="P126">
        <f t="shared" si="7"/>
        <v>100</v>
      </c>
    </row>
    <row r="127" spans="1:16">
      <c r="A127">
        <v>123</v>
      </c>
      <c r="B127">
        <f>Oxides!B127/StdCalc!B$26</f>
        <v>43.620463875447363</v>
      </c>
      <c r="C127">
        <f>Oxides!C127/StdCalc!C$26</f>
        <v>0.29539492045771704</v>
      </c>
      <c r="D127">
        <f>Oxides!D127/StdCalc!D$26</f>
        <v>17.300744495091166</v>
      </c>
      <c r="E127">
        <f>Oxides!E127/StdCalc!E$26</f>
        <v>40.367162847545572</v>
      </c>
      <c r="F127">
        <f>Oxides!F127/StdCalc!F$26</f>
        <v>0.33501113585746101</v>
      </c>
      <c r="G127">
        <f>Oxides!G127/StdCalc!G$26</f>
        <v>9.498233215547703E-3</v>
      </c>
      <c r="H127">
        <f>Oxides!H127/StdCalc!H$26</f>
        <v>0.15210709803374706</v>
      </c>
      <c r="I127">
        <f>Oxides!I127/StdCalc!I$26</f>
        <v>2.9668814432989687E-2</v>
      </c>
      <c r="J127" s="14">
        <f t="shared" si="4"/>
        <v>102.11005142008158</v>
      </c>
      <c r="K127" t="s">
        <v>127</v>
      </c>
      <c r="N127">
        <f t="shared" si="5"/>
        <v>81.799517529638337</v>
      </c>
      <c r="O127">
        <f t="shared" si="6"/>
        <v>18.200482470361663</v>
      </c>
      <c r="P127">
        <f t="shared" si="7"/>
        <v>100</v>
      </c>
    </row>
    <row r="128" spans="1:16">
      <c r="A128">
        <v>124</v>
      </c>
      <c r="B128">
        <f>Oxides!B128/StdCalc!B$26</f>
        <v>43.590648110665789</v>
      </c>
      <c r="C128">
        <f>Oxides!C128/StdCalc!C$26</f>
        <v>0.30066982975160483</v>
      </c>
      <c r="D128">
        <f>Oxides!D128/StdCalc!D$26</f>
        <v>17.180251788218794</v>
      </c>
      <c r="E128">
        <f>Oxides!E128/StdCalc!E$26</f>
        <v>40.530056821205285</v>
      </c>
      <c r="F128">
        <f>Oxides!F128/StdCalc!F$26</f>
        <v>0.3288641425389755</v>
      </c>
      <c r="G128">
        <f>Oxides!G128/StdCalc!G$26</f>
        <v>6.2332155477031808E-3</v>
      </c>
      <c r="H128">
        <f>Oxides!H128/StdCalc!H$26</f>
        <v>0.15210709803374706</v>
      </c>
      <c r="I128">
        <f>Oxides!I128/StdCalc!I$26</f>
        <v>2.6692010309278348E-2</v>
      </c>
      <c r="J128" s="14">
        <f t="shared" si="4"/>
        <v>102.1155230162712</v>
      </c>
      <c r="K128" t="s">
        <v>128</v>
      </c>
      <c r="N128">
        <f t="shared" si="5"/>
        <v>81.893200641329329</v>
      </c>
      <c r="O128">
        <f t="shared" si="6"/>
        <v>18.106799358670671</v>
      </c>
      <c r="P128">
        <f t="shared" si="7"/>
        <v>100</v>
      </c>
    </row>
    <row r="129" spans="1:16">
      <c r="A129">
        <v>125</v>
      </c>
      <c r="B129">
        <f>Oxides!B129/StdCalc!B$26</f>
        <v>43.381937757194741</v>
      </c>
      <c r="C129">
        <f>Oxides!C129/StdCalc!C$26</f>
        <v>0.30242813284956743</v>
      </c>
      <c r="D129">
        <f>Oxides!D129/StdCalc!D$26</f>
        <v>17.571853085553997</v>
      </c>
      <c r="E129">
        <f>Oxides!E129/StdCalc!E$26</f>
        <v>40.112641013702287</v>
      </c>
      <c r="F129">
        <f>Oxides!F129/StdCalc!F$26</f>
        <v>0.34341805319009566</v>
      </c>
      <c r="G129">
        <f>Oxides!G129/StdCalc!G$26</f>
        <v>8.0141342756183745E-3</v>
      </c>
      <c r="H129">
        <f>Oxides!H129/StdCalc!H$26</f>
        <v>0.1507655836006136</v>
      </c>
      <c r="I129">
        <f>Oxides!I129/StdCalc!I$26</f>
        <v>3.1256443298969067E-2</v>
      </c>
      <c r="J129" s="14">
        <f t="shared" si="4"/>
        <v>101.9023142036659</v>
      </c>
      <c r="K129" t="s">
        <v>129</v>
      </c>
      <c r="N129">
        <f t="shared" si="5"/>
        <v>81.484297702279633</v>
      </c>
      <c r="O129">
        <f t="shared" si="6"/>
        <v>18.515702297720367</v>
      </c>
      <c r="P129">
        <f t="shared" si="7"/>
        <v>100</v>
      </c>
    </row>
    <row r="130" spans="1:16">
      <c r="A130">
        <v>126</v>
      </c>
      <c r="B130">
        <f>Oxides!B130/StdCalc!B$26</f>
        <v>49.40472224307333</v>
      </c>
      <c r="C130">
        <f>Oxides!C130/StdCalc!C$26</f>
        <v>0.13480323751046611</v>
      </c>
      <c r="D130">
        <f>Oxides!D130/StdCalc!D$26</f>
        <v>9.5992523141654988</v>
      </c>
      <c r="E130">
        <f>Oxides!E130/StdCalc!E$26</f>
        <v>41.772123370360532</v>
      </c>
      <c r="F130">
        <f>Oxides!F130/StdCalc!F$26</f>
        <v>9.0848945368793399E-2</v>
      </c>
      <c r="G130">
        <f>Oxides!G130/StdCalc!G$26</f>
        <v>1.7809187279151942E-2</v>
      </c>
      <c r="H130">
        <f>Oxides!H130/StdCalc!H$26</f>
        <v>0.37025798354483341</v>
      </c>
      <c r="I130">
        <f>Oxides!I130/StdCalc!I$26</f>
        <v>3.1355670103092786E-2</v>
      </c>
      <c r="J130" s="14">
        <f t="shared" si="4"/>
        <v>101.42117295140571</v>
      </c>
      <c r="K130" t="s">
        <v>16</v>
      </c>
      <c r="N130">
        <f t="shared" si="5"/>
        <v>90.171323617081214</v>
      </c>
      <c r="O130">
        <f t="shared" si="6"/>
        <v>9.8286763829187862</v>
      </c>
      <c r="P130">
        <f t="shared" si="7"/>
        <v>100</v>
      </c>
    </row>
    <row r="131" spans="1:16">
      <c r="A131">
        <v>127</v>
      </c>
      <c r="B131">
        <f>Oxides!B131/StdCalc!B$26</f>
        <v>49.315274948728593</v>
      </c>
      <c r="C131">
        <f>Oxides!C131/StdCalc!C$26</f>
        <v>0.1436924365057215</v>
      </c>
      <c r="D131">
        <f>Oxides!D131/StdCalc!D$26</f>
        <v>9.4687185483870966</v>
      </c>
      <c r="E131">
        <f>Oxides!E131/StdCalc!E$26</f>
        <v>42.047006950911275</v>
      </c>
      <c r="F131">
        <f>Oxides!F131/StdCalc!F$26</f>
        <v>9.0668151447661466E-2</v>
      </c>
      <c r="G131">
        <f>Oxides!G131/StdCalc!G$26</f>
        <v>9.597173144876325E-3</v>
      </c>
      <c r="H131">
        <f>Oxides!H131/StdCalc!H$26</f>
        <v>0.36623344024543303</v>
      </c>
      <c r="I131">
        <f>Oxides!I131/StdCalc!I$26</f>
        <v>3.2149484536082469E-2</v>
      </c>
      <c r="J131" s="14">
        <f t="shared" si="4"/>
        <v>101.47334113390674</v>
      </c>
      <c r="K131" t="s">
        <v>16</v>
      </c>
      <c r="N131">
        <f t="shared" si="5"/>
        <v>90.276106068251281</v>
      </c>
      <c r="O131">
        <f t="shared" si="6"/>
        <v>9.7238939317487194</v>
      </c>
      <c r="P131">
        <f t="shared" si="7"/>
        <v>100</v>
      </c>
    </row>
    <row r="132" spans="1:16">
      <c r="A132">
        <v>128</v>
      </c>
      <c r="B132">
        <f>Oxides!B132/StdCalc!B$26</f>
        <v>49.166196124820708</v>
      </c>
      <c r="C132">
        <f>Oxides!C132/StdCalc!C$26</f>
        <v>0.13753837566285237</v>
      </c>
      <c r="D132">
        <f>Oxides!D132/StdCalc!D$26</f>
        <v>9.458677489481067</v>
      </c>
      <c r="E132">
        <f>Oxides!E132/StdCalc!E$26</f>
        <v>42.026645204203817</v>
      </c>
      <c r="F132">
        <f>Oxides!F132/StdCalc!F$26</f>
        <v>9.4193632909734051E-2</v>
      </c>
      <c r="G132">
        <f>Oxides!G132/StdCalc!G$26</f>
        <v>1.5038869257950531E-2</v>
      </c>
      <c r="H132">
        <f>Oxides!H132/StdCalc!H$26</f>
        <v>0.3756240412773672</v>
      </c>
      <c r="I132">
        <f>Oxides!I132/StdCalc!I$26</f>
        <v>4.3461340206185563E-2</v>
      </c>
      <c r="J132" s="14">
        <f t="shared" si="4"/>
        <v>101.31737507781966</v>
      </c>
      <c r="K132" t="s">
        <v>16</v>
      </c>
      <c r="N132">
        <f t="shared" si="5"/>
        <v>90.258829364328406</v>
      </c>
      <c r="O132">
        <f t="shared" si="6"/>
        <v>9.7411706356715939</v>
      </c>
      <c r="P132">
        <f t="shared" si="7"/>
        <v>100</v>
      </c>
    </row>
    <row r="134" spans="1:16">
      <c r="A134" s="5" t="s">
        <v>8727</v>
      </c>
      <c r="B134" s="5">
        <v>49.429900000000004</v>
      </c>
      <c r="C134" s="5">
        <v>0.14000000000000001</v>
      </c>
      <c r="D134" s="5">
        <v>9.5457000000000001</v>
      </c>
      <c r="E134" s="5">
        <v>40.81</v>
      </c>
      <c r="F134" s="5">
        <v>9.1999999999999998E-2</v>
      </c>
      <c r="G134" s="5">
        <v>1.4E-2</v>
      </c>
      <c r="H134" s="5">
        <v>0.37</v>
      </c>
      <c r="I134" s="5">
        <v>3.3000000000000002E-2</v>
      </c>
      <c r="K134" t="s">
        <v>16</v>
      </c>
    </row>
    <row r="135" spans="1:16">
      <c r="A135" t="s">
        <v>132</v>
      </c>
      <c r="B135" s="18">
        <v>49.735333333333337</v>
      </c>
      <c r="C135" s="18">
        <v>0.14332</v>
      </c>
      <c r="D135" s="18">
        <v>9.5066666666666659</v>
      </c>
      <c r="E135" s="18">
        <v>40.090666666666657</v>
      </c>
      <c r="F135" s="18">
        <v>0.10177333333333334</v>
      </c>
      <c r="G135" s="18">
        <v>1.4149999999999999E-2</v>
      </c>
      <c r="H135" s="18">
        <v>0.35854999999999998</v>
      </c>
      <c r="I135" s="18">
        <v>3.325714285714286E-2</v>
      </c>
      <c r="K135" t="s">
        <v>16</v>
      </c>
    </row>
    <row r="136" spans="1:16">
      <c r="A136" t="s">
        <v>8734</v>
      </c>
      <c r="B136" s="18">
        <v>0.14317155876114257</v>
      </c>
      <c r="C136" s="18">
        <v>4.2340794243174691E-3</v>
      </c>
      <c r="D136" s="18">
        <v>7.047458170621991E-2</v>
      </c>
      <c r="E136" s="18">
        <v>0.62826821691133827</v>
      </c>
      <c r="F136" s="18">
        <v>2.0182972549958583E-3</v>
      </c>
      <c r="G136" s="18">
        <v>4.9297760910301316E-3</v>
      </c>
      <c r="H136" s="18">
        <v>1.1582065047703314E-2</v>
      </c>
      <c r="I136" s="18">
        <v>2.8944812968858466E-3</v>
      </c>
      <c r="K136" t="s">
        <v>16</v>
      </c>
    </row>
    <row r="137" spans="1:16">
      <c r="A137" t="s">
        <v>8747</v>
      </c>
      <c r="B137" s="18">
        <v>0.28634311752228514</v>
      </c>
      <c r="C137" s="18">
        <v>8.4681588486349383E-3</v>
      </c>
      <c r="D137" s="18">
        <v>0.14094916341243982</v>
      </c>
      <c r="E137" s="18">
        <v>1.2565364338226765</v>
      </c>
      <c r="F137" s="18">
        <v>4.0365945099917165E-3</v>
      </c>
      <c r="G137" s="18">
        <v>9.8595521820602633E-3</v>
      </c>
      <c r="H137" s="18">
        <v>2.3164130095406629E-2</v>
      </c>
      <c r="I137" s="18">
        <v>5.7889625937716932E-3</v>
      </c>
      <c r="K137" t="s">
        <v>16</v>
      </c>
    </row>
    <row r="138" spans="1:16">
      <c r="A138" t="s">
        <v>8743</v>
      </c>
      <c r="B138" s="22">
        <v>7.6384980300718476E-4</v>
      </c>
      <c r="C138" s="22">
        <v>3.3121722329561086E-2</v>
      </c>
      <c r="D138" s="22">
        <v>7.0311680134326022E-3</v>
      </c>
      <c r="E138" s="22">
        <v>1.1469605545305808E-3</v>
      </c>
      <c r="F138" s="22">
        <v>2.0876620164243014E-2</v>
      </c>
      <c r="G138" s="22">
        <v>0.12518457752255957</v>
      </c>
      <c r="H138" s="22">
        <v>1.9509476031214583E-3</v>
      </c>
      <c r="I138" s="22">
        <v>5.8544787526750269E-2</v>
      </c>
      <c r="K138" t="s">
        <v>16</v>
      </c>
    </row>
    <row r="139" spans="1:16">
      <c r="A139" s="15" t="s">
        <v>8737</v>
      </c>
      <c r="B139" s="25">
        <v>5.7573378588451898E-3</v>
      </c>
      <c r="C139" s="25">
        <v>5.9085674355532643E-2</v>
      </c>
      <c r="D139" s="25">
        <v>1.4826349587563797E-2</v>
      </c>
      <c r="E139" s="25">
        <v>3.1342368144439525E-2</v>
      </c>
      <c r="F139" s="25">
        <v>3.9662595080489811E-2</v>
      </c>
      <c r="G139" s="25">
        <v>0.69678814007493028</v>
      </c>
      <c r="H139" s="25">
        <v>6.4605020486422055E-2</v>
      </c>
      <c r="I139" s="25">
        <v>0.17406674465808356</v>
      </c>
      <c r="K139" t="s">
        <v>16</v>
      </c>
    </row>
    <row r="140" spans="1:16">
      <c r="A140" t="s">
        <v>8735</v>
      </c>
      <c r="B140">
        <v>1.0061791210043585</v>
      </c>
      <c r="C140">
        <v>1.0237142857142856</v>
      </c>
      <c r="D140">
        <v>0.99591089879911021</v>
      </c>
      <c r="E140">
        <v>0.98223400415198658</v>
      </c>
      <c r="F140">
        <v>1.106231884057971</v>
      </c>
      <c r="G140">
        <v>1.0107142857142857</v>
      </c>
      <c r="H140">
        <v>0.96905405405405398</v>
      </c>
      <c r="I140">
        <v>1.0077922077922079</v>
      </c>
      <c r="K140" t="s">
        <v>16</v>
      </c>
    </row>
    <row r="141" spans="1:16">
      <c r="A141" s="15"/>
      <c r="B141" s="25"/>
      <c r="C141" s="25"/>
      <c r="D141" s="25"/>
      <c r="E141" s="25"/>
      <c r="F141" s="25"/>
      <c r="G141" s="25"/>
      <c r="H141" s="25"/>
      <c r="I141" s="25"/>
    </row>
  </sheetData>
  <autoFilter ref="A4:K132" xr:uid="{39B98458-2D6D-3942-97FA-B8409A4CDE4F}"/>
  <pageMargins left="0.7" right="0.7" top="0.75" bottom="0.75" header="0.3" footer="0.3"/>
  <ignoredErrors>
    <ignoredError sqref="J6:J13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90F0-B3A1-8342-8BFF-E8448C1869A4}">
  <dimension ref="A1:AU37"/>
  <sheetViews>
    <sheetView workbookViewId="0">
      <pane ySplit="1" topLeftCell="A2" activePane="bottomLeft" state="frozen"/>
      <selection pane="bottomLeft" activeCell="A21" sqref="A21:I26"/>
    </sheetView>
  </sheetViews>
  <sheetFormatPr defaultColWidth="10.90625" defaultRowHeight="15"/>
  <cols>
    <col min="14" max="21" width="21.453125" bestFit="1" customWidth="1"/>
    <col min="35" max="35" width="11.1796875" customWidth="1"/>
    <col min="37" max="37" width="12.81640625" customWidth="1"/>
    <col min="47" max="47" width="11.1796875" customWidth="1"/>
  </cols>
  <sheetData>
    <row r="1" spans="1:47">
      <c r="A1" t="s">
        <v>8742</v>
      </c>
      <c r="M1" t="s">
        <v>8741</v>
      </c>
      <c r="Y1" t="s">
        <v>8743</v>
      </c>
      <c r="AK1" t="s">
        <v>8744</v>
      </c>
    </row>
    <row r="3" spans="1:4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M3" t="s">
        <v>5</v>
      </c>
      <c r="N3" t="s">
        <v>8739</v>
      </c>
      <c r="O3" t="s">
        <v>7</v>
      </c>
      <c r="P3" t="s">
        <v>8</v>
      </c>
      <c r="Q3" t="s">
        <v>9</v>
      </c>
      <c r="R3" t="s">
        <v>8740</v>
      </c>
      <c r="S3" t="s">
        <v>11</v>
      </c>
      <c r="T3" t="s">
        <v>12</v>
      </c>
      <c r="U3" t="s">
        <v>13</v>
      </c>
      <c r="V3" t="s">
        <v>8736</v>
      </c>
      <c r="Y3" t="s">
        <v>5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K3" t="s">
        <v>5</v>
      </c>
      <c r="AL3" t="s">
        <v>6</v>
      </c>
      <c r="AM3" t="s">
        <v>7</v>
      </c>
      <c r="AN3" t="s">
        <v>8</v>
      </c>
      <c r="AO3" t="s">
        <v>9</v>
      </c>
      <c r="AP3" t="s">
        <v>10</v>
      </c>
      <c r="AQ3" t="s">
        <v>11</v>
      </c>
      <c r="AR3" t="s">
        <v>12</v>
      </c>
      <c r="AS3" t="s">
        <v>13</v>
      </c>
      <c r="AT3" t="s">
        <v>14</v>
      </c>
      <c r="AU3" t="s">
        <v>15</v>
      </c>
    </row>
    <row r="4" spans="1:47">
      <c r="A4">
        <v>1</v>
      </c>
      <c r="B4">
        <v>49.78</v>
      </c>
      <c r="C4">
        <v>0.14779999999999999</v>
      </c>
      <c r="D4">
        <v>9.56</v>
      </c>
      <c r="E4">
        <v>39.72</v>
      </c>
      <c r="F4">
        <v>0.1024</v>
      </c>
      <c r="G4" s="16">
        <v>3.1099999999999999E-2</v>
      </c>
      <c r="H4">
        <v>0.36720000000000003</v>
      </c>
      <c r="I4">
        <v>3.1600000000000003E-2</v>
      </c>
      <c r="J4">
        <v>99.740200000000002</v>
      </c>
      <c r="K4" t="s">
        <v>16</v>
      </c>
      <c r="M4">
        <v>1</v>
      </c>
      <c r="N4">
        <f>B4/$B$26</f>
        <v>49.47429236089701</v>
      </c>
      <c r="O4">
        <f>C4/$C$26</f>
        <v>0.14437622104381803</v>
      </c>
      <c r="P4">
        <f>D4/D$26</f>
        <v>9.5992523141654988</v>
      </c>
      <c r="Q4">
        <f>E4/E$26</f>
        <v>40.438428961021692</v>
      </c>
      <c r="R4">
        <f>F4/F$26</f>
        <v>9.2566487619546708E-2</v>
      </c>
      <c r="S4">
        <f>G4/G$26</f>
        <v>3.0770318021201414E-2</v>
      </c>
      <c r="T4">
        <f>H4/H$26</f>
        <v>0.37892623065123421</v>
      </c>
      <c r="U4">
        <f>I4/I$26</f>
        <v>3.1355670103092786E-2</v>
      </c>
      <c r="V4">
        <f>SUM(N4:U4)</f>
        <v>100.1899685635231</v>
      </c>
      <c r="Y4">
        <v>1</v>
      </c>
      <c r="Z4">
        <v>49.78</v>
      </c>
      <c r="AA4">
        <v>0.14779999999999999</v>
      </c>
      <c r="AB4">
        <v>9.56</v>
      </c>
      <c r="AC4">
        <v>39.72</v>
      </c>
      <c r="AD4">
        <v>0.1024</v>
      </c>
      <c r="AE4" s="16">
        <v>3.1099999999999999E-2</v>
      </c>
      <c r="AF4">
        <v>0.36720000000000003</v>
      </c>
      <c r="AG4">
        <v>3.1600000000000003E-2</v>
      </c>
      <c r="AH4">
        <v>99.740200000000002</v>
      </c>
      <c r="AI4" t="s">
        <v>16</v>
      </c>
      <c r="AK4">
        <v>1</v>
      </c>
      <c r="AL4">
        <f>Z4/Z$26</f>
        <v>49.461695384739095</v>
      </c>
      <c r="AM4">
        <f>AA4/AA$26</f>
        <v>0.14278222467568316</v>
      </c>
      <c r="AN4">
        <f>AB4/AB$26</f>
        <v>9.5767543288907557</v>
      </c>
      <c r="AO4">
        <f>AC4/AC$26</f>
        <v>40.422968533386523</v>
      </c>
      <c r="AP4">
        <f>AD4/AD$26</f>
        <v>9.3210646086870505E-2</v>
      </c>
      <c r="AQ4" s="16">
        <f>AE4/AE$26</f>
        <v>3.2146021328958163E-2</v>
      </c>
      <c r="AR4">
        <f>AF4/AF$26</f>
        <v>0.3786622073578596</v>
      </c>
      <c r="AS4">
        <f>AG4/AG$26</f>
        <v>3.18801589727912E-2</v>
      </c>
      <c r="AT4">
        <v>99.740200000000002</v>
      </c>
      <c r="AU4" t="s">
        <v>16</v>
      </c>
    </row>
    <row r="5" spans="1:47">
      <c r="A5">
        <v>2</v>
      </c>
      <c r="B5">
        <v>49.65</v>
      </c>
      <c r="C5">
        <v>0.14130000000000001</v>
      </c>
      <c r="D5">
        <v>9.61</v>
      </c>
      <c r="E5">
        <v>39.76</v>
      </c>
      <c r="F5">
        <v>9.7799999999999998E-2</v>
      </c>
      <c r="G5">
        <v>1.6199999999999999E-2</v>
      </c>
      <c r="H5">
        <v>0.38100000000000001</v>
      </c>
      <c r="I5">
        <v>3.3000000000000002E-2</v>
      </c>
      <c r="J5">
        <v>99.689300000000003</v>
      </c>
      <c r="K5" t="s">
        <v>16</v>
      </c>
      <c r="M5">
        <v>2</v>
      </c>
      <c r="N5">
        <f>B5/$B$26</f>
        <v>49.345090713510174</v>
      </c>
      <c r="O5">
        <f>C5/$C$26</f>
        <v>0.13802679319006422</v>
      </c>
      <c r="P5">
        <f>D5/D$26</f>
        <v>9.6494576086956521</v>
      </c>
      <c r="Q5">
        <f>E5/E$26</f>
        <v>40.479152454436623</v>
      </c>
      <c r="R5">
        <f>F5/F$26</f>
        <v>8.8408227433512385E-2</v>
      </c>
      <c r="S5">
        <f>G5/G$26</f>
        <v>1.6028268551236749E-2</v>
      </c>
      <c r="T5">
        <f>H5/H$26</f>
        <v>0.39316692232603545</v>
      </c>
      <c r="U5">
        <f>I5/I$26</f>
        <v>3.274484536082474E-2</v>
      </c>
      <c r="V5">
        <f t="shared" ref="V5:V18" si="0">SUM(N5:U5)</f>
        <v>100.14207583350412</v>
      </c>
      <c r="Y5">
        <v>2</v>
      </c>
      <c r="Z5">
        <v>49.65</v>
      </c>
      <c r="AA5">
        <v>0.14130000000000001</v>
      </c>
      <c r="AB5">
        <v>9.61</v>
      </c>
      <c r="AC5">
        <v>39.76</v>
      </c>
      <c r="AD5">
        <v>9.7799999999999998E-2</v>
      </c>
      <c r="AE5">
        <v>1.6199999999999999E-2</v>
      </c>
      <c r="AF5">
        <v>0.38100000000000001</v>
      </c>
      <c r="AG5">
        <v>3.3000000000000002E-2</v>
      </c>
      <c r="AH5">
        <v>99.689300000000003</v>
      </c>
      <c r="AI5" t="s">
        <v>16</v>
      </c>
      <c r="AK5">
        <v>2</v>
      </c>
      <c r="AL5">
        <f>Z5/Z$26</f>
        <v>49.332526634236558</v>
      </c>
      <c r="AM5">
        <f>AA5/AA$26</f>
        <v>0.13650289815070388</v>
      </c>
      <c r="AN5">
        <f>AB5/AB$26</f>
        <v>9.6268419561339069</v>
      </c>
      <c r="AO5">
        <f>AC5/AC$26</f>
        <v>40.463676457387919</v>
      </c>
      <c r="AP5">
        <f>AD5/AD$26</f>
        <v>8.902344909468686E-2</v>
      </c>
      <c r="AQ5">
        <f>AE5/AE$26</f>
        <v>1.6744872846595569E-2</v>
      </c>
      <c r="AR5">
        <f>AF5/AF$26</f>
        <v>0.39289297658862882</v>
      </c>
      <c r="AS5">
        <f>AG5/AG$26</f>
        <v>3.3292571079180683E-2</v>
      </c>
      <c r="AT5">
        <v>99.689300000000003</v>
      </c>
      <c r="AU5" t="s">
        <v>16</v>
      </c>
    </row>
    <row r="6" spans="1:47">
      <c r="A6">
        <v>3</v>
      </c>
      <c r="B6">
        <v>49.6</v>
      </c>
      <c r="C6">
        <v>0.14399999999999999</v>
      </c>
      <c r="D6">
        <v>9.5</v>
      </c>
      <c r="E6">
        <v>39.65</v>
      </c>
      <c r="F6">
        <v>0.10390000000000001</v>
      </c>
      <c r="G6">
        <v>1.7899999999999999E-2</v>
      </c>
      <c r="H6">
        <v>0.34689999999999999</v>
      </c>
      <c r="I6">
        <v>3.44E-2</v>
      </c>
      <c r="J6">
        <v>99.397099999999995</v>
      </c>
      <c r="K6" t="s">
        <v>16</v>
      </c>
      <c r="M6">
        <v>3</v>
      </c>
      <c r="N6">
        <f>B6/$B$26</f>
        <v>49.295397772207551</v>
      </c>
      <c r="O6">
        <f>C6/$C$26</f>
        <v>0.14066424783700809</v>
      </c>
      <c r="P6">
        <f>D6/D$26</f>
        <v>9.5390059607293125</v>
      </c>
      <c r="Q6">
        <f>E6/E$26</f>
        <v>40.367162847545572</v>
      </c>
      <c r="R6">
        <f>F6/F$26</f>
        <v>9.3922442028036165E-2</v>
      </c>
      <c r="S6">
        <f>G6/G$26</f>
        <v>1.7710247349823321E-2</v>
      </c>
      <c r="T6">
        <f>H6/H$26</f>
        <v>0.3579779668107656</v>
      </c>
      <c r="U6">
        <f>I6/I$26</f>
        <v>3.41340206185567E-2</v>
      </c>
      <c r="V6">
        <f t="shared" si="0"/>
        <v>99.845975505126617</v>
      </c>
      <c r="Y6" s="21">
        <v>3</v>
      </c>
      <c r="Z6">
        <v>49.6</v>
      </c>
      <c r="AA6">
        <v>0.14399999999999999</v>
      </c>
      <c r="AB6">
        <v>9.5</v>
      </c>
      <c r="AC6">
        <v>39.65</v>
      </c>
      <c r="AD6">
        <v>0.10390000000000001</v>
      </c>
      <c r="AE6">
        <v>1.7899999999999999E-2</v>
      </c>
      <c r="AF6">
        <v>0.34689999999999999</v>
      </c>
      <c r="AG6">
        <v>3.44E-2</v>
      </c>
      <c r="AH6">
        <v>99.397099999999995</v>
      </c>
      <c r="AI6" t="s">
        <v>16</v>
      </c>
      <c r="AK6" s="21">
        <v>3</v>
      </c>
      <c r="AL6">
        <f>Z6/Z$26</f>
        <v>49.282846345581738</v>
      </c>
      <c r="AM6">
        <f>AA6/AA$26</f>
        <v>0.1391112337841568</v>
      </c>
      <c r="AN6">
        <f>AB6/AB$26</f>
        <v>9.5166491761989711</v>
      </c>
      <c r="AO6">
        <f>AC6/AC$26</f>
        <v>40.351729666384081</v>
      </c>
      <c r="AP6">
        <f>AD6/AD$26</f>
        <v>9.457603641040864E-2</v>
      </c>
      <c r="AQ6">
        <f>AE6/AE$26</f>
        <v>1.8502050861361773E-2</v>
      </c>
      <c r="AR6">
        <f>AF6/AF$26</f>
        <v>0.35772853957636569</v>
      </c>
      <c r="AS6">
        <f>AG6/AG$26</f>
        <v>3.4704983185570165E-2</v>
      </c>
      <c r="AT6">
        <v>99.397099999999995</v>
      </c>
      <c r="AU6" t="s">
        <v>16</v>
      </c>
    </row>
    <row r="7" spans="1:47">
      <c r="A7">
        <v>25</v>
      </c>
      <c r="B7">
        <v>49.71</v>
      </c>
      <c r="C7">
        <v>0.14369999999999999</v>
      </c>
      <c r="D7">
        <v>9.51</v>
      </c>
      <c r="E7">
        <v>39.65</v>
      </c>
      <c r="F7">
        <v>9.9199999999999997E-2</v>
      </c>
      <c r="G7">
        <v>7.1999999999999998E-3</v>
      </c>
      <c r="H7">
        <v>0.35270000000000001</v>
      </c>
      <c r="I7">
        <v>3.1399999999999997E-2</v>
      </c>
      <c r="J7">
        <v>99.504300000000001</v>
      </c>
      <c r="K7" t="s">
        <v>16</v>
      </c>
      <c r="M7">
        <v>25</v>
      </c>
      <c r="N7">
        <f>B7/$B$26</f>
        <v>49.40472224307333</v>
      </c>
      <c r="O7">
        <f>C7/$C$26</f>
        <v>0.14037119732068101</v>
      </c>
      <c r="P7">
        <f>D7/D$26</f>
        <v>9.5490470196353439</v>
      </c>
      <c r="Q7">
        <f>E7/E$26</f>
        <v>40.367162847545572</v>
      </c>
      <c r="R7">
        <f>F7/F$26</f>
        <v>8.9673784881435861E-2</v>
      </c>
      <c r="S7">
        <f>G7/G$26</f>
        <v>7.1236749116607772E-3</v>
      </c>
      <c r="T7">
        <f>H7/H$26</f>
        <v>0.36396318505089947</v>
      </c>
      <c r="U7">
        <f>I7/I$26</f>
        <v>3.1157216494845354E-2</v>
      </c>
      <c r="V7">
        <f t="shared" si="0"/>
        <v>99.953221168913785</v>
      </c>
      <c r="Y7">
        <v>25</v>
      </c>
      <c r="Z7">
        <v>49.71</v>
      </c>
      <c r="AA7">
        <v>0.14369999999999999</v>
      </c>
      <c r="AB7">
        <v>9.51</v>
      </c>
      <c r="AC7">
        <v>39.65</v>
      </c>
      <c r="AD7">
        <v>9.9199999999999997E-2</v>
      </c>
      <c r="AE7">
        <v>7.1999999999999998E-3</v>
      </c>
      <c r="AF7">
        <v>0.35270000000000001</v>
      </c>
      <c r="AG7">
        <v>3.1399999999999997E-2</v>
      </c>
      <c r="AH7">
        <v>99.504300000000001</v>
      </c>
      <c r="AI7" t="s">
        <v>16</v>
      </c>
      <c r="AK7">
        <v>25</v>
      </c>
      <c r="AL7">
        <f>Z7/Z$26</f>
        <v>49.392142980622346</v>
      </c>
      <c r="AM7">
        <f>AA7/AA$26</f>
        <v>0.13882141871377315</v>
      </c>
      <c r="AN7">
        <f>AB7/AB$26</f>
        <v>9.5266667016476028</v>
      </c>
      <c r="AO7">
        <f>AC7/AC$26</f>
        <v>40.351729666384081</v>
      </c>
      <c r="AP7">
        <f>AD7/AD$26</f>
        <v>9.0297813396655796E-2</v>
      </c>
      <c r="AQ7">
        <f>AE7/AE$26</f>
        <v>7.4421657095980311E-3</v>
      </c>
      <c r="AR7">
        <f>AF7/AF$26</f>
        <v>0.3637095875139354</v>
      </c>
      <c r="AS7">
        <f>AG7/AG$26</f>
        <v>3.1678385814735553E-2</v>
      </c>
      <c r="AT7">
        <v>99.504300000000001</v>
      </c>
      <c r="AU7" t="s">
        <v>16</v>
      </c>
    </row>
    <row r="8" spans="1:47">
      <c r="A8">
        <v>26</v>
      </c>
      <c r="B8">
        <v>49.74</v>
      </c>
      <c r="C8">
        <v>0.14910000000000001</v>
      </c>
      <c r="D8">
        <v>9.44</v>
      </c>
      <c r="E8">
        <v>39.61</v>
      </c>
      <c r="F8">
        <v>0.1043</v>
      </c>
      <c r="G8">
        <v>1.4200000000000001E-2</v>
      </c>
      <c r="H8">
        <v>0.36449999999999999</v>
      </c>
      <c r="I8">
        <v>3.2099999999999997E-2</v>
      </c>
      <c r="J8">
        <v>99.454300000000003</v>
      </c>
      <c r="K8" t="s">
        <v>16</v>
      </c>
      <c r="M8">
        <v>26</v>
      </c>
      <c r="N8">
        <f>B8/$B$26</f>
        <v>49.434538007854911</v>
      </c>
      <c r="O8">
        <f>C8/$C$26</f>
        <v>0.14564610661456884</v>
      </c>
      <c r="P8">
        <f>D8/D$26</f>
        <v>9.4787596072931279</v>
      </c>
      <c r="Q8">
        <f>E8/E$26</f>
        <v>40.326439354130649</v>
      </c>
      <c r="R8">
        <f>F8/F$26</f>
        <v>9.4284029870300018E-2</v>
      </c>
      <c r="S8">
        <f>G8/G$26</f>
        <v>1.4049469964664312E-2</v>
      </c>
      <c r="T8">
        <f>H8/H$26</f>
        <v>0.37614000836703393</v>
      </c>
      <c r="U8">
        <f>I8/I$26</f>
        <v>3.185180412371133E-2</v>
      </c>
      <c r="V8">
        <f t="shared" si="0"/>
        <v>99.901708388218964</v>
      </c>
      <c r="Y8">
        <v>26</v>
      </c>
      <c r="Z8">
        <v>49.74</v>
      </c>
      <c r="AA8">
        <v>0.14910000000000001</v>
      </c>
      <c r="AB8">
        <v>9.44</v>
      </c>
      <c r="AC8">
        <v>39.61</v>
      </c>
      <c r="AD8">
        <v>0.1043</v>
      </c>
      <c r="AE8">
        <v>1.4200000000000001E-2</v>
      </c>
      <c r="AF8">
        <v>0.36449999999999999</v>
      </c>
      <c r="AG8">
        <v>3.2099999999999997E-2</v>
      </c>
      <c r="AH8">
        <v>99.454300000000003</v>
      </c>
      <c r="AI8" t="s">
        <v>16</v>
      </c>
      <c r="AK8">
        <v>26</v>
      </c>
      <c r="AL8">
        <f>Z8/Z$26</f>
        <v>49.421951153815236</v>
      </c>
      <c r="AM8">
        <f>AA8/AA$26</f>
        <v>0.14403808998067905</v>
      </c>
      <c r="AN8">
        <f>AB8/AB$26</f>
        <v>9.4565440235071883</v>
      </c>
      <c r="AO8">
        <f>AC8/AC$26</f>
        <v>40.311021742382685</v>
      </c>
      <c r="AP8">
        <f>AD8/AD$26</f>
        <v>9.4940140496685477E-2</v>
      </c>
      <c r="AQ8">
        <f>AE8/AE$26</f>
        <v>1.4677604593929451E-2</v>
      </c>
      <c r="AR8">
        <f>AF8/AF$26</f>
        <v>0.37587792642140472</v>
      </c>
      <c r="AS8">
        <f>AG8/AG$26</f>
        <v>3.2384591867930294E-2</v>
      </c>
      <c r="AT8">
        <v>99.454300000000003</v>
      </c>
      <c r="AU8" t="s">
        <v>16</v>
      </c>
    </row>
    <row r="9" spans="1:47">
      <c r="A9">
        <v>27</v>
      </c>
      <c r="B9">
        <v>49.74</v>
      </c>
      <c r="C9">
        <v>0.1368</v>
      </c>
      <c r="D9">
        <v>9.5299999999999994</v>
      </c>
      <c r="E9">
        <v>39.46</v>
      </c>
      <c r="F9">
        <v>0.10349999999999999</v>
      </c>
      <c r="G9">
        <v>1.9E-2</v>
      </c>
      <c r="H9">
        <v>0.34589999999999999</v>
      </c>
      <c r="I9">
        <v>3.6799999999999999E-2</v>
      </c>
      <c r="J9">
        <v>99.372</v>
      </c>
      <c r="K9" t="s">
        <v>16</v>
      </c>
      <c r="M9">
        <v>27</v>
      </c>
      <c r="N9">
        <f>B9/$B$26</f>
        <v>49.434538007854911</v>
      </c>
      <c r="O9">
        <f>C9/$C$26</f>
        <v>0.13363103544515773</v>
      </c>
      <c r="P9">
        <f>D9/D$26</f>
        <v>9.5691291374474048</v>
      </c>
      <c r="Q9">
        <f>E9/E$26</f>
        <v>40.173726253824675</v>
      </c>
      <c r="R9">
        <f>F9/F$26</f>
        <v>9.3560854185772299E-2</v>
      </c>
      <c r="S9">
        <f>G9/G$26</f>
        <v>1.8798586572438162E-2</v>
      </c>
      <c r="T9">
        <f>H9/H$26</f>
        <v>0.35694603263143215</v>
      </c>
      <c r="U9">
        <f>I9/I$26</f>
        <v>3.6515463917525769E-2</v>
      </c>
      <c r="V9">
        <f t="shared" si="0"/>
        <v>99.81684537187931</v>
      </c>
      <c r="Y9" s="21">
        <v>27</v>
      </c>
      <c r="Z9">
        <v>49.74</v>
      </c>
      <c r="AA9">
        <v>0.1368</v>
      </c>
      <c r="AB9">
        <v>9.5299999999999994</v>
      </c>
      <c r="AC9">
        <v>39.46</v>
      </c>
      <c r="AD9">
        <v>0.10349999999999999</v>
      </c>
      <c r="AE9">
        <v>1.9E-2</v>
      </c>
      <c r="AF9">
        <v>0.34589999999999999</v>
      </c>
      <c r="AG9">
        <v>3.6799999999999999E-2</v>
      </c>
      <c r="AH9">
        <v>99.372</v>
      </c>
      <c r="AI9" t="s">
        <v>16</v>
      </c>
      <c r="AK9" s="21">
        <v>27</v>
      </c>
      <c r="AL9">
        <f>Z9/Z$26</f>
        <v>49.421951153815236</v>
      </c>
      <c r="AM9">
        <f>AA9/AA$26</f>
        <v>0.13215567209494897</v>
      </c>
      <c r="AN9">
        <f>AB9/AB$26</f>
        <v>9.5467017525448625</v>
      </c>
      <c r="AO9">
        <f>AC9/AC$26</f>
        <v>40.158367027377452</v>
      </c>
      <c r="AP9">
        <f>AD9/AD$26</f>
        <v>9.4211932324131803E-2</v>
      </c>
      <c r="AQ9">
        <f>AE9/AE$26</f>
        <v>1.9639048400328138E-2</v>
      </c>
      <c r="AR9">
        <f>AF9/AF$26</f>
        <v>0.35669732441471574</v>
      </c>
      <c r="AS9">
        <f>AG9/AG$26</f>
        <v>3.7126261082237849E-2</v>
      </c>
      <c r="AT9">
        <v>99.372</v>
      </c>
      <c r="AU9" t="s">
        <v>16</v>
      </c>
    </row>
    <row r="10" spans="1:47">
      <c r="A10">
        <v>59</v>
      </c>
      <c r="B10">
        <v>49.76</v>
      </c>
      <c r="C10">
        <v>0.1487</v>
      </c>
      <c r="D10">
        <v>9.5399999999999991</v>
      </c>
      <c r="E10">
        <v>39.770000000000003</v>
      </c>
      <c r="F10">
        <v>0.1018</v>
      </c>
      <c r="G10">
        <v>5.4000000000000003E-3</v>
      </c>
      <c r="H10">
        <v>0.35520000000000002</v>
      </c>
      <c r="I10">
        <v>3.4000000000000002E-2</v>
      </c>
      <c r="J10">
        <v>99.715199999999996</v>
      </c>
      <c r="K10" t="s">
        <v>16</v>
      </c>
      <c r="M10">
        <v>59</v>
      </c>
      <c r="N10">
        <f>B10/$B$26</f>
        <v>49.454415184375954</v>
      </c>
      <c r="O10">
        <f>C10/$C$26</f>
        <v>0.14525537259279936</v>
      </c>
      <c r="P10">
        <f>D10/D$26</f>
        <v>9.5791701963534361</v>
      </c>
      <c r="Q10">
        <f>E10/E$26</f>
        <v>40.489333327790355</v>
      </c>
      <c r="R10">
        <f>F10/F$26</f>
        <v>9.2024105856150923E-2</v>
      </c>
      <c r="S10">
        <f>G10/G$26</f>
        <v>5.3427561837455836E-3</v>
      </c>
      <c r="T10">
        <f>H10/H$26</f>
        <v>0.36654302049923304</v>
      </c>
      <c r="U10">
        <f>I10/I$26</f>
        <v>3.3737113402061855E-2</v>
      </c>
      <c r="V10">
        <f t="shared" si="0"/>
        <v>100.16582107705375</v>
      </c>
      <c r="Y10">
        <v>59</v>
      </c>
      <c r="Z10">
        <v>49.76</v>
      </c>
      <c r="AA10">
        <v>0.1487</v>
      </c>
      <c r="AB10">
        <v>9.5399999999999991</v>
      </c>
      <c r="AC10">
        <v>39.770000000000003</v>
      </c>
      <c r="AD10">
        <v>0.1018</v>
      </c>
      <c r="AE10">
        <v>5.4000000000000003E-3</v>
      </c>
      <c r="AF10">
        <v>0.35520000000000002</v>
      </c>
      <c r="AG10">
        <v>3.4000000000000002E-2</v>
      </c>
      <c r="AH10">
        <v>99.715199999999996</v>
      </c>
      <c r="AI10" t="s">
        <v>16</v>
      </c>
      <c r="AK10">
        <v>59</v>
      </c>
      <c r="AL10">
        <f>Z10/Z$26</f>
        <v>49.441823269277158</v>
      </c>
      <c r="AM10">
        <f>AA10/AA$26</f>
        <v>0.14365166988683414</v>
      </c>
      <c r="AN10">
        <f>AB10/AB$26</f>
        <v>9.5567192779934924</v>
      </c>
      <c r="AO10">
        <f>AC10/AC$26</f>
        <v>40.473853438388275</v>
      </c>
      <c r="AP10">
        <f>AD10/AD$26</f>
        <v>9.2664489957455243E-2</v>
      </c>
      <c r="AQ10">
        <f>AE10/AE$26</f>
        <v>5.5816242821985235E-3</v>
      </c>
      <c r="AR10">
        <f>AF10/AF$26</f>
        <v>0.36628762541806026</v>
      </c>
      <c r="AS10">
        <f>AG10/AG$26</f>
        <v>3.4301436869458884E-2</v>
      </c>
      <c r="AT10">
        <v>99.715199999999996</v>
      </c>
      <c r="AU10" t="s">
        <v>16</v>
      </c>
    </row>
    <row r="11" spans="1:47">
      <c r="A11">
        <v>60</v>
      </c>
      <c r="B11">
        <v>49.97</v>
      </c>
      <c r="C11">
        <v>0.1457</v>
      </c>
      <c r="D11">
        <v>9.6199999999999992</v>
      </c>
      <c r="E11">
        <v>39.700000000000003</v>
      </c>
      <c r="F11">
        <v>0.1033</v>
      </c>
      <c r="G11">
        <v>1.04E-2</v>
      </c>
      <c r="H11">
        <v>0.3548</v>
      </c>
      <c r="I11">
        <v>3.1300000000000001E-2</v>
      </c>
      <c r="J11">
        <v>99.935599999999994</v>
      </c>
      <c r="K11" t="s">
        <v>16</v>
      </c>
      <c r="M11">
        <v>60</v>
      </c>
      <c r="N11">
        <f>B11/$B$26</f>
        <v>49.663125537846994</v>
      </c>
      <c r="O11">
        <f>C11/$C$26</f>
        <v>0.14232486742952835</v>
      </c>
      <c r="P11">
        <f>D11/D$26</f>
        <v>9.6594986676016834</v>
      </c>
      <c r="Q11">
        <f>E11/E$26</f>
        <v>40.418067214314235</v>
      </c>
      <c r="R11">
        <f>F11/F$26</f>
        <v>9.338006026464038E-2</v>
      </c>
      <c r="S11">
        <f>G11/G$26</f>
        <v>1.0289752650176679E-2</v>
      </c>
      <c r="T11">
        <f>H11/H$26</f>
        <v>0.36613024682749967</v>
      </c>
      <c r="U11">
        <f>I11/I$26</f>
        <v>3.1057989690721648E-2</v>
      </c>
      <c r="V11">
        <f t="shared" si="0"/>
        <v>100.38387433662548</v>
      </c>
      <c r="Y11">
        <v>60</v>
      </c>
      <c r="Z11">
        <v>49.97</v>
      </c>
      <c r="AA11">
        <v>0.1457</v>
      </c>
      <c r="AB11">
        <v>9.6199999999999992</v>
      </c>
      <c r="AC11">
        <v>39.700000000000003</v>
      </c>
      <c r="AD11">
        <v>0.1033</v>
      </c>
      <c r="AE11">
        <v>1.04E-2</v>
      </c>
      <c r="AF11">
        <v>0.3548</v>
      </c>
      <c r="AG11">
        <v>3.1300000000000001E-2</v>
      </c>
      <c r="AH11">
        <v>99.935599999999994</v>
      </c>
      <c r="AI11" t="s">
        <v>16</v>
      </c>
      <c r="AK11">
        <v>60</v>
      </c>
      <c r="AL11">
        <f>Z11/Z$26</f>
        <v>49.650480481627405</v>
      </c>
      <c r="AM11">
        <f>AA11/AA$26</f>
        <v>0.14075351918299756</v>
      </c>
      <c r="AN11">
        <f>AB11/AB$26</f>
        <v>9.6368594815825368</v>
      </c>
      <c r="AO11">
        <f>AC11/AC$26</f>
        <v>40.402614571385833</v>
      </c>
      <c r="AP11">
        <f>AD11/AD$26</f>
        <v>9.4029880280993391E-2</v>
      </c>
      <c r="AQ11">
        <f>AE11/AE$26</f>
        <v>1.0749794913863821E-2</v>
      </c>
      <c r="AR11">
        <f>AF11/AF$26</f>
        <v>0.36587513935340027</v>
      </c>
      <c r="AS11">
        <f>AG11/AG$26</f>
        <v>3.1577499235707733E-2</v>
      </c>
      <c r="AT11">
        <v>99.935599999999994</v>
      </c>
      <c r="AU11" t="s">
        <v>16</v>
      </c>
    </row>
    <row r="12" spans="1:47">
      <c r="A12">
        <v>61</v>
      </c>
      <c r="B12" s="15">
        <v>50.07</v>
      </c>
      <c r="C12">
        <v>0.1356</v>
      </c>
      <c r="D12">
        <v>9.49</v>
      </c>
      <c r="E12">
        <v>39.69</v>
      </c>
      <c r="F12">
        <v>0.1028</v>
      </c>
      <c r="G12">
        <v>1.43E-2</v>
      </c>
      <c r="H12">
        <v>0.37809999999999999</v>
      </c>
      <c r="I12">
        <v>3.8199999999999998E-2</v>
      </c>
      <c r="J12">
        <v>99.9191</v>
      </c>
      <c r="K12" t="s">
        <v>16</v>
      </c>
      <c r="M12">
        <v>61</v>
      </c>
      <c r="N12">
        <f>B12/$B$26</f>
        <v>49.762511420452256</v>
      </c>
      <c r="O12">
        <f>C12/$C$26</f>
        <v>0.13245883337984932</v>
      </c>
      <c r="P12">
        <f>D12/D$26</f>
        <v>9.5289649018232829</v>
      </c>
      <c r="Q12">
        <f>E12/E$26</f>
        <v>40.407886340960502</v>
      </c>
      <c r="R12">
        <f>F12/F$26</f>
        <v>9.2928075461810561E-2</v>
      </c>
      <c r="S12">
        <f>G12/G$26</f>
        <v>1.4148409893992934E-2</v>
      </c>
      <c r="T12">
        <f>H12/H$26</f>
        <v>0.39017431320596851</v>
      </c>
      <c r="U12">
        <f>I12/I$26</f>
        <v>3.7904639175257729E-2</v>
      </c>
      <c r="V12">
        <f t="shared" si="0"/>
        <v>100.36697693435292</v>
      </c>
      <c r="Y12" s="21">
        <v>61</v>
      </c>
      <c r="Z12" s="15">
        <v>50.07</v>
      </c>
      <c r="AA12">
        <v>0.1356</v>
      </c>
      <c r="AB12">
        <v>9.49</v>
      </c>
      <c r="AC12">
        <v>39.69</v>
      </c>
      <c r="AD12">
        <v>0.1028</v>
      </c>
      <c r="AE12">
        <v>1.43E-2</v>
      </c>
      <c r="AF12">
        <v>0.37809999999999999</v>
      </c>
      <c r="AG12">
        <v>3.8199999999999998E-2</v>
      </c>
      <c r="AH12">
        <v>99.9191</v>
      </c>
      <c r="AI12" t="s">
        <v>16</v>
      </c>
      <c r="AK12" s="21">
        <v>61</v>
      </c>
      <c r="AL12">
        <f>Z12/Z$26</f>
        <v>49.749841058937051</v>
      </c>
      <c r="AM12">
        <f>AA12/AA$26</f>
        <v>0.13099641181341432</v>
      </c>
      <c r="AN12">
        <f>AB12/AB$26</f>
        <v>9.5066316507503412</v>
      </c>
      <c r="AO12">
        <f>AC12/AC$26</f>
        <v>40.392437590385477</v>
      </c>
      <c r="AP12">
        <f>AD12/AD$26</f>
        <v>9.3574750173147342E-2</v>
      </c>
      <c r="AQ12">
        <f>AE12/AE$26</f>
        <v>1.4780968006562756E-2</v>
      </c>
      <c r="AR12">
        <f>AF12/AF$26</f>
        <v>0.38990245261984396</v>
      </c>
      <c r="AS12">
        <f>AG12/AG$26</f>
        <v>3.8538673188627331E-2</v>
      </c>
      <c r="AT12">
        <v>99.9191</v>
      </c>
      <c r="AU12" t="s">
        <v>16</v>
      </c>
    </row>
    <row r="13" spans="1:47">
      <c r="A13">
        <v>89</v>
      </c>
      <c r="B13">
        <v>49.77</v>
      </c>
      <c r="C13">
        <v>0.1457</v>
      </c>
      <c r="D13">
        <v>9.5399999999999991</v>
      </c>
      <c r="E13">
        <v>40.18</v>
      </c>
      <c r="F13">
        <v>9.9099999999999994E-2</v>
      </c>
      <c r="G13">
        <v>2.1499999999999998E-2</v>
      </c>
      <c r="H13">
        <v>0.34010000000000001</v>
      </c>
      <c r="I13">
        <v>3.8899999999999997E-2</v>
      </c>
      <c r="J13">
        <v>100.1352</v>
      </c>
      <c r="K13" t="s">
        <v>16</v>
      </c>
      <c r="M13">
        <v>89</v>
      </c>
      <c r="N13">
        <f>B13/$B$26</f>
        <v>49.464353772636485</v>
      </c>
      <c r="O13">
        <f>C13/$C$26</f>
        <v>0.14232486742952835</v>
      </c>
      <c r="P13">
        <f>D13/D$26</f>
        <v>9.5791701963534361</v>
      </c>
      <c r="Q13">
        <f>E13/E$26</f>
        <v>40.906749135293346</v>
      </c>
      <c r="R13">
        <f>F13/F$26</f>
        <v>8.9583387920869895E-2</v>
      </c>
      <c r="S13">
        <f>G13/G$26</f>
        <v>2.1272084805653711E-2</v>
      </c>
      <c r="T13">
        <f>H13/H$26</f>
        <v>0.35096081439129834</v>
      </c>
      <c r="U13">
        <f>I13/I$26</f>
        <v>3.8599226804123705E-2</v>
      </c>
      <c r="V13">
        <f t="shared" si="0"/>
        <v>100.59301348563474</v>
      </c>
      <c r="Y13">
        <v>89</v>
      </c>
      <c r="Z13">
        <v>49.77</v>
      </c>
      <c r="AA13">
        <v>0.1457</v>
      </c>
      <c r="AB13">
        <v>9.5399999999999991</v>
      </c>
      <c r="AC13">
        <v>40.18</v>
      </c>
      <c r="AD13">
        <v>9.9099999999999994E-2</v>
      </c>
      <c r="AE13">
        <v>2.1499999999999998E-2</v>
      </c>
      <c r="AF13">
        <v>0.34010000000000001</v>
      </c>
      <c r="AG13">
        <v>3.8899999999999997E-2</v>
      </c>
      <c r="AH13">
        <v>100.1352</v>
      </c>
      <c r="AI13" t="s">
        <v>16</v>
      </c>
      <c r="AK13">
        <v>89</v>
      </c>
      <c r="AL13">
        <f>Z13/Z$26</f>
        <v>49.451759327008133</v>
      </c>
      <c r="AM13">
        <f>AA13/AA$26</f>
        <v>0.14075351918299756</v>
      </c>
      <c r="AN13">
        <f>AB13/AB$26</f>
        <v>9.5567192779934924</v>
      </c>
      <c r="AO13">
        <f>AC13/AC$26</f>
        <v>40.891109659402581</v>
      </c>
      <c r="AP13">
        <f>AD13/AD$26</f>
        <v>9.0206787375086583E-2</v>
      </c>
      <c r="AQ13">
        <f>AE13/AE$26</f>
        <v>2.2223133716160786E-2</v>
      </c>
      <c r="AR13">
        <f>AF13/AF$26</f>
        <v>0.35071627647714609</v>
      </c>
      <c r="AS13">
        <f>AG13/AG$26</f>
        <v>3.9244879241822073E-2</v>
      </c>
      <c r="AT13">
        <v>100.1352</v>
      </c>
      <c r="AU13" t="s">
        <v>16</v>
      </c>
    </row>
    <row r="14" spans="1:47">
      <c r="A14">
        <v>90</v>
      </c>
      <c r="B14">
        <v>49.77</v>
      </c>
      <c r="C14">
        <v>0.1421</v>
      </c>
      <c r="D14">
        <v>9.48</v>
      </c>
      <c r="E14">
        <v>40.340000000000003</v>
      </c>
      <c r="F14">
        <v>0.10199999999999999</v>
      </c>
      <c r="G14">
        <v>1.9300000000000001E-2</v>
      </c>
      <c r="H14" s="16">
        <v>0.28339999999999999</v>
      </c>
      <c r="I14">
        <v>3.0800000000000001E-2</v>
      </c>
      <c r="J14">
        <v>100.1675</v>
      </c>
      <c r="K14" t="s">
        <v>16</v>
      </c>
      <c r="M14">
        <v>90</v>
      </c>
      <c r="N14">
        <f>B14/$B$26</f>
        <v>49.464353772636485</v>
      </c>
      <c r="O14">
        <f>C14/$C$26</f>
        <v>0.13880826123360315</v>
      </c>
      <c r="P14">
        <f>D14/D$26</f>
        <v>9.5189238429172516</v>
      </c>
      <c r="Q14">
        <f>E14/E$26</f>
        <v>41.069643108953059</v>
      </c>
      <c r="R14">
        <f>F14/F$26</f>
        <v>9.2204899777282842E-2</v>
      </c>
      <c r="S14">
        <f>G14/G$26</f>
        <v>1.909540636042403E-2</v>
      </c>
      <c r="T14">
        <f>H14/H$26</f>
        <v>0.29245014642309303</v>
      </c>
      <c r="U14">
        <f>I14/I$26</f>
        <v>3.056185567010309E-2</v>
      </c>
      <c r="V14">
        <f t="shared" si="0"/>
        <v>100.62604129397131</v>
      </c>
      <c r="Y14">
        <v>90</v>
      </c>
      <c r="Z14">
        <v>49.77</v>
      </c>
      <c r="AA14">
        <v>0.1421</v>
      </c>
      <c r="AB14">
        <v>9.48</v>
      </c>
      <c r="AC14">
        <v>40.340000000000003</v>
      </c>
      <c r="AD14">
        <v>0.10199999999999999</v>
      </c>
      <c r="AE14">
        <v>1.9300000000000001E-2</v>
      </c>
      <c r="AF14" s="16">
        <v>0.28339999999999999</v>
      </c>
      <c r="AG14">
        <v>3.0800000000000001E-2</v>
      </c>
      <c r="AH14">
        <v>100.1675</v>
      </c>
      <c r="AI14" t="s">
        <v>16</v>
      </c>
      <c r="AK14">
        <v>90</v>
      </c>
      <c r="AL14">
        <f>Z14/Z$26</f>
        <v>49.451759327008133</v>
      </c>
      <c r="AM14">
        <f>AA14/AA$26</f>
        <v>0.13727573833839363</v>
      </c>
      <c r="AN14">
        <f>AB14/AB$26</f>
        <v>9.4966141253017113</v>
      </c>
      <c r="AO14">
        <f>AC14/AC$26</f>
        <v>41.05394135540817</v>
      </c>
      <c r="AP14">
        <f>AD14/AD$26</f>
        <v>9.2846542000593654E-2</v>
      </c>
      <c r="AQ14">
        <f>AE14/AE$26</f>
        <v>1.9949138638228055E-2</v>
      </c>
      <c r="AR14" s="16">
        <f>AF14/AF$26</f>
        <v>0.29224637681159421</v>
      </c>
      <c r="AS14">
        <f>AG14/AG$26</f>
        <v>3.1073066340568636E-2</v>
      </c>
      <c r="AT14">
        <v>100.1675</v>
      </c>
      <c r="AU14" t="s">
        <v>16</v>
      </c>
    </row>
    <row r="15" spans="1:47">
      <c r="A15">
        <v>91</v>
      </c>
      <c r="B15">
        <v>49.67</v>
      </c>
      <c r="C15">
        <v>0.1434</v>
      </c>
      <c r="D15">
        <v>9.3699999999999992</v>
      </c>
      <c r="E15">
        <v>40.22</v>
      </c>
      <c r="F15">
        <v>0.10150000000000001</v>
      </c>
      <c r="G15">
        <v>9.7999999999999997E-3</v>
      </c>
      <c r="H15">
        <v>0.35560000000000003</v>
      </c>
      <c r="I15">
        <v>2.9100000000000001E-2</v>
      </c>
      <c r="J15">
        <v>99.899500000000003</v>
      </c>
      <c r="K15" t="s">
        <v>16</v>
      </c>
      <c r="M15">
        <v>91</v>
      </c>
      <c r="N15">
        <f>B15/$B$26</f>
        <v>49.364967890031231</v>
      </c>
      <c r="O15">
        <f>C15/$C$26</f>
        <v>0.1400781468043539</v>
      </c>
      <c r="P15">
        <f>D15/D$26</f>
        <v>9.408472194950912</v>
      </c>
      <c r="Q15">
        <f>E15/E$26</f>
        <v>40.947472628708276</v>
      </c>
      <c r="R15">
        <f>F15/F$26</f>
        <v>9.1752914974453037E-2</v>
      </c>
      <c r="S15">
        <f>G15/G$26</f>
        <v>9.696113074204947E-3</v>
      </c>
      <c r="T15">
        <f>H15/H$26</f>
        <v>0.36695579417096647</v>
      </c>
      <c r="U15">
        <f>I15/I$26</f>
        <v>2.8874999999999998E-2</v>
      </c>
      <c r="V15">
        <f t="shared" si="0"/>
        <v>100.35827068271439</v>
      </c>
      <c r="Y15" s="21">
        <v>91</v>
      </c>
      <c r="Z15">
        <v>49.67</v>
      </c>
      <c r="AA15">
        <v>0.1434</v>
      </c>
      <c r="AB15">
        <v>9.3699999999999992</v>
      </c>
      <c r="AC15">
        <v>40.22</v>
      </c>
      <c r="AD15">
        <v>0.10150000000000001</v>
      </c>
      <c r="AE15">
        <v>9.7999999999999997E-3</v>
      </c>
      <c r="AF15">
        <v>0.35560000000000003</v>
      </c>
      <c r="AG15">
        <v>2.9100000000000001E-2</v>
      </c>
      <c r="AH15">
        <v>99.899500000000003</v>
      </c>
      <c r="AI15" t="s">
        <v>16</v>
      </c>
      <c r="AK15" s="21">
        <v>91</v>
      </c>
      <c r="AL15">
        <f>Z15/Z$26</f>
        <v>49.352398749698487</v>
      </c>
      <c r="AM15">
        <f>AA15/AA$26</f>
        <v>0.13853160364338948</v>
      </c>
      <c r="AN15">
        <f>AB15/AB$26</f>
        <v>9.3864213453667737</v>
      </c>
      <c r="AO15">
        <f>AC15/AC$26</f>
        <v>40.931817583403976</v>
      </c>
      <c r="AP15">
        <f>AD15/AD$26</f>
        <v>9.2391411892747619E-2</v>
      </c>
      <c r="AQ15">
        <f>AE15/AE$26</f>
        <v>1.0129614438063986E-2</v>
      </c>
      <c r="AR15">
        <f>AF15/AF$26</f>
        <v>0.36670011148272025</v>
      </c>
      <c r="AS15">
        <f>AG15/AG$26</f>
        <v>2.9357994497095689E-2</v>
      </c>
      <c r="AT15">
        <v>99.899500000000003</v>
      </c>
      <c r="AU15" t="s">
        <v>16</v>
      </c>
    </row>
    <row r="16" spans="1:47">
      <c r="A16">
        <v>126</v>
      </c>
      <c r="B16">
        <v>49.71</v>
      </c>
      <c r="C16">
        <v>0.13800000000000001</v>
      </c>
      <c r="D16">
        <v>9.56</v>
      </c>
      <c r="E16">
        <v>41.03</v>
      </c>
      <c r="F16">
        <v>0.10050000000000001</v>
      </c>
      <c r="G16">
        <v>1.7999999999999999E-2</v>
      </c>
      <c r="H16">
        <v>0.35880000000000001</v>
      </c>
      <c r="I16">
        <v>3.1600000000000003E-2</v>
      </c>
      <c r="J16">
        <v>100.9469</v>
      </c>
      <c r="K16" t="s">
        <v>16</v>
      </c>
      <c r="M16">
        <v>126</v>
      </c>
      <c r="N16">
        <f>B16/$B$26</f>
        <v>49.40472224307333</v>
      </c>
      <c r="O16">
        <f>C16/$C$26</f>
        <v>0.13480323751046611</v>
      </c>
      <c r="P16">
        <f>D16/D$26</f>
        <v>9.5992523141654988</v>
      </c>
      <c r="Q16">
        <f>E16/E$26</f>
        <v>41.772123370360532</v>
      </c>
      <c r="R16">
        <f>F16/F$26</f>
        <v>9.0848945368793399E-2</v>
      </c>
      <c r="S16">
        <f>G16/G$26</f>
        <v>1.7809187279151942E-2</v>
      </c>
      <c r="T16">
        <f>H16/H$26</f>
        <v>0.37025798354483341</v>
      </c>
      <c r="U16">
        <f>I16/I$26</f>
        <v>3.1355670103092786E-2</v>
      </c>
      <c r="V16">
        <f t="shared" si="0"/>
        <v>101.42117295140571</v>
      </c>
      <c r="Y16">
        <v>126</v>
      </c>
      <c r="Z16">
        <v>49.71</v>
      </c>
      <c r="AA16">
        <v>0.13800000000000001</v>
      </c>
      <c r="AB16">
        <v>9.56</v>
      </c>
      <c r="AC16">
        <v>41.03</v>
      </c>
      <c r="AD16">
        <v>0.10050000000000001</v>
      </c>
      <c r="AE16">
        <v>1.7999999999999999E-2</v>
      </c>
      <c r="AF16">
        <v>0.35880000000000001</v>
      </c>
      <c r="AG16">
        <v>3.1600000000000003E-2</v>
      </c>
      <c r="AH16">
        <v>100.9469</v>
      </c>
      <c r="AI16" t="s">
        <v>16</v>
      </c>
      <c r="AK16">
        <v>126</v>
      </c>
      <c r="AL16">
        <f>Z16/Z$26</f>
        <v>49.392142980622346</v>
      </c>
      <c r="AM16">
        <f>AA16/AA$26</f>
        <v>0.13331493237648362</v>
      </c>
      <c r="AN16">
        <f>AB16/AB$26</f>
        <v>9.5767543288907557</v>
      </c>
      <c r="AO16">
        <f>AC16/AC$26</f>
        <v>41.75615304443226</v>
      </c>
      <c r="AP16">
        <f>AD16/AD$26</f>
        <v>9.1481151677055519E-2</v>
      </c>
      <c r="AQ16">
        <f>AE16/AE$26</f>
        <v>1.8605414273995077E-2</v>
      </c>
      <c r="AR16">
        <f>AF16/AF$26</f>
        <v>0.37000000000000005</v>
      </c>
      <c r="AS16">
        <f>AG16/AG$26</f>
        <v>3.18801589727912E-2</v>
      </c>
      <c r="AT16">
        <v>100.9469</v>
      </c>
      <c r="AU16" t="s">
        <v>16</v>
      </c>
    </row>
    <row r="17" spans="1:47">
      <c r="A17">
        <v>127</v>
      </c>
      <c r="B17">
        <v>49.62</v>
      </c>
      <c r="C17">
        <v>0.14710000000000001</v>
      </c>
      <c r="D17">
        <v>9.43</v>
      </c>
      <c r="E17">
        <v>41.3</v>
      </c>
      <c r="F17">
        <v>0.1003</v>
      </c>
      <c r="G17">
        <v>9.7000000000000003E-3</v>
      </c>
      <c r="H17">
        <v>0.35489999999999999</v>
      </c>
      <c r="I17">
        <v>3.2399999999999998E-2</v>
      </c>
      <c r="J17">
        <v>100.9943</v>
      </c>
      <c r="K17" t="s">
        <v>16</v>
      </c>
      <c r="M17">
        <v>127</v>
      </c>
      <c r="N17">
        <f>B17/$B$26</f>
        <v>49.315274948728593</v>
      </c>
      <c r="O17">
        <f>C17/$C$26</f>
        <v>0.1436924365057215</v>
      </c>
      <c r="P17">
        <f>D17/D$26</f>
        <v>9.4687185483870966</v>
      </c>
      <c r="Q17">
        <f>E17/E$26</f>
        <v>42.047006950911275</v>
      </c>
      <c r="R17">
        <f>F17/F$26</f>
        <v>9.0668151447661466E-2</v>
      </c>
      <c r="S17">
        <f>G17/G$26</f>
        <v>9.597173144876325E-3</v>
      </c>
      <c r="T17">
        <f>H17/H$26</f>
        <v>0.36623344024543303</v>
      </c>
      <c r="U17">
        <f>I17/I$26</f>
        <v>3.2149484536082469E-2</v>
      </c>
      <c r="V17">
        <f t="shared" si="0"/>
        <v>101.47334113390674</v>
      </c>
      <c r="Y17">
        <v>127</v>
      </c>
      <c r="Z17">
        <v>49.62</v>
      </c>
      <c r="AA17">
        <v>0.14710000000000001</v>
      </c>
      <c r="AB17">
        <v>9.43</v>
      </c>
      <c r="AC17">
        <v>41.3</v>
      </c>
      <c r="AD17">
        <v>0.1003</v>
      </c>
      <c r="AE17">
        <v>9.7000000000000003E-3</v>
      </c>
      <c r="AF17">
        <v>0.35489999999999999</v>
      </c>
      <c r="AG17">
        <v>3.2399999999999998E-2</v>
      </c>
      <c r="AH17">
        <v>100.9943</v>
      </c>
      <c r="AI17" t="s">
        <v>16</v>
      </c>
      <c r="AK17">
        <v>127</v>
      </c>
      <c r="AL17">
        <f>Z17/Z$26</f>
        <v>49.302718461043661</v>
      </c>
      <c r="AM17">
        <f>AA17/AA$26</f>
        <v>0.14210598951145464</v>
      </c>
      <c r="AN17">
        <f>AB17/AB$26</f>
        <v>9.4465264980585584</v>
      </c>
      <c r="AO17">
        <f>AC17/AC$26</f>
        <v>42.030931531441681</v>
      </c>
      <c r="AP17">
        <f>AD17/AD$26</f>
        <v>9.1299099633917094E-2</v>
      </c>
      <c r="AQ17">
        <f>AE17/AE$26</f>
        <v>1.0026251025430682E-2</v>
      </c>
      <c r="AR17">
        <f>AF17/AF$26</f>
        <v>0.36597826086956525</v>
      </c>
      <c r="AS17">
        <f>AG17/AG$26</f>
        <v>3.2687251605013755E-2</v>
      </c>
      <c r="AT17">
        <v>100.9943</v>
      </c>
      <c r="AU17" t="s">
        <v>16</v>
      </c>
    </row>
    <row r="18" spans="1:47">
      <c r="A18">
        <v>128</v>
      </c>
      <c r="B18">
        <v>49.47</v>
      </c>
      <c r="C18">
        <v>0.14080000000000001</v>
      </c>
      <c r="D18">
        <v>9.42</v>
      </c>
      <c r="E18">
        <v>41.28</v>
      </c>
      <c r="F18">
        <v>0.1042</v>
      </c>
      <c r="G18">
        <v>1.52E-2</v>
      </c>
      <c r="H18">
        <v>0.36399999999999999</v>
      </c>
      <c r="I18" s="16">
        <v>4.3799999999999999E-2</v>
      </c>
      <c r="J18">
        <v>100.8379</v>
      </c>
      <c r="K18" t="s">
        <v>16</v>
      </c>
      <c r="M18">
        <v>128</v>
      </c>
      <c r="N18">
        <f>B18/$B$26</f>
        <v>49.166196124820708</v>
      </c>
      <c r="O18">
        <f>C18/$C$26</f>
        <v>0.13753837566285237</v>
      </c>
      <c r="P18">
        <f>D18/D$26</f>
        <v>9.458677489481067</v>
      </c>
      <c r="Q18">
        <f>E18/E$26</f>
        <v>42.026645204203817</v>
      </c>
      <c r="R18">
        <f>F18/F$26</f>
        <v>9.4193632909734051E-2</v>
      </c>
      <c r="S18">
        <f>G18/G$26</f>
        <v>1.5038869257950531E-2</v>
      </c>
      <c r="T18">
        <f>H18/H$26</f>
        <v>0.3756240412773672</v>
      </c>
      <c r="U18">
        <f>I18/I$26</f>
        <v>4.3461340206185563E-2</v>
      </c>
      <c r="V18">
        <f t="shared" si="0"/>
        <v>101.31737507781966</v>
      </c>
      <c r="Y18" s="21">
        <v>128</v>
      </c>
      <c r="Z18">
        <v>49.47</v>
      </c>
      <c r="AA18">
        <v>0.14080000000000001</v>
      </c>
      <c r="AB18">
        <v>9.42</v>
      </c>
      <c r="AC18">
        <v>41.28</v>
      </c>
      <c r="AD18">
        <v>0.1042</v>
      </c>
      <c r="AE18">
        <v>1.52E-2</v>
      </c>
      <c r="AF18">
        <v>0.36399999999999999</v>
      </c>
      <c r="AG18" s="16">
        <v>4.3799999999999999E-2</v>
      </c>
      <c r="AH18">
        <v>100.8379</v>
      </c>
      <c r="AI18" t="s">
        <v>16</v>
      </c>
      <c r="AK18" s="21">
        <v>128</v>
      </c>
      <c r="AL18">
        <f>Z18/Z$26</f>
        <v>49.153677595079202</v>
      </c>
      <c r="AM18">
        <f>AA18/AA$26</f>
        <v>0.13601987303339777</v>
      </c>
      <c r="AN18">
        <f>AB18/AB$26</f>
        <v>9.4365089726099285</v>
      </c>
      <c r="AO18">
        <f>AC18/AC$26</f>
        <v>42.010577569440983</v>
      </c>
      <c r="AP18">
        <f>AD18/AD$26</f>
        <v>9.4849114475116264E-2</v>
      </c>
      <c r="AQ18">
        <f>AE18/AE$26</f>
        <v>1.5711238720262512E-2</v>
      </c>
      <c r="AR18">
        <f>AF18/AF$26</f>
        <v>0.37536231884057975</v>
      </c>
      <c r="AS18" s="16">
        <f>AG18/AG$26</f>
        <v>4.4188321614185261E-2</v>
      </c>
      <c r="AT18">
        <v>100.8379</v>
      </c>
      <c r="AU18" t="s">
        <v>16</v>
      </c>
    </row>
    <row r="19" spans="1:47">
      <c r="A19" s="5" t="s">
        <v>8727</v>
      </c>
      <c r="B19" s="5">
        <v>49.429900000000004</v>
      </c>
      <c r="C19" s="6">
        <v>0.14000000000000001</v>
      </c>
      <c r="D19" s="5">
        <v>9.5457000000000001</v>
      </c>
      <c r="E19" s="5">
        <v>40.815800000000003</v>
      </c>
      <c r="F19" s="6">
        <v>9.1999999999999998E-2</v>
      </c>
      <c r="G19" s="6">
        <v>1.4E-2</v>
      </c>
      <c r="H19" s="7">
        <v>0.37</v>
      </c>
      <c r="I19" s="6">
        <v>3.3000000000000002E-2</v>
      </c>
      <c r="M19" s="5" t="s">
        <v>8727</v>
      </c>
      <c r="N19" s="5">
        <v>49.429900000000004</v>
      </c>
      <c r="O19" s="6">
        <v>0.14000000000000001</v>
      </c>
      <c r="P19" s="5">
        <v>9.5457000000000001</v>
      </c>
      <c r="Q19" s="5">
        <v>40.815800000000003</v>
      </c>
      <c r="R19" s="6">
        <v>9.1999999999999998E-2</v>
      </c>
      <c r="S19" s="6">
        <v>1.4E-2</v>
      </c>
      <c r="T19" s="7">
        <v>0.37</v>
      </c>
      <c r="U19" s="6">
        <v>3.3000000000000002E-2</v>
      </c>
      <c r="Y19" s="5" t="s">
        <v>8727</v>
      </c>
      <c r="Z19" s="5">
        <v>49.429900000000004</v>
      </c>
      <c r="AA19" s="6">
        <v>0.14000000000000001</v>
      </c>
      <c r="AB19" s="5">
        <v>9.5457000000000001</v>
      </c>
      <c r="AC19" s="5">
        <v>40.815800000000003</v>
      </c>
      <c r="AD19" s="6">
        <v>9.1999999999999998E-2</v>
      </c>
      <c r="AE19" s="6">
        <v>1.4E-2</v>
      </c>
      <c r="AF19" s="7">
        <v>0.37</v>
      </c>
      <c r="AG19" s="6">
        <v>3.3000000000000002E-2</v>
      </c>
      <c r="AK19" s="5" t="s">
        <v>8727</v>
      </c>
      <c r="AL19" s="5">
        <v>49.429900000000004</v>
      </c>
      <c r="AM19" s="6">
        <v>0.14000000000000001</v>
      </c>
      <c r="AN19" s="5">
        <v>9.5457000000000001</v>
      </c>
      <c r="AO19" s="5">
        <v>40.815800000000003</v>
      </c>
      <c r="AP19" s="6">
        <v>9.1999999999999998E-2</v>
      </c>
      <c r="AQ19" s="6">
        <v>1.4E-2</v>
      </c>
      <c r="AR19" s="7">
        <v>0.37</v>
      </c>
      <c r="AS19" s="6">
        <v>3.3000000000000002E-2</v>
      </c>
    </row>
    <row r="21" spans="1:47">
      <c r="A21" t="s">
        <v>132</v>
      </c>
      <c r="B21">
        <f>AVERAGE(B4:B12,B13:B18)</f>
        <v>49.735333333333337</v>
      </c>
      <c r="C21">
        <f>AVERAGE(C4:C18)</f>
        <v>0.14332</v>
      </c>
      <c r="D21">
        <f t="shared" ref="D21:F21" si="1">AVERAGE(D4:D18)</f>
        <v>9.5066666666666659</v>
      </c>
      <c r="E21">
        <f t="shared" si="1"/>
        <v>40.090666666666657</v>
      </c>
      <c r="F21">
        <f t="shared" si="1"/>
        <v>0.10177333333333334</v>
      </c>
      <c r="G21">
        <f>AVERAGE(G5:G18)</f>
        <v>1.4149999999999999E-2</v>
      </c>
      <c r="H21">
        <f>AVERAGE(H4:H13,H15:H18)</f>
        <v>0.35854999999999998</v>
      </c>
      <c r="I21">
        <f>AVERAGE(I4:I17)</f>
        <v>3.325714285714286E-2</v>
      </c>
      <c r="N21" s="4"/>
      <c r="O21" s="4"/>
      <c r="P21" s="4"/>
      <c r="Q21" s="4"/>
      <c r="R21" s="4"/>
      <c r="S21" s="4"/>
      <c r="T21" s="4"/>
      <c r="U21" s="4"/>
      <c r="V21" s="4"/>
      <c r="Y21" t="s">
        <v>132</v>
      </c>
      <c r="Z21">
        <f>AVERAGE(Z4:Z5,Z7:Z8,Z10:Z11,Z13:Z14,Z16:Z17)</f>
        <v>49.747999999999998</v>
      </c>
      <c r="AA21">
        <f>AVERAGE(AA4:AA5,AA7:AA8,AA10:AA11,AA13:AA14,AA16:AA17)</f>
        <v>0.14491999999999999</v>
      </c>
      <c r="AB21">
        <f>AVERAGE(AB4:AB5,AB7:AB8,AB10:AB11,AB13:AB14,AB16:AB17)</f>
        <v>9.5289999999999999</v>
      </c>
      <c r="AC21">
        <f>AVERAGE(AC4:AC5,AC7:AC8,AC10:AC11,AC13:AC14,AC16:AC17)</f>
        <v>40.106000000000002</v>
      </c>
      <c r="AD21">
        <f>AVERAGE(AD4:AD5,AD7:AD8,AD10:AD11,AD13:AD14,AD16:AD17)</f>
        <v>0.10106999999999999</v>
      </c>
      <c r="AE21">
        <f>AVERAGE(AE5,AE7:AE8,AE10:AE11,AE13:AE14,AE16:AE17)</f>
        <v>1.3544444444444444E-2</v>
      </c>
      <c r="AF21">
        <f>AVERAGE(AF4:AF5,AF7:AF8,AF10:AF11,AF13,AF16:AF17)</f>
        <v>0.35879999999999995</v>
      </c>
      <c r="AG21">
        <f>AVERAGE(AG4:AG5,AG7:AG8,AG10:AG11,AG13:AG14,AG16:AG17)</f>
        <v>3.2710000000000003E-2</v>
      </c>
      <c r="AK21" t="s">
        <v>8745</v>
      </c>
      <c r="AL21">
        <f>AVERAGE(AL4:AL5,AL7:AL8,AL10:AL11,AL13:AL14,AL16:AL17)</f>
        <v>49.429900000000004</v>
      </c>
      <c r="AM21">
        <f>AVERAGE(AM4:AM5,AM7:AM8,AM10:AM11,AM13:AM14,AM16:AM17)</f>
        <v>0.14000000000000007</v>
      </c>
      <c r="AN21">
        <f>AVERAGE(AN4:AN5,AN7:AN8,AN10:AN11,AN13:AN14,AN16:AN17)</f>
        <v>9.5457000000000001</v>
      </c>
      <c r="AO21">
        <f>AVERAGE(AO4:AO5,AO7:AO8,AO10:AO11,AO13:AO14,AO16:AO17)</f>
        <v>40.81580000000001</v>
      </c>
      <c r="AP21">
        <f>AVERAGE(AP4:AP5,AP7:AP8,AP10:AP11,AP13:AP14,AP16:AP17)</f>
        <v>9.2000000000000012E-2</v>
      </c>
      <c r="AQ21">
        <f>AVERAGE(AQ5,AQ7:AQ8,AQ10:AQ11,AQ13:AQ14,AQ16:AQ17)</f>
        <v>1.4E-2</v>
      </c>
      <c r="AR21">
        <f>AVERAGE(AR4:AR5,AR7:AR8,AR10:AR11,AR13,AR16:AR17)</f>
        <v>0.37</v>
      </c>
      <c r="AS21">
        <f>AVERAGE(AS4:AS5,AS7:AS8,AS10:AS11,AS13:AS14,AS16:AS17)</f>
        <v>3.2999999999999995E-2</v>
      </c>
    </row>
    <row r="22" spans="1:47">
      <c r="A22" t="s">
        <v>8734</v>
      </c>
      <c r="B22" s="18">
        <f>STDEV(B4:B18)</f>
        <v>0.14317155876114257</v>
      </c>
      <c r="C22" s="18">
        <f t="shared" ref="C22:F22" si="2">STDEV(C4:C18)</f>
        <v>4.2340794243174691E-3</v>
      </c>
      <c r="D22" s="18">
        <f t="shared" si="2"/>
        <v>7.047458170621991E-2</v>
      </c>
      <c r="E22" s="18">
        <f t="shared" si="2"/>
        <v>0.62826821691133827</v>
      </c>
      <c r="F22" s="18">
        <f t="shared" si="2"/>
        <v>2.0182972549958583E-3</v>
      </c>
      <c r="G22" s="18">
        <f>STDEV(G5:G18)</f>
        <v>4.9297760910301316E-3</v>
      </c>
      <c r="H22" s="18">
        <f>STDEV(H4:H13,H15:H18)</f>
        <v>1.1582065047703314E-2</v>
      </c>
      <c r="I22" s="18">
        <f>STDEV(I4:I17)</f>
        <v>2.8944812968858466E-3</v>
      </c>
      <c r="N22" s="11"/>
      <c r="O22" s="11"/>
      <c r="P22" s="11"/>
      <c r="Q22" s="11"/>
      <c r="R22" s="11"/>
      <c r="S22" s="11"/>
      <c r="T22" s="11"/>
      <c r="U22" s="11"/>
      <c r="Y22" t="s">
        <v>8734</v>
      </c>
      <c r="Z22">
        <f>STDEV(Z4:Z11,Z13:Z18)</f>
        <v>0.11333117860481345</v>
      </c>
      <c r="AA22">
        <f t="shared" ref="AA22:AD22" si="3">STDEV(AA4:AA18)</f>
        <v>4.2340794243174691E-3</v>
      </c>
      <c r="AB22">
        <f t="shared" si="3"/>
        <v>7.047458170621991E-2</v>
      </c>
      <c r="AC22">
        <f t="shared" si="3"/>
        <v>0.62826821691133827</v>
      </c>
      <c r="AD22">
        <f t="shared" si="3"/>
        <v>2.0182972549958583E-3</v>
      </c>
      <c r="AE22">
        <f>STDEV(AE5:AE18)</f>
        <v>4.9297760910301316E-3</v>
      </c>
      <c r="AF22">
        <f>STDEV(AF4:AF13,AF15:AF18)</f>
        <v>1.1582065047703314E-2</v>
      </c>
      <c r="AG22">
        <f>STDEV(AG4:AG17)</f>
        <v>2.8944812968858466E-3</v>
      </c>
      <c r="AK22" t="s">
        <v>8746</v>
      </c>
      <c r="AL22" s="18">
        <f>AVERAGE(AL6,AL9,AL12,AL15,AL18)</f>
        <v>49.392142980622339</v>
      </c>
      <c r="AM22" s="18">
        <f t="shared" ref="AM22:AP22" si="4">AVERAGE(AM6,AM9,AM12,AM15,AM18)</f>
        <v>0.13536295887386146</v>
      </c>
      <c r="AN22" s="18">
        <f t="shared" si="4"/>
        <v>9.4785825794941765</v>
      </c>
      <c r="AO22" s="18">
        <f t="shared" si="4"/>
        <v>40.768985887398394</v>
      </c>
      <c r="AP22" s="18">
        <f t="shared" si="4"/>
        <v>9.3920649055110356E-2</v>
      </c>
      <c r="AQ22" s="18">
        <f>AVERAGE(AQ6,AQ9,AQ12,AQ15,AQ18)</f>
        <v>1.5752584085315834E-2</v>
      </c>
      <c r="AR22" s="18">
        <f>AVERAGE(AR6,AR9,AR12,AR15,AR18)</f>
        <v>0.36927814938684506</v>
      </c>
      <c r="AS22" s="18">
        <f>AVERAGE(AS6,AS9,AS12,AS15)</f>
        <v>3.4931977988382761E-2</v>
      </c>
    </row>
    <row r="23" spans="1:47">
      <c r="A23" t="s">
        <v>8747</v>
      </c>
      <c r="B23" s="24">
        <f>2*B22</f>
        <v>0.28634311752228514</v>
      </c>
      <c r="C23" s="24">
        <f t="shared" ref="C23:I23" si="5">2*C22</f>
        <v>8.4681588486349383E-3</v>
      </c>
      <c r="D23" s="24">
        <f t="shared" si="5"/>
        <v>0.14094916341243982</v>
      </c>
      <c r="E23" s="24">
        <f t="shared" si="5"/>
        <v>1.2565364338226765</v>
      </c>
      <c r="F23" s="24">
        <f t="shared" si="5"/>
        <v>4.0365945099917165E-3</v>
      </c>
      <c r="G23" s="24">
        <f t="shared" si="5"/>
        <v>9.8595521820602633E-3</v>
      </c>
      <c r="H23" s="24">
        <f t="shared" si="5"/>
        <v>2.3164130095406629E-2</v>
      </c>
      <c r="I23" s="24">
        <f t="shared" si="5"/>
        <v>5.7889625937716932E-3</v>
      </c>
      <c r="N23" s="11"/>
      <c r="O23" s="11"/>
      <c r="P23" s="11"/>
      <c r="Q23" s="11"/>
      <c r="R23" s="11"/>
      <c r="S23" s="11"/>
      <c r="T23" s="11"/>
      <c r="U23" s="11"/>
      <c r="AK23" t="s">
        <v>8734</v>
      </c>
      <c r="AL23">
        <f>STDEV(AL4:AL11,AL13:AL18)</f>
        <v>0.11260651333356292</v>
      </c>
      <c r="AM23">
        <f>STDEV(AM4:AM18)</f>
        <v>4.0903334212285848E-3</v>
      </c>
      <c r="AN23">
        <f>STDEV(AN4:AN18)</f>
        <v>7.0598091572364768E-2</v>
      </c>
      <c r="AO23">
        <f>STDEV(AO4:AO18)</f>
        <v>0.63938737066298901</v>
      </c>
      <c r="AP23">
        <f>STDEV(AP4:AP18)</f>
        <v>1.8371756946632921E-3</v>
      </c>
      <c r="AQ23">
        <f>STDEV(AQ5:AQ18)</f>
        <v>5.0955848028695454E-3</v>
      </c>
      <c r="AR23">
        <f>STDEV(AR4:AR13,AR15:AR18)</f>
        <v>1.1943601080407545E-2</v>
      </c>
      <c r="AS23">
        <f>STDEV(AS4:AS17)</f>
        <v>2.9201431610282168E-3</v>
      </c>
    </row>
    <row r="24" spans="1:47">
      <c r="A24" t="s">
        <v>8743</v>
      </c>
      <c r="B24" s="9">
        <v>7.6384980300718476E-4</v>
      </c>
      <c r="C24" s="9">
        <v>3.3121722329561086E-2</v>
      </c>
      <c r="D24" s="9">
        <v>7.0311680134326022E-3</v>
      </c>
      <c r="E24" s="9">
        <v>1.1469605545305808E-3</v>
      </c>
      <c r="F24" s="9">
        <v>2.0876620164243014E-2</v>
      </c>
      <c r="G24" s="9">
        <v>0.12518457752255957</v>
      </c>
      <c r="H24" s="9">
        <v>1.9509476031214583E-3</v>
      </c>
      <c r="I24" s="9">
        <v>5.8544787526750269E-2</v>
      </c>
      <c r="N24" s="8"/>
      <c r="O24" s="8"/>
      <c r="P24" s="8"/>
      <c r="Q24" s="8"/>
      <c r="R24" s="8"/>
      <c r="S24" s="8"/>
      <c r="T24" s="8"/>
      <c r="U24" s="8"/>
      <c r="AK24" t="s">
        <v>8743</v>
      </c>
      <c r="AL24" s="18">
        <f>ABS(AL22-AL19)/AL19</f>
        <v>7.6384980300718476E-4</v>
      </c>
      <c r="AM24" s="18">
        <f>ABS(AM22-AM19)/AM19</f>
        <v>3.3121722329561086E-2</v>
      </c>
      <c r="AN24" s="18">
        <f>ABS(AN22-AN19)/AN19</f>
        <v>7.0311680134326022E-3</v>
      </c>
      <c r="AO24" s="18">
        <f>ABS(AO22-AO19)/AO19</f>
        <v>1.1469605545305808E-3</v>
      </c>
      <c r="AP24" s="18">
        <f>ABS(AP22-AP19)/AP19</f>
        <v>2.0876620164243014E-2</v>
      </c>
      <c r="AQ24" s="18">
        <f>ABS(AQ22-AQ19)/AQ19</f>
        <v>0.12518457752255957</v>
      </c>
      <c r="AR24" s="18">
        <f>ABS(AR22-AR19)/AR19</f>
        <v>1.9509476031214583E-3</v>
      </c>
      <c r="AS24" s="18">
        <f>ABS(AS22-AS19)/AS19</f>
        <v>5.8544787526750269E-2</v>
      </c>
    </row>
    <row r="25" spans="1:47">
      <c r="A25" t="s">
        <v>8737</v>
      </c>
      <c r="B25" s="22">
        <f>B23/B21</f>
        <v>5.7573378588451898E-3</v>
      </c>
      <c r="C25" s="22">
        <f>C23/C21</f>
        <v>5.9085674355532643E-2</v>
      </c>
      <c r="D25" s="22">
        <f>D23/D21</f>
        <v>1.4826349587563797E-2</v>
      </c>
      <c r="E25" s="22">
        <f>E23/E21</f>
        <v>3.1342368144439525E-2</v>
      </c>
      <c r="F25" s="22">
        <f>F23/F21</f>
        <v>3.9662595080489811E-2</v>
      </c>
      <c r="G25" s="22">
        <f>G23/G21</f>
        <v>0.69678814007493028</v>
      </c>
      <c r="H25" s="22">
        <f>H23/H21</f>
        <v>6.4605020486422055E-2</v>
      </c>
      <c r="I25" s="22">
        <f>I23/I21</f>
        <v>0.17406674465808356</v>
      </c>
      <c r="N25" s="8"/>
      <c r="O25" s="8"/>
      <c r="P25" s="8"/>
      <c r="Q25" s="8"/>
      <c r="R25" s="8"/>
      <c r="S25" s="8"/>
      <c r="T25" s="8"/>
      <c r="U25" s="8"/>
      <c r="AL25" s="18"/>
      <c r="AM25" s="18"/>
      <c r="AN25" s="18"/>
      <c r="AO25" s="18"/>
      <c r="AP25" s="18"/>
      <c r="AQ25" s="18"/>
      <c r="AR25" s="18"/>
      <c r="AS25" s="18"/>
    </row>
    <row r="26" spans="1:47">
      <c r="A26" t="s">
        <v>8735</v>
      </c>
      <c r="B26" s="23">
        <f>B21/B19</f>
        <v>1.0061791210043585</v>
      </c>
      <c r="C26" s="23">
        <f>C21/C19</f>
        <v>1.0237142857142856</v>
      </c>
      <c r="D26" s="23">
        <f>D21/D19</f>
        <v>0.99591089879911021</v>
      </c>
      <c r="E26" s="23">
        <f>E21/E19</f>
        <v>0.98223400415198658</v>
      </c>
      <c r="F26" s="23">
        <f>F21/F19</f>
        <v>1.106231884057971</v>
      </c>
      <c r="G26" s="23">
        <f>G21/G19</f>
        <v>1.0107142857142857</v>
      </c>
      <c r="H26" s="23">
        <f>H21/H19</f>
        <v>0.96905405405405398</v>
      </c>
      <c r="I26" s="23">
        <f>I21/I19</f>
        <v>1.0077922077922079</v>
      </c>
      <c r="M26" s="12"/>
      <c r="N26" s="13"/>
      <c r="O26" s="13"/>
      <c r="P26" s="13"/>
      <c r="Q26" s="13"/>
      <c r="R26" s="13"/>
      <c r="S26" s="13"/>
      <c r="T26" s="13"/>
      <c r="U26" s="13"/>
      <c r="Y26" t="s">
        <v>8735</v>
      </c>
      <c r="Z26" s="17">
        <f>Z21/Z19</f>
        <v>1.0064353761589644</v>
      </c>
      <c r="AA26" s="18">
        <f>AA21/AA19</f>
        <v>1.0351428571428569</v>
      </c>
      <c r="AB26" s="18">
        <f>AB21/AB19</f>
        <v>0.99825052117707447</v>
      </c>
      <c r="AC26" s="17">
        <f>AC21/AC19</f>
        <v>0.98260967566481605</v>
      </c>
      <c r="AD26" s="17">
        <f>AD21/AD19</f>
        <v>1.098586956521739</v>
      </c>
      <c r="AE26" s="18">
        <f>AE21/AE19</f>
        <v>0.96746031746031746</v>
      </c>
      <c r="AF26" s="18">
        <f>AF21/AF19</f>
        <v>0.96972972972972959</v>
      </c>
      <c r="AG26" s="18">
        <f>AG21/AG19</f>
        <v>0.99121212121212121</v>
      </c>
      <c r="AK26" s="15"/>
      <c r="AL26" s="23"/>
      <c r="AM26" s="23"/>
      <c r="AN26" s="23"/>
      <c r="AO26" s="23"/>
      <c r="AP26" s="23"/>
      <c r="AQ26" s="23"/>
      <c r="AR26" s="23"/>
      <c r="AS26" s="23"/>
    </row>
    <row r="27" spans="1:47">
      <c r="B27" s="20"/>
      <c r="C27" s="20"/>
      <c r="D27" s="20"/>
      <c r="E27" s="20"/>
      <c r="F27" s="20"/>
      <c r="G27" s="20"/>
      <c r="H27" s="20"/>
      <c r="I27" s="20"/>
      <c r="N27" s="8"/>
      <c r="O27" s="8"/>
      <c r="P27" s="8"/>
      <c r="Q27" s="8"/>
      <c r="R27" s="8"/>
      <c r="S27" s="8"/>
      <c r="T27" s="8"/>
      <c r="U27" s="8"/>
      <c r="Z27" s="20"/>
      <c r="AA27" s="20"/>
      <c r="AB27" s="20"/>
      <c r="AC27" s="20"/>
      <c r="AD27" s="20"/>
      <c r="AE27" s="20"/>
      <c r="AF27" s="20"/>
      <c r="AG27" s="20"/>
      <c r="AL27" s="20"/>
      <c r="AM27" s="20"/>
      <c r="AN27" s="20"/>
      <c r="AO27" s="20"/>
      <c r="AP27" s="20"/>
      <c r="AQ27" s="20"/>
      <c r="AR27" s="20"/>
      <c r="AS27" s="20"/>
    </row>
    <row r="30" spans="1:47">
      <c r="A30" s="19"/>
      <c r="Y30" s="19"/>
      <c r="AK30" s="19"/>
    </row>
    <row r="31" spans="1:47">
      <c r="A31" s="19"/>
      <c r="Y31" s="19"/>
      <c r="AK31" s="19"/>
    </row>
    <row r="32" spans="1:47">
      <c r="A32" s="19"/>
      <c r="Y32" s="19"/>
      <c r="AK32" s="19"/>
    </row>
    <row r="33" spans="1:39">
      <c r="A33" s="19"/>
      <c r="Y33" s="19"/>
      <c r="AK33" s="19"/>
    </row>
    <row r="34" spans="1:39">
      <c r="A34" s="19"/>
      <c r="Y34" s="19"/>
      <c r="AK34" s="19"/>
    </row>
    <row r="35" spans="1:39">
      <c r="A35" s="19"/>
      <c r="C35" s="15"/>
      <c r="Y35" s="19"/>
      <c r="AA35" s="15"/>
      <c r="AK35" s="19"/>
      <c r="AM35" s="15"/>
    </row>
    <row r="36" spans="1:39">
      <c r="A36" s="19"/>
      <c r="Y36" s="19"/>
      <c r="AK36" s="19"/>
    </row>
    <row r="37" spans="1:39">
      <c r="A37" s="19"/>
      <c r="Y37" s="19"/>
      <c r="AK37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CB2D-442A-4641-B8FE-CE6FB71E73A3}">
  <dimension ref="A1:F138"/>
  <sheetViews>
    <sheetView workbookViewId="0">
      <selection activeCell="B5" sqref="B5:C5"/>
    </sheetView>
  </sheetViews>
  <sheetFormatPr defaultColWidth="10.90625" defaultRowHeight="15"/>
  <cols>
    <col min="2" max="2" width="17.453125" bestFit="1" customWidth="1"/>
    <col min="3" max="3" width="19.453125" bestFit="1" customWidth="1"/>
    <col min="5" max="5" width="19.6328125" bestFit="1" customWidth="1"/>
  </cols>
  <sheetData>
    <row r="1" spans="1:6">
      <c r="A1" t="s">
        <v>0</v>
      </c>
    </row>
    <row r="2" spans="1:6">
      <c r="A2" t="s">
        <v>135</v>
      </c>
      <c r="B2" t="s">
        <v>2</v>
      </c>
      <c r="C2" t="s">
        <v>3</v>
      </c>
      <c r="D2" t="s">
        <v>4</v>
      </c>
      <c r="E2">
        <v>1</v>
      </c>
      <c r="F2" t="s">
        <v>0</v>
      </c>
    </row>
    <row r="3" spans="1:6">
      <c r="A3" t="s">
        <v>0</v>
      </c>
    </row>
    <row r="4" spans="1:6">
      <c r="A4" t="s">
        <v>5</v>
      </c>
      <c r="B4" t="s">
        <v>136</v>
      </c>
      <c r="C4" t="s">
        <v>137</v>
      </c>
      <c r="D4" t="s">
        <v>14</v>
      </c>
      <c r="E4" t="s">
        <v>15</v>
      </c>
    </row>
    <row r="5" spans="1:6">
      <c r="A5">
        <v>1</v>
      </c>
      <c r="B5">
        <v>90.277199999999993</v>
      </c>
      <c r="C5">
        <v>9.7227999999999994</v>
      </c>
      <c r="D5">
        <f>SUM(B5:C5)</f>
        <v>100</v>
      </c>
      <c r="E5" t="s">
        <v>16</v>
      </c>
    </row>
    <row r="6" spans="1:6">
      <c r="A6">
        <v>2</v>
      </c>
      <c r="B6">
        <v>90.207599999999999</v>
      </c>
      <c r="C6">
        <v>9.7925000000000004</v>
      </c>
      <c r="D6">
        <f t="shared" ref="D6:D69" si="0">SUM(B6:C6)</f>
        <v>100.0001</v>
      </c>
      <c r="E6" t="s">
        <v>16</v>
      </c>
    </row>
    <row r="7" spans="1:6">
      <c r="A7">
        <v>3</v>
      </c>
      <c r="B7">
        <v>90.302099999999996</v>
      </c>
      <c r="C7">
        <v>9.6979000000000006</v>
      </c>
      <c r="D7">
        <f t="shared" si="0"/>
        <v>100</v>
      </c>
      <c r="E7" t="s">
        <v>16</v>
      </c>
    </row>
    <row r="8" spans="1:6">
      <c r="A8">
        <v>4</v>
      </c>
      <c r="B8">
        <v>84.975800000000007</v>
      </c>
      <c r="C8">
        <v>15.0242</v>
      </c>
      <c r="D8">
        <f t="shared" si="0"/>
        <v>100</v>
      </c>
      <c r="E8" t="s">
        <v>17</v>
      </c>
    </row>
    <row r="9" spans="1:6">
      <c r="A9">
        <v>5</v>
      </c>
      <c r="B9">
        <v>84.558000000000007</v>
      </c>
      <c r="C9">
        <v>15.442</v>
      </c>
      <c r="D9">
        <f t="shared" si="0"/>
        <v>100</v>
      </c>
      <c r="E9" t="s">
        <v>18</v>
      </c>
    </row>
    <row r="10" spans="1:6">
      <c r="A10">
        <v>6</v>
      </c>
      <c r="B10">
        <v>85.564700000000002</v>
      </c>
      <c r="C10">
        <v>14.4353</v>
      </c>
      <c r="D10">
        <f t="shared" si="0"/>
        <v>100</v>
      </c>
      <c r="E10" t="s">
        <v>19</v>
      </c>
    </row>
    <row r="11" spans="1:6">
      <c r="A11">
        <v>7</v>
      </c>
      <c r="B11">
        <v>83.952399999999997</v>
      </c>
      <c r="C11">
        <v>16.047599999999999</v>
      </c>
      <c r="D11">
        <f t="shared" si="0"/>
        <v>100</v>
      </c>
      <c r="E11" t="s">
        <v>20</v>
      </c>
    </row>
    <row r="12" spans="1:6">
      <c r="A12">
        <v>8</v>
      </c>
      <c r="B12">
        <v>84.027299999999997</v>
      </c>
      <c r="C12">
        <v>15.9727</v>
      </c>
      <c r="D12">
        <f t="shared" si="0"/>
        <v>100</v>
      </c>
      <c r="E12" t="s">
        <v>21</v>
      </c>
    </row>
    <row r="13" spans="1:6">
      <c r="A13">
        <v>9</v>
      </c>
      <c r="B13">
        <v>83.760599999999997</v>
      </c>
      <c r="C13">
        <v>16.2394</v>
      </c>
      <c r="D13">
        <f t="shared" si="0"/>
        <v>100</v>
      </c>
      <c r="E13" t="s">
        <v>22</v>
      </c>
    </row>
    <row r="14" spans="1:6">
      <c r="A14">
        <v>10</v>
      </c>
      <c r="B14">
        <v>86.843999999999994</v>
      </c>
      <c r="C14">
        <v>13.155900000000001</v>
      </c>
      <c r="D14">
        <f t="shared" si="0"/>
        <v>99.999899999999997</v>
      </c>
      <c r="E14" t="s">
        <v>23</v>
      </c>
    </row>
    <row r="15" spans="1:6">
      <c r="A15">
        <v>11</v>
      </c>
      <c r="B15">
        <v>86.661699999999996</v>
      </c>
      <c r="C15">
        <v>13.3383</v>
      </c>
      <c r="D15">
        <f t="shared" si="0"/>
        <v>100</v>
      </c>
      <c r="E15" t="s">
        <v>24</v>
      </c>
    </row>
    <row r="16" spans="1:6">
      <c r="A16">
        <v>12</v>
      </c>
      <c r="B16">
        <v>86.747299999999996</v>
      </c>
      <c r="C16">
        <v>13.252700000000001</v>
      </c>
      <c r="D16">
        <f t="shared" si="0"/>
        <v>100</v>
      </c>
      <c r="E16" t="s">
        <v>25</v>
      </c>
    </row>
    <row r="17" spans="1:5">
      <c r="A17">
        <v>13</v>
      </c>
      <c r="B17">
        <v>86.764600000000002</v>
      </c>
      <c r="C17">
        <v>13.2354</v>
      </c>
      <c r="D17">
        <f t="shared" si="0"/>
        <v>100</v>
      </c>
      <c r="E17" t="s">
        <v>26</v>
      </c>
    </row>
    <row r="18" spans="1:5">
      <c r="A18">
        <v>14</v>
      </c>
      <c r="B18">
        <v>86.562899999999999</v>
      </c>
      <c r="C18">
        <v>13.437099999999999</v>
      </c>
      <c r="D18">
        <f t="shared" si="0"/>
        <v>100</v>
      </c>
      <c r="E18" t="s">
        <v>27</v>
      </c>
    </row>
    <row r="19" spans="1:5">
      <c r="A19">
        <v>15</v>
      </c>
      <c r="B19">
        <v>87.081000000000003</v>
      </c>
      <c r="C19">
        <v>12.9191</v>
      </c>
      <c r="D19">
        <f t="shared" si="0"/>
        <v>100.0001</v>
      </c>
      <c r="E19" t="s">
        <v>28</v>
      </c>
    </row>
    <row r="20" spans="1:5">
      <c r="A20">
        <v>16</v>
      </c>
      <c r="B20">
        <v>85.166700000000006</v>
      </c>
      <c r="C20">
        <v>14.833299999999999</v>
      </c>
      <c r="D20">
        <f t="shared" si="0"/>
        <v>100</v>
      </c>
      <c r="E20" t="s">
        <v>29</v>
      </c>
    </row>
    <row r="21" spans="1:5">
      <c r="A21">
        <v>17</v>
      </c>
      <c r="B21">
        <v>85.189099999999996</v>
      </c>
      <c r="C21">
        <v>14.8109</v>
      </c>
      <c r="D21">
        <f t="shared" si="0"/>
        <v>100</v>
      </c>
      <c r="E21" t="s">
        <v>30</v>
      </c>
    </row>
    <row r="22" spans="1:5">
      <c r="A22">
        <v>18</v>
      </c>
      <c r="B22">
        <v>85.131699999999995</v>
      </c>
      <c r="C22">
        <v>14.8683</v>
      </c>
      <c r="D22">
        <f t="shared" si="0"/>
        <v>100</v>
      </c>
      <c r="E22" t="s">
        <v>31</v>
      </c>
    </row>
    <row r="23" spans="1:5">
      <c r="A23">
        <v>19</v>
      </c>
      <c r="B23">
        <v>86.835400000000007</v>
      </c>
      <c r="C23">
        <v>13.1646</v>
      </c>
      <c r="D23">
        <f t="shared" si="0"/>
        <v>100</v>
      </c>
      <c r="E23" t="s">
        <v>32</v>
      </c>
    </row>
    <row r="24" spans="1:5">
      <c r="A24">
        <v>20</v>
      </c>
      <c r="B24">
        <v>86.920599999999993</v>
      </c>
      <c r="C24">
        <v>13.0794</v>
      </c>
      <c r="D24">
        <f t="shared" si="0"/>
        <v>100</v>
      </c>
      <c r="E24" t="s">
        <v>33</v>
      </c>
    </row>
    <row r="25" spans="1:5">
      <c r="A25">
        <v>21</v>
      </c>
      <c r="B25">
        <v>86.577699999999993</v>
      </c>
      <c r="C25">
        <v>13.4223</v>
      </c>
      <c r="D25">
        <f t="shared" si="0"/>
        <v>100</v>
      </c>
      <c r="E25" t="s">
        <v>34</v>
      </c>
    </row>
    <row r="26" spans="1:5">
      <c r="A26">
        <v>22</v>
      </c>
      <c r="B26">
        <v>85.325199999999995</v>
      </c>
      <c r="C26">
        <v>14.674799999999999</v>
      </c>
      <c r="D26">
        <f t="shared" si="0"/>
        <v>100</v>
      </c>
      <c r="E26" t="s">
        <v>35</v>
      </c>
    </row>
    <row r="27" spans="1:5">
      <c r="A27">
        <v>23</v>
      </c>
      <c r="B27">
        <v>85.325199999999995</v>
      </c>
      <c r="C27">
        <v>14.674799999999999</v>
      </c>
      <c r="D27">
        <f t="shared" si="0"/>
        <v>100</v>
      </c>
      <c r="E27" t="s">
        <v>36</v>
      </c>
    </row>
    <row r="28" spans="1:5">
      <c r="A28">
        <v>24</v>
      </c>
      <c r="B28">
        <v>85.450199999999995</v>
      </c>
      <c r="C28">
        <v>14.549799999999999</v>
      </c>
      <c r="D28">
        <f t="shared" si="0"/>
        <v>100</v>
      </c>
      <c r="E28" t="s">
        <v>37</v>
      </c>
    </row>
    <row r="29" spans="1:5">
      <c r="A29">
        <v>25</v>
      </c>
      <c r="B29">
        <v>90.305899999999994</v>
      </c>
      <c r="C29">
        <v>9.6941000000000006</v>
      </c>
      <c r="D29">
        <f t="shared" si="0"/>
        <v>100</v>
      </c>
      <c r="E29" t="s">
        <v>16</v>
      </c>
    </row>
    <row r="30" spans="1:5">
      <c r="A30">
        <v>26</v>
      </c>
      <c r="B30">
        <v>90.381500000000003</v>
      </c>
      <c r="C30">
        <v>9.6184999999999992</v>
      </c>
      <c r="D30">
        <f t="shared" si="0"/>
        <v>100</v>
      </c>
      <c r="E30" t="s">
        <v>16</v>
      </c>
    </row>
    <row r="31" spans="1:5">
      <c r="A31">
        <v>27</v>
      </c>
      <c r="B31">
        <v>90.289500000000004</v>
      </c>
      <c r="C31">
        <v>9.7104999999999997</v>
      </c>
      <c r="D31">
        <f t="shared" si="0"/>
        <v>100</v>
      </c>
      <c r="E31" t="s">
        <v>16</v>
      </c>
    </row>
    <row r="32" spans="1:5">
      <c r="A32">
        <v>28</v>
      </c>
      <c r="B32">
        <v>86.988600000000005</v>
      </c>
      <c r="C32">
        <v>13.0114</v>
      </c>
      <c r="D32">
        <f t="shared" si="0"/>
        <v>100</v>
      </c>
      <c r="E32" t="s">
        <v>38</v>
      </c>
    </row>
    <row r="33" spans="1:5">
      <c r="A33">
        <v>29</v>
      </c>
      <c r="B33">
        <v>86.673400000000001</v>
      </c>
      <c r="C33">
        <v>13.326599999999999</v>
      </c>
      <c r="D33">
        <f t="shared" si="0"/>
        <v>100</v>
      </c>
      <c r="E33" t="s">
        <v>39</v>
      </c>
    </row>
    <row r="34" spans="1:5">
      <c r="A34">
        <v>30</v>
      </c>
      <c r="B34">
        <v>87.164400000000001</v>
      </c>
      <c r="C34">
        <v>12.835599999999999</v>
      </c>
      <c r="D34">
        <f t="shared" si="0"/>
        <v>100</v>
      </c>
      <c r="E34" t="s">
        <v>40</v>
      </c>
    </row>
    <row r="35" spans="1:5">
      <c r="A35">
        <v>31</v>
      </c>
      <c r="B35">
        <v>85.176500000000004</v>
      </c>
      <c r="C35">
        <v>14.823499999999999</v>
      </c>
      <c r="D35">
        <f t="shared" si="0"/>
        <v>100</v>
      </c>
      <c r="E35" t="s">
        <v>41</v>
      </c>
    </row>
    <row r="36" spans="1:5">
      <c r="A36">
        <v>32</v>
      </c>
      <c r="B36">
        <v>85.485600000000005</v>
      </c>
      <c r="C36">
        <v>14.5144</v>
      </c>
      <c r="D36">
        <f t="shared" si="0"/>
        <v>100</v>
      </c>
      <c r="E36" t="s">
        <v>42</v>
      </c>
    </row>
    <row r="37" spans="1:5">
      <c r="A37">
        <v>33</v>
      </c>
      <c r="B37">
        <v>85.638199999999998</v>
      </c>
      <c r="C37">
        <v>14.361800000000001</v>
      </c>
      <c r="D37">
        <f t="shared" si="0"/>
        <v>100</v>
      </c>
      <c r="E37" t="s">
        <v>43</v>
      </c>
    </row>
    <row r="38" spans="1:5">
      <c r="A38">
        <v>34</v>
      </c>
      <c r="B38">
        <v>83.752499999999998</v>
      </c>
      <c r="C38">
        <v>16.247499999999999</v>
      </c>
      <c r="D38">
        <f t="shared" si="0"/>
        <v>100</v>
      </c>
      <c r="E38" t="s">
        <v>44</v>
      </c>
    </row>
    <row r="39" spans="1:5">
      <c r="A39">
        <v>35</v>
      </c>
      <c r="B39">
        <v>83.556299999999993</v>
      </c>
      <c r="C39">
        <v>16.4437</v>
      </c>
      <c r="D39">
        <f t="shared" si="0"/>
        <v>100</v>
      </c>
      <c r="E39" t="s">
        <v>45</v>
      </c>
    </row>
    <row r="40" spans="1:5">
      <c r="A40">
        <v>36</v>
      </c>
      <c r="B40">
        <v>83.545299999999997</v>
      </c>
      <c r="C40">
        <v>16.454699999999999</v>
      </c>
      <c r="D40">
        <f t="shared" si="0"/>
        <v>100</v>
      </c>
      <c r="E40" t="s">
        <v>46</v>
      </c>
    </row>
    <row r="41" spans="1:5">
      <c r="A41">
        <v>37</v>
      </c>
      <c r="B41">
        <v>86.500500000000002</v>
      </c>
      <c r="C41">
        <v>13.499499999999999</v>
      </c>
      <c r="D41">
        <f t="shared" si="0"/>
        <v>100</v>
      </c>
      <c r="E41" t="s">
        <v>47</v>
      </c>
    </row>
    <row r="42" spans="1:5">
      <c r="A42">
        <v>38</v>
      </c>
      <c r="B42">
        <v>86.686099999999996</v>
      </c>
      <c r="C42">
        <v>13.3139</v>
      </c>
      <c r="D42">
        <f t="shared" si="0"/>
        <v>100</v>
      </c>
      <c r="E42" t="s">
        <v>48</v>
      </c>
    </row>
    <row r="43" spans="1:5">
      <c r="A43">
        <v>39</v>
      </c>
      <c r="B43">
        <v>86.551100000000005</v>
      </c>
      <c r="C43">
        <v>13.4489</v>
      </c>
      <c r="D43">
        <f t="shared" si="0"/>
        <v>100</v>
      </c>
      <c r="E43" t="s">
        <v>49</v>
      </c>
    </row>
    <row r="44" spans="1:5">
      <c r="A44">
        <v>40</v>
      </c>
      <c r="B44">
        <v>82.105999999999995</v>
      </c>
      <c r="C44">
        <v>17.893999999999998</v>
      </c>
      <c r="D44">
        <f t="shared" si="0"/>
        <v>100</v>
      </c>
      <c r="E44" t="s">
        <v>50</v>
      </c>
    </row>
    <row r="45" spans="1:5">
      <c r="A45">
        <v>41</v>
      </c>
      <c r="B45">
        <v>81.916700000000006</v>
      </c>
      <c r="C45">
        <v>18.083300000000001</v>
      </c>
      <c r="D45">
        <f t="shared" si="0"/>
        <v>100</v>
      </c>
      <c r="E45" t="s">
        <v>51</v>
      </c>
    </row>
    <row r="46" spans="1:5">
      <c r="A46">
        <v>42</v>
      </c>
      <c r="B46">
        <v>81.775000000000006</v>
      </c>
      <c r="C46">
        <v>18.225000000000001</v>
      </c>
      <c r="D46">
        <f t="shared" si="0"/>
        <v>100</v>
      </c>
      <c r="E46" t="s">
        <v>52</v>
      </c>
    </row>
    <row r="47" spans="1:5">
      <c r="A47">
        <v>43</v>
      </c>
      <c r="B47">
        <v>81.804000000000002</v>
      </c>
      <c r="C47">
        <v>18.196000000000002</v>
      </c>
      <c r="D47">
        <f t="shared" si="0"/>
        <v>100</v>
      </c>
      <c r="E47" t="s">
        <v>53</v>
      </c>
    </row>
    <row r="48" spans="1:5">
      <c r="A48">
        <v>44</v>
      </c>
      <c r="B48">
        <v>81.593199999999996</v>
      </c>
      <c r="C48">
        <v>18.4068</v>
      </c>
      <c r="D48">
        <f t="shared" si="0"/>
        <v>100</v>
      </c>
      <c r="E48" t="s">
        <v>54</v>
      </c>
    </row>
    <row r="49" spans="1:5">
      <c r="A49">
        <v>45</v>
      </c>
      <c r="B49">
        <v>80.495699999999999</v>
      </c>
      <c r="C49">
        <v>19.504300000000001</v>
      </c>
      <c r="D49">
        <f t="shared" si="0"/>
        <v>100</v>
      </c>
      <c r="E49" t="s">
        <v>55</v>
      </c>
    </row>
    <row r="50" spans="1:5">
      <c r="A50">
        <v>46</v>
      </c>
      <c r="B50">
        <v>84.643799999999999</v>
      </c>
      <c r="C50">
        <v>15.356199999999999</v>
      </c>
      <c r="D50">
        <f t="shared" si="0"/>
        <v>100</v>
      </c>
      <c r="E50" t="s">
        <v>56</v>
      </c>
    </row>
    <row r="51" spans="1:5">
      <c r="A51">
        <v>47</v>
      </c>
      <c r="B51">
        <v>83.856399999999994</v>
      </c>
      <c r="C51">
        <v>16.143599999999999</v>
      </c>
      <c r="D51">
        <f t="shared" si="0"/>
        <v>100</v>
      </c>
      <c r="E51" t="s">
        <v>57</v>
      </c>
    </row>
    <row r="52" spans="1:5">
      <c r="A52">
        <v>48</v>
      </c>
      <c r="B52">
        <v>85.611000000000004</v>
      </c>
      <c r="C52">
        <v>14.388999999999999</v>
      </c>
      <c r="D52">
        <f t="shared" si="0"/>
        <v>100</v>
      </c>
      <c r="E52" t="s">
        <v>58</v>
      </c>
    </row>
    <row r="53" spans="1:5">
      <c r="A53">
        <v>49</v>
      </c>
      <c r="B53">
        <v>78.935000000000002</v>
      </c>
      <c r="C53">
        <v>21.065000000000001</v>
      </c>
      <c r="D53">
        <f t="shared" si="0"/>
        <v>100</v>
      </c>
      <c r="E53" t="s">
        <v>59</v>
      </c>
    </row>
    <row r="54" spans="1:5">
      <c r="A54">
        <v>50</v>
      </c>
      <c r="B54">
        <v>78.904200000000003</v>
      </c>
      <c r="C54">
        <v>21.095800000000001</v>
      </c>
      <c r="D54">
        <f t="shared" si="0"/>
        <v>100</v>
      </c>
      <c r="E54" t="s">
        <v>60</v>
      </c>
    </row>
    <row r="55" spans="1:5">
      <c r="A55">
        <v>51</v>
      </c>
      <c r="B55">
        <v>78.980500000000006</v>
      </c>
      <c r="C55">
        <v>21.019500000000001</v>
      </c>
      <c r="D55">
        <f t="shared" si="0"/>
        <v>100</v>
      </c>
      <c r="E55" t="s">
        <v>61</v>
      </c>
    </row>
    <row r="56" spans="1:5">
      <c r="A56">
        <v>52</v>
      </c>
      <c r="B56">
        <v>79.058700000000002</v>
      </c>
      <c r="C56">
        <v>20.941299999999998</v>
      </c>
      <c r="D56">
        <f t="shared" si="0"/>
        <v>100</v>
      </c>
      <c r="E56" t="s">
        <v>62</v>
      </c>
    </row>
    <row r="57" spans="1:5">
      <c r="A57">
        <v>53</v>
      </c>
      <c r="B57">
        <v>78.684100000000001</v>
      </c>
      <c r="C57">
        <v>21.315899999999999</v>
      </c>
      <c r="D57">
        <f t="shared" si="0"/>
        <v>100</v>
      </c>
      <c r="E57" t="s">
        <v>63</v>
      </c>
    </row>
    <row r="58" spans="1:5">
      <c r="A58">
        <v>54</v>
      </c>
      <c r="B58">
        <v>78.947400000000002</v>
      </c>
      <c r="C58">
        <v>21.052600000000002</v>
      </c>
      <c r="D58">
        <f t="shared" si="0"/>
        <v>100</v>
      </c>
      <c r="E58" t="s">
        <v>64</v>
      </c>
    </row>
    <row r="59" spans="1:5">
      <c r="A59">
        <v>55</v>
      </c>
      <c r="B59">
        <v>78.671300000000002</v>
      </c>
      <c r="C59">
        <v>21.328700000000001</v>
      </c>
      <c r="D59">
        <f t="shared" si="0"/>
        <v>100</v>
      </c>
      <c r="E59" t="s">
        <v>65</v>
      </c>
    </row>
    <row r="60" spans="1:5">
      <c r="A60">
        <v>56</v>
      </c>
      <c r="B60">
        <v>78.938699999999997</v>
      </c>
      <c r="C60">
        <v>21.061299999999999</v>
      </c>
      <c r="D60">
        <f t="shared" si="0"/>
        <v>100</v>
      </c>
      <c r="E60" t="s">
        <v>66</v>
      </c>
    </row>
    <row r="61" spans="1:5">
      <c r="A61">
        <v>57</v>
      </c>
      <c r="B61">
        <v>78.977199999999996</v>
      </c>
      <c r="C61">
        <v>21.0228</v>
      </c>
      <c r="D61">
        <f t="shared" si="0"/>
        <v>100</v>
      </c>
      <c r="E61" t="s">
        <v>67</v>
      </c>
    </row>
    <row r="62" spans="1:5">
      <c r="A62">
        <v>58</v>
      </c>
      <c r="B62">
        <v>78.930099999999996</v>
      </c>
      <c r="C62">
        <v>21.069900000000001</v>
      </c>
      <c r="D62">
        <f t="shared" si="0"/>
        <v>100</v>
      </c>
      <c r="E62" t="s">
        <v>68</v>
      </c>
    </row>
    <row r="63" spans="1:5">
      <c r="A63">
        <v>59</v>
      </c>
      <c r="B63">
        <v>90.2881</v>
      </c>
      <c r="C63">
        <v>9.7119</v>
      </c>
      <c r="D63">
        <f t="shared" si="0"/>
        <v>100</v>
      </c>
      <c r="E63" t="s">
        <v>16</v>
      </c>
    </row>
    <row r="64" spans="1:5">
      <c r="A64">
        <v>60</v>
      </c>
      <c r="B64">
        <v>90.252700000000004</v>
      </c>
      <c r="C64">
        <v>9.7472999999999992</v>
      </c>
      <c r="D64">
        <f t="shared" si="0"/>
        <v>100</v>
      </c>
      <c r="E64" t="s">
        <v>16</v>
      </c>
    </row>
    <row r="65" spans="1:5">
      <c r="A65">
        <v>61</v>
      </c>
      <c r="B65">
        <v>90.385599999999997</v>
      </c>
      <c r="C65">
        <v>9.6143999999999998</v>
      </c>
      <c r="D65">
        <f t="shared" si="0"/>
        <v>100</v>
      </c>
      <c r="E65" t="s">
        <v>16</v>
      </c>
    </row>
    <row r="66" spans="1:5">
      <c r="A66">
        <v>62</v>
      </c>
      <c r="B66">
        <v>84.651899999999998</v>
      </c>
      <c r="C66">
        <v>15.348100000000001</v>
      </c>
      <c r="D66">
        <f t="shared" si="0"/>
        <v>100</v>
      </c>
      <c r="E66" t="s">
        <v>69</v>
      </c>
    </row>
    <row r="67" spans="1:5">
      <c r="A67">
        <v>63</v>
      </c>
      <c r="B67">
        <v>84.869600000000005</v>
      </c>
      <c r="C67">
        <v>15.1304</v>
      </c>
      <c r="D67">
        <f t="shared" si="0"/>
        <v>100</v>
      </c>
      <c r="E67" t="s">
        <v>70</v>
      </c>
    </row>
    <row r="68" spans="1:5">
      <c r="A68">
        <v>64</v>
      </c>
      <c r="B68">
        <v>84.749099999999999</v>
      </c>
      <c r="C68">
        <v>15.2509</v>
      </c>
      <c r="D68">
        <f t="shared" si="0"/>
        <v>100</v>
      </c>
      <c r="E68" t="s">
        <v>71</v>
      </c>
    </row>
    <row r="69" spans="1:5">
      <c r="A69">
        <v>65</v>
      </c>
      <c r="B69">
        <v>81.004000000000005</v>
      </c>
      <c r="C69">
        <v>18.995999999999999</v>
      </c>
      <c r="D69">
        <f t="shared" si="0"/>
        <v>100</v>
      </c>
      <c r="E69" t="s">
        <v>72</v>
      </c>
    </row>
    <row r="70" spans="1:5">
      <c r="A70">
        <v>66</v>
      </c>
      <c r="B70">
        <v>80.433700000000002</v>
      </c>
      <c r="C70">
        <v>19.566299999999998</v>
      </c>
      <c r="D70">
        <f t="shared" ref="D70:D132" si="1">SUM(B70:C70)</f>
        <v>100</v>
      </c>
      <c r="E70" t="s">
        <v>73</v>
      </c>
    </row>
    <row r="71" spans="1:5">
      <c r="A71">
        <v>67</v>
      </c>
      <c r="B71">
        <v>80.299400000000006</v>
      </c>
      <c r="C71">
        <v>19.700600000000001</v>
      </c>
      <c r="D71">
        <f t="shared" si="1"/>
        <v>100</v>
      </c>
      <c r="E71" t="s">
        <v>74</v>
      </c>
    </row>
    <row r="72" spans="1:5">
      <c r="A72">
        <v>68</v>
      </c>
      <c r="B72">
        <v>79.382000000000005</v>
      </c>
      <c r="C72">
        <v>20.617999999999999</v>
      </c>
      <c r="D72">
        <f t="shared" si="1"/>
        <v>100</v>
      </c>
      <c r="E72" t="s">
        <v>75</v>
      </c>
    </row>
    <row r="73" spans="1:5">
      <c r="A73">
        <v>69</v>
      </c>
      <c r="B73">
        <v>79.544899999999998</v>
      </c>
      <c r="C73">
        <v>20.455100000000002</v>
      </c>
      <c r="D73">
        <f t="shared" si="1"/>
        <v>100</v>
      </c>
      <c r="E73" t="s">
        <v>76</v>
      </c>
    </row>
    <row r="74" spans="1:5">
      <c r="A74">
        <v>70</v>
      </c>
      <c r="B74">
        <v>79.434399999999997</v>
      </c>
      <c r="C74">
        <v>20.5656</v>
      </c>
      <c r="D74">
        <f t="shared" si="1"/>
        <v>100</v>
      </c>
      <c r="E74" t="s">
        <v>77</v>
      </c>
    </row>
    <row r="75" spans="1:5">
      <c r="A75">
        <v>71</v>
      </c>
      <c r="B75">
        <v>83.436599999999999</v>
      </c>
      <c r="C75">
        <v>16.563400000000001</v>
      </c>
      <c r="D75">
        <f t="shared" si="1"/>
        <v>100</v>
      </c>
      <c r="E75" t="s">
        <v>78</v>
      </c>
    </row>
    <row r="76" spans="1:5">
      <c r="A76">
        <v>72</v>
      </c>
      <c r="B76">
        <v>85.017099999999999</v>
      </c>
      <c r="C76">
        <v>14.982900000000001</v>
      </c>
      <c r="D76">
        <f t="shared" si="1"/>
        <v>100</v>
      </c>
      <c r="E76" t="s">
        <v>79</v>
      </c>
    </row>
    <row r="77" spans="1:5">
      <c r="A77">
        <v>73</v>
      </c>
      <c r="B77">
        <v>83.46</v>
      </c>
      <c r="C77">
        <v>16.54</v>
      </c>
      <c r="D77">
        <f t="shared" si="1"/>
        <v>100</v>
      </c>
      <c r="E77" t="s">
        <v>80</v>
      </c>
    </row>
    <row r="78" spans="1:5">
      <c r="A78">
        <v>74</v>
      </c>
      <c r="B78">
        <v>83.890799999999999</v>
      </c>
      <c r="C78">
        <v>16.109200000000001</v>
      </c>
      <c r="D78">
        <f t="shared" si="1"/>
        <v>100</v>
      </c>
      <c r="E78" t="s">
        <v>81</v>
      </c>
    </row>
    <row r="79" spans="1:5">
      <c r="A79">
        <v>75</v>
      </c>
      <c r="B79">
        <v>83.390600000000006</v>
      </c>
      <c r="C79">
        <v>16.609400000000001</v>
      </c>
      <c r="D79">
        <f t="shared" si="1"/>
        <v>100</v>
      </c>
      <c r="E79" t="s">
        <v>82</v>
      </c>
    </row>
    <row r="80" spans="1:5">
      <c r="A80">
        <v>76</v>
      </c>
      <c r="B80">
        <v>83.756100000000004</v>
      </c>
      <c r="C80">
        <v>16.2439</v>
      </c>
      <c r="D80">
        <f t="shared" si="1"/>
        <v>100</v>
      </c>
      <c r="E80" t="s">
        <v>83</v>
      </c>
    </row>
    <row r="81" spans="1:5">
      <c r="A81">
        <v>77</v>
      </c>
      <c r="B81">
        <v>84.095699999999994</v>
      </c>
      <c r="C81">
        <v>15.904299999999999</v>
      </c>
      <c r="D81">
        <f t="shared" si="1"/>
        <v>100</v>
      </c>
      <c r="E81" t="s">
        <v>84</v>
      </c>
    </row>
    <row r="82" spans="1:5">
      <c r="A82">
        <v>78</v>
      </c>
      <c r="B82">
        <v>83.525199999999998</v>
      </c>
      <c r="C82">
        <v>16.474799999999998</v>
      </c>
      <c r="D82">
        <f t="shared" si="1"/>
        <v>100</v>
      </c>
      <c r="E82" t="s">
        <v>85</v>
      </c>
    </row>
    <row r="83" spans="1:5">
      <c r="A83">
        <v>79</v>
      </c>
      <c r="B83">
        <v>83.095399999999998</v>
      </c>
      <c r="C83">
        <v>16.904599999999999</v>
      </c>
      <c r="D83">
        <f t="shared" si="1"/>
        <v>100</v>
      </c>
      <c r="E83" t="s">
        <v>86</v>
      </c>
    </row>
    <row r="84" spans="1:5">
      <c r="A84">
        <v>80</v>
      </c>
      <c r="B84">
        <v>83.816599999999994</v>
      </c>
      <c r="C84">
        <v>16.183399999999999</v>
      </c>
      <c r="D84">
        <f t="shared" si="1"/>
        <v>100</v>
      </c>
      <c r="E84" t="s">
        <v>87</v>
      </c>
    </row>
    <row r="85" spans="1:5">
      <c r="A85">
        <v>81</v>
      </c>
      <c r="B85">
        <v>82.131799999999998</v>
      </c>
      <c r="C85">
        <v>17.868200000000002</v>
      </c>
      <c r="D85">
        <f t="shared" si="1"/>
        <v>100</v>
      </c>
      <c r="E85" t="s">
        <v>88</v>
      </c>
    </row>
    <row r="86" spans="1:5">
      <c r="A86">
        <v>82</v>
      </c>
      <c r="B86">
        <v>81.965199999999996</v>
      </c>
      <c r="C86">
        <v>18.034800000000001</v>
      </c>
      <c r="D86">
        <f t="shared" si="1"/>
        <v>100</v>
      </c>
      <c r="E86" t="s">
        <v>89</v>
      </c>
    </row>
    <row r="87" spans="1:5">
      <c r="A87">
        <v>83</v>
      </c>
      <c r="B87">
        <v>79.441500000000005</v>
      </c>
      <c r="C87">
        <v>20.558499999999999</v>
      </c>
      <c r="D87">
        <f t="shared" si="1"/>
        <v>100</v>
      </c>
      <c r="E87" t="s">
        <v>90</v>
      </c>
    </row>
    <row r="88" spans="1:5">
      <c r="A88">
        <v>84</v>
      </c>
      <c r="B88">
        <v>79.587900000000005</v>
      </c>
      <c r="C88">
        <v>20.412099999999999</v>
      </c>
      <c r="D88">
        <f t="shared" si="1"/>
        <v>100</v>
      </c>
      <c r="E88" t="s">
        <v>91</v>
      </c>
    </row>
    <row r="89" spans="1:5">
      <c r="A89">
        <v>85</v>
      </c>
      <c r="B89">
        <v>79.468000000000004</v>
      </c>
      <c r="C89">
        <v>20.532</v>
      </c>
      <c r="D89">
        <f t="shared" si="1"/>
        <v>100</v>
      </c>
      <c r="E89" t="s">
        <v>92</v>
      </c>
    </row>
    <row r="90" spans="1:5">
      <c r="A90">
        <v>86</v>
      </c>
      <c r="B90">
        <v>80.031499999999994</v>
      </c>
      <c r="C90">
        <v>19.968499999999999</v>
      </c>
      <c r="D90">
        <f t="shared" si="1"/>
        <v>100</v>
      </c>
      <c r="E90" t="s">
        <v>93</v>
      </c>
    </row>
    <row r="91" spans="1:5">
      <c r="A91">
        <v>87</v>
      </c>
      <c r="B91">
        <v>79.930400000000006</v>
      </c>
      <c r="C91">
        <v>20.069600000000001</v>
      </c>
      <c r="D91">
        <f t="shared" si="1"/>
        <v>100</v>
      </c>
      <c r="E91" t="s">
        <v>94</v>
      </c>
    </row>
    <row r="92" spans="1:5">
      <c r="A92">
        <v>88</v>
      </c>
      <c r="B92">
        <v>80.074700000000007</v>
      </c>
      <c r="C92">
        <v>19.9253</v>
      </c>
      <c r="D92">
        <f t="shared" si="1"/>
        <v>100</v>
      </c>
      <c r="E92" t="s">
        <v>95</v>
      </c>
    </row>
    <row r="93" spans="1:5">
      <c r="A93">
        <v>89</v>
      </c>
      <c r="B93">
        <v>90.296199999999999</v>
      </c>
      <c r="C93">
        <v>9.7037999999999993</v>
      </c>
      <c r="D93">
        <f t="shared" si="1"/>
        <v>100</v>
      </c>
      <c r="E93" t="s">
        <v>16</v>
      </c>
    </row>
    <row r="94" spans="1:5">
      <c r="A94">
        <v>90</v>
      </c>
      <c r="B94">
        <v>90.345600000000005</v>
      </c>
      <c r="C94">
        <v>9.6544000000000008</v>
      </c>
      <c r="D94">
        <f t="shared" si="1"/>
        <v>100</v>
      </c>
      <c r="E94" t="s">
        <v>16</v>
      </c>
    </row>
    <row r="95" spans="1:5">
      <c r="A95">
        <v>91</v>
      </c>
      <c r="B95">
        <v>90.433599999999998</v>
      </c>
      <c r="C95">
        <v>9.5663999999999998</v>
      </c>
      <c r="D95">
        <f t="shared" si="1"/>
        <v>100</v>
      </c>
      <c r="E95" t="s">
        <v>16</v>
      </c>
    </row>
    <row r="96" spans="1:5">
      <c r="A96">
        <v>92</v>
      </c>
      <c r="B96">
        <v>81.046899999999994</v>
      </c>
      <c r="C96">
        <v>18.953099999999999</v>
      </c>
      <c r="D96">
        <f t="shared" si="1"/>
        <v>100</v>
      </c>
      <c r="E96" t="s">
        <v>96</v>
      </c>
    </row>
    <row r="97" spans="1:5">
      <c r="A97">
        <v>93</v>
      </c>
      <c r="B97">
        <v>80.749600000000001</v>
      </c>
      <c r="C97">
        <v>19.250399999999999</v>
      </c>
      <c r="D97">
        <f t="shared" si="1"/>
        <v>100</v>
      </c>
      <c r="E97" t="s">
        <v>97</v>
      </c>
    </row>
    <row r="98" spans="1:5">
      <c r="A98">
        <v>94</v>
      </c>
      <c r="B98">
        <v>80.867699999999999</v>
      </c>
      <c r="C98">
        <v>19.132300000000001</v>
      </c>
      <c r="D98">
        <f t="shared" si="1"/>
        <v>100</v>
      </c>
      <c r="E98" t="s">
        <v>98</v>
      </c>
    </row>
    <row r="99" spans="1:5">
      <c r="A99">
        <v>95</v>
      </c>
      <c r="B99">
        <v>82.499600000000001</v>
      </c>
      <c r="C99">
        <v>17.500399999999999</v>
      </c>
      <c r="D99">
        <f t="shared" si="1"/>
        <v>100</v>
      </c>
      <c r="E99" t="s">
        <v>99</v>
      </c>
    </row>
    <row r="100" spans="1:5">
      <c r="A100">
        <v>96</v>
      </c>
      <c r="B100">
        <v>81.400400000000005</v>
      </c>
      <c r="C100">
        <v>18.599599999999999</v>
      </c>
      <c r="D100">
        <f t="shared" si="1"/>
        <v>100</v>
      </c>
      <c r="E100" t="s">
        <v>100</v>
      </c>
    </row>
    <row r="101" spans="1:5">
      <c r="A101">
        <v>97</v>
      </c>
      <c r="B101">
        <v>81.799099999999996</v>
      </c>
      <c r="C101">
        <v>18.200900000000001</v>
      </c>
      <c r="D101">
        <f t="shared" si="1"/>
        <v>100</v>
      </c>
      <c r="E101" t="s">
        <v>101</v>
      </c>
    </row>
    <row r="102" spans="1:5">
      <c r="A102">
        <v>98</v>
      </c>
      <c r="B102">
        <v>82.569699999999997</v>
      </c>
      <c r="C102">
        <v>17.430299999999999</v>
      </c>
      <c r="D102">
        <f t="shared" si="1"/>
        <v>100</v>
      </c>
      <c r="E102" t="s">
        <v>102</v>
      </c>
    </row>
    <row r="103" spans="1:5">
      <c r="A103">
        <v>99</v>
      </c>
      <c r="B103">
        <v>82.336699999999993</v>
      </c>
      <c r="C103">
        <v>17.6633</v>
      </c>
      <c r="D103">
        <f t="shared" si="1"/>
        <v>100</v>
      </c>
      <c r="E103" t="s">
        <v>103</v>
      </c>
    </row>
    <row r="104" spans="1:5">
      <c r="A104">
        <v>100</v>
      </c>
      <c r="B104">
        <v>82.4983</v>
      </c>
      <c r="C104">
        <v>17.5017</v>
      </c>
      <c r="D104">
        <f t="shared" si="1"/>
        <v>100</v>
      </c>
      <c r="E104" t="s">
        <v>104</v>
      </c>
    </row>
    <row r="105" spans="1:5">
      <c r="A105">
        <v>101</v>
      </c>
      <c r="B105">
        <v>79.5227</v>
      </c>
      <c r="C105">
        <v>20.4773</v>
      </c>
      <c r="D105">
        <f t="shared" si="1"/>
        <v>100</v>
      </c>
      <c r="E105" t="s">
        <v>105</v>
      </c>
    </row>
    <row r="106" spans="1:5">
      <c r="A106">
        <v>102</v>
      </c>
      <c r="B106">
        <v>79.609399999999994</v>
      </c>
      <c r="C106">
        <v>20.390599999999999</v>
      </c>
      <c r="D106">
        <f t="shared" si="1"/>
        <v>100</v>
      </c>
      <c r="E106" t="s">
        <v>106</v>
      </c>
    </row>
    <row r="107" spans="1:5">
      <c r="A107">
        <v>103</v>
      </c>
      <c r="B107">
        <v>79.530199999999994</v>
      </c>
      <c r="C107">
        <v>20.469799999999999</v>
      </c>
      <c r="D107">
        <f t="shared" si="1"/>
        <v>100</v>
      </c>
      <c r="E107" t="s">
        <v>107</v>
      </c>
    </row>
    <row r="108" spans="1:5">
      <c r="A108">
        <v>104</v>
      </c>
      <c r="B108">
        <v>85.052000000000007</v>
      </c>
      <c r="C108">
        <v>14.948</v>
      </c>
      <c r="D108">
        <f t="shared" si="1"/>
        <v>100</v>
      </c>
      <c r="E108" t="s">
        <v>108</v>
      </c>
    </row>
    <row r="109" spans="1:5">
      <c r="A109">
        <v>105</v>
      </c>
      <c r="B109">
        <v>85.087299999999999</v>
      </c>
      <c r="C109">
        <v>14.912699999999999</v>
      </c>
      <c r="D109">
        <f t="shared" si="1"/>
        <v>100</v>
      </c>
      <c r="E109" t="s">
        <v>109</v>
      </c>
    </row>
    <row r="110" spans="1:5">
      <c r="A110">
        <v>106</v>
      </c>
      <c r="B110">
        <v>85.151899999999998</v>
      </c>
      <c r="C110">
        <v>14.848100000000001</v>
      </c>
      <c r="D110">
        <f t="shared" si="1"/>
        <v>100</v>
      </c>
      <c r="E110" t="s">
        <v>110</v>
      </c>
    </row>
    <row r="111" spans="1:5">
      <c r="A111">
        <v>107</v>
      </c>
      <c r="B111">
        <v>85.862799999999993</v>
      </c>
      <c r="C111">
        <v>14.1372</v>
      </c>
      <c r="D111">
        <f t="shared" si="1"/>
        <v>100</v>
      </c>
      <c r="E111" t="s">
        <v>111</v>
      </c>
    </row>
    <row r="112" spans="1:5">
      <c r="A112">
        <v>108</v>
      </c>
      <c r="B112">
        <v>85.738299999999995</v>
      </c>
      <c r="C112">
        <v>14.261699999999999</v>
      </c>
      <c r="D112">
        <f t="shared" si="1"/>
        <v>100</v>
      </c>
      <c r="E112" t="s">
        <v>112</v>
      </c>
    </row>
    <row r="113" spans="1:5">
      <c r="A113">
        <v>109</v>
      </c>
      <c r="B113">
        <v>85.685400000000001</v>
      </c>
      <c r="C113">
        <v>14.3146</v>
      </c>
      <c r="D113">
        <f t="shared" si="1"/>
        <v>100</v>
      </c>
      <c r="E113" t="s">
        <v>113</v>
      </c>
    </row>
    <row r="114" spans="1:5">
      <c r="A114">
        <v>110</v>
      </c>
      <c r="B114">
        <v>84.744399999999999</v>
      </c>
      <c r="C114">
        <v>15.255599999999999</v>
      </c>
      <c r="D114">
        <f t="shared" si="1"/>
        <v>100</v>
      </c>
      <c r="E114" t="s">
        <v>114</v>
      </c>
    </row>
    <row r="115" spans="1:5">
      <c r="A115">
        <v>111</v>
      </c>
      <c r="B115">
        <v>84.892399999999995</v>
      </c>
      <c r="C115">
        <v>15.1076</v>
      </c>
      <c r="D115">
        <f t="shared" si="1"/>
        <v>100</v>
      </c>
      <c r="E115" t="s">
        <v>115</v>
      </c>
    </row>
    <row r="116" spans="1:5">
      <c r="A116">
        <v>112</v>
      </c>
      <c r="B116">
        <v>84.623099999999994</v>
      </c>
      <c r="C116">
        <v>15.376899999999999</v>
      </c>
      <c r="D116">
        <f t="shared" si="1"/>
        <v>100</v>
      </c>
      <c r="E116" t="s">
        <v>116</v>
      </c>
    </row>
    <row r="117" spans="1:5">
      <c r="A117">
        <v>113</v>
      </c>
      <c r="B117">
        <v>80.792000000000002</v>
      </c>
      <c r="C117">
        <v>19.207999999999998</v>
      </c>
      <c r="D117">
        <f t="shared" si="1"/>
        <v>100</v>
      </c>
      <c r="E117" t="s">
        <v>117</v>
      </c>
    </row>
    <row r="118" spans="1:5">
      <c r="A118">
        <v>114</v>
      </c>
      <c r="B118">
        <v>80.728899999999996</v>
      </c>
      <c r="C118">
        <v>19.271100000000001</v>
      </c>
      <c r="D118">
        <f t="shared" si="1"/>
        <v>100</v>
      </c>
      <c r="E118" t="s">
        <v>118</v>
      </c>
    </row>
    <row r="119" spans="1:5">
      <c r="A119">
        <v>115</v>
      </c>
      <c r="B119">
        <v>80.724199999999996</v>
      </c>
      <c r="C119">
        <v>19.2758</v>
      </c>
      <c r="D119">
        <f t="shared" si="1"/>
        <v>100</v>
      </c>
      <c r="E119" t="s">
        <v>119</v>
      </c>
    </row>
    <row r="120" spans="1:5">
      <c r="A120">
        <v>116</v>
      </c>
      <c r="B120">
        <v>79.414500000000004</v>
      </c>
      <c r="C120">
        <v>20.5855</v>
      </c>
      <c r="D120">
        <f t="shared" si="1"/>
        <v>100</v>
      </c>
      <c r="E120" t="s">
        <v>120</v>
      </c>
    </row>
    <row r="121" spans="1:5">
      <c r="A121">
        <v>117</v>
      </c>
      <c r="B121">
        <v>79.322500000000005</v>
      </c>
      <c r="C121">
        <v>20.677499999999998</v>
      </c>
      <c r="D121">
        <f t="shared" si="1"/>
        <v>100</v>
      </c>
      <c r="E121" t="s">
        <v>121</v>
      </c>
    </row>
    <row r="122" spans="1:5">
      <c r="A122">
        <v>118</v>
      </c>
      <c r="B122">
        <v>79.301500000000004</v>
      </c>
      <c r="C122">
        <v>20.698499999999999</v>
      </c>
      <c r="D122">
        <f t="shared" si="1"/>
        <v>100</v>
      </c>
      <c r="E122" t="s">
        <v>122</v>
      </c>
    </row>
    <row r="123" spans="1:5">
      <c r="A123">
        <v>119</v>
      </c>
      <c r="B123">
        <v>79.003</v>
      </c>
      <c r="C123">
        <v>20.997</v>
      </c>
      <c r="D123">
        <f t="shared" si="1"/>
        <v>100</v>
      </c>
      <c r="E123" t="s">
        <v>123</v>
      </c>
    </row>
    <row r="124" spans="1:5">
      <c r="A124">
        <v>120</v>
      </c>
      <c r="B124">
        <v>82.523399999999995</v>
      </c>
      <c r="C124">
        <v>17.476600000000001</v>
      </c>
      <c r="D124">
        <f t="shared" si="1"/>
        <v>100</v>
      </c>
      <c r="E124" t="s">
        <v>124</v>
      </c>
    </row>
    <row r="125" spans="1:5">
      <c r="A125">
        <v>121</v>
      </c>
      <c r="B125">
        <v>82.561099999999996</v>
      </c>
      <c r="C125">
        <v>17.4389</v>
      </c>
      <c r="D125">
        <f t="shared" si="1"/>
        <v>100</v>
      </c>
      <c r="E125" t="s">
        <v>125</v>
      </c>
    </row>
    <row r="126" spans="1:5">
      <c r="A126">
        <v>122</v>
      </c>
      <c r="B126">
        <v>82.631600000000006</v>
      </c>
      <c r="C126">
        <v>17.368400000000001</v>
      </c>
      <c r="D126">
        <f t="shared" si="1"/>
        <v>100</v>
      </c>
      <c r="E126" t="s">
        <v>126</v>
      </c>
    </row>
    <row r="127" spans="1:5">
      <c r="A127">
        <v>123</v>
      </c>
      <c r="B127">
        <v>81.950199999999995</v>
      </c>
      <c r="C127">
        <v>18.049800000000001</v>
      </c>
      <c r="D127">
        <f t="shared" si="1"/>
        <v>100</v>
      </c>
      <c r="E127" t="s">
        <v>127</v>
      </c>
    </row>
    <row r="128" spans="1:5">
      <c r="A128">
        <v>124</v>
      </c>
      <c r="B128">
        <v>82.041200000000003</v>
      </c>
      <c r="C128">
        <v>17.9588</v>
      </c>
      <c r="D128">
        <f t="shared" si="1"/>
        <v>100</v>
      </c>
      <c r="E128" t="s">
        <v>128</v>
      </c>
    </row>
    <row r="129" spans="1:5">
      <c r="A129">
        <v>125</v>
      </c>
      <c r="B129">
        <v>81.637900000000002</v>
      </c>
      <c r="C129">
        <v>18.362100000000002</v>
      </c>
      <c r="D129">
        <f t="shared" si="1"/>
        <v>100</v>
      </c>
      <c r="E129" t="s">
        <v>129</v>
      </c>
    </row>
    <row r="130" spans="1:5">
      <c r="A130">
        <v>126</v>
      </c>
      <c r="B130">
        <v>90.259200000000007</v>
      </c>
      <c r="C130">
        <v>9.7408000000000001</v>
      </c>
      <c r="D130">
        <f t="shared" si="1"/>
        <v>100</v>
      </c>
      <c r="E130" t="s">
        <v>16</v>
      </c>
    </row>
    <row r="131" spans="1:5">
      <c r="A131">
        <v>127</v>
      </c>
      <c r="B131">
        <v>90.364599999999996</v>
      </c>
      <c r="C131">
        <v>9.6354000000000006</v>
      </c>
      <c r="D131">
        <f t="shared" si="1"/>
        <v>100</v>
      </c>
      <c r="E131" t="s">
        <v>16</v>
      </c>
    </row>
    <row r="132" spans="1:5">
      <c r="A132">
        <v>128</v>
      </c>
      <c r="B132">
        <v>90.343199999999996</v>
      </c>
      <c r="C132">
        <v>9.6568000000000005</v>
      </c>
      <c r="D132">
        <f t="shared" si="1"/>
        <v>100</v>
      </c>
      <c r="E132" t="s">
        <v>16</v>
      </c>
    </row>
    <row r="133" spans="1:5">
      <c r="A133" t="s">
        <v>0</v>
      </c>
    </row>
    <row r="134" spans="1:5">
      <c r="A134" t="s">
        <v>130</v>
      </c>
      <c r="B134">
        <v>78.671300000000002</v>
      </c>
      <c r="C134">
        <v>9.5663999999999998</v>
      </c>
      <c r="D134">
        <v>100</v>
      </c>
    </row>
    <row r="135" spans="1:5">
      <c r="A135" t="s">
        <v>131</v>
      </c>
      <c r="B135">
        <v>90.433599999999998</v>
      </c>
      <c r="C135">
        <v>21.328700000000001</v>
      </c>
      <c r="D135">
        <v>100</v>
      </c>
    </row>
    <row r="136" spans="1:5">
      <c r="A136" t="s">
        <v>132</v>
      </c>
      <c r="B136">
        <v>83.774100000000004</v>
      </c>
      <c r="C136">
        <v>16.225899999999999</v>
      </c>
      <c r="D136">
        <v>100</v>
      </c>
    </row>
    <row r="137" spans="1:5">
      <c r="A137" t="s">
        <v>133</v>
      </c>
      <c r="B137">
        <v>3.4485000000000001</v>
      </c>
      <c r="C137">
        <v>3.4485000000000001</v>
      </c>
      <c r="D137">
        <v>0</v>
      </c>
    </row>
    <row r="138" spans="1:5">
      <c r="A138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C1CB-9494-894E-87E4-07D34CEE5AB8}">
  <dimension ref="A1:K138"/>
  <sheetViews>
    <sheetView workbookViewId="0">
      <selection activeCell="G13" sqref="G13"/>
    </sheetView>
  </sheetViews>
  <sheetFormatPr defaultColWidth="10.90625" defaultRowHeight="15"/>
  <cols>
    <col min="2" max="2" width="17.453125" bestFit="1" customWidth="1"/>
    <col min="3" max="3" width="19.453125" bestFit="1" customWidth="1"/>
    <col min="11" max="11" width="19.6328125" bestFit="1" customWidth="1"/>
  </cols>
  <sheetData>
    <row r="1" spans="1:11">
      <c r="A1" t="s">
        <v>0</v>
      </c>
    </row>
    <row r="2" spans="1:11">
      <c r="A2" t="s">
        <v>138</v>
      </c>
      <c r="B2" t="s">
        <v>2</v>
      </c>
      <c r="C2" t="s">
        <v>3</v>
      </c>
      <c r="D2" t="s">
        <v>4</v>
      </c>
      <c r="E2">
        <v>1</v>
      </c>
      <c r="F2" t="s">
        <v>0</v>
      </c>
    </row>
    <row r="3" spans="1:11">
      <c r="A3" t="s">
        <v>0</v>
      </c>
    </row>
    <row r="4" spans="1:11">
      <c r="A4" t="s">
        <v>5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</v>
      </c>
      <c r="K4" t="s">
        <v>15</v>
      </c>
    </row>
    <row r="5" spans="1:11">
      <c r="A5">
        <v>1</v>
      </c>
      <c r="B5">
        <v>60.585299999999997</v>
      </c>
      <c r="C5">
        <v>0.1022</v>
      </c>
      <c r="D5">
        <v>6.5275999999999996</v>
      </c>
      <c r="E5">
        <v>32.428899999999999</v>
      </c>
      <c r="F5">
        <v>8.9599999999999999E-2</v>
      </c>
      <c r="G5">
        <v>0.01</v>
      </c>
      <c r="H5">
        <v>0.24110000000000001</v>
      </c>
      <c r="I5">
        <v>1.52E-2</v>
      </c>
      <c r="J5">
        <v>100</v>
      </c>
      <c r="K5" t="s">
        <v>16</v>
      </c>
    </row>
    <row r="6" spans="1:11">
      <c r="A6">
        <v>2</v>
      </c>
      <c r="B6">
        <v>60.484499999999997</v>
      </c>
      <c r="C6">
        <v>9.7799999999999998E-2</v>
      </c>
      <c r="D6">
        <v>6.5679999999999996</v>
      </c>
      <c r="E6">
        <v>32.492400000000004</v>
      </c>
      <c r="F6">
        <v>8.5599999999999996E-2</v>
      </c>
      <c r="G6">
        <v>5.1999999999999998E-3</v>
      </c>
      <c r="H6">
        <v>0.25040000000000001</v>
      </c>
      <c r="I6">
        <v>1.5900000000000001E-2</v>
      </c>
      <c r="J6">
        <v>100</v>
      </c>
      <c r="K6" t="s">
        <v>16</v>
      </c>
    </row>
    <row r="7" spans="1:11">
      <c r="A7">
        <v>3</v>
      </c>
      <c r="B7">
        <v>60.569000000000003</v>
      </c>
      <c r="C7">
        <v>9.9900000000000003E-2</v>
      </c>
      <c r="D7">
        <v>6.5084999999999997</v>
      </c>
      <c r="E7">
        <v>32.480499999999999</v>
      </c>
      <c r="F7">
        <v>9.1200000000000003E-2</v>
      </c>
      <c r="G7">
        <v>5.7999999999999996E-3</v>
      </c>
      <c r="H7">
        <v>0.2286</v>
      </c>
      <c r="I7">
        <v>1.66E-2</v>
      </c>
      <c r="J7">
        <v>100</v>
      </c>
      <c r="K7" t="s">
        <v>16</v>
      </c>
    </row>
    <row r="8" spans="1:11">
      <c r="A8">
        <v>4</v>
      </c>
      <c r="B8">
        <v>57.062100000000001</v>
      </c>
      <c r="C8">
        <v>0.1706</v>
      </c>
      <c r="D8">
        <v>10.089</v>
      </c>
      <c r="E8">
        <v>32.197099999999999</v>
      </c>
      <c r="F8">
        <v>0.31519999999999998</v>
      </c>
      <c r="G8">
        <v>1.17E-2</v>
      </c>
      <c r="H8">
        <v>0.1366</v>
      </c>
      <c r="I8">
        <v>1.7600000000000001E-2</v>
      </c>
      <c r="J8">
        <v>100</v>
      </c>
      <c r="K8" t="s">
        <v>17</v>
      </c>
    </row>
    <row r="9" spans="1:11">
      <c r="A9">
        <v>5</v>
      </c>
      <c r="B9">
        <v>56.846499999999999</v>
      </c>
      <c r="C9">
        <v>0.18210000000000001</v>
      </c>
      <c r="D9">
        <v>10.3775</v>
      </c>
      <c r="E9">
        <v>32.1218</v>
      </c>
      <c r="F9">
        <v>0.31540000000000001</v>
      </c>
      <c r="G9">
        <v>8.0000000000000002E-3</v>
      </c>
      <c r="H9">
        <v>0.13189999999999999</v>
      </c>
      <c r="I9">
        <v>1.67E-2</v>
      </c>
      <c r="J9">
        <v>100</v>
      </c>
      <c r="K9" t="s">
        <v>18</v>
      </c>
    </row>
    <row r="10" spans="1:11">
      <c r="A10">
        <v>6</v>
      </c>
      <c r="B10">
        <v>56.988</v>
      </c>
      <c r="C10">
        <v>0.1545</v>
      </c>
      <c r="D10">
        <v>9.6122999999999994</v>
      </c>
      <c r="E10">
        <v>32.787799999999997</v>
      </c>
      <c r="F10">
        <v>0.29799999999999999</v>
      </c>
      <c r="G10">
        <v>8.6999999999999994E-3</v>
      </c>
      <c r="H10">
        <v>0.13869999999999999</v>
      </c>
      <c r="I10">
        <v>1.21E-2</v>
      </c>
      <c r="J10">
        <v>100</v>
      </c>
      <c r="K10" t="s">
        <v>19</v>
      </c>
    </row>
    <row r="11" spans="1:11">
      <c r="A11">
        <v>7</v>
      </c>
      <c r="B11">
        <v>55.580399999999997</v>
      </c>
      <c r="C11">
        <v>0.1759</v>
      </c>
      <c r="D11">
        <v>10.625299999999999</v>
      </c>
      <c r="E11">
        <v>33.171599999999998</v>
      </c>
      <c r="F11">
        <v>0.30349999999999999</v>
      </c>
      <c r="G11">
        <v>5.7999999999999996E-3</v>
      </c>
      <c r="H11">
        <v>0.1203</v>
      </c>
      <c r="I11">
        <v>1.72E-2</v>
      </c>
      <c r="J11">
        <v>100</v>
      </c>
      <c r="K11" t="s">
        <v>20</v>
      </c>
    </row>
    <row r="12" spans="1:11">
      <c r="A12">
        <v>8</v>
      </c>
      <c r="B12">
        <v>56.324300000000001</v>
      </c>
      <c r="C12">
        <v>0.17979999999999999</v>
      </c>
      <c r="D12">
        <v>10.7067</v>
      </c>
      <c r="E12">
        <v>32.3249</v>
      </c>
      <c r="F12">
        <v>0.31030000000000002</v>
      </c>
      <c r="G12">
        <v>3.7000000000000002E-3</v>
      </c>
      <c r="H12">
        <v>0.1308</v>
      </c>
      <c r="I12">
        <v>1.9400000000000001E-2</v>
      </c>
      <c r="J12">
        <v>100</v>
      </c>
      <c r="K12" t="s">
        <v>21</v>
      </c>
    </row>
    <row r="13" spans="1:11">
      <c r="A13">
        <v>9</v>
      </c>
      <c r="B13">
        <v>55.725700000000003</v>
      </c>
      <c r="C13">
        <v>0.17519999999999999</v>
      </c>
      <c r="D13">
        <v>10.800700000000001</v>
      </c>
      <c r="E13">
        <v>32.836599999999997</v>
      </c>
      <c r="F13">
        <v>0.30320000000000003</v>
      </c>
      <c r="G13">
        <v>1.6000000000000001E-3</v>
      </c>
      <c r="H13">
        <v>0.1328</v>
      </c>
      <c r="I13">
        <v>2.4199999999999999E-2</v>
      </c>
      <c r="J13">
        <v>100</v>
      </c>
      <c r="K13" t="s">
        <v>22</v>
      </c>
    </row>
    <row r="14" spans="1:11">
      <c r="A14">
        <v>10</v>
      </c>
      <c r="B14">
        <v>58.299300000000002</v>
      </c>
      <c r="C14">
        <v>0.14460000000000001</v>
      </c>
      <c r="D14">
        <v>8.8303999999999991</v>
      </c>
      <c r="E14">
        <v>32.237900000000003</v>
      </c>
      <c r="F14">
        <v>0.31790000000000002</v>
      </c>
      <c r="G14">
        <v>1.37E-2</v>
      </c>
      <c r="H14">
        <v>0.1343</v>
      </c>
      <c r="I14">
        <v>2.1999999999999999E-2</v>
      </c>
      <c r="J14">
        <v>100</v>
      </c>
      <c r="K14" t="s">
        <v>23</v>
      </c>
    </row>
    <row r="15" spans="1:11">
      <c r="A15">
        <v>11</v>
      </c>
      <c r="B15">
        <v>58.189300000000003</v>
      </c>
      <c r="C15">
        <v>0.15260000000000001</v>
      </c>
      <c r="D15">
        <v>8.9573999999999998</v>
      </c>
      <c r="E15">
        <v>32.222200000000001</v>
      </c>
      <c r="F15">
        <v>0.31530000000000002</v>
      </c>
      <c r="G15">
        <v>1.04E-2</v>
      </c>
      <c r="H15">
        <v>0.1411</v>
      </c>
      <c r="I15">
        <v>1.18E-2</v>
      </c>
      <c r="J15">
        <v>100</v>
      </c>
      <c r="K15" t="s">
        <v>24</v>
      </c>
    </row>
    <row r="16" spans="1:11">
      <c r="A16">
        <v>12</v>
      </c>
      <c r="B16">
        <v>57.641399999999997</v>
      </c>
      <c r="C16">
        <v>0.1447</v>
      </c>
      <c r="D16">
        <v>8.8015000000000008</v>
      </c>
      <c r="E16">
        <v>32.933700000000002</v>
      </c>
      <c r="F16">
        <v>0.30959999999999999</v>
      </c>
      <c r="G16">
        <v>1.41E-2</v>
      </c>
      <c r="H16">
        <v>0.1384</v>
      </c>
      <c r="I16">
        <v>1.66E-2</v>
      </c>
      <c r="J16">
        <v>100</v>
      </c>
      <c r="K16" t="s">
        <v>25</v>
      </c>
    </row>
    <row r="17" spans="1:11">
      <c r="A17">
        <v>13</v>
      </c>
      <c r="B17">
        <v>57.842300000000002</v>
      </c>
      <c r="C17">
        <v>0.1464</v>
      </c>
      <c r="D17">
        <v>8.8186</v>
      </c>
      <c r="E17">
        <v>32.704300000000003</v>
      </c>
      <c r="F17">
        <v>0.31669999999999998</v>
      </c>
      <c r="G17">
        <v>1.0699999999999999E-2</v>
      </c>
      <c r="H17">
        <v>0.14399999999999999</v>
      </c>
      <c r="I17">
        <v>1.7000000000000001E-2</v>
      </c>
      <c r="J17">
        <v>100</v>
      </c>
      <c r="K17" t="s">
        <v>26</v>
      </c>
    </row>
    <row r="18" spans="1:11">
      <c r="A18">
        <v>14</v>
      </c>
      <c r="B18">
        <v>57.6038</v>
      </c>
      <c r="C18">
        <v>0.1411</v>
      </c>
      <c r="D18">
        <v>8.9415999999999993</v>
      </c>
      <c r="E18">
        <v>32.837200000000003</v>
      </c>
      <c r="F18">
        <v>0.30980000000000002</v>
      </c>
      <c r="G18">
        <v>1.0800000000000001E-2</v>
      </c>
      <c r="H18">
        <v>0.1447</v>
      </c>
      <c r="I18">
        <v>1.0999999999999999E-2</v>
      </c>
      <c r="J18">
        <v>100</v>
      </c>
      <c r="K18" t="s">
        <v>27</v>
      </c>
    </row>
    <row r="19" spans="1:11">
      <c r="A19">
        <v>15</v>
      </c>
      <c r="B19">
        <v>58.624899999999997</v>
      </c>
      <c r="C19">
        <v>0.1431</v>
      </c>
      <c r="D19">
        <v>8.6923999999999992</v>
      </c>
      <c r="E19">
        <v>32.048299999999998</v>
      </c>
      <c r="F19">
        <v>0.3145</v>
      </c>
      <c r="G19">
        <v>1.32E-2</v>
      </c>
      <c r="H19">
        <v>0.14499999999999999</v>
      </c>
      <c r="I19">
        <v>1.8499999999999999E-2</v>
      </c>
      <c r="J19">
        <v>100</v>
      </c>
      <c r="K19" t="s">
        <v>28</v>
      </c>
    </row>
    <row r="20" spans="1:11">
      <c r="A20">
        <v>16</v>
      </c>
      <c r="B20">
        <v>56.628399999999999</v>
      </c>
      <c r="C20">
        <v>0.16400000000000001</v>
      </c>
      <c r="D20">
        <v>9.8609000000000009</v>
      </c>
      <c r="E20">
        <v>32.8887</v>
      </c>
      <c r="F20">
        <v>0.28710000000000002</v>
      </c>
      <c r="G20">
        <v>2.23E-2</v>
      </c>
      <c r="H20">
        <v>0.13070000000000001</v>
      </c>
      <c r="I20">
        <v>1.7899999999999999E-2</v>
      </c>
      <c r="J20">
        <v>100</v>
      </c>
      <c r="K20" t="s">
        <v>29</v>
      </c>
    </row>
    <row r="21" spans="1:11">
      <c r="A21">
        <v>17</v>
      </c>
      <c r="B21">
        <v>57.128</v>
      </c>
      <c r="C21">
        <v>0.15989999999999999</v>
      </c>
      <c r="D21">
        <v>9.9354999999999993</v>
      </c>
      <c r="E21">
        <v>32.3249</v>
      </c>
      <c r="F21">
        <v>0.28670000000000001</v>
      </c>
      <c r="G21">
        <v>9.1999999999999998E-3</v>
      </c>
      <c r="H21">
        <v>0.1421</v>
      </c>
      <c r="I21">
        <v>1.37E-2</v>
      </c>
      <c r="J21">
        <v>100</v>
      </c>
      <c r="K21" t="s">
        <v>30</v>
      </c>
    </row>
    <row r="22" spans="1:11">
      <c r="A22">
        <v>18</v>
      </c>
      <c r="B22">
        <v>57.1768</v>
      </c>
      <c r="C22">
        <v>0.16309999999999999</v>
      </c>
      <c r="D22">
        <v>9.9870000000000001</v>
      </c>
      <c r="E22">
        <v>32.231400000000001</v>
      </c>
      <c r="F22">
        <v>0.28220000000000001</v>
      </c>
      <c r="G22">
        <v>5.0000000000000001E-3</v>
      </c>
      <c r="H22">
        <v>0.14080000000000001</v>
      </c>
      <c r="I22">
        <v>1.3599999999999999E-2</v>
      </c>
      <c r="J22">
        <v>100</v>
      </c>
      <c r="K22" t="s">
        <v>31</v>
      </c>
    </row>
    <row r="23" spans="1:11">
      <c r="A23">
        <v>19</v>
      </c>
      <c r="B23">
        <v>58.377699999999997</v>
      </c>
      <c r="C23">
        <v>0.15279999999999999</v>
      </c>
      <c r="D23">
        <v>8.8478999999999992</v>
      </c>
      <c r="E23">
        <v>32.136000000000003</v>
      </c>
      <c r="F23">
        <v>0.31169999999999998</v>
      </c>
      <c r="G23">
        <v>1.29E-2</v>
      </c>
      <c r="H23">
        <v>0.1469</v>
      </c>
      <c r="I23">
        <v>1.41E-2</v>
      </c>
      <c r="J23">
        <v>100</v>
      </c>
      <c r="K23" t="s">
        <v>32</v>
      </c>
    </row>
    <row r="24" spans="1:11">
      <c r="A24">
        <v>20</v>
      </c>
      <c r="B24">
        <v>58.455100000000002</v>
      </c>
      <c r="C24">
        <v>0.13919999999999999</v>
      </c>
      <c r="D24">
        <v>8.7950999999999997</v>
      </c>
      <c r="E24">
        <v>32.127899999999997</v>
      </c>
      <c r="F24">
        <v>0.3125</v>
      </c>
      <c r="G24">
        <v>1.3100000000000001E-2</v>
      </c>
      <c r="H24">
        <v>0.14399999999999999</v>
      </c>
      <c r="I24">
        <v>1.3100000000000001E-2</v>
      </c>
      <c r="J24">
        <v>100</v>
      </c>
      <c r="K24" t="s">
        <v>33</v>
      </c>
    </row>
    <row r="25" spans="1:11">
      <c r="A25">
        <v>21</v>
      </c>
      <c r="B25">
        <v>58.219200000000001</v>
      </c>
      <c r="C25">
        <v>0.1522</v>
      </c>
      <c r="D25">
        <v>9.0257000000000005</v>
      </c>
      <c r="E25">
        <v>32.103099999999998</v>
      </c>
      <c r="F25">
        <v>0.3276</v>
      </c>
      <c r="G25">
        <v>1.0200000000000001E-2</v>
      </c>
      <c r="H25">
        <v>0.14680000000000001</v>
      </c>
      <c r="I25">
        <v>1.5299999999999999E-2</v>
      </c>
      <c r="J25">
        <v>100</v>
      </c>
      <c r="K25" t="s">
        <v>34</v>
      </c>
    </row>
    <row r="26" spans="1:11">
      <c r="A26">
        <v>22</v>
      </c>
      <c r="B26">
        <v>57.313499999999998</v>
      </c>
      <c r="C26">
        <v>0.1648</v>
      </c>
      <c r="D26">
        <v>9.8514999999999997</v>
      </c>
      <c r="E26">
        <v>32.187800000000003</v>
      </c>
      <c r="F26">
        <v>0.30470000000000003</v>
      </c>
      <c r="G26">
        <v>1.2800000000000001E-2</v>
      </c>
      <c r="H26">
        <v>0.15029999999999999</v>
      </c>
      <c r="I26">
        <v>1.47E-2</v>
      </c>
      <c r="J26">
        <v>100</v>
      </c>
      <c r="K26" t="s">
        <v>35</v>
      </c>
    </row>
    <row r="27" spans="1:11">
      <c r="A27">
        <v>23</v>
      </c>
      <c r="B27">
        <v>57.308900000000001</v>
      </c>
      <c r="C27">
        <v>0.1676</v>
      </c>
      <c r="D27">
        <v>9.8576999999999995</v>
      </c>
      <c r="E27">
        <v>32.194400000000002</v>
      </c>
      <c r="F27">
        <v>0.29930000000000001</v>
      </c>
      <c r="G27">
        <v>7.3000000000000001E-3</v>
      </c>
      <c r="H27">
        <v>0.15090000000000001</v>
      </c>
      <c r="I27">
        <v>1.38E-2</v>
      </c>
      <c r="J27">
        <v>100</v>
      </c>
      <c r="K27" t="s">
        <v>36</v>
      </c>
    </row>
    <row r="28" spans="1:11">
      <c r="A28">
        <v>24</v>
      </c>
      <c r="B28">
        <v>56.824800000000003</v>
      </c>
      <c r="C28">
        <v>0.15870000000000001</v>
      </c>
      <c r="D28">
        <v>9.6723999999999997</v>
      </c>
      <c r="E28">
        <v>32.873100000000001</v>
      </c>
      <c r="F28">
        <v>0.29799999999999999</v>
      </c>
      <c r="G28">
        <v>7.4999999999999997E-3</v>
      </c>
      <c r="H28">
        <v>0.1464</v>
      </c>
      <c r="I28">
        <v>1.9099999999999999E-2</v>
      </c>
      <c r="J28">
        <v>100</v>
      </c>
      <c r="K28" t="s">
        <v>37</v>
      </c>
    </row>
    <row r="29" spans="1:11">
      <c r="A29">
        <v>25</v>
      </c>
      <c r="B29">
        <v>60.621000000000002</v>
      </c>
      <c r="C29">
        <v>9.9599999999999994E-2</v>
      </c>
      <c r="D29">
        <v>6.5065</v>
      </c>
      <c r="E29">
        <v>32.436399999999999</v>
      </c>
      <c r="F29">
        <v>8.6999999999999994E-2</v>
      </c>
      <c r="G29">
        <v>2.3E-3</v>
      </c>
      <c r="H29">
        <v>0.2321</v>
      </c>
      <c r="I29">
        <v>1.5100000000000001E-2</v>
      </c>
      <c r="J29">
        <v>100</v>
      </c>
      <c r="K29" t="s">
        <v>16</v>
      </c>
    </row>
    <row r="30" spans="1:11">
      <c r="A30">
        <v>26</v>
      </c>
      <c r="B30">
        <v>60.673000000000002</v>
      </c>
      <c r="C30">
        <v>0.1033</v>
      </c>
      <c r="D30">
        <v>6.4602000000000004</v>
      </c>
      <c r="E30">
        <v>32.411999999999999</v>
      </c>
      <c r="F30">
        <v>9.1399999999999995E-2</v>
      </c>
      <c r="G30">
        <v>4.5999999999999999E-3</v>
      </c>
      <c r="H30">
        <v>0.2399</v>
      </c>
      <c r="I30">
        <v>1.55E-2</v>
      </c>
      <c r="J30">
        <v>100</v>
      </c>
      <c r="K30" t="s">
        <v>16</v>
      </c>
    </row>
    <row r="31" spans="1:11">
      <c r="A31">
        <v>27</v>
      </c>
      <c r="B31">
        <v>60.7209</v>
      </c>
      <c r="C31">
        <v>9.4899999999999998E-2</v>
      </c>
      <c r="D31">
        <v>6.5270000000000001</v>
      </c>
      <c r="E31">
        <v>32.314700000000002</v>
      </c>
      <c r="F31">
        <v>9.0800000000000006E-2</v>
      </c>
      <c r="G31">
        <v>6.1999999999999998E-3</v>
      </c>
      <c r="H31">
        <v>0.2278</v>
      </c>
      <c r="I31">
        <v>1.78E-2</v>
      </c>
      <c r="J31">
        <v>100</v>
      </c>
      <c r="K31" t="s">
        <v>16</v>
      </c>
    </row>
    <row r="32" spans="1:11">
      <c r="A32">
        <v>28</v>
      </c>
      <c r="B32">
        <v>57.603000000000002</v>
      </c>
      <c r="C32">
        <v>0.1384</v>
      </c>
      <c r="D32">
        <v>8.6146999999999991</v>
      </c>
      <c r="E32">
        <v>33.167200000000001</v>
      </c>
      <c r="F32">
        <v>0.29189999999999999</v>
      </c>
      <c r="G32">
        <v>1.7399999999999999E-2</v>
      </c>
      <c r="H32">
        <v>0.14599999999999999</v>
      </c>
      <c r="I32">
        <v>2.1499999999999998E-2</v>
      </c>
      <c r="J32">
        <v>100</v>
      </c>
      <c r="K32" t="s">
        <v>38</v>
      </c>
    </row>
    <row r="33" spans="1:11">
      <c r="A33">
        <v>29</v>
      </c>
      <c r="B33">
        <v>57.385300000000001</v>
      </c>
      <c r="C33">
        <v>0.15260000000000001</v>
      </c>
      <c r="D33">
        <v>8.8247</v>
      </c>
      <c r="E33">
        <v>33.133499999999998</v>
      </c>
      <c r="F33">
        <v>0.32969999999999999</v>
      </c>
      <c r="G33">
        <v>9.7999999999999997E-3</v>
      </c>
      <c r="H33">
        <v>0.14530000000000001</v>
      </c>
      <c r="I33">
        <v>1.9199999999999998E-2</v>
      </c>
      <c r="J33">
        <v>100</v>
      </c>
      <c r="K33" t="s">
        <v>39</v>
      </c>
    </row>
    <row r="34" spans="1:11">
      <c r="A34">
        <v>30</v>
      </c>
      <c r="B34">
        <v>57.703899999999997</v>
      </c>
      <c r="C34">
        <v>0.1333</v>
      </c>
      <c r="D34">
        <v>8.4945000000000004</v>
      </c>
      <c r="E34">
        <v>33.225099999999998</v>
      </c>
      <c r="F34">
        <v>0.27379999999999999</v>
      </c>
      <c r="G34">
        <v>1.0699999999999999E-2</v>
      </c>
      <c r="H34">
        <v>0.14280000000000001</v>
      </c>
      <c r="I34">
        <v>1.5800000000000002E-2</v>
      </c>
      <c r="J34">
        <v>100</v>
      </c>
      <c r="K34" t="s">
        <v>40</v>
      </c>
    </row>
    <row r="35" spans="1:11">
      <c r="A35">
        <v>31</v>
      </c>
      <c r="B35">
        <v>56.381100000000004</v>
      </c>
      <c r="C35">
        <v>0.16009999999999999</v>
      </c>
      <c r="D35">
        <v>9.8076000000000008</v>
      </c>
      <c r="E35">
        <v>33.159199999999998</v>
      </c>
      <c r="F35">
        <v>0.313</v>
      </c>
      <c r="G35">
        <v>6.4999999999999997E-3</v>
      </c>
      <c r="H35">
        <v>0.15459999999999999</v>
      </c>
      <c r="I35">
        <v>1.78E-2</v>
      </c>
      <c r="J35">
        <v>100</v>
      </c>
      <c r="K35" t="s">
        <v>41</v>
      </c>
    </row>
    <row r="36" spans="1:11">
      <c r="A36">
        <v>32</v>
      </c>
      <c r="B36">
        <v>56.607599999999998</v>
      </c>
      <c r="C36">
        <v>0.16189999999999999</v>
      </c>
      <c r="D36">
        <v>9.6129999999999995</v>
      </c>
      <c r="E36">
        <v>33.124200000000002</v>
      </c>
      <c r="F36">
        <v>0.30830000000000002</v>
      </c>
      <c r="G36">
        <v>9.2999999999999992E-3</v>
      </c>
      <c r="H36">
        <v>0.1578</v>
      </c>
      <c r="I36">
        <v>1.7899999999999999E-2</v>
      </c>
      <c r="J36">
        <v>100</v>
      </c>
      <c r="K36" t="s">
        <v>42</v>
      </c>
    </row>
    <row r="37" spans="1:11">
      <c r="A37">
        <v>33</v>
      </c>
      <c r="B37">
        <v>56.979799999999997</v>
      </c>
      <c r="C37">
        <v>0.15790000000000001</v>
      </c>
      <c r="D37">
        <v>9.5587</v>
      </c>
      <c r="E37">
        <v>32.820500000000003</v>
      </c>
      <c r="F37">
        <v>0.29859999999999998</v>
      </c>
      <c r="G37">
        <v>9.1999999999999998E-3</v>
      </c>
      <c r="H37">
        <v>0.16139999999999999</v>
      </c>
      <c r="I37">
        <v>1.3899999999999999E-2</v>
      </c>
      <c r="J37">
        <v>100</v>
      </c>
      <c r="K37" t="s">
        <v>43</v>
      </c>
    </row>
    <row r="38" spans="1:11">
      <c r="A38">
        <v>34</v>
      </c>
      <c r="B38">
        <v>55.441800000000001</v>
      </c>
      <c r="C38">
        <v>0.17760000000000001</v>
      </c>
      <c r="D38">
        <v>10.7536</v>
      </c>
      <c r="E38">
        <v>33.151400000000002</v>
      </c>
      <c r="F38">
        <v>0.30969999999999998</v>
      </c>
      <c r="G38">
        <v>3.0999999999999999E-3</v>
      </c>
      <c r="H38">
        <v>0.14530000000000001</v>
      </c>
      <c r="I38">
        <v>1.7399999999999999E-2</v>
      </c>
      <c r="J38">
        <v>100</v>
      </c>
      <c r="K38" t="s">
        <v>44</v>
      </c>
    </row>
    <row r="39" spans="1:11">
      <c r="A39">
        <v>35</v>
      </c>
      <c r="B39">
        <v>55.420499999999997</v>
      </c>
      <c r="C39">
        <v>0.18179999999999999</v>
      </c>
      <c r="D39">
        <v>10.905900000000001</v>
      </c>
      <c r="E39">
        <v>33.034799999999997</v>
      </c>
      <c r="F39">
        <v>0.30890000000000001</v>
      </c>
      <c r="G39">
        <v>3.3999999999999998E-3</v>
      </c>
      <c r="H39">
        <v>0.12939999999999999</v>
      </c>
      <c r="I39">
        <v>1.54E-2</v>
      </c>
      <c r="J39">
        <v>100</v>
      </c>
      <c r="K39" t="s">
        <v>45</v>
      </c>
    </row>
    <row r="40" spans="1:11">
      <c r="A40">
        <v>36</v>
      </c>
      <c r="B40">
        <v>55.386499999999998</v>
      </c>
      <c r="C40">
        <v>0.17680000000000001</v>
      </c>
      <c r="D40">
        <v>10.910600000000001</v>
      </c>
      <c r="E40">
        <v>33.056699999999999</v>
      </c>
      <c r="F40">
        <v>0.31</v>
      </c>
      <c r="G40">
        <v>8.3000000000000001E-3</v>
      </c>
      <c r="H40">
        <v>0.1328</v>
      </c>
      <c r="I40">
        <v>1.83E-2</v>
      </c>
      <c r="J40">
        <v>100</v>
      </c>
      <c r="K40" t="s">
        <v>46</v>
      </c>
    </row>
    <row r="41" spans="1:11">
      <c r="A41">
        <v>37</v>
      </c>
      <c r="B41">
        <v>57.482500000000002</v>
      </c>
      <c r="C41">
        <v>0.14899999999999999</v>
      </c>
      <c r="D41">
        <v>8.9695999999999998</v>
      </c>
      <c r="E41">
        <v>32.928199999999997</v>
      </c>
      <c r="F41">
        <v>0.29730000000000001</v>
      </c>
      <c r="G41">
        <v>1.35E-2</v>
      </c>
      <c r="H41">
        <v>0.14610000000000001</v>
      </c>
      <c r="I41">
        <v>1.38E-2</v>
      </c>
      <c r="J41">
        <v>100</v>
      </c>
      <c r="K41" t="s">
        <v>47</v>
      </c>
    </row>
    <row r="42" spans="1:11">
      <c r="A42">
        <v>38</v>
      </c>
      <c r="B42">
        <v>57.617400000000004</v>
      </c>
      <c r="C42">
        <v>0.151</v>
      </c>
      <c r="D42">
        <v>8.8495000000000008</v>
      </c>
      <c r="E42">
        <v>32.922800000000002</v>
      </c>
      <c r="F42">
        <v>0.29649999999999999</v>
      </c>
      <c r="G42">
        <v>1.2800000000000001E-2</v>
      </c>
      <c r="H42">
        <v>0.13539999999999999</v>
      </c>
      <c r="I42">
        <v>1.46E-2</v>
      </c>
      <c r="J42">
        <v>100</v>
      </c>
      <c r="K42" t="s">
        <v>48</v>
      </c>
    </row>
    <row r="43" spans="1:11">
      <c r="A43">
        <v>39</v>
      </c>
      <c r="B43">
        <v>57.548000000000002</v>
      </c>
      <c r="C43">
        <v>0.1416</v>
      </c>
      <c r="D43">
        <v>8.9428999999999998</v>
      </c>
      <c r="E43">
        <v>32.922499999999999</v>
      </c>
      <c r="F43">
        <v>0.29320000000000002</v>
      </c>
      <c r="G43">
        <v>7.9000000000000008E-3</v>
      </c>
      <c r="H43">
        <v>0.13120000000000001</v>
      </c>
      <c r="I43">
        <v>1.26E-2</v>
      </c>
      <c r="J43">
        <v>100</v>
      </c>
      <c r="K43" t="s">
        <v>49</v>
      </c>
    </row>
    <row r="44" spans="1:11">
      <c r="A44">
        <v>40</v>
      </c>
      <c r="B44">
        <v>54.570099999999996</v>
      </c>
      <c r="C44">
        <v>0.216</v>
      </c>
      <c r="D44">
        <v>11.897500000000001</v>
      </c>
      <c r="E44">
        <v>32.845100000000002</v>
      </c>
      <c r="F44">
        <v>0.33960000000000001</v>
      </c>
      <c r="G44">
        <v>4.5999999999999999E-3</v>
      </c>
      <c r="H44">
        <v>0.1113</v>
      </c>
      <c r="I44">
        <v>1.5800000000000002E-2</v>
      </c>
      <c r="J44">
        <v>100</v>
      </c>
      <c r="K44" t="s">
        <v>50</v>
      </c>
    </row>
    <row r="45" spans="1:11">
      <c r="A45">
        <v>41</v>
      </c>
      <c r="B45">
        <v>54.960599999999999</v>
      </c>
      <c r="C45">
        <v>0.2198</v>
      </c>
      <c r="D45">
        <v>12.136100000000001</v>
      </c>
      <c r="E45">
        <v>32.208100000000002</v>
      </c>
      <c r="F45">
        <v>0.35399999999999998</v>
      </c>
      <c r="G45">
        <v>8.0000000000000004E-4</v>
      </c>
      <c r="H45">
        <v>0.104</v>
      </c>
      <c r="I45">
        <v>1.66E-2</v>
      </c>
      <c r="J45">
        <v>100</v>
      </c>
      <c r="K45" t="s">
        <v>51</v>
      </c>
    </row>
    <row r="46" spans="1:11">
      <c r="A46">
        <v>42</v>
      </c>
      <c r="B46">
        <v>54.942999999999998</v>
      </c>
      <c r="C46">
        <v>0.21870000000000001</v>
      </c>
      <c r="D46">
        <v>12.251200000000001</v>
      </c>
      <c r="E46">
        <v>32.119900000000001</v>
      </c>
      <c r="F46">
        <v>0.34699999999999998</v>
      </c>
      <c r="G46">
        <v>4.5999999999999999E-3</v>
      </c>
      <c r="H46">
        <v>0.1011</v>
      </c>
      <c r="I46">
        <v>1.47E-2</v>
      </c>
      <c r="J46">
        <v>100</v>
      </c>
      <c r="K46" t="s">
        <v>52</v>
      </c>
    </row>
    <row r="47" spans="1:11">
      <c r="A47">
        <v>43</v>
      </c>
      <c r="B47">
        <v>54.912100000000002</v>
      </c>
      <c r="C47">
        <v>0.22009999999999999</v>
      </c>
      <c r="D47">
        <v>12.212</v>
      </c>
      <c r="E47">
        <v>32.184699999999999</v>
      </c>
      <c r="F47">
        <v>0.34710000000000002</v>
      </c>
      <c r="G47">
        <v>4.5999999999999999E-3</v>
      </c>
      <c r="H47">
        <v>0.10539999999999999</v>
      </c>
      <c r="I47">
        <v>1.3899999999999999E-2</v>
      </c>
      <c r="J47">
        <v>100</v>
      </c>
      <c r="K47" t="s">
        <v>53</v>
      </c>
    </row>
    <row r="48" spans="1:11">
      <c r="A48">
        <v>44</v>
      </c>
      <c r="B48">
        <v>54.709200000000003</v>
      </c>
      <c r="C48">
        <v>0.22270000000000001</v>
      </c>
      <c r="D48">
        <v>12.343299999999999</v>
      </c>
      <c r="E48">
        <v>32.275199999999998</v>
      </c>
      <c r="F48">
        <v>0.3367</v>
      </c>
      <c r="G48">
        <v>4.1999999999999997E-3</v>
      </c>
      <c r="H48">
        <v>9.6699999999999994E-2</v>
      </c>
      <c r="I48">
        <v>1.21E-2</v>
      </c>
      <c r="J48">
        <v>100</v>
      </c>
      <c r="K48" t="s">
        <v>54</v>
      </c>
    </row>
    <row r="49" spans="1:11">
      <c r="A49">
        <v>45</v>
      </c>
      <c r="B49">
        <v>53.426900000000003</v>
      </c>
      <c r="C49">
        <v>0.24049999999999999</v>
      </c>
      <c r="D49">
        <v>12.945</v>
      </c>
      <c r="E49">
        <v>32.921799999999998</v>
      </c>
      <c r="F49">
        <v>0.35849999999999999</v>
      </c>
      <c r="G49">
        <v>0</v>
      </c>
      <c r="H49">
        <v>9.5500000000000002E-2</v>
      </c>
      <c r="I49">
        <v>1.17E-2</v>
      </c>
      <c r="J49">
        <v>100</v>
      </c>
      <c r="K49" t="s">
        <v>55</v>
      </c>
    </row>
    <row r="50" spans="1:11">
      <c r="A50">
        <v>46</v>
      </c>
      <c r="B50">
        <v>56.777200000000001</v>
      </c>
      <c r="C50">
        <v>0.22009999999999999</v>
      </c>
      <c r="D50">
        <v>10.295400000000001</v>
      </c>
      <c r="E50">
        <v>32.244700000000002</v>
      </c>
      <c r="F50">
        <v>0.28810000000000002</v>
      </c>
      <c r="G50">
        <v>4.7999999999999996E-3</v>
      </c>
      <c r="H50">
        <v>0.1595</v>
      </c>
      <c r="I50">
        <v>1.04E-2</v>
      </c>
      <c r="J50">
        <v>100</v>
      </c>
      <c r="K50" t="s">
        <v>56</v>
      </c>
    </row>
    <row r="51" spans="1:11">
      <c r="A51">
        <v>47</v>
      </c>
      <c r="B51">
        <v>55.657499999999999</v>
      </c>
      <c r="C51">
        <v>0.22339999999999999</v>
      </c>
      <c r="D51">
        <v>10.7171</v>
      </c>
      <c r="E51">
        <v>32.941099999999999</v>
      </c>
      <c r="F51">
        <v>0.29699999999999999</v>
      </c>
      <c r="G51">
        <v>6.4999999999999997E-3</v>
      </c>
      <c r="H51">
        <v>0.14630000000000001</v>
      </c>
      <c r="I51">
        <v>1.12E-2</v>
      </c>
      <c r="J51">
        <v>100</v>
      </c>
      <c r="K51" t="s">
        <v>57</v>
      </c>
    </row>
    <row r="52" spans="1:11">
      <c r="A52">
        <v>48</v>
      </c>
      <c r="B52">
        <v>57.442599999999999</v>
      </c>
      <c r="C52">
        <v>0.2303</v>
      </c>
      <c r="D52">
        <v>9.6521000000000008</v>
      </c>
      <c r="E52">
        <v>32.2072</v>
      </c>
      <c r="F52">
        <v>0.28439999999999999</v>
      </c>
      <c r="G52">
        <v>9.9000000000000008E-3</v>
      </c>
      <c r="H52">
        <v>0.16270000000000001</v>
      </c>
      <c r="I52">
        <v>1.0800000000000001E-2</v>
      </c>
      <c r="J52">
        <v>100</v>
      </c>
      <c r="K52" t="s">
        <v>58</v>
      </c>
    </row>
    <row r="53" spans="1:11">
      <c r="A53">
        <v>49</v>
      </c>
      <c r="B53">
        <v>52.303600000000003</v>
      </c>
      <c r="C53">
        <v>0.2601</v>
      </c>
      <c r="D53">
        <v>13.9566</v>
      </c>
      <c r="E53">
        <v>33.116</v>
      </c>
      <c r="F53">
        <v>0.26240000000000002</v>
      </c>
      <c r="G53">
        <v>2.3E-3</v>
      </c>
      <c r="H53">
        <v>8.7999999999999995E-2</v>
      </c>
      <c r="I53">
        <v>1.12E-2</v>
      </c>
      <c r="J53">
        <v>100</v>
      </c>
      <c r="K53" t="s">
        <v>59</v>
      </c>
    </row>
    <row r="54" spans="1:11">
      <c r="A54">
        <v>50</v>
      </c>
      <c r="B54">
        <v>52.255800000000001</v>
      </c>
      <c r="C54">
        <v>0.2555</v>
      </c>
      <c r="D54">
        <v>13.9739</v>
      </c>
      <c r="E54">
        <v>33.1402</v>
      </c>
      <c r="F54">
        <v>0.26769999999999999</v>
      </c>
      <c r="G54">
        <v>0</v>
      </c>
      <c r="H54">
        <v>9.1999999999999998E-2</v>
      </c>
      <c r="I54">
        <v>1.47E-2</v>
      </c>
      <c r="J54">
        <v>100</v>
      </c>
      <c r="K54" t="s">
        <v>60</v>
      </c>
    </row>
    <row r="55" spans="1:11">
      <c r="A55">
        <v>51</v>
      </c>
      <c r="B55">
        <v>52.281999999999996</v>
      </c>
      <c r="C55">
        <v>0.26169999999999999</v>
      </c>
      <c r="D55">
        <v>13.914300000000001</v>
      </c>
      <c r="E55">
        <v>33.157299999999999</v>
      </c>
      <c r="F55">
        <v>0.2823</v>
      </c>
      <c r="G55">
        <v>1.5E-3</v>
      </c>
      <c r="H55">
        <v>8.4599999999999995E-2</v>
      </c>
      <c r="I55">
        <v>1.6400000000000001E-2</v>
      </c>
      <c r="J55">
        <v>100</v>
      </c>
      <c r="K55" t="s">
        <v>61</v>
      </c>
    </row>
    <row r="56" spans="1:11">
      <c r="A56">
        <v>52</v>
      </c>
      <c r="B56">
        <v>52.991799999999998</v>
      </c>
      <c r="C56">
        <v>0.25509999999999999</v>
      </c>
      <c r="D56">
        <v>14.035600000000001</v>
      </c>
      <c r="E56">
        <v>32.335900000000002</v>
      </c>
      <c r="F56">
        <v>0.26860000000000001</v>
      </c>
      <c r="G56">
        <v>1.1999999999999999E-3</v>
      </c>
      <c r="H56">
        <v>9.7199999999999995E-2</v>
      </c>
      <c r="I56">
        <v>1.4500000000000001E-2</v>
      </c>
      <c r="J56">
        <v>100</v>
      </c>
      <c r="K56" t="s">
        <v>62</v>
      </c>
    </row>
    <row r="57" spans="1:11">
      <c r="A57">
        <v>53</v>
      </c>
      <c r="B57">
        <v>52.226300000000002</v>
      </c>
      <c r="C57">
        <v>0.26269999999999999</v>
      </c>
      <c r="D57">
        <v>14.148899999999999</v>
      </c>
      <c r="E57">
        <v>32.989199999999997</v>
      </c>
      <c r="F57">
        <v>0.26300000000000001</v>
      </c>
      <c r="G57">
        <v>1.4E-3</v>
      </c>
      <c r="H57">
        <v>9.3399999999999997E-2</v>
      </c>
      <c r="I57">
        <v>1.5100000000000001E-2</v>
      </c>
      <c r="J57">
        <v>100</v>
      </c>
      <c r="K57" t="s">
        <v>63</v>
      </c>
    </row>
    <row r="58" spans="1:11">
      <c r="A58">
        <v>54</v>
      </c>
      <c r="B58">
        <v>52.329500000000003</v>
      </c>
      <c r="C58">
        <v>0.26079999999999998</v>
      </c>
      <c r="D58">
        <v>13.954700000000001</v>
      </c>
      <c r="E58">
        <v>33.077199999999998</v>
      </c>
      <c r="F58">
        <v>0.26390000000000002</v>
      </c>
      <c r="G58">
        <v>4.0000000000000002E-4</v>
      </c>
      <c r="H58">
        <v>9.9000000000000005E-2</v>
      </c>
      <c r="I58">
        <v>1.43E-2</v>
      </c>
      <c r="J58">
        <v>100</v>
      </c>
      <c r="K58" t="s">
        <v>64</v>
      </c>
    </row>
    <row r="59" spans="1:11">
      <c r="A59">
        <v>55</v>
      </c>
      <c r="B59">
        <v>52.756900000000002</v>
      </c>
      <c r="C59">
        <v>0.26790000000000003</v>
      </c>
      <c r="D59">
        <v>14.299799999999999</v>
      </c>
      <c r="E59">
        <v>32.299700000000001</v>
      </c>
      <c r="F59">
        <v>0.26779999999999998</v>
      </c>
      <c r="G59">
        <v>3.5000000000000001E-3</v>
      </c>
      <c r="H59">
        <v>8.6999999999999994E-2</v>
      </c>
      <c r="I59">
        <v>1.7500000000000002E-2</v>
      </c>
      <c r="J59">
        <v>100</v>
      </c>
      <c r="K59" t="s">
        <v>65</v>
      </c>
    </row>
    <row r="60" spans="1:11">
      <c r="A60">
        <v>56</v>
      </c>
      <c r="B60">
        <v>52.914700000000003</v>
      </c>
      <c r="C60">
        <v>0.26369999999999999</v>
      </c>
      <c r="D60">
        <v>14.12</v>
      </c>
      <c r="E60">
        <v>32.325099999999999</v>
      </c>
      <c r="F60">
        <v>0.26900000000000002</v>
      </c>
      <c r="G60">
        <v>3.5000000000000001E-3</v>
      </c>
      <c r="H60">
        <v>9.1200000000000003E-2</v>
      </c>
      <c r="I60">
        <v>1.29E-2</v>
      </c>
      <c r="J60">
        <v>100</v>
      </c>
      <c r="K60" t="s">
        <v>66</v>
      </c>
    </row>
    <row r="61" spans="1:11">
      <c r="A61">
        <v>57</v>
      </c>
      <c r="B61">
        <v>53.021000000000001</v>
      </c>
      <c r="C61">
        <v>0.26179999999999998</v>
      </c>
      <c r="D61">
        <v>14.113200000000001</v>
      </c>
      <c r="E61">
        <v>32.238799999999998</v>
      </c>
      <c r="F61">
        <v>0.26279999999999998</v>
      </c>
      <c r="G61">
        <v>0</v>
      </c>
      <c r="H61">
        <v>9.0200000000000002E-2</v>
      </c>
      <c r="I61">
        <v>1.23E-2</v>
      </c>
      <c r="J61">
        <v>100</v>
      </c>
      <c r="K61" t="s">
        <v>67</v>
      </c>
    </row>
    <row r="62" spans="1:11">
      <c r="A62">
        <v>58</v>
      </c>
      <c r="B62">
        <v>52.9497</v>
      </c>
      <c r="C62">
        <v>0.26500000000000001</v>
      </c>
      <c r="D62">
        <v>14.135400000000001</v>
      </c>
      <c r="E62">
        <v>32.256999999999998</v>
      </c>
      <c r="F62">
        <v>0.27600000000000002</v>
      </c>
      <c r="G62">
        <v>2.8999999999999998E-3</v>
      </c>
      <c r="H62">
        <v>9.4500000000000001E-2</v>
      </c>
      <c r="I62">
        <v>1.95E-2</v>
      </c>
      <c r="J62">
        <v>100</v>
      </c>
      <c r="K62" t="s">
        <v>68</v>
      </c>
    </row>
    <row r="63" spans="1:11">
      <c r="A63">
        <v>59</v>
      </c>
      <c r="B63">
        <v>60.568300000000001</v>
      </c>
      <c r="C63">
        <v>0.1028</v>
      </c>
      <c r="D63">
        <v>6.5148000000000001</v>
      </c>
      <c r="E63">
        <v>32.473599999999998</v>
      </c>
      <c r="F63">
        <v>8.9099999999999999E-2</v>
      </c>
      <c r="G63">
        <v>1.6999999999999999E-3</v>
      </c>
      <c r="H63">
        <v>0.23330000000000001</v>
      </c>
      <c r="I63">
        <v>1.6400000000000001E-2</v>
      </c>
      <c r="J63">
        <v>100</v>
      </c>
      <c r="K63" t="s">
        <v>16</v>
      </c>
    </row>
    <row r="64" spans="1:11">
      <c r="A64">
        <v>60</v>
      </c>
      <c r="B64">
        <v>60.6708</v>
      </c>
      <c r="C64">
        <v>0.10050000000000001</v>
      </c>
      <c r="D64">
        <v>6.5529000000000002</v>
      </c>
      <c r="E64">
        <v>32.334899999999998</v>
      </c>
      <c r="F64">
        <v>9.0200000000000002E-2</v>
      </c>
      <c r="G64">
        <v>3.3E-3</v>
      </c>
      <c r="H64">
        <v>0.2324</v>
      </c>
      <c r="I64">
        <v>1.4999999999999999E-2</v>
      </c>
      <c r="J64">
        <v>100</v>
      </c>
      <c r="K64" t="s">
        <v>16</v>
      </c>
    </row>
    <row r="65" spans="1:11">
      <c r="A65">
        <v>61</v>
      </c>
      <c r="B65">
        <v>60.769599999999997</v>
      </c>
      <c r="C65">
        <v>9.35E-2</v>
      </c>
      <c r="D65">
        <v>6.4619</v>
      </c>
      <c r="E65">
        <v>32.314700000000002</v>
      </c>
      <c r="F65">
        <v>8.9700000000000002E-2</v>
      </c>
      <c r="G65">
        <v>4.5999999999999999E-3</v>
      </c>
      <c r="H65">
        <v>0.24759999999999999</v>
      </c>
      <c r="I65">
        <v>1.83E-2</v>
      </c>
      <c r="J65">
        <v>100</v>
      </c>
      <c r="K65" t="s">
        <v>16</v>
      </c>
    </row>
    <row r="66" spans="1:11">
      <c r="A66">
        <v>62</v>
      </c>
      <c r="B66">
        <v>56.256799999999998</v>
      </c>
      <c r="C66">
        <v>0.17199999999999999</v>
      </c>
      <c r="D66">
        <v>10.1974</v>
      </c>
      <c r="E66">
        <v>32.920499999999997</v>
      </c>
      <c r="F66">
        <v>0.30480000000000002</v>
      </c>
      <c r="G66">
        <v>5.1000000000000004E-3</v>
      </c>
      <c r="H66">
        <v>0.12859999999999999</v>
      </c>
      <c r="I66">
        <v>1.49E-2</v>
      </c>
      <c r="J66">
        <v>100</v>
      </c>
      <c r="K66" t="s">
        <v>69</v>
      </c>
    </row>
    <row r="67" spans="1:11">
      <c r="A67">
        <v>63</v>
      </c>
      <c r="B67">
        <v>57.017499999999998</v>
      </c>
      <c r="C67">
        <v>0.1711</v>
      </c>
      <c r="D67">
        <v>10.167400000000001</v>
      </c>
      <c r="E67">
        <v>32.195099999999996</v>
      </c>
      <c r="F67">
        <v>0.30359999999999998</v>
      </c>
      <c r="G67">
        <v>4.7000000000000002E-3</v>
      </c>
      <c r="H67">
        <v>0.12720000000000001</v>
      </c>
      <c r="I67">
        <v>1.34E-2</v>
      </c>
      <c r="J67">
        <v>100</v>
      </c>
      <c r="K67" t="s">
        <v>70</v>
      </c>
    </row>
    <row r="68" spans="1:11">
      <c r="A68">
        <v>64</v>
      </c>
      <c r="B68">
        <v>56.3949</v>
      </c>
      <c r="C68">
        <v>0.17630000000000001</v>
      </c>
      <c r="D68">
        <v>10.1471</v>
      </c>
      <c r="E68">
        <v>32.834800000000001</v>
      </c>
      <c r="F68">
        <v>0.30230000000000001</v>
      </c>
      <c r="G68">
        <v>5.4999999999999997E-3</v>
      </c>
      <c r="H68">
        <v>0.12509999999999999</v>
      </c>
      <c r="I68">
        <v>1.4E-2</v>
      </c>
      <c r="J68">
        <v>100</v>
      </c>
      <c r="K68" t="s">
        <v>71</v>
      </c>
    </row>
    <row r="69" spans="1:11">
      <c r="A69">
        <v>65</v>
      </c>
      <c r="B69">
        <v>53.799500000000002</v>
      </c>
      <c r="C69">
        <v>0.22800000000000001</v>
      </c>
      <c r="D69">
        <v>12.6165</v>
      </c>
      <c r="E69">
        <v>32.884399999999999</v>
      </c>
      <c r="F69">
        <v>0.34770000000000001</v>
      </c>
      <c r="G69">
        <v>3.8E-3</v>
      </c>
      <c r="H69">
        <v>0.1056</v>
      </c>
      <c r="I69">
        <v>1.4500000000000001E-2</v>
      </c>
      <c r="J69">
        <v>100</v>
      </c>
      <c r="K69" t="s">
        <v>72</v>
      </c>
    </row>
    <row r="70" spans="1:11">
      <c r="A70">
        <v>66</v>
      </c>
      <c r="B70">
        <v>53.284100000000002</v>
      </c>
      <c r="C70">
        <v>0.23880000000000001</v>
      </c>
      <c r="D70">
        <v>12.963900000000001</v>
      </c>
      <c r="E70">
        <v>33.088299999999997</v>
      </c>
      <c r="F70">
        <v>0.315</v>
      </c>
      <c r="G70">
        <v>1.1000000000000001E-3</v>
      </c>
      <c r="H70">
        <v>9.3299999999999994E-2</v>
      </c>
      <c r="I70">
        <v>1.5599999999999999E-2</v>
      </c>
      <c r="J70">
        <v>100</v>
      </c>
      <c r="K70" t="s">
        <v>73</v>
      </c>
    </row>
    <row r="71" spans="1:11">
      <c r="A71">
        <v>67</v>
      </c>
      <c r="B71">
        <v>53.823500000000003</v>
      </c>
      <c r="C71">
        <v>0.2382</v>
      </c>
      <c r="D71">
        <v>13.201700000000001</v>
      </c>
      <c r="E71">
        <v>32.288699999999999</v>
      </c>
      <c r="F71">
        <v>0.35310000000000002</v>
      </c>
      <c r="G71">
        <v>0</v>
      </c>
      <c r="H71">
        <v>8.0799999999999997E-2</v>
      </c>
      <c r="I71">
        <v>1.38E-2</v>
      </c>
      <c r="J71">
        <v>100</v>
      </c>
      <c r="K71" t="s">
        <v>74</v>
      </c>
    </row>
    <row r="72" spans="1:11">
      <c r="A72">
        <v>68</v>
      </c>
      <c r="B72">
        <v>52.586599999999997</v>
      </c>
      <c r="C72">
        <v>0.26300000000000001</v>
      </c>
      <c r="D72">
        <v>13.658099999999999</v>
      </c>
      <c r="E72">
        <v>33.123100000000001</v>
      </c>
      <c r="F72">
        <v>0.2838</v>
      </c>
      <c r="G72">
        <v>1.1999999999999999E-3</v>
      </c>
      <c r="H72">
        <v>7.2999999999999995E-2</v>
      </c>
      <c r="I72">
        <v>1.12E-2</v>
      </c>
      <c r="J72">
        <v>100</v>
      </c>
      <c r="K72" t="s">
        <v>75</v>
      </c>
    </row>
    <row r="73" spans="1:11">
      <c r="A73">
        <v>69</v>
      </c>
      <c r="B73">
        <v>53.113900000000001</v>
      </c>
      <c r="C73">
        <v>0.26119999999999999</v>
      </c>
      <c r="D73">
        <v>13.6591</v>
      </c>
      <c r="E73">
        <v>32.580100000000002</v>
      </c>
      <c r="F73">
        <v>0.28270000000000001</v>
      </c>
      <c r="G73">
        <v>1.4E-3</v>
      </c>
      <c r="H73">
        <v>8.7800000000000003E-2</v>
      </c>
      <c r="I73">
        <v>1.3899999999999999E-2</v>
      </c>
      <c r="J73">
        <v>100</v>
      </c>
      <c r="K73" t="s">
        <v>76</v>
      </c>
    </row>
    <row r="74" spans="1:11">
      <c r="A74">
        <v>70</v>
      </c>
      <c r="B74">
        <v>52.650300000000001</v>
      </c>
      <c r="C74">
        <v>0.26779999999999998</v>
      </c>
      <c r="D74">
        <v>13.629899999999999</v>
      </c>
      <c r="E74">
        <v>33.055700000000002</v>
      </c>
      <c r="F74">
        <v>0.29709999999999998</v>
      </c>
      <c r="G74">
        <v>2.7000000000000001E-3</v>
      </c>
      <c r="H74">
        <v>8.2500000000000004E-2</v>
      </c>
      <c r="I74">
        <v>1.4E-2</v>
      </c>
      <c r="J74">
        <v>100</v>
      </c>
      <c r="K74" t="s">
        <v>77</v>
      </c>
    </row>
    <row r="75" spans="1:11">
      <c r="A75">
        <v>71</v>
      </c>
      <c r="B75">
        <v>55.2883</v>
      </c>
      <c r="C75">
        <v>0.20930000000000001</v>
      </c>
      <c r="D75">
        <v>10.9741</v>
      </c>
      <c r="E75">
        <v>33.073700000000002</v>
      </c>
      <c r="F75">
        <v>0.30790000000000001</v>
      </c>
      <c r="G75">
        <v>4.1000000000000003E-3</v>
      </c>
      <c r="H75">
        <v>0.12889999999999999</v>
      </c>
      <c r="I75">
        <v>1.3599999999999999E-2</v>
      </c>
      <c r="J75">
        <v>100</v>
      </c>
      <c r="K75" t="s">
        <v>78</v>
      </c>
    </row>
    <row r="76" spans="1:11">
      <c r="A76">
        <v>72</v>
      </c>
      <c r="B76">
        <v>56.398899999999998</v>
      </c>
      <c r="C76">
        <v>0.19869999999999999</v>
      </c>
      <c r="D76">
        <v>9.9422999999999995</v>
      </c>
      <c r="E76">
        <v>32.999499999999998</v>
      </c>
      <c r="F76">
        <v>0.28649999999999998</v>
      </c>
      <c r="G76">
        <v>8.0999999999999996E-3</v>
      </c>
      <c r="H76">
        <v>0.154</v>
      </c>
      <c r="I76">
        <v>1.1900000000000001E-2</v>
      </c>
      <c r="J76">
        <v>100</v>
      </c>
      <c r="K76" t="s">
        <v>79</v>
      </c>
    </row>
    <row r="77" spans="1:11">
      <c r="A77">
        <v>73</v>
      </c>
      <c r="B77">
        <v>55.371499999999997</v>
      </c>
      <c r="C77">
        <v>0.20730000000000001</v>
      </c>
      <c r="D77">
        <v>10.978400000000001</v>
      </c>
      <c r="E77">
        <v>32.978900000000003</v>
      </c>
      <c r="F77">
        <v>0.31280000000000002</v>
      </c>
      <c r="G77">
        <v>4.0000000000000001E-3</v>
      </c>
      <c r="H77">
        <v>0.13389999999999999</v>
      </c>
      <c r="I77">
        <v>1.3100000000000001E-2</v>
      </c>
      <c r="J77">
        <v>100</v>
      </c>
      <c r="K77" t="s">
        <v>80</v>
      </c>
    </row>
    <row r="78" spans="1:11">
      <c r="A78">
        <v>74</v>
      </c>
      <c r="B78">
        <v>55.4268</v>
      </c>
      <c r="C78">
        <v>0.21479999999999999</v>
      </c>
      <c r="D78">
        <v>10.6432</v>
      </c>
      <c r="E78">
        <v>33.228000000000002</v>
      </c>
      <c r="F78">
        <v>0.32729999999999998</v>
      </c>
      <c r="G78">
        <v>8.3999999999999995E-3</v>
      </c>
      <c r="H78">
        <v>0.14030000000000001</v>
      </c>
      <c r="I78">
        <v>1.1299999999999999E-2</v>
      </c>
      <c r="J78">
        <v>100</v>
      </c>
      <c r="K78" t="s">
        <v>81</v>
      </c>
    </row>
    <row r="79" spans="1:11">
      <c r="A79">
        <v>75</v>
      </c>
      <c r="B79">
        <v>55.206099999999999</v>
      </c>
      <c r="C79">
        <v>0.20530000000000001</v>
      </c>
      <c r="D79">
        <v>10.9955</v>
      </c>
      <c r="E79">
        <v>33.115900000000003</v>
      </c>
      <c r="F79">
        <v>0.32479999999999998</v>
      </c>
      <c r="G79">
        <v>5.1000000000000004E-3</v>
      </c>
      <c r="H79">
        <v>0.1351</v>
      </c>
      <c r="I79">
        <v>1.2200000000000001E-2</v>
      </c>
      <c r="J79">
        <v>100</v>
      </c>
      <c r="K79" t="s">
        <v>82</v>
      </c>
    </row>
    <row r="80" spans="1:11">
      <c r="A80">
        <v>76</v>
      </c>
      <c r="B80">
        <v>55.357799999999997</v>
      </c>
      <c r="C80">
        <v>0.21160000000000001</v>
      </c>
      <c r="D80">
        <v>10.738200000000001</v>
      </c>
      <c r="E80">
        <v>33.198799999999999</v>
      </c>
      <c r="F80">
        <v>0.34100000000000003</v>
      </c>
      <c r="G80">
        <v>2.7000000000000001E-3</v>
      </c>
      <c r="H80">
        <v>0.1401</v>
      </c>
      <c r="I80">
        <v>9.9000000000000008E-3</v>
      </c>
      <c r="J80">
        <v>100</v>
      </c>
      <c r="K80" t="s">
        <v>83</v>
      </c>
    </row>
    <row r="81" spans="1:11">
      <c r="A81">
        <v>77</v>
      </c>
      <c r="B81">
        <v>55.625399999999999</v>
      </c>
      <c r="C81">
        <v>0.20219999999999999</v>
      </c>
      <c r="D81">
        <v>10.519299999999999</v>
      </c>
      <c r="E81">
        <v>33.190800000000003</v>
      </c>
      <c r="F81">
        <v>0.30719999999999997</v>
      </c>
      <c r="G81">
        <v>8.3999999999999995E-3</v>
      </c>
      <c r="H81">
        <v>0.13719999999999999</v>
      </c>
      <c r="I81">
        <v>9.2999999999999992E-3</v>
      </c>
      <c r="J81">
        <v>100</v>
      </c>
      <c r="K81" t="s">
        <v>84</v>
      </c>
    </row>
    <row r="82" spans="1:11">
      <c r="A82">
        <v>78</v>
      </c>
      <c r="B82">
        <v>55.196300000000001</v>
      </c>
      <c r="C82">
        <v>0.20899999999999999</v>
      </c>
      <c r="D82">
        <v>10.888</v>
      </c>
      <c r="E82">
        <v>33.215499999999999</v>
      </c>
      <c r="F82">
        <v>0.34560000000000002</v>
      </c>
      <c r="G82">
        <v>1.2999999999999999E-3</v>
      </c>
      <c r="H82">
        <v>0.13089999999999999</v>
      </c>
      <c r="I82">
        <v>1.34E-2</v>
      </c>
      <c r="J82">
        <v>100</v>
      </c>
      <c r="K82" t="s">
        <v>85</v>
      </c>
    </row>
    <row r="83" spans="1:11">
      <c r="A83">
        <v>79</v>
      </c>
      <c r="B83">
        <v>54.937800000000003</v>
      </c>
      <c r="C83">
        <v>0.21240000000000001</v>
      </c>
      <c r="D83">
        <v>11.173999999999999</v>
      </c>
      <c r="E83">
        <v>33.220399999999998</v>
      </c>
      <c r="F83">
        <v>0.31219999999999998</v>
      </c>
      <c r="G83">
        <v>1.9E-3</v>
      </c>
      <c r="H83">
        <v>0.13089999999999999</v>
      </c>
      <c r="I83">
        <v>1.04E-2</v>
      </c>
      <c r="J83">
        <v>100</v>
      </c>
      <c r="K83" t="s">
        <v>86</v>
      </c>
    </row>
    <row r="84" spans="1:11">
      <c r="A84">
        <v>80</v>
      </c>
      <c r="B84">
        <v>55.502099999999999</v>
      </c>
      <c r="C84">
        <v>0.1956</v>
      </c>
      <c r="D84">
        <v>10.7103</v>
      </c>
      <c r="E84">
        <v>33.144799999999996</v>
      </c>
      <c r="F84">
        <v>0.31219999999999998</v>
      </c>
      <c r="G84">
        <v>5.7000000000000002E-3</v>
      </c>
      <c r="H84">
        <v>0.1108</v>
      </c>
      <c r="I84">
        <v>1.84E-2</v>
      </c>
      <c r="J84">
        <v>100</v>
      </c>
      <c r="K84" t="s">
        <v>87</v>
      </c>
    </row>
    <row r="85" spans="1:11">
      <c r="A85">
        <v>81</v>
      </c>
      <c r="B85">
        <v>54.409300000000002</v>
      </c>
      <c r="C85">
        <v>0.22059999999999999</v>
      </c>
      <c r="D85">
        <v>11.831</v>
      </c>
      <c r="E85">
        <v>33.090899999999998</v>
      </c>
      <c r="F85">
        <v>0.32219999999999999</v>
      </c>
      <c r="G85">
        <v>4.5999999999999999E-3</v>
      </c>
      <c r="H85">
        <v>0.1113</v>
      </c>
      <c r="I85">
        <v>1.0200000000000001E-2</v>
      </c>
      <c r="J85">
        <v>100</v>
      </c>
      <c r="K85" t="s">
        <v>88</v>
      </c>
    </row>
    <row r="86" spans="1:11">
      <c r="A86">
        <v>82</v>
      </c>
      <c r="B86">
        <v>54.286799999999999</v>
      </c>
      <c r="C86">
        <v>0.22420000000000001</v>
      </c>
      <c r="D86">
        <v>11.941000000000001</v>
      </c>
      <c r="E86">
        <v>33.088299999999997</v>
      </c>
      <c r="F86">
        <v>0.32269999999999999</v>
      </c>
      <c r="G86">
        <v>4.0000000000000001E-3</v>
      </c>
      <c r="H86">
        <v>0.1133</v>
      </c>
      <c r="I86">
        <v>1.9699999999999999E-2</v>
      </c>
      <c r="J86">
        <v>100</v>
      </c>
      <c r="K86" t="s">
        <v>89</v>
      </c>
    </row>
    <row r="87" spans="1:11">
      <c r="A87">
        <v>83</v>
      </c>
      <c r="B87">
        <v>53.005800000000001</v>
      </c>
      <c r="C87">
        <v>0.2457</v>
      </c>
      <c r="D87">
        <v>13.7159</v>
      </c>
      <c r="E87">
        <v>32.665500000000002</v>
      </c>
      <c r="F87">
        <v>0.2833</v>
      </c>
      <c r="G87">
        <v>0</v>
      </c>
      <c r="H87">
        <v>6.9900000000000004E-2</v>
      </c>
      <c r="I87">
        <v>1.38E-2</v>
      </c>
      <c r="J87">
        <v>100</v>
      </c>
      <c r="K87" t="s">
        <v>90</v>
      </c>
    </row>
    <row r="88" spans="1:11">
      <c r="A88">
        <v>84</v>
      </c>
      <c r="B88">
        <v>52.723799999999997</v>
      </c>
      <c r="C88">
        <v>0.25019999999999998</v>
      </c>
      <c r="D88">
        <v>13.5267</v>
      </c>
      <c r="E88">
        <v>33.126100000000001</v>
      </c>
      <c r="F88">
        <v>0.27639999999999998</v>
      </c>
      <c r="G88">
        <v>1.9E-3</v>
      </c>
      <c r="H88">
        <v>7.7600000000000002E-2</v>
      </c>
      <c r="I88">
        <v>1.7299999999999999E-2</v>
      </c>
      <c r="J88">
        <v>100</v>
      </c>
      <c r="K88" t="s">
        <v>91</v>
      </c>
    </row>
    <row r="89" spans="1:11">
      <c r="A89">
        <v>85</v>
      </c>
      <c r="B89">
        <v>52.577800000000003</v>
      </c>
      <c r="C89">
        <v>0.25419999999999998</v>
      </c>
      <c r="D89">
        <v>13.587999999999999</v>
      </c>
      <c r="E89">
        <v>33.2136</v>
      </c>
      <c r="F89">
        <v>0.2732</v>
      </c>
      <c r="G89">
        <v>2.2000000000000001E-3</v>
      </c>
      <c r="H89">
        <v>7.7299999999999994E-2</v>
      </c>
      <c r="I89">
        <v>1.37E-2</v>
      </c>
      <c r="J89">
        <v>100</v>
      </c>
      <c r="K89" t="s">
        <v>92</v>
      </c>
    </row>
    <row r="90" spans="1:11">
      <c r="A90">
        <v>86</v>
      </c>
      <c r="B90">
        <v>53.366500000000002</v>
      </c>
      <c r="C90">
        <v>0.2586</v>
      </c>
      <c r="D90">
        <v>13.3146</v>
      </c>
      <c r="E90">
        <v>32.674599999999998</v>
      </c>
      <c r="F90">
        <v>0.29499999999999998</v>
      </c>
      <c r="G90">
        <v>4.0000000000000002E-4</v>
      </c>
      <c r="H90">
        <v>7.6999999999999999E-2</v>
      </c>
      <c r="I90">
        <v>1.3299999999999999E-2</v>
      </c>
      <c r="J90">
        <v>100</v>
      </c>
      <c r="K90" t="s">
        <v>93</v>
      </c>
    </row>
    <row r="91" spans="1:11">
      <c r="A91">
        <v>87</v>
      </c>
      <c r="B91">
        <v>53.3337</v>
      </c>
      <c r="C91">
        <v>0.25700000000000001</v>
      </c>
      <c r="D91">
        <v>13.3924</v>
      </c>
      <c r="E91">
        <v>32.623800000000003</v>
      </c>
      <c r="F91">
        <v>0.29770000000000002</v>
      </c>
      <c r="G91">
        <v>0</v>
      </c>
      <c r="H91">
        <v>8.4900000000000003E-2</v>
      </c>
      <c r="I91">
        <v>1.0500000000000001E-2</v>
      </c>
      <c r="J91">
        <v>100</v>
      </c>
      <c r="K91" t="s">
        <v>94</v>
      </c>
    </row>
    <row r="92" spans="1:11">
      <c r="A92">
        <v>88</v>
      </c>
      <c r="B92">
        <v>53.384900000000002</v>
      </c>
      <c r="C92">
        <v>0.25800000000000001</v>
      </c>
      <c r="D92">
        <v>13.285500000000001</v>
      </c>
      <c r="E92">
        <v>32.682200000000002</v>
      </c>
      <c r="F92">
        <v>0.29499999999999998</v>
      </c>
      <c r="G92">
        <v>1.8E-3</v>
      </c>
      <c r="H92">
        <v>7.6799999999999993E-2</v>
      </c>
      <c r="I92">
        <v>1.5900000000000001E-2</v>
      </c>
      <c r="J92">
        <v>100</v>
      </c>
      <c r="K92" t="s">
        <v>95</v>
      </c>
    </row>
    <row r="93" spans="1:11">
      <c r="A93">
        <v>89</v>
      </c>
      <c r="B93">
        <v>60.375100000000003</v>
      </c>
      <c r="C93">
        <v>0.1004</v>
      </c>
      <c r="D93">
        <v>6.4927000000000001</v>
      </c>
      <c r="E93">
        <v>32.697200000000002</v>
      </c>
      <c r="F93">
        <v>8.6400000000000005E-2</v>
      </c>
      <c r="G93">
        <v>6.8999999999999999E-3</v>
      </c>
      <c r="H93">
        <v>0.22259999999999999</v>
      </c>
      <c r="I93">
        <v>1.8700000000000001E-2</v>
      </c>
      <c r="J93">
        <v>100</v>
      </c>
      <c r="K93" t="s">
        <v>16</v>
      </c>
    </row>
    <row r="94" spans="1:11">
      <c r="A94">
        <v>90</v>
      </c>
      <c r="B94">
        <v>60.346299999999999</v>
      </c>
      <c r="C94">
        <v>9.7900000000000001E-2</v>
      </c>
      <c r="D94">
        <v>6.4488000000000003</v>
      </c>
      <c r="E94">
        <v>32.811799999999998</v>
      </c>
      <c r="F94">
        <v>8.8900000000000007E-2</v>
      </c>
      <c r="G94">
        <v>6.1999999999999998E-3</v>
      </c>
      <c r="H94">
        <v>0.18540000000000001</v>
      </c>
      <c r="I94">
        <v>1.4800000000000001E-2</v>
      </c>
      <c r="J94">
        <v>100</v>
      </c>
      <c r="K94" t="s">
        <v>16</v>
      </c>
    </row>
    <row r="95" spans="1:11">
      <c r="A95">
        <v>91</v>
      </c>
      <c r="B95">
        <v>60.375900000000001</v>
      </c>
      <c r="C95">
        <v>9.9000000000000005E-2</v>
      </c>
      <c r="D95">
        <v>6.3898999999999999</v>
      </c>
      <c r="E95">
        <v>32.796100000000003</v>
      </c>
      <c r="F95">
        <v>8.8700000000000001E-2</v>
      </c>
      <c r="G95">
        <v>3.2000000000000002E-3</v>
      </c>
      <c r="H95">
        <v>0.23319999999999999</v>
      </c>
      <c r="I95">
        <v>1.4E-2</v>
      </c>
      <c r="J95">
        <v>100</v>
      </c>
      <c r="K95" t="s">
        <v>16</v>
      </c>
    </row>
    <row r="96" spans="1:11">
      <c r="A96">
        <v>92</v>
      </c>
      <c r="B96">
        <v>54.134099999999997</v>
      </c>
      <c r="C96">
        <v>0.23899999999999999</v>
      </c>
      <c r="D96">
        <v>12.662699999999999</v>
      </c>
      <c r="E96">
        <v>32.516800000000003</v>
      </c>
      <c r="F96">
        <v>0.34770000000000001</v>
      </c>
      <c r="G96">
        <v>0</v>
      </c>
      <c r="H96">
        <v>8.5099999999999995E-2</v>
      </c>
      <c r="I96">
        <v>1.4500000000000001E-2</v>
      </c>
      <c r="J96">
        <v>100</v>
      </c>
      <c r="K96" t="s">
        <v>96</v>
      </c>
    </row>
    <row r="97" spans="1:11">
      <c r="A97">
        <v>93</v>
      </c>
      <c r="B97">
        <v>54.069699999999997</v>
      </c>
      <c r="C97">
        <v>0.24079999999999999</v>
      </c>
      <c r="D97">
        <v>12.888</v>
      </c>
      <c r="E97">
        <v>32.343200000000003</v>
      </c>
      <c r="F97">
        <v>0.34350000000000003</v>
      </c>
      <c r="G97">
        <v>1.6999999999999999E-3</v>
      </c>
      <c r="H97">
        <v>0.1014</v>
      </c>
      <c r="I97">
        <v>1.17E-2</v>
      </c>
      <c r="J97">
        <v>100</v>
      </c>
      <c r="K97" t="s">
        <v>97</v>
      </c>
    </row>
    <row r="98" spans="1:11">
      <c r="A98">
        <v>94</v>
      </c>
      <c r="B98">
        <v>54.170499999999997</v>
      </c>
      <c r="C98">
        <v>0.22889999999999999</v>
      </c>
      <c r="D98">
        <v>12.816700000000001</v>
      </c>
      <c r="E98">
        <v>32.324800000000003</v>
      </c>
      <c r="F98">
        <v>0.35</v>
      </c>
      <c r="G98">
        <v>1.1000000000000001E-3</v>
      </c>
      <c r="H98">
        <v>9.35E-2</v>
      </c>
      <c r="I98">
        <v>1.46E-2</v>
      </c>
      <c r="J98">
        <v>100</v>
      </c>
      <c r="K98" t="s">
        <v>98</v>
      </c>
    </row>
    <row r="99" spans="1:11">
      <c r="A99">
        <v>95</v>
      </c>
      <c r="B99">
        <v>54.559199999999997</v>
      </c>
      <c r="C99">
        <v>0.21629999999999999</v>
      </c>
      <c r="D99">
        <v>11.5739</v>
      </c>
      <c r="E99">
        <v>33.167000000000002</v>
      </c>
      <c r="F99">
        <v>0.3553</v>
      </c>
      <c r="G99">
        <v>6.4000000000000003E-3</v>
      </c>
      <c r="H99">
        <v>0.10630000000000001</v>
      </c>
      <c r="I99">
        <v>1.5599999999999999E-2</v>
      </c>
      <c r="J99">
        <v>100</v>
      </c>
      <c r="K99" t="s">
        <v>99</v>
      </c>
    </row>
    <row r="100" spans="1:11">
      <c r="A100">
        <v>96</v>
      </c>
      <c r="B100">
        <v>53.861800000000002</v>
      </c>
      <c r="C100">
        <v>0.22320000000000001</v>
      </c>
      <c r="D100">
        <v>12.312900000000001</v>
      </c>
      <c r="E100">
        <v>33.134099999999997</v>
      </c>
      <c r="F100">
        <v>0.3463</v>
      </c>
      <c r="G100">
        <v>2.3E-3</v>
      </c>
      <c r="H100">
        <v>0.1046</v>
      </c>
      <c r="I100">
        <v>1.49E-2</v>
      </c>
      <c r="J100">
        <v>100</v>
      </c>
      <c r="K100" t="s">
        <v>100</v>
      </c>
    </row>
    <row r="101" spans="1:11">
      <c r="A101">
        <v>97</v>
      </c>
      <c r="B101">
        <v>54.108499999999999</v>
      </c>
      <c r="C101">
        <v>0.21049999999999999</v>
      </c>
      <c r="D101">
        <v>12.0383</v>
      </c>
      <c r="E101">
        <v>33.187399999999997</v>
      </c>
      <c r="F101">
        <v>0.35110000000000002</v>
      </c>
      <c r="G101">
        <v>3.2000000000000002E-3</v>
      </c>
      <c r="H101">
        <v>8.9599999999999999E-2</v>
      </c>
      <c r="I101">
        <v>1.1299999999999999E-2</v>
      </c>
      <c r="J101">
        <v>100</v>
      </c>
      <c r="K101" t="s">
        <v>101</v>
      </c>
    </row>
    <row r="102" spans="1:11">
      <c r="A102">
        <v>98</v>
      </c>
      <c r="B102">
        <v>54.688200000000002</v>
      </c>
      <c r="C102">
        <v>0.20369999999999999</v>
      </c>
      <c r="D102">
        <v>11.5471</v>
      </c>
      <c r="E102">
        <v>33.100299999999997</v>
      </c>
      <c r="F102">
        <v>0.34100000000000003</v>
      </c>
      <c r="G102">
        <v>2.2000000000000001E-3</v>
      </c>
      <c r="H102">
        <v>0.1009</v>
      </c>
      <c r="I102">
        <v>1.66E-2</v>
      </c>
      <c r="J102">
        <v>100</v>
      </c>
      <c r="K102" t="s">
        <v>102</v>
      </c>
    </row>
    <row r="103" spans="1:11">
      <c r="A103">
        <v>99</v>
      </c>
      <c r="B103">
        <v>54.642000000000003</v>
      </c>
      <c r="C103">
        <v>0.19919999999999999</v>
      </c>
      <c r="D103">
        <v>11.720499999999999</v>
      </c>
      <c r="E103">
        <v>32.978200000000001</v>
      </c>
      <c r="F103">
        <v>0.34</v>
      </c>
      <c r="G103">
        <v>3.5000000000000001E-3</v>
      </c>
      <c r="H103">
        <v>0.1028</v>
      </c>
      <c r="I103">
        <v>1.37E-2</v>
      </c>
      <c r="J103">
        <v>100</v>
      </c>
      <c r="K103" t="s">
        <v>103</v>
      </c>
    </row>
    <row r="104" spans="1:11">
      <c r="A104">
        <v>100</v>
      </c>
      <c r="B104">
        <v>54.632899999999999</v>
      </c>
      <c r="C104">
        <v>0.20169999999999999</v>
      </c>
      <c r="D104">
        <v>11.5916</v>
      </c>
      <c r="E104">
        <v>33.105699999999999</v>
      </c>
      <c r="F104">
        <v>0.34470000000000001</v>
      </c>
      <c r="G104">
        <v>2.7000000000000001E-3</v>
      </c>
      <c r="H104">
        <v>0.106</v>
      </c>
      <c r="I104">
        <v>1.47E-2</v>
      </c>
      <c r="J104">
        <v>100</v>
      </c>
      <c r="K104" t="s">
        <v>104</v>
      </c>
    </row>
    <row r="105" spans="1:11">
      <c r="A105">
        <v>101</v>
      </c>
      <c r="B105">
        <v>53.057899999999997</v>
      </c>
      <c r="C105">
        <v>0.24129999999999999</v>
      </c>
      <c r="D105">
        <v>13.6615</v>
      </c>
      <c r="E105">
        <v>32.670200000000001</v>
      </c>
      <c r="F105">
        <v>0.24440000000000001</v>
      </c>
      <c r="G105">
        <v>3.3999999999999998E-3</v>
      </c>
      <c r="H105">
        <v>0.1065</v>
      </c>
      <c r="I105">
        <v>1.4800000000000001E-2</v>
      </c>
      <c r="J105">
        <v>100</v>
      </c>
      <c r="K105" t="s">
        <v>105</v>
      </c>
    </row>
    <row r="106" spans="1:11">
      <c r="A106">
        <v>102</v>
      </c>
      <c r="B106">
        <v>53.161900000000003</v>
      </c>
      <c r="C106">
        <v>0.2447</v>
      </c>
      <c r="D106">
        <v>13.619300000000001</v>
      </c>
      <c r="E106">
        <v>32.620199999999997</v>
      </c>
      <c r="F106">
        <v>0.24110000000000001</v>
      </c>
      <c r="G106">
        <v>1.6000000000000001E-3</v>
      </c>
      <c r="H106">
        <v>9.8900000000000002E-2</v>
      </c>
      <c r="I106">
        <v>1.23E-2</v>
      </c>
      <c r="J106">
        <v>100</v>
      </c>
      <c r="K106" t="s">
        <v>106</v>
      </c>
    </row>
    <row r="107" spans="1:11">
      <c r="A107">
        <v>103</v>
      </c>
      <c r="B107">
        <v>53.003999999999998</v>
      </c>
      <c r="C107">
        <v>0.24079999999999999</v>
      </c>
      <c r="D107">
        <v>13.642300000000001</v>
      </c>
      <c r="E107">
        <v>32.750700000000002</v>
      </c>
      <c r="F107">
        <v>0.2422</v>
      </c>
      <c r="G107">
        <v>1.1999999999999999E-3</v>
      </c>
      <c r="H107">
        <v>0.1028</v>
      </c>
      <c r="I107">
        <v>1.6E-2</v>
      </c>
      <c r="J107">
        <v>100</v>
      </c>
      <c r="K107" t="s">
        <v>107</v>
      </c>
    </row>
    <row r="108" spans="1:11">
      <c r="A108">
        <v>104</v>
      </c>
      <c r="B108">
        <v>56.583500000000001</v>
      </c>
      <c r="C108">
        <v>0.16800000000000001</v>
      </c>
      <c r="D108">
        <v>9.9427000000000003</v>
      </c>
      <c r="E108">
        <v>32.837899999999998</v>
      </c>
      <c r="F108">
        <v>0.30370000000000003</v>
      </c>
      <c r="G108">
        <v>1.1900000000000001E-2</v>
      </c>
      <c r="H108">
        <v>0.13669999999999999</v>
      </c>
      <c r="I108">
        <v>1.55E-2</v>
      </c>
      <c r="J108">
        <v>100</v>
      </c>
      <c r="K108" t="s">
        <v>108</v>
      </c>
    </row>
    <row r="109" spans="1:11">
      <c r="A109">
        <v>105</v>
      </c>
      <c r="B109">
        <v>56.652700000000003</v>
      </c>
      <c r="C109">
        <v>0.1648</v>
      </c>
      <c r="D109">
        <v>9.9281000000000006</v>
      </c>
      <c r="E109">
        <v>32.785800000000002</v>
      </c>
      <c r="F109">
        <v>0.29580000000000001</v>
      </c>
      <c r="G109">
        <v>0.01</v>
      </c>
      <c r="H109">
        <v>0.1474</v>
      </c>
      <c r="I109">
        <v>1.5299999999999999E-2</v>
      </c>
      <c r="J109">
        <v>100</v>
      </c>
      <c r="K109" t="s">
        <v>109</v>
      </c>
    </row>
    <row r="110" spans="1:11">
      <c r="A110">
        <v>106</v>
      </c>
      <c r="B110">
        <v>56.656799999999997</v>
      </c>
      <c r="C110">
        <v>0.1686</v>
      </c>
      <c r="D110">
        <v>9.8774999999999995</v>
      </c>
      <c r="E110">
        <v>32.840299999999999</v>
      </c>
      <c r="F110">
        <v>0.2999</v>
      </c>
      <c r="G110">
        <v>9.5999999999999992E-3</v>
      </c>
      <c r="H110">
        <v>0.13439999999999999</v>
      </c>
      <c r="I110">
        <v>1.2999999999999999E-2</v>
      </c>
      <c r="J110">
        <v>100</v>
      </c>
      <c r="K110" t="s">
        <v>110</v>
      </c>
    </row>
    <row r="111" spans="1:11">
      <c r="A111">
        <v>107</v>
      </c>
      <c r="B111">
        <v>57.1509</v>
      </c>
      <c r="C111">
        <v>0.15559999999999999</v>
      </c>
      <c r="D111">
        <v>9.4117999999999995</v>
      </c>
      <c r="E111">
        <v>32.797899999999998</v>
      </c>
      <c r="F111">
        <v>0.32729999999999998</v>
      </c>
      <c r="G111">
        <v>8.6999999999999994E-3</v>
      </c>
      <c r="H111">
        <v>0.13100000000000001</v>
      </c>
      <c r="I111">
        <v>1.6799999999999999E-2</v>
      </c>
      <c r="J111">
        <v>100</v>
      </c>
      <c r="K111" t="s">
        <v>111</v>
      </c>
    </row>
    <row r="112" spans="1:11">
      <c r="A112">
        <v>108</v>
      </c>
      <c r="B112">
        <v>56.676000000000002</v>
      </c>
      <c r="C112">
        <v>0.1517</v>
      </c>
      <c r="D112">
        <v>9.4270999999999994</v>
      </c>
      <c r="E112">
        <v>33.277500000000003</v>
      </c>
      <c r="F112">
        <v>0.32140000000000002</v>
      </c>
      <c r="G112">
        <v>1.1599999999999999E-2</v>
      </c>
      <c r="H112">
        <v>0.12330000000000001</v>
      </c>
      <c r="I112">
        <v>1.14E-2</v>
      </c>
      <c r="J112">
        <v>100</v>
      </c>
      <c r="K112" t="s">
        <v>112</v>
      </c>
    </row>
    <row r="113" spans="1:11">
      <c r="A113">
        <v>109</v>
      </c>
      <c r="B113">
        <v>56.580500000000001</v>
      </c>
      <c r="C113">
        <v>0.154</v>
      </c>
      <c r="D113">
        <v>9.4491999999999994</v>
      </c>
      <c r="E113">
        <v>33.307299999999998</v>
      </c>
      <c r="F113">
        <v>0.35830000000000001</v>
      </c>
      <c r="G113">
        <v>1.2E-2</v>
      </c>
      <c r="H113">
        <v>0.1258</v>
      </c>
      <c r="I113">
        <v>1.2999999999999999E-2</v>
      </c>
      <c r="J113">
        <v>100</v>
      </c>
      <c r="K113" t="s">
        <v>113</v>
      </c>
    </row>
    <row r="114" spans="1:11">
      <c r="A114">
        <v>110</v>
      </c>
      <c r="B114">
        <v>56.661700000000003</v>
      </c>
      <c r="C114">
        <v>0.17749999999999999</v>
      </c>
      <c r="D114">
        <v>10.2043</v>
      </c>
      <c r="E114">
        <v>32.500999999999998</v>
      </c>
      <c r="F114">
        <v>0.31390000000000001</v>
      </c>
      <c r="G114">
        <v>8.6999999999999994E-3</v>
      </c>
      <c r="H114">
        <v>0.1178</v>
      </c>
      <c r="I114">
        <v>1.5100000000000001E-2</v>
      </c>
      <c r="J114">
        <v>100</v>
      </c>
      <c r="K114" t="s">
        <v>114</v>
      </c>
    </row>
    <row r="115" spans="1:11">
      <c r="A115">
        <v>111</v>
      </c>
      <c r="B115">
        <v>56.837600000000002</v>
      </c>
      <c r="C115">
        <v>0.17899999999999999</v>
      </c>
      <c r="D115">
        <v>10.1158</v>
      </c>
      <c r="E115">
        <v>32.404000000000003</v>
      </c>
      <c r="F115">
        <v>0.30709999999999998</v>
      </c>
      <c r="G115">
        <v>5.8999999999999999E-3</v>
      </c>
      <c r="H115">
        <v>0.13400000000000001</v>
      </c>
      <c r="I115">
        <v>1.67E-2</v>
      </c>
      <c r="J115">
        <v>100</v>
      </c>
      <c r="K115" t="s">
        <v>115</v>
      </c>
    </row>
    <row r="116" spans="1:11">
      <c r="A116">
        <v>112</v>
      </c>
      <c r="B116">
        <v>56.027299999999997</v>
      </c>
      <c r="C116">
        <v>0.17460000000000001</v>
      </c>
      <c r="D116">
        <v>10.1782</v>
      </c>
      <c r="E116">
        <v>33.164299999999997</v>
      </c>
      <c r="F116">
        <v>0.30449999999999999</v>
      </c>
      <c r="G116">
        <v>6.4000000000000003E-3</v>
      </c>
      <c r="H116">
        <v>0.122</v>
      </c>
      <c r="I116">
        <v>2.2800000000000001E-2</v>
      </c>
      <c r="J116">
        <v>100</v>
      </c>
      <c r="K116" t="s">
        <v>116</v>
      </c>
    </row>
    <row r="117" spans="1:11">
      <c r="A117">
        <v>113</v>
      </c>
      <c r="B117">
        <v>53.605800000000002</v>
      </c>
      <c r="C117">
        <v>0.2215</v>
      </c>
      <c r="D117">
        <v>12.7471</v>
      </c>
      <c r="E117">
        <v>33.009900000000002</v>
      </c>
      <c r="F117">
        <v>0.2893</v>
      </c>
      <c r="G117">
        <v>2.2000000000000001E-3</v>
      </c>
      <c r="H117">
        <v>0.1104</v>
      </c>
      <c r="I117">
        <v>1.38E-2</v>
      </c>
      <c r="J117">
        <v>100</v>
      </c>
      <c r="K117" t="s">
        <v>117</v>
      </c>
    </row>
    <row r="118" spans="1:11">
      <c r="A118">
        <v>114</v>
      </c>
      <c r="B118">
        <v>53.466200000000001</v>
      </c>
      <c r="C118">
        <v>0.22450000000000001</v>
      </c>
      <c r="D118">
        <v>12.761900000000001</v>
      </c>
      <c r="E118">
        <v>33.126199999999997</v>
      </c>
      <c r="F118">
        <v>0.30280000000000001</v>
      </c>
      <c r="G118">
        <v>3.8999999999999998E-3</v>
      </c>
      <c r="H118">
        <v>9.8199999999999996E-2</v>
      </c>
      <c r="I118">
        <v>1.6199999999999999E-2</v>
      </c>
      <c r="J118">
        <v>100</v>
      </c>
      <c r="K118" t="s">
        <v>118</v>
      </c>
    </row>
    <row r="119" spans="1:11">
      <c r="A119">
        <v>115</v>
      </c>
      <c r="B119">
        <v>53.525300000000001</v>
      </c>
      <c r="C119">
        <v>0.22339999999999999</v>
      </c>
      <c r="D119">
        <v>12.778</v>
      </c>
      <c r="E119">
        <v>33.052399999999999</v>
      </c>
      <c r="F119">
        <v>0.30349999999999999</v>
      </c>
      <c r="G119">
        <v>2.9999999999999997E-4</v>
      </c>
      <c r="H119">
        <v>0.1046</v>
      </c>
      <c r="I119">
        <v>1.2500000000000001E-2</v>
      </c>
      <c r="J119">
        <v>100</v>
      </c>
      <c r="K119" t="s">
        <v>119</v>
      </c>
    </row>
    <row r="120" spans="1:11">
      <c r="A120">
        <v>116</v>
      </c>
      <c r="B120">
        <v>52.542400000000001</v>
      </c>
      <c r="C120">
        <v>0.26269999999999999</v>
      </c>
      <c r="D120">
        <v>13.619199999999999</v>
      </c>
      <c r="E120">
        <v>33.163200000000003</v>
      </c>
      <c r="F120">
        <v>0.33100000000000002</v>
      </c>
      <c r="G120">
        <v>4.0000000000000002E-4</v>
      </c>
      <c r="H120">
        <v>6.1199999999999997E-2</v>
      </c>
      <c r="I120">
        <v>0.02</v>
      </c>
      <c r="J120">
        <v>100</v>
      </c>
      <c r="K120" t="s">
        <v>120</v>
      </c>
    </row>
    <row r="121" spans="1:11">
      <c r="A121">
        <v>117</v>
      </c>
      <c r="B121">
        <v>52.498600000000003</v>
      </c>
      <c r="C121">
        <v>0.2651</v>
      </c>
      <c r="D121">
        <v>13.686</v>
      </c>
      <c r="E121">
        <v>33.156199999999998</v>
      </c>
      <c r="F121">
        <v>0.31669999999999998</v>
      </c>
      <c r="G121">
        <v>0</v>
      </c>
      <c r="H121">
        <v>6.1400000000000003E-2</v>
      </c>
      <c r="I121">
        <v>1.61E-2</v>
      </c>
      <c r="J121">
        <v>100</v>
      </c>
      <c r="K121" t="s">
        <v>121</v>
      </c>
    </row>
    <row r="122" spans="1:11">
      <c r="A122">
        <v>118</v>
      </c>
      <c r="B122">
        <v>52.947600000000001</v>
      </c>
      <c r="C122">
        <v>0.26150000000000001</v>
      </c>
      <c r="D122">
        <v>13.821999999999999</v>
      </c>
      <c r="E122">
        <v>32.589700000000001</v>
      </c>
      <c r="F122">
        <v>0.30430000000000001</v>
      </c>
      <c r="G122">
        <v>0</v>
      </c>
      <c r="H122">
        <v>6.2199999999999998E-2</v>
      </c>
      <c r="I122">
        <v>1.2800000000000001E-2</v>
      </c>
      <c r="J122">
        <v>100</v>
      </c>
      <c r="K122" t="s">
        <v>122</v>
      </c>
    </row>
    <row r="123" spans="1:11">
      <c r="A123">
        <v>119</v>
      </c>
      <c r="B123">
        <v>52.85</v>
      </c>
      <c r="C123">
        <v>0.26340000000000002</v>
      </c>
      <c r="D123">
        <v>14.045299999999999</v>
      </c>
      <c r="E123">
        <v>32.474200000000003</v>
      </c>
      <c r="F123">
        <v>0.28939999999999999</v>
      </c>
      <c r="G123">
        <v>4.0000000000000002E-4</v>
      </c>
      <c r="H123">
        <v>6.2399999999999997E-2</v>
      </c>
      <c r="I123">
        <v>1.49E-2</v>
      </c>
      <c r="J123">
        <v>100</v>
      </c>
      <c r="K123" t="s">
        <v>123</v>
      </c>
    </row>
    <row r="124" spans="1:11">
      <c r="A124">
        <v>120</v>
      </c>
      <c r="B124">
        <v>55.084299999999999</v>
      </c>
      <c r="C124">
        <v>0.2019</v>
      </c>
      <c r="D124">
        <v>11.6637</v>
      </c>
      <c r="E124">
        <v>32.580300000000001</v>
      </c>
      <c r="F124">
        <v>0.33489999999999998</v>
      </c>
      <c r="G124">
        <v>8.0000000000000002E-3</v>
      </c>
      <c r="H124">
        <v>0.112</v>
      </c>
      <c r="I124">
        <v>1.4999999999999999E-2</v>
      </c>
      <c r="J124">
        <v>100</v>
      </c>
      <c r="K124" t="s">
        <v>124</v>
      </c>
    </row>
    <row r="125" spans="1:11">
      <c r="A125">
        <v>121</v>
      </c>
      <c r="B125">
        <v>54.738599999999998</v>
      </c>
      <c r="C125">
        <v>0.1953</v>
      </c>
      <c r="D125">
        <v>11.5604</v>
      </c>
      <c r="E125">
        <v>33.0473</v>
      </c>
      <c r="F125">
        <v>0.33300000000000002</v>
      </c>
      <c r="G125">
        <v>7.1999999999999998E-3</v>
      </c>
      <c r="H125">
        <v>0.1021</v>
      </c>
      <c r="I125">
        <v>1.6E-2</v>
      </c>
      <c r="J125">
        <v>100</v>
      </c>
      <c r="K125" t="s">
        <v>125</v>
      </c>
    </row>
    <row r="126" spans="1:11">
      <c r="A126">
        <v>122</v>
      </c>
      <c r="B126">
        <v>55.403700000000001</v>
      </c>
      <c r="C126">
        <v>0.20569999999999999</v>
      </c>
      <c r="D126">
        <v>11.641299999999999</v>
      </c>
      <c r="E126">
        <v>32.289900000000003</v>
      </c>
      <c r="F126">
        <v>0.3347</v>
      </c>
      <c r="G126">
        <v>2.7000000000000001E-3</v>
      </c>
      <c r="H126">
        <v>0.1071</v>
      </c>
      <c r="I126">
        <v>1.49E-2</v>
      </c>
      <c r="J126">
        <v>100</v>
      </c>
      <c r="K126" t="s">
        <v>126</v>
      </c>
    </row>
    <row r="127" spans="1:11">
      <c r="A127">
        <v>123</v>
      </c>
      <c r="B127">
        <v>54.395400000000002</v>
      </c>
      <c r="C127">
        <v>0.21299999999999999</v>
      </c>
      <c r="D127">
        <v>11.9803</v>
      </c>
      <c r="E127">
        <v>32.964799999999997</v>
      </c>
      <c r="F127">
        <v>0.3301</v>
      </c>
      <c r="G127">
        <v>3.2000000000000002E-3</v>
      </c>
      <c r="H127">
        <v>9.8599999999999993E-2</v>
      </c>
      <c r="I127">
        <v>1.47E-2</v>
      </c>
      <c r="J127">
        <v>100</v>
      </c>
      <c r="K127" t="s">
        <v>127</v>
      </c>
    </row>
    <row r="128" spans="1:11">
      <c r="A128">
        <v>124</v>
      </c>
      <c r="B128">
        <v>54.354100000000003</v>
      </c>
      <c r="C128">
        <v>0.2167</v>
      </c>
      <c r="D128">
        <v>11.896000000000001</v>
      </c>
      <c r="E128">
        <v>33.095300000000002</v>
      </c>
      <c r="F128">
        <v>0.3241</v>
      </c>
      <c r="G128">
        <v>2.0999999999999999E-3</v>
      </c>
      <c r="H128">
        <v>9.8599999999999993E-2</v>
      </c>
      <c r="I128">
        <v>1.32E-2</v>
      </c>
      <c r="J128">
        <v>100</v>
      </c>
      <c r="K128" t="s">
        <v>128</v>
      </c>
    </row>
    <row r="129" spans="1:11">
      <c r="A129">
        <v>125</v>
      </c>
      <c r="B129">
        <v>54.263399999999997</v>
      </c>
      <c r="C129">
        <v>0.21870000000000001</v>
      </c>
      <c r="D129">
        <v>12.2052</v>
      </c>
      <c r="E129">
        <v>32.857100000000003</v>
      </c>
      <c r="F129">
        <v>0.33950000000000002</v>
      </c>
      <c r="G129">
        <v>2.7000000000000001E-3</v>
      </c>
      <c r="H129">
        <v>9.8000000000000004E-2</v>
      </c>
      <c r="I129">
        <v>1.55E-2</v>
      </c>
      <c r="J129">
        <v>100</v>
      </c>
      <c r="K129" t="s">
        <v>129</v>
      </c>
    </row>
    <row r="130" spans="1:11">
      <c r="A130">
        <v>126</v>
      </c>
      <c r="B130">
        <v>59.921199999999999</v>
      </c>
      <c r="C130">
        <v>9.4500000000000001E-2</v>
      </c>
      <c r="D130">
        <v>6.4652000000000003</v>
      </c>
      <c r="E130">
        <v>33.177900000000001</v>
      </c>
      <c r="F130">
        <v>8.7099999999999997E-2</v>
      </c>
      <c r="G130">
        <v>5.7999999999999996E-3</v>
      </c>
      <c r="H130">
        <v>0.2334</v>
      </c>
      <c r="I130">
        <v>1.5100000000000001E-2</v>
      </c>
      <c r="J130">
        <v>100</v>
      </c>
      <c r="K130" t="s">
        <v>16</v>
      </c>
    </row>
    <row r="131" spans="1:11">
      <c r="A131">
        <v>127</v>
      </c>
      <c r="B131">
        <v>59.7988</v>
      </c>
      <c r="C131">
        <v>0.1007</v>
      </c>
      <c r="D131">
        <v>6.3757999999999999</v>
      </c>
      <c r="E131">
        <v>33.388500000000001</v>
      </c>
      <c r="F131">
        <v>8.6900000000000005E-2</v>
      </c>
      <c r="G131">
        <v>3.0999999999999999E-3</v>
      </c>
      <c r="H131">
        <v>0.23080000000000001</v>
      </c>
      <c r="I131">
        <v>1.54E-2</v>
      </c>
      <c r="J131">
        <v>100</v>
      </c>
      <c r="K131" t="s">
        <v>16</v>
      </c>
    </row>
    <row r="132" spans="1:11">
      <c r="A132">
        <v>128</v>
      </c>
      <c r="B132">
        <v>59.732500000000002</v>
      </c>
      <c r="C132">
        <v>9.6600000000000005E-2</v>
      </c>
      <c r="D132">
        <v>6.3811999999999998</v>
      </c>
      <c r="E132">
        <v>33.436300000000003</v>
      </c>
      <c r="F132">
        <v>9.0399999999999994E-2</v>
      </c>
      <c r="G132">
        <v>4.8999999999999998E-3</v>
      </c>
      <c r="H132">
        <v>0.23710000000000001</v>
      </c>
      <c r="I132">
        <v>2.0899999999999998E-2</v>
      </c>
      <c r="J132">
        <v>100</v>
      </c>
      <c r="K132" t="s">
        <v>16</v>
      </c>
    </row>
    <row r="133" spans="1:11">
      <c r="A133" t="s">
        <v>0</v>
      </c>
    </row>
    <row r="134" spans="1:11">
      <c r="A134" t="s">
        <v>130</v>
      </c>
      <c r="B134">
        <v>52.226300000000002</v>
      </c>
      <c r="C134">
        <v>9.35E-2</v>
      </c>
      <c r="D134">
        <v>6.3757999999999999</v>
      </c>
      <c r="E134">
        <v>32.048299999999998</v>
      </c>
      <c r="F134">
        <v>8.5599999999999996E-2</v>
      </c>
      <c r="G134">
        <v>0</v>
      </c>
      <c r="H134">
        <v>6.1199999999999997E-2</v>
      </c>
      <c r="I134">
        <v>9.2999999999999992E-3</v>
      </c>
      <c r="J134">
        <v>100</v>
      </c>
    </row>
    <row r="135" spans="1:11">
      <c r="A135" t="s">
        <v>131</v>
      </c>
      <c r="B135">
        <v>60.769599999999997</v>
      </c>
      <c r="C135">
        <v>0.26790000000000003</v>
      </c>
      <c r="D135">
        <v>14.299799999999999</v>
      </c>
      <c r="E135">
        <v>33.436300000000003</v>
      </c>
      <c r="F135">
        <v>0.35849999999999999</v>
      </c>
      <c r="G135">
        <v>2.23E-2</v>
      </c>
      <c r="H135">
        <v>0.25040000000000001</v>
      </c>
      <c r="I135">
        <v>2.4199999999999999E-2</v>
      </c>
      <c r="J135">
        <v>100</v>
      </c>
    </row>
    <row r="136" spans="1:11">
      <c r="A136" t="s">
        <v>132</v>
      </c>
      <c r="B136">
        <v>55.806899999999999</v>
      </c>
      <c r="C136">
        <v>0.19170000000000001</v>
      </c>
      <c r="D136">
        <v>10.8049</v>
      </c>
      <c r="E136">
        <v>32.763599999999997</v>
      </c>
      <c r="F136">
        <v>0.28270000000000001</v>
      </c>
      <c r="G136">
        <v>5.4000000000000003E-3</v>
      </c>
      <c r="H136">
        <v>0.12989999999999999</v>
      </c>
      <c r="I136">
        <v>1.4999999999999999E-2</v>
      </c>
      <c r="J136">
        <v>100</v>
      </c>
    </row>
    <row r="137" spans="1:11">
      <c r="A137" t="s">
        <v>133</v>
      </c>
      <c r="B137">
        <v>2.4018999999999999</v>
      </c>
      <c r="C137">
        <v>5.0999999999999997E-2</v>
      </c>
      <c r="D137">
        <v>2.2869000000000002</v>
      </c>
      <c r="E137">
        <v>0.37619999999999998</v>
      </c>
      <c r="F137">
        <v>7.5200000000000003E-2</v>
      </c>
      <c r="G137">
        <v>4.3E-3</v>
      </c>
      <c r="H137">
        <v>4.48E-2</v>
      </c>
      <c r="I137">
        <v>2.8E-3</v>
      </c>
      <c r="J137">
        <v>0</v>
      </c>
    </row>
    <row r="138" spans="1:11">
      <c r="A138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7223-8A80-FC45-ACE6-ED7ABA937C5B}">
  <dimension ref="A1:M86"/>
  <sheetViews>
    <sheetView topLeftCell="A17" workbookViewId="0">
      <selection activeCell="L41" sqref="L41"/>
    </sheetView>
  </sheetViews>
  <sheetFormatPr defaultColWidth="10.90625" defaultRowHeight="15"/>
  <cols>
    <col min="2" max="2" width="17.453125" bestFit="1" customWidth="1"/>
    <col min="3" max="3" width="19.453125" bestFit="1" customWidth="1"/>
    <col min="11" max="11" width="19.6328125" bestFit="1" customWidth="1"/>
  </cols>
  <sheetData>
    <row r="1" spans="1:12">
      <c r="A1" t="s">
        <v>0</v>
      </c>
    </row>
    <row r="2" spans="1:12">
      <c r="A2" t="s">
        <v>147</v>
      </c>
      <c r="B2" t="s">
        <v>0</v>
      </c>
    </row>
    <row r="3" spans="1:12">
      <c r="A3" t="s">
        <v>148</v>
      </c>
      <c r="B3" t="s">
        <v>149</v>
      </c>
      <c r="C3" t="s">
        <v>148</v>
      </c>
      <c r="D3" t="s">
        <v>0</v>
      </c>
    </row>
    <row r="4" spans="1:12">
      <c r="A4" t="s">
        <v>148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148</v>
      </c>
      <c r="K4" t="s">
        <v>0</v>
      </c>
    </row>
    <row r="5" spans="1:12">
      <c r="A5" t="s">
        <v>148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>
        <v>1993</v>
      </c>
      <c r="K5" t="s">
        <v>148</v>
      </c>
      <c r="L5" t="s">
        <v>0</v>
      </c>
    </row>
    <row r="6" spans="1:12">
      <c r="A6" t="s">
        <v>148</v>
      </c>
      <c r="B6" t="s">
        <v>158</v>
      </c>
      <c r="C6" t="s">
        <v>166</v>
      </c>
      <c r="D6" t="s">
        <v>156</v>
      </c>
      <c r="E6" t="s">
        <v>149</v>
      </c>
      <c r="F6" t="s">
        <v>167</v>
      </c>
      <c r="G6">
        <v>3.5</v>
      </c>
      <c r="H6" t="s">
        <v>148</v>
      </c>
      <c r="I6" t="s">
        <v>0</v>
      </c>
    </row>
    <row r="7" spans="1:12">
      <c r="A7" t="s">
        <v>147</v>
      </c>
      <c r="B7" t="s">
        <v>0</v>
      </c>
    </row>
    <row r="8" spans="1:12">
      <c r="A8" t="s">
        <v>0</v>
      </c>
    </row>
    <row r="9" spans="1:12">
      <c r="A9" t="s">
        <v>0</v>
      </c>
    </row>
    <row r="10" spans="1:12">
      <c r="A10" t="s">
        <v>168</v>
      </c>
      <c r="B10" t="s">
        <v>169</v>
      </c>
      <c r="C10" t="s">
        <v>0</v>
      </c>
    </row>
    <row r="11" spans="1:12">
      <c r="A11" t="s">
        <v>170</v>
      </c>
      <c r="B11" t="s">
        <v>0</v>
      </c>
    </row>
    <row r="12" spans="1:12">
      <c r="A12" t="s">
        <v>171</v>
      </c>
      <c r="B12" t="s">
        <v>172</v>
      </c>
      <c r="C12" t="s">
        <v>173</v>
      </c>
      <c r="D12" t="s">
        <v>174</v>
      </c>
      <c r="E12" t="s">
        <v>175</v>
      </c>
      <c r="F12" t="s">
        <v>176</v>
      </c>
      <c r="G12" t="s">
        <v>177</v>
      </c>
      <c r="H12" t="s">
        <v>178</v>
      </c>
      <c r="I12" t="s">
        <v>179</v>
      </c>
      <c r="J12" t="s">
        <v>180</v>
      </c>
      <c r="K12" t="s">
        <v>181</v>
      </c>
      <c r="L12" t="s">
        <v>0</v>
      </c>
    </row>
    <row r="13" spans="1:12">
      <c r="A13">
        <v>1</v>
      </c>
      <c r="B13" t="s">
        <v>203</v>
      </c>
      <c r="C13" t="s">
        <v>183</v>
      </c>
      <c r="D13" t="s">
        <v>184</v>
      </c>
      <c r="E13" t="s">
        <v>185</v>
      </c>
      <c r="F13" t="s">
        <v>186</v>
      </c>
      <c r="G13">
        <v>15</v>
      </c>
      <c r="H13">
        <v>107.54</v>
      </c>
      <c r="I13">
        <v>0.98899999999999999</v>
      </c>
      <c r="J13">
        <v>5.2</v>
      </c>
      <c r="K13">
        <v>5.2</v>
      </c>
      <c r="L13" t="s">
        <v>0</v>
      </c>
    </row>
    <row r="14" spans="1:12">
      <c r="A14">
        <v>2</v>
      </c>
      <c r="B14" t="s">
        <v>200</v>
      </c>
      <c r="C14" t="s">
        <v>183</v>
      </c>
      <c r="D14" t="s">
        <v>8708</v>
      </c>
      <c r="E14" t="s">
        <v>185</v>
      </c>
      <c r="F14" t="s">
        <v>189</v>
      </c>
      <c r="G14">
        <v>15</v>
      </c>
      <c r="H14">
        <v>146.03700000000001</v>
      </c>
      <c r="I14">
        <v>0.21018000000000001</v>
      </c>
      <c r="J14">
        <v>2</v>
      </c>
      <c r="K14">
        <v>2.5</v>
      </c>
      <c r="L14" t="s">
        <v>0</v>
      </c>
    </row>
    <row r="15" spans="1:12">
      <c r="A15">
        <v>3</v>
      </c>
      <c r="B15" t="s">
        <v>190</v>
      </c>
      <c r="C15" t="s">
        <v>183</v>
      </c>
      <c r="D15" t="s">
        <v>191</v>
      </c>
      <c r="E15" t="s">
        <v>185</v>
      </c>
      <c r="F15" t="s">
        <v>192</v>
      </c>
      <c r="G15">
        <v>15</v>
      </c>
      <c r="H15">
        <v>134.74299999999999</v>
      </c>
      <c r="I15">
        <v>0.19359999999999999</v>
      </c>
      <c r="J15">
        <v>0</v>
      </c>
      <c r="K15">
        <v>2</v>
      </c>
      <c r="L15" t="s">
        <v>0</v>
      </c>
    </row>
    <row r="16" spans="1:12">
      <c r="A16">
        <v>4</v>
      </c>
      <c r="B16" t="s">
        <v>193</v>
      </c>
      <c r="C16" t="s">
        <v>183</v>
      </c>
      <c r="D16" t="s">
        <v>194</v>
      </c>
      <c r="E16" t="s">
        <v>185</v>
      </c>
      <c r="F16" t="s">
        <v>195</v>
      </c>
      <c r="G16">
        <v>15</v>
      </c>
      <c r="H16">
        <v>77.808000000000007</v>
      </c>
      <c r="I16">
        <v>0.71253999999999995</v>
      </c>
      <c r="J16">
        <v>6</v>
      </c>
      <c r="K16">
        <v>6</v>
      </c>
      <c r="L16" t="s">
        <v>0</v>
      </c>
    </row>
    <row r="17" spans="1:13">
      <c r="A17">
        <v>5</v>
      </c>
      <c r="B17" t="s">
        <v>204</v>
      </c>
      <c r="C17" t="s">
        <v>183</v>
      </c>
      <c r="D17" t="s">
        <v>188</v>
      </c>
      <c r="E17" t="s">
        <v>185</v>
      </c>
      <c r="F17" t="s">
        <v>197</v>
      </c>
      <c r="G17">
        <v>15</v>
      </c>
      <c r="H17">
        <v>107.77500000000001</v>
      </c>
      <c r="I17">
        <v>0.33584000000000003</v>
      </c>
      <c r="J17">
        <v>2.2999999999999998</v>
      </c>
      <c r="K17">
        <v>3</v>
      </c>
      <c r="L17" t="s">
        <v>0</v>
      </c>
    </row>
    <row r="18" spans="1:13">
      <c r="A18">
        <v>6</v>
      </c>
      <c r="B18" t="s">
        <v>8709</v>
      </c>
      <c r="C18" t="s">
        <v>183</v>
      </c>
      <c r="D18" t="s">
        <v>8708</v>
      </c>
      <c r="E18" t="s">
        <v>185</v>
      </c>
      <c r="F18" t="s">
        <v>189</v>
      </c>
      <c r="G18">
        <v>15</v>
      </c>
      <c r="H18">
        <v>159.16</v>
      </c>
      <c r="I18">
        <v>0.22897000000000001</v>
      </c>
      <c r="J18">
        <v>0.71199999999999997</v>
      </c>
      <c r="K18">
        <v>0.68799999999999994</v>
      </c>
      <c r="L18" t="s">
        <v>0</v>
      </c>
    </row>
    <row r="19" spans="1:13">
      <c r="A19">
        <v>7</v>
      </c>
      <c r="B19" t="s">
        <v>8710</v>
      </c>
      <c r="C19" t="s">
        <v>183</v>
      </c>
      <c r="D19" t="s">
        <v>191</v>
      </c>
      <c r="E19" t="s">
        <v>185</v>
      </c>
      <c r="F19" t="s">
        <v>192</v>
      </c>
      <c r="G19">
        <v>15</v>
      </c>
      <c r="H19">
        <v>115.41500000000001</v>
      </c>
      <c r="I19">
        <v>0.16578999999999999</v>
      </c>
      <c r="J19">
        <v>2</v>
      </c>
      <c r="K19">
        <v>2</v>
      </c>
      <c r="L19" t="s">
        <v>0</v>
      </c>
    </row>
    <row r="20" spans="1:13">
      <c r="A20">
        <v>8</v>
      </c>
      <c r="B20" t="s">
        <v>201</v>
      </c>
      <c r="C20" t="s">
        <v>183</v>
      </c>
      <c r="D20" t="s">
        <v>194</v>
      </c>
      <c r="E20" t="s">
        <v>185</v>
      </c>
      <c r="F20" t="s">
        <v>195</v>
      </c>
      <c r="G20">
        <v>15</v>
      </c>
      <c r="H20">
        <v>90.986000000000004</v>
      </c>
      <c r="I20">
        <v>0.83392999999999995</v>
      </c>
      <c r="J20">
        <v>1.5</v>
      </c>
      <c r="K20">
        <v>2</v>
      </c>
      <c r="L20" t="s">
        <v>0</v>
      </c>
    </row>
    <row r="21" spans="1:13">
      <c r="A21" t="s">
        <v>0</v>
      </c>
    </row>
    <row r="22" spans="1:13">
      <c r="A22" t="s">
        <v>171</v>
      </c>
      <c r="B22" t="s">
        <v>176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0</v>
      </c>
    </row>
    <row r="23" spans="1:13">
      <c r="A23">
        <v>1</v>
      </c>
      <c r="B23" t="s">
        <v>203</v>
      </c>
      <c r="C23">
        <v>20</v>
      </c>
      <c r="D23">
        <v>10</v>
      </c>
      <c r="E23" t="s">
        <v>213</v>
      </c>
      <c r="F23">
        <v>1</v>
      </c>
      <c r="G23">
        <v>32</v>
      </c>
      <c r="H23">
        <v>1726</v>
      </c>
      <c r="I23">
        <v>0.2</v>
      </c>
      <c r="J23">
        <v>0</v>
      </c>
      <c r="K23" t="s">
        <v>214</v>
      </c>
      <c r="L23" t="s">
        <v>215</v>
      </c>
      <c r="M23" t="s">
        <v>0</v>
      </c>
    </row>
    <row r="24" spans="1:13">
      <c r="A24">
        <v>2</v>
      </c>
      <c r="B24" t="s">
        <v>200</v>
      </c>
      <c r="C24">
        <v>60</v>
      </c>
      <c r="D24">
        <v>30</v>
      </c>
      <c r="E24" t="s">
        <v>213</v>
      </c>
      <c r="F24">
        <v>1</v>
      </c>
      <c r="G24">
        <v>64</v>
      </c>
      <c r="H24">
        <v>1696</v>
      </c>
      <c r="I24">
        <v>0.2</v>
      </c>
      <c r="J24">
        <v>0</v>
      </c>
      <c r="K24" t="s">
        <v>214</v>
      </c>
      <c r="L24" t="s">
        <v>215</v>
      </c>
      <c r="M24" t="s">
        <v>0</v>
      </c>
    </row>
    <row r="25" spans="1:13">
      <c r="A25">
        <v>3</v>
      </c>
      <c r="B25" t="s">
        <v>190</v>
      </c>
      <c r="C25">
        <v>20</v>
      </c>
      <c r="D25">
        <v>10</v>
      </c>
      <c r="E25" t="s">
        <v>213</v>
      </c>
      <c r="F25">
        <v>1</v>
      </c>
      <c r="G25">
        <v>32</v>
      </c>
      <c r="H25">
        <v>1732</v>
      </c>
      <c r="I25">
        <v>0.5</v>
      </c>
      <c r="J25">
        <v>0</v>
      </c>
      <c r="K25" t="s">
        <v>214</v>
      </c>
      <c r="L25" t="s">
        <v>215</v>
      </c>
      <c r="M25" t="s">
        <v>0</v>
      </c>
    </row>
    <row r="26" spans="1:13">
      <c r="A26">
        <v>4</v>
      </c>
      <c r="B26" t="s">
        <v>193</v>
      </c>
      <c r="C26">
        <v>20</v>
      </c>
      <c r="D26">
        <v>10</v>
      </c>
      <c r="E26" t="s">
        <v>213</v>
      </c>
      <c r="F26">
        <v>1</v>
      </c>
      <c r="G26">
        <v>32</v>
      </c>
      <c r="H26">
        <v>1678</v>
      </c>
      <c r="I26">
        <v>0.2</v>
      </c>
      <c r="J26">
        <v>9.8000000000000007</v>
      </c>
      <c r="K26" t="s">
        <v>214</v>
      </c>
      <c r="L26" t="s">
        <v>8711</v>
      </c>
      <c r="M26" t="s">
        <v>0</v>
      </c>
    </row>
    <row r="27" spans="1:13">
      <c r="A27">
        <v>5</v>
      </c>
      <c r="B27" t="s">
        <v>204</v>
      </c>
      <c r="C27">
        <v>60</v>
      </c>
      <c r="D27">
        <v>30</v>
      </c>
      <c r="E27" t="s">
        <v>213</v>
      </c>
      <c r="F27">
        <v>1</v>
      </c>
      <c r="G27">
        <v>64</v>
      </c>
      <c r="H27">
        <v>1718</v>
      </c>
      <c r="I27">
        <v>0.7</v>
      </c>
      <c r="J27">
        <v>0</v>
      </c>
      <c r="K27" t="s">
        <v>214</v>
      </c>
      <c r="L27" t="s">
        <v>215</v>
      </c>
      <c r="M27" t="s">
        <v>0</v>
      </c>
    </row>
    <row r="28" spans="1:13">
      <c r="A28">
        <v>6</v>
      </c>
      <c r="B28" t="s">
        <v>8709</v>
      </c>
      <c r="C28">
        <v>30</v>
      </c>
      <c r="D28">
        <v>15</v>
      </c>
      <c r="E28" t="s">
        <v>213</v>
      </c>
      <c r="F28">
        <v>1</v>
      </c>
      <c r="G28">
        <v>64</v>
      </c>
      <c r="H28">
        <v>1708</v>
      </c>
      <c r="I28">
        <v>0.2</v>
      </c>
      <c r="J28">
        <v>0</v>
      </c>
      <c r="K28" t="s">
        <v>214</v>
      </c>
      <c r="L28" t="s">
        <v>215</v>
      </c>
      <c r="M28" t="s">
        <v>0</v>
      </c>
    </row>
    <row r="29" spans="1:13">
      <c r="A29">
        <v>7</v>
      </c>
      <c r="B29" t="s">
        <v>8710</v>
      </c>
      <c r="C29">
        <v>60</v>
      </c>
      <c r="D29">
        <v>30</v>
      </c>
      <c r="E29" t="s">
        <v>213</v>
      </c>
      <c r="F29">
        <v>1</v>
      </c>
      <c r="G29">
        <v>32</v>
      </c>
      <c r="H29">
        <v>1732</v>
      </c>
      <c r="I29">
        <v>0.7</v>
      </c>
      <c r="J29">
        <v>0</v>
      </c>
      <c r="K29" t="s">
        <v>214</v>
      </c>
      <c r="L29" t="s">
        <v>215</v>
      </c>
      <c r="M29" t="s">
        <v>0</v>
      </c>
    </row>
    <row r="30" spans="1:13">
      <c r="A30">
        <v>8</v>
      </c>
      <c r="B30" t="s">
        <v>201</v>
      </c>
      <c r="C30">
        <v>40</v>
      </c>
      <c r="D30">
        <v>20</v>
      </c>
      <c r="E30" t="s">
        <v>213</v>
      </c>
      <c r="F30">
        <v>1</v>
      </c>
      <c r="G30">
        <v>32</v>
      </c>
      <c r="H30">
        <v>1732</v>
      </c>
      <c r="I30">
        <v>0.7</v>
      </c>
      <c r="J30">
        <v>0</v>
      </c>
      <c r="K30" t="s">
        <v>214</v>
      </c>
      <c r="L30" t="s">
        <v>215</v>
      </c>
      <c r="M30" t="s">
        <v>0</v>
      </c>
    </row>
    <row r="31" spans="1:13">
      <c r="A31" t="s">
        <v>0</v>
      </c>
    </row>
    <row r="32" spans="1:13">
      <c r="A32" t="s">
        <v>168</v>
      </c>
      <c r="B32" t="s">
        <v>216</v>
      </c>
      <c r="C32" t="s">
        <v>156</v>
      </c>
      <c r="D32" t="s">
        <v>217</v>
      </c>
    </row>
    <row r="33" spans="1:8">
      <c r="A33" t="s">
        <v>216</v>
      </c>
      <c r="B33" t="s">
        <v>218</v>
      </c>
      <c r="C33">
        <v>1</v>
      </c>
      <c r="D33">
        <v>2</v>
      </c>
      <c r="E33">
        <v>3</v>
      </c>
      <c r="F33">
        <v>4</v>
      </c>
      <c r="G33">
        <v>5</v>
      </c>
      <c r="H33" t="s">
        <v>0</v>
      </c>
    </row>
    <row r="34" spans="1:8">
      <c r="A34">
        <v>1</v>
      </c>
      <c r="B34" t="s">
        <v>229</v>
      </c>
      <c r="C34" t="s">
        <v>8712</v>
      </c>
      <c r="D34" t="s">
        <v>221</v>
      </c>
      <c r="E34" t="s">
        <v>222</v>
      </c>
      <c r="F34" t="s">
        <v>8713</v>
      </c>
      <c r="G34" t="s">
        <v>0</v>
      </c>
    </row>
    <row r="35" spans="1:8">
      <c r="A35">
        <v>2</v>
      </c>
      <c r="B35">
        <v>0</v>
      </c>
      <c r="C35" t="s">
        <v>8714</v>
      </c>
      <c r="D35" t="s">
        <v>8715</v>
      </c>
      <c r="E35" t="s">
        <v>227</v>
      </c>
      <c r="F35">
        <v>0</v>
      </c>
      <c r="G35" t="s">
        <v>0</v>
      </c>
    </row>
    <row r="36" spans="1:8">
      <c r="A36" t="s">
        <v>0</v>
      </c>
    </row>
    <row r="37" spans="1:8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0</v>
      </c>
    </row>
    <row r="38" spans="1:8">
      <c r="A38" t="s">
        <v>0</v>
      </c>
    </row>
    <row r="39" spans="1:8">
      <c r="A39" t="s">
        <v>237</v>
      </c>
      <c r="B39" t="s">
        <v>0</v>
      </c>
    </row>
    <row r="40" spans="1:8">
      <c r="A40" t="s">
        <v>171</v>
      </c>
      <c r="B40" t="s">
        <v>238</v>
      </c>
      <c r="C40" t="s">
        <v>239</v>
      </c>
      <c r="D40" t="s">
        <v>0</v>
      </c>
    </row>
    <row r="41" spans="1:8">
      <c r="A41">
        <v>1</v>
      </c>
      <c r="B41" t="s">
        <v>252</v>
      </c>
      <c r="C41" t="s">
        <v>8716</v>
      </c>
      <c r="D41">
        <v>49.429900000000004</v>
      </c>
      <c r="E41" t="s">
        <v>0</v>
      </c>
    </row>
    <row r="42" spans="1:8">
      <c r="A42">
        <v>2</v>
      </c>
      <c r="B42" t="s">
        <v>248</v>
      </c>
      <c r="C42" t="s">
        <v>249</v>
      </c>
      <c r="D42">
        <v>43.488500000000002</v>
      </c>
      <c r="E42" t="s">
        <v>0</v>
      </c>
    </row>
    <row r="43" spans="1:8">
      <c r="A43">
        <v>3</v>
      </c>
      <c r="B43" t="s">
        <v>244</v>
      </c>
      <c r="C43" t="s">
        <v>8716</v>
      </c>
      <c r="D43">
        <v>9.5457000000000001</v>
      </c>
      <c r="E43" t="s">
        <v>0</v>
      </c>
    </row>
    <row r="44" spans="1:8">
      <c r="A44">
        <v>4</v>
      </c>
      <c r="B44" t="s">
        <v>245</v>
      </c>
      <c r="C44" t="s">
        <v>8716</v>
      </c>
      <c r="D44">
        <v>40.815800000000003</v>
      </c>
      <c r="E44" t="s">
        <v>0</v>
      </c>
    </row>
    <row r="45" spans="1:8">
      <c r="A45">
        <v>5</v>
      </c>
      <c r="B45" t="s">
        <v>253</v>
      </c>
      <c r="C45" t="s">
        <v>8717</v>
      </c>
      <c r="D45">
        <v>47.7408</v>
      </c>
      <c r="E45" t="s">
        <v>0</v>
      </c>
    </row>
    <row r="46" spans="1:8">
      <c r="A46">
        <v>6</v>
      </c>
      <c r="B46" t="s">
        <v>8718</v>
      </c>
      <c r="C46" t="s">
        <v>8718</v>
      </c>
      <c r="D46">
        <v>99.998500000000007</v>
      </c>
      <c r="E46" t="s">
        <v>0</v>
      </c>
    </row>
    <row r="47" spans="1:8">
      <c r="A47">
        <v>7</v>
      </c>
      <c r="B47" t="s">
        <v>8719</v>
      </c>
      <c r="C47" t="s">
        <v>8719</v>
      </c>
      <c r="D47">
        <v>99.995099999999994</v>
      </c>
      <c r="E47" t="s">
        <v>0</v>
      </c>
    </row>
    <row r="48" spans="1:8">
      <c r="A48">
        <v>8</v>
      </c>
      <c r="B48" t="s">
        <v>250</v>
      </c>
      <c r="C48" t="s">
        <v>8720</v>
      </c>
      <c r="D48">
        <v>99.994900000000001</v>
      </c>
      <c r="E48" t="s">
        <v>0</v>
      </c>
    </row>
    <row r="49" spans="1:8">
      <c r="A49" t="s">
        <v>0</v>
      </c>
    </row>
    <row r="50" spans="1:8">
      <c r="A50" t="s">
        <v>255</v>
      </c>
    </row>
    <row r="51" spans="1:8">
      <c r="A51" t="s">
        <v>171</v>
      </c>
      <c r="B51" t="s">
        <v>256</v>
      </c>
      <c r="C51" t="s">
        <v>257</v>
      </c>
      <c r="D51" t="s">
        <v>258</v>
      </c>
      <c r="E51" t="s">
        <v>259</v>
      </c>
      <c r="F51" t="s">
        <v>260</v>
      </c>
      <c r="G51" t="s">
        <v>261</v>
      </c>
      <c r="H51" t="s">
        <v>0</v>
      </c>
    </row>
    <row r="52" spans="1:8">
      <c r="A52">
        <v>1</v>
      </c>
      <c r="B52" t="s">
        <v>203</v>
      </c>
      <c r="C52" s="1">
        <v>1.0120000000000001E-7</v>
      </c>
      <c r="D52">
        <v>67562.5</v>
      </c>
      <c r="E52">
        <v>304.60000000000002</v>
      </c>
      <c r="F52">
        <v>244.3</v>
      </c>
      <c r="G52">
        <v>0.04</v>
      </c>
      <c r="H52" s="2">
        <v>36951.572916666664</v>
      </c>
    </row>
    <row r="53" spans="1:8">
      <c r="A53">
        <v>2</v>
      </c>
      <c r="B53" t="s">
        <v>200</v>
      </c>
      <c r="C53" s="1">
        <v>1.009E-7</v>
      </c>
      <c r="D53">
        <v>22667.3</v>
      </c>
      <c r="E53">
        <v>151.30000000000001</v>
      </c>
      <c r="F53">
        <v>146.4</v>
      </c>
      <c r="G53">
        <v>0.06</v>
      </c>
      <c r="H53" s="2">
        <v>48061.573611111111</v>
      </c>
    </row>
    <row r="54" spans="1:8">
      <c r="A54">
        <v>3</v>
      </c>
      <c r="B54" t="s">
        <v>190</v>
      </c>
      <c r="C54" s="1">
        <v>1.0120000000000001E-7</v>
      </c>
      <c r="D54">
        <v>1413.5</v>
      </c>
      <c r="E54">
        <v>0</v>
      </c>
      <c r="F54">
        <v>21.6</v>
      </c>
      <c r="G54">
        <v>0.3</v>
      </c>
      <c r="H54" s="2">
        <v>36951.572916666664</v>
      </c>
    </row>
    <row r="55" spans="1:8">
      <c r="A55">
        <v>4</v>
      </c>
      <c r="B55" t="s">
        <v>193</v>
      </c>
      <c r="C55" s="1">
        <v>1.0120000000000001E-7</v>
      </c>
      <c r="D55">
        <v>27225</v>
      </c>
      <c r="E55">
        <v>190.3</v>
      </c>
      <c r="F55">
        <v>112.1</v>
      </c>
      <c r="G55">
        <v>7.0000000000000007E-2</v>
      </c>
      <c r="H55" s="2">
        <v>36951.572916666664</v>
      </c>
    </row>
    <row r="56" spans="1:8">
      <c r="A56">
        <v>5</v>
      </c>
      <c r="B56" t="s">
        <v>204</v>
      </c>
      <c r="C56" s="1">
        <v>9.9999999999999995E-8</v>
      </c>
      <c r="D56">
        <v>102498.4</v>
      </c>
      <c r="E56">
        <v>398.2</v>
      </c>
      <c r="F56">
        <v>355.1</v>
      </c>
      <c r="G56">
        <v>0.02</v>
      </c>
      <c r="H56" s="2">
        <v>47362.617361111108</v>
      </c>
    </row>
    <row r="57" spans="1:8">
      <c r="A57">
        <v>6</v>
      </c>
      <c r="B57" t="s">
        <v>8709</v>
      </c>
      <c r="C57" s="1">
        <v>9.9999999999999995E-8</v>
      </c>
      <c r="D57">
        <v>43140</v>
      </c>
      <c r="E57">
        <v>1141</v>
      </c>
      <c r="F57">
        <v>2187.4</v>
      </c>
      <c r="G57">
        <v>0.05</v>
      </c>
      <c r="H57" s="2">
        <v>48061.664583333331</v>
      </c>
    </row>
    <row r="58" spans="1:8">
      <c r="A58">
        <v>7</v>
      </c>
      <c r="B58" t="s">
        <v>8710</v>
      </c>
      <c r="C58" s="1">
        <v>5.016E-8</v>
      </c>
      <c r="D58">
        <v>8514.2999999999993</v>
      </c>
      <c r="E58">
        <v>48</v>
      </c>
      <c r="F58">
        <v>48</v>
      </c>
      <c r="G58">
        <v>7.0000000000000007E-2</v>
      </c>
      <c r="H58" s="2">
        <v>45566.556250000001</v>
      </c>
    </row>
    <row r="59" spans="1:8">
      <c r="A59">
        <v>8</v>
      </c>
      <c r="B59" t="s">
        <v>201</v>
      </c>
      <c r="C59" s="1">
        <v>1.001E-7</v>
      </c>
      <c r="D59">
        <v>81582.100000000006</v>
      </c>
      <c r="E59">
        <v>400.1</v>
      </c>
      <c r="F59">
        <v>211.8</v>
      </c>
      <c r="G59">
        <v>0.03</v>
      </c>
      <c r="H59" s="2">
        <v>47362.621527777781</v>
      </c>
    </row>
    <row r="60" spans="1:8">
      <c r="A60" t="s">
        <v>262</v>
      </c>
      <c r="B60" t="s">
        <v>0</v>
      </c>
    </row>
    <row r="61" spans="1:8">
      <c r="A61" t="s">
        <v>171</v>
      </c>
      <c r="B61" t="s">
        <v>263</v>
      </c>
      <c r="C61" t="s">
        <v>264</v>
      </c>
      <c r="D61" t="s">
        <v>265</v>
      </c>
      <c r="E61" t="s">
        <v>266</v>
      </c>
      <c r="F61" t="s">
        <v>267</v>
      </c>
      <c r="G61" t="s">
        <v>268</v>
      </c>
      <c r="H61" t="s">
        <v>0</v>
      </c>
    </row>
    <row r="62" spans="1:8">
      <c r="A62" t="s">
        <v>203</v>
      </c>
      <c r="B62">
        <v>0.61250000000000004</v>
      </c>
      <c r="C62">
        <v>3.8E-3</v>
      </c>
      <c r="D62">
        <v>0.70220000000000005</v>
      </c>
      <c r="E62">
        <v>0.98319999999999996</v>
      </c>
      <c r="F62">
        <v>1.0044</v>
      </c>
      <c r="G62">
        <v>1.4367000000000001</v>
      </c>
      <c r="H62" t="s">
        <v>0</v>
      </c>
    </row>
    <row r="63" spans="1:8">
      <c r="A63" t="s">
        <v>200</v>
      </c>
      <c r="B63">
        <v>0.97989999999999999</v>
      </c>
      <c r="C63">
        <v>0</v>
      </c>
      <c r="D63">
        <v>0.99860000000000004</v>
      </c>
      <c r="E63">
        <v>0.83489999999999998</v>
      </c>
      <c r="F63">
        <v>1.046</v>
      </c>
      <c r="G63">
        <v>1.1466000000000001</v>
      </c>
      <c r="H63" t="s">
        <v>0</v>
      </c>
    </row>
    <row r="64" spans="1:8">
      <c r="A64" t="s">
        <v>190</v>
      </c>
      <c r="B64">
        <v>0.98729999999999996</v>
      </c>
      <c r="C64">
        <v>0</v>
      </c>
      <c r="D64">
        <v>1.0034000000000001</v>
      </c>
      <c r="E64">
        <v>0.7923</v>
      </c>
      <c r="F64">
        <v>1.0607</v>
      </c>
      <c r="G64">
        <v>1.1859</v>
      </c>
      <c r="H64" t="s">
        <v>0</v>
      </c>
    </row>
    <row r="65" spans="1:8">
      <c r="A65" t="s">
        <v>193</v>
      </c>
      <c r="B65">
        <v>0.66720000000000002</v>
      </c>
      <c r="C65">
        <v>1E-4</v>
      </c>
      <c r="D65">
        <v>0.73219999999999996</v>
      </c>
      <c r="E65">
        <v>0.96360000000000001</v>
      </c>
      <c r="F65">
        <v>1.0196000000000001</v>
      </c>
      <c r="G65">
        <v>1.39</v>
      </c>
      <c r="H65" t="s">
        <v>0</v>
      </c>
    </row>
    <row r="66" spans="1:8">
      <c r="A66" t="s">
        <v>204</v>
      </c>
      <c r="B66">
        <v>0.94450000000000001</v>
      </c>
      <c r="C66">
        <v>1E-4</v>
      </c>
      <c r="D66">
        <v>0.97829999999999995</v>
      </c>
      <c r="E66">
        <v>0.91349999999999998</v>
      </c>
      <c r="F66">
        <v>1.0427999999999999</v>
      </c>
      <c r="G66">
        <v>1.0728</v>
      </c>
      <c r="H66" t="s">
        <v>0</v>
      </c>
    </row>
    <row r="67" spans="1:8">
      <c r="A67" t="s">
        <v>8709</v>
      </c>
      <c r="B67">
        <v>0.98309999999999997</v>
      </c>
      <c r="C67">
        <v>0</v>
      </c>
      <c r="D67">
        <v>1.0044</v>
      </c>
      <c r="E67">
        <v>0.90600000000000003</v>
      </c>
      <c r="F67">
        <v>1.0297000000000001</v>
      </c>
      <c r="G67">
        <v>1.0672999999999999</v>
      </c>
      <c r="H67" t="s">
        <v>0</v>
      </c>
    </row>
    <row r="68" spans="1:8">
      <c r="A68" t="s">
        <v>8710</v>
      </c>
      <c r="B68">
        <v>0.99019999999999997</v>
      </c>
      <c r="C68">
        <v>0</v>
      </c>
      <c r="D68">
        <v>1.0021</v>
      </c>
      <c r="E68">
        <v>0.93489999999999995</v>
      </c>
      <c r="F68">
        <v>1.0189999999999999</v>
      </c>
      <c r="G68">
        <v>1.0476000000000001</v>
      </c>
      <c r="H68" t="s">
        <v>0</v>
      </c>
    </row>
    <row r="69" spans="1:8">
      <c r="A69" t="s">
        <v>201</v>
      </c>
      <c r="B69">
        <v>0.77090000000000003</v>
      </c>
      <c r="C69">
        <v>0</v>
      </c>
      <c r="D69">
        <v>0.86460000000000004</v>
      </c>
      <c r="E69">
        <v>0.94299999999999995</v>
      </c>
      <c r="F69">
        <v>1.0185</v>
      </c>
      <c r="G69">
        <v>1.2041999999999999</v>
      </c>
      <c r="H69" t="s">
        <v>0</v>
      </c>
    </row>
    <row r="71" spans="1:8">
      <c r="A71" t="s">
        <v>269</v>
      </c>
    </row>
    <row r="72" spans="1:8">
      <c r="A72" t="s">
        <v>270</v>
      </c>
    </row>
    <row r="73" spans="1:8">
      <c r="A73" t="s">
        <v>271</v>
      </c>
    </row>
    <row r="74" spans="1:8">
      <c r="A74" t="s">
        <v>272</v>
      </c>
    </row>
    <row r="75" spans="1:8">
      <c r="A75" t="s">
        <v>273</v>
      </c>
    </row>
    <row r="76" spans="1:8">
      <c r="A76" t="s">
        <v>274</v>
      </c>
    </row>
    <row r="77" spans="1:8">
      <c r="A77" t="s">
        <v>275</v>
      </c>
    </row>
    <row r="78" spans="1:8">
      <c r="A78" t="s">
        <v>276</v>
      </c>
    </row>
    <row r="79" spans="1:8">
      <c r="A79" t="s">
        <v>277</v>
      </c>
    </row>
    <row r="80" spans="1:8">
      <c r="A80" t="s">
        <v>278</v>
      </c>
    </row>
    <row r="81" spans="1:1">
      <c r="A81" t="s">
        <v>279</v>
      </c>
    </row>
    <row r="82" spans="1:1">
      <c r="A82" t="s">
        <v>280</v>
      </c>
    </row>
    <row r="83" spans="1:1">
      <c r="A83" t="s">
        <v>281</v>
      </c>
    </row>
    <row r="84" spans="1:1">
      <c r="A84" t="s">
        <v>8721</v>
      </c>
    </row>
    <row r="85" spans="1:1">
      <c r="A85" t="s">
        <v>8722</v>
      </c>
    </row>
    <row r="86" spans="1:1">
      <c r="A86" t="s">
        <v>8723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0A68-B898-464F-AA93-4B19A66735AD}">
  <dimension ref="A1:A5852"/>
  <sheetViews>
    <sheetView topLeftCell="A13" workbookViewId="0">
      <selection activeCell="G39" sqref="G39"/>
    </sheetView>
  </sheetViews>
  <sheetFormatPr defaultColWidth="10.90625" defaultRowHeight="15"/>
  <sheetData>
    <row r="1" spans="1:1">
      <c r="A1" t="s">
        <v>8724</v>
      </c>
    </row>
    <row r="2" spans="1:1">
      <c r="A2" t="s">
        <v>5069</v>
      </c>
    </row>
    <row r="7" spans="1:1">
      <c r="A7" t="s">
        <v>370</v>
      </c>
    </row>
    <row r="8" spans="1:1">
      <c r="A8" t="s">
        <v>5070</v>
      </c>
    </row>
    <row r="9" spans="1:1">
      <c r="A9" t="s">
        <v>5071</v>
      </c>
    </row>
    <row r="10" spans="1:1">
      <c r="A10" t="s">
        <v>5072</v>
      </c>
    </row>
    <row r="11" spans="1:1">
      <c r="A11" t="s">
        <v>5073</v>
      </c>
    </row>
    <row r="12" spans="1:1">
      <c r="A12" t="s">
        <v>5074</v>
      </c>
    </row>
    <row r="13" spans="1:1">
      <c r="A13" t="s">
        <v>376</v>
      </c>
    </row>
    <row r="15" spans="1:1">
      <c r="A15" t="s">
        <v>5075</v>
      </c>
    </row>
    <row r="16" spans="1:1">
      <c r="A16" t="s">
        <v>378</v>
      </c>
    </row>
    <row r="17" spans="1:1">
      <c r="A17" t="s">
        <v>5076</v>
      </c>
    </row>
    <row r="18" spans="1:1">
      <c r="A18" t="s">
        <v>5077</v>
      </c>
    </row>
    <row r="19" spans="1:1">
      <c r="A19" t="s">
        <v>5078</v>
      </c>
    </row>
    <row r="20" spans="1:1">
      <c r="A20" t="s">
        <v>5079</v>
      </c>
    </row>
    <row r="21" spans="1:1">
      <c r="A21" t="s">
        <v>5080</v>
      </c>
    </row>
    <row r="22" spans="1:1">
      <c r="A22" t="s">
        <v>5081</v>
      </c>
    </row>
    <row r="23" spans="1:1">
      <c r="A23" t="s">
        <v>5082</v>
      </c>
    </row>
    <row r="24" spans="1:1">
      <c r="A24" t="s">
        <v>5083</v>
      </c>
    </row>
    <row r="27" spans="1:1">
      <c r="A27" t="s">
        <v>392</v>
      </c>
    </row>
    <row r="28" spans="1:1">
      <c r="A28" t="s">
        <v>5084</v>
      </c>
    </row>
    <row r="29" spans="1:1">
      <c r="A29" t="s">
        <v>5085</v>
      </c>
    </row>
    <row r="30" spans="1:1">
      <c r="A30" t="s">
        <v>5086</v>
      </c>
    </row>
    <row r="31" spans="1:1">
      <c r="A31" t="s">
        <v>5087</v>
      </c>
    </row>
    <row r="32" spans="1:1">
      <c r="A32" t="s">
        <v>5088</v>
      </c>
    </row>
    <row r="33" spans="1:1">
      <c r="A33" t="s">
        <v>5089</v>
      </c>
    </row>
    <row r="34" spans="1:1">
      <c r="A34" t="s">
        <v>5090</v>
      </c>
    </row>
    <row r="35" spans="1:1">
      <c r="A35" t="s">
        <v>5091</v>
      </c>
    </row>
    <row r="37" spans="1:1">
      <c r="A37" t="s">
        <v>406</v>
      </c>
    </row>
    <row r="38" spans="1:1">
      <c r="A38" t="s">
        <v>5092</v>
      </c>
    </row>
    <row r="39" spans="1:1">
      <c r="A39" t="s">
        <v>5093</v>
      </c>
    </row>
    <row r="40" spans="1:1">
      <c r="A40" t="s">
        <v>5094</v>
      </c>
    </row>
    <row r="41" spans="1:1">
      <c r="A41" t="s">
        <v>5095</v>
      </c>
    </row>
    <row r="42" spans="1:1">
      <c r="A42" t="s">
        <v>5096</v>
      </c>
    </row>
    <row r="43" spans="1:1">
      <c r="A43" t="s">
        <v>5097</v>
      </c>
    </row>
    <row r="44" spans="1:1">
      <c r="A44" t="s">
        <v>5098</v>
      </c>
    </row>
    <row r="45" spans="1:1">
      <c r="A45" t="s">
        <v>5099</v>
      </c>
    </row>
    <row r="46" spans="1:1">
      <c r="A46" t="s">
        <v>5100</v>
      </c>
    </row>
    <row r="47" spans="1:1">
      <c r="A47" t="s">
        <v>421</v>
      </c>
    </row>
    <row r="48" spans="1:1">
      <c r="A48" t="s">
        <v>5101</v>
      </c>
    </row>
    <row r="53" spans="1:1">
      <c r="A53" t="s">
        <v>423</v>
      </c>
    </row>
    <row r="54" spans="1:1">
      <c r="A54" t="s">
        <v>5070</v>
      </c>
    </row>
    <row r="55" spans="1:1">
      <c r="A55" t="s">
        <v>5102</v>
      </c>
    </row>
    <row r="56" spans="1:1">
      <c r="A56" t="s">
        <v>5103</v>
      </c>
    </row>
    <row r="57" spans="1:1">
      <c r="A57" t="s">
        <v>5073</v>
      </c>
    </row>
    <row r="58" spans="1:1">
      <c r="A58" t="s">
        <v>5104</v>
      </c>
    </row>
    <row r="59" spans="1:1">
      <c r="A59" t="s">
        <v>376</v>
      </c>
    </row>
    <row r="61" spans="1:1">
      <c r="A61" t="s">
        <v>5105</v>
      </c>
    </row>
    <row r="62" spans="1:1">
      <c r="A62" t="s">
        <v>378</v>
      </c>
    </row>
    <row r="63" spans="1:1">
      <c r="A63" t="s">
        <v>5106</v>
      </c>
    </row>
    <row r="64" spans="1:1">
      <c r="A64" t="s">
        <v>5107</v>
      </c>
    </row>
    <row r="65" spans="1:1">
      <c r="A65" t="s">
        <v>5108</v>
      </c>
    </row>
    <row r="66" spans="1:1">
      <c r="A66" t="s">
        <v>5109</v>
      </c>
    </row>
    <row r="67" spans="1:1">
      <c r="A67" t="s">
        <v>5110</v>
      </c>
    </row>
    <row r="68" spans="1:1">
      <c r="A68" t="s">
        <v>5111</v>
      </c>
    </row>
    <row r="69" spans="1:1">
      <c r="A69" t="s">
        <v>5112</v>
      </c>
    </row>
    <row r="70" spans="1:1">
      <c r="A70" t="s">
        <v>5113</v>
      </c>
    </row>
    <row r="73" spans="1:1">
      <c r="A73" t="s">
        <v>392</v>
      </c>
    </row>
    <row r="74" spans="1:1">
      <c r="A74" t="s">
        <v>5114</v>
      </c>
    </row>
    <row r="75" spans="1:1">
      <c r="A75" t="s">
        <v>5115</v>
      </c>
    </row>
    <row r="76" spans="1:1">
      <c r="A76" t="s">
        <v>5116</v>
      </c>
    </row>
    <row r="77" spans="1:1">
      <c r="A77" t="s">
        <v>5117</v>
      </c>
    </row>
    <row r="78" spans="1:1">
      <c r="A78" t="s">
        <v>5118</v>
      </c>
    </row>
    <row r="79" spans="1:1">
      <c r="A79" t="s">
        <v>5119</v>
      </c>
    </row>
    <row r="80" spans="1:1">
      <c r="A80" t="s">
        <v>5120</v>
      </c>
    </row>
    <row r="81" spans="1:1">
      <c r="A81" t="s">
        <v>5121</v>
      </c>
    </row>
    <row r="83" spans="1:1">
      <c r="A83" t="s">
        <v>406</v>
      </c>
    </row>
    <row r="84" spans="1:1">
      <c r="A84" t="s">
        <v>5122</v>
      </c>
    </row>
    <row r="85" spans="1:1">
      <c r="A85" t="s">
        <v>5123</v>
      </c>
    </row>
    <row r="86" spans="1:1">
      <c r="A86" t="s">
        <v>5124</v>
      </c>
    </row>
    <row r="87" spans="1:1">
      <c r="A87" t="s">
        <v>5125</v>
      </c>
    </row>
    <row r="88" spans="1:1">
      <c r="A88" t="s">
        <v>5126</v>
      </c>
    </row>
    <row r="89" spans="1:1">
      <c r="A89" t="s">
        <v>5127</v>
      </c>
    </row>
    <row r="90" spans="1:1">
      <c r="A90" t="s">
        <v>5128</v>
      </c>
    </row>
    <row r="91" spans="1:1">
      <c r="A91" t="s">
        <v>5129</v>
      </c>
    </row>
    <row r="92" spans="1:1">
      <c r="A92" t="s">
        <v>5130</v>
      </c>
    </row>
    <row r="93" spans="1:1">
      <c r="A93" t="s">
        <v>421</v>
      </c>
    </row>
    <row r="94" spans="1:1">
      <c r="A94" t="s">
        <v>5131</v>
      </c>
    </row>
    <row r="99" spans="1:1">
      <c r="A99" t="s">
        <v>468</v>
      </c>
    </row>
    <row r="100" spans="1:1">
      <c r="A100" t="s">
        <v>5070</v>
      </c>
    </row>
    <row r="101" spans="1:1">
      <c r="A101" t="s">
        <v>5132</v>
      </c>
    </row>
    <row r="102" spans="1:1">
      <c r="A102" t="s">
        <v>5133</v>
      </c>
    </row>
    <row r="103" spans="1:1">
      <c r="A103" t="s">
        <v>5073</v>
      </c>
    </row>
    <row r="104" spans="1:1">
      <c r="A104" t="s">
        <v>5134</v>
      </c>
    </row>
    <row r="105" spans="1:1">
      <c r="A105" t="s">
        <v>376</v>
      </c>
    </row>
    <row r="107" spans="1:1">
      <c r="A107" t="s">
        <v>5135</v>
      </c>
    </row>
    <row r="108" spans="1:1">
      <c r="A108" t="s">
        <v>378</v>
      </c>
    </row>
    <row r="109" spans="1:1">
      <c r="A109" t="s">
        <v>5136</v>
      </c>
    </row>
    <row r="110" spans="1:1">
      <c r="A110" t="s">
        <v>5137</v>
      </c>
    </row>
    <row r="111" spans="1:1">
      <c r="A111" t="s">
        <v>5138</v>
      </c>
    </row>
    <row r="112" spans="1:1">
      <c r="A112" t="s">
        <v>5139</v>
      </c>
    </row>
    <row r="113" spans="1:1">
      <c r="A113" t="s">
        <v>5140</v>
      </c>
    </row>
    <row r="114" spans="1:1">
      <c r="A114" t="s">
        <v>5141</v>
      </c>
    </row>
    <row r="115" spans="1:1">
      <c r="A115" t="s">
        <v>5142</v>
      </c>
    </row>
    <row r="116" spans="1:1">
      <c r="A116" t="s">
        <v>5143</v>
      </c>
    </row>
    <row r="119" spans="1:1">
      <c r="A119" t="s">
        <v>392</v>
      </c>
    </row>
    <row r="120" spans="1:1">
      <c r="A120" t="s">
        <v>5144</v>
      </c>
    </row>
    <row r="121" spans="1:1">
      <c r="A121" t="s">
        <v>5145</v>
      </c>
    </row>
    <row r="122" spans="1:1">
      <c r="A122" t="s">
        <v>5146</v>
      </c>
    </row>
    <row r="123" spans="1:1">
      <c r="A123" t="s">
        <v>5147</v>
      </c>
    </row>
    <row r="124" spans="1:1">
      <c r="A124" t="s">
        <v>5148</v>
      </c>
    </row>
    <row r="125" spans="1:1">
      <c r="A125" t="s">
        <v>5149</v>
      </c>
    </row>
    <row r="126" spans="1:1">
      <c r="A126" t="s">
        <v>5150</v>
      </c>
    </row>
    <row r="127" spans="1:1">
      <c r="A127" t="s">
        <v>5151</v>
      </c>
    </row>
    <row r="129" spans="1:1">
      <c r="A129" t="s">
        <v>406</v>
      </c>
    </row>
    <row r="130" spans="1:1">
      <c r="A130" t="s">
        <v>5152</v>
      </c>
    </row>
    <row r="131" spans="1:1">
      <c r="A131" t="s">
        <v>5153</v>
      </c>
    </row>
    <row r="132" spans="1:1">
      <c r="A132" t="s">
        <v>5154</v>
      </c>
    </row>
    <row r="133" spans="1:1">
      <c r="A133" t="s">
        <v>5155</v>
      </c>
    </row>
    <row r="134" spans="1:1">
      <c r="A134" t="s">
        <v>5156</v>
      </c>
    </row>
    <row r="135" spans="1:1">
      <c r="A135" t="s">
        <v>5157</v>
      </c>
    </row>
    <row r="136" spans="1:1">
      <c r="A136" t="s">
        <v>5158</v>
      </c>
    </row>
    <row r="137" spans="1:1">
      <c r="A137" t="s">
        <v>5159</v>
      </c>
    </row>
    <row r="138" spans="1:1">
      <c r="A138" t="s">
        <v>5160</v>
      </c>
    </row>
    <row r="139" spans="1:1">
      <c r="A139" t="s">
        <v>421</v>
      </c>
    </row>
    <row r="140" spans="1:1">
      <c r="A140" t="s">
        <v>5161</v>
      </c>
    </row>
    <row r="145" spans="1:1">
      <c r="A145" t="s">
        <v>514</v>
      </c>
    </row>
    <row r="146" spans="1:1">
      <c r="A146" t="s">
        <v>5070</v>
      </c>
    </row>
    <row r="147" spans="1:1">
      <c r="A147" t="s">
        <v>5162</v>
      </c>
    </row>
    <row r="148" spans="1:1">
      <c r="A148" t="s">
        <v>5163</v>
      </c>
    </row>
    <row r="149" spans="1:1">
      <c r="A149" t="s">
        <v>5073</v>
      </c>
    </row>
    <row r="150" spans="1:1">
      <c r="A150" t="s">
        <v>5164</v>
      </c>
    </row>
    <row r="151" spans="1:1">
      <c r="A151" t="s">
        <v>376</v>
      </c>
    </row>
    <row r="153" spans="1:1">
      <c r="A153" t="s">
        <v>5165</v>
      </c>
    </row>
    <row r="154" spans="1:1">
      <c r="A154" t="s">
        <v>378</v>
      </c>
    </row>
    <row r="155" spans="1:1">
      <c r="A155" t="s">
        <v>5166</v>
      </c>
    </row>
    <row r="156" spans="1:1">
      <c r="A156" t="s">
        <v>5167</v>
      </c>
    </row>
    <row r="157" spans="1:1">
      <c r="A157" t="s">
        <v>5168</v>
      </c>
    </row>
    <row r="158" spans="1:1">
      <c r="A158" t="s">
        <v>5169</v>
      </c>
    </row>
    <row r="159" spans="1:1">
      <c r="A159" t="s">
        <v>5170</v>
      </c>
    </row>
    <row r="160" spans="1:1">
      <c r="A160" t="s">
        <v>5171</v>
      </c>
    </row>
    <row r="161" spans="1:1">
      <c r="A161" t="s">
        <v>5172</v>
      </c>
    </row>
    <row r="162" spans="1:1">
      <c r="A162" t="s">
        <v>5173</v>
      </c>
    </row>
    <row r="165" spans="1:1">
      <c r="A165" t="s">
        <v>392</v>
      </c>
    </row>
    <row r="166" spans="1:1">
      <c r="A166" t="s">
        <v>5174</v>
      </c>
    </row>
    <row r="167" spans="1:1">
      <c r="A167" t="s">
        <v>5175</v>
      </c>
    </row>
    <row r="168" spans="1:1">
      <c r="A168" t="s">
        <v>5176</v>
      </c>
    </row>
    <row r="169" spans="1:1">
      <c r="A169" t="s">
        <v>5177</v>
      </c>
    </row>
    <row r="170" spans="1:1">
      <c r="A170" t="s">
        <v>5178</v>
      </c>
    </row>
    <row r="171" spans="1:1">
      <c r="A171" t="s">
        <v>5179</v>
      </c>
    </row>
    <row r="172" spans="1:1">
      <c r="A172" t="s">
        <v>5180</v>
      </c>
    </row>
    <row r="173" spans="1:1">
      <c r="A173" t="s">
        <v>5181</v>
      </c>
    </row>
    <row r="175" spans="1:1">
      <c r="A175" t="s">
        <v>406</v>
      </c>
    </row>
    <row r="176" spans="1:1">
      <c r="A176" t="s">
        <v>5182</v>
      </c>
    </row>
    <row r="177" spans="1:1">
      <c r="A177" t="s">
        <v>5183</v>
      </c>
    </row>
    <row r="178" spans="1:1">
      <c r="A178" t="s">
        <v>5184</v>
      </c>
    </row>
    <row r="179" spans="1:1">
      <c r="A179" t="s">
        <v>5185</v>
      </c>
    </row>
    <row r="180" spans="1:1">
      <c r="A180" t="s">
        <v>5186</v>
      </c>
    </row>
    <row r="181" spans="1:1">
      <c r="A181" t="s">
        <v>5187</v>
      </c>
    </row>
    <row r="182" spans="1:1">
      <c r="A182" t="s">
        <v>5188</v>
      </c>
    </row>
    <row r="183" spans="1:1">
      <c r="A183" t="s">
        <v>5189</v>
      </c>
    </row>
    <row r="184" spans="1:1">
      <c r="A184" t="s">
        <v>5190</v>
      </c>
    </row>
    <row r="185" spans="1:1">
      <c r="A185" t="s">
        <v>421</v>
      </c>
    </row>
    <row r="186" spans="1:1">
      <c r="A186" t="s">
        <v>5191</v>
      </c>
    </row>
    <row r="191" spans="1:1">
      <c r="A191" t="s">
        <v>559</v>
      </c>
    </row>
    <row r="192" spans="1:1">
      <c r="A192" t="s">
        <v>5070</v>
      </c>
    </row>
    <row r="193" spans="1:1">
      <c r="A193" t="s">
        <v>5192</v>
      </c>
    </row>
    <row r="194" spans="1:1">
      <c r="A194" t="s">
        <v>5193</v>
      </c>
    </row>
    <row r="195" spans="1:1">
      <c r="A195" t="s">
        <v>5073</v>
      </c>
    </row>
    <row r="196" spans="1:1">
      <c r="A196" t="s">
        <v>5194</v>
      </c>
    </row>
    <row r="197" spans="1:1">
      <c r="A197" t="s">
        <v>376</v>
      </c>
    </row>
    <row r="199" spans="1:1">
      <c r="A199" t="s">
        <v>5195</v>
      </c>
    </row>
    <row r="200" spans="1:1">
      <c r="A200" t="s">
        <v>378</v>
      </c>
    </row>
    <row r="201" spans="1:1">
      <c r="A201" t="s">
        <v>5196</v>
      </c>
    </row>
    <row r="202" spans="1:1">
      <c r="A202" t="s">
        <v>5197</v>
      </c>
    </row>
    <row r="203" spans="1:1">
      <c r="A203" t="s">
        <v>5198</v>
      </c>
    </row>
    <row r="204" spans="1:1">
      <c r="A204" t="s">
        <v>5199</v>
      </c>
    </row>
    <row r="205" spans="1:1">
      <c r="A205" t="s">
        <v>5200</v>
      </c>
    </row>
    <row r="206" spans="1:1">
      <c r="A206" t="s">
        <v>5201</v>
      </c>
    </row>
    <row r="207" spans="1:1">
      <c r="A207" t="s">
        <v>5202</v>
      </c>
    </row>
    <row r="208" spans="1:1">
      <c r="A208" t="s">
        <v>5203</v>
      </c>
    </row>
    <row r="211" spans="1:1">
      <c r="A211" t="s">
        <v>392</v>
      </c>
    </row>
    <row r="212" spans="1:1">
      <c r="A212" t="s">
        <v>5204</v>
      </c>
    </row>
    <row r="213" spans="1:1">
      <c r="A213" t="s">
        <v>5205</v>
      </c>
    </row>
    <row r="214" spans="1:1">
      <c r="A214" t="s">
        <v>5206</v>
      </c>
    </row>
    <row r="215" spans="1:1">
      <c r="A215" t="s">
        <v>5207</v>
      </c>
    </row>
    <row r="216" spans="1:1">
      <c r="A216" t="s">
        <v>5208</v>
      </c>
    </row>
    <row r="217" spans="1:1">
      <c r="A217" t="s">
        <v>5209</v>
      </c>
    </row>
    <row r="218" spans="1:1">
      <c r="A218" t="s">
        <v>5210</v>
      </c>
    </row>
    <row r="219" spans="1:1">
      <c r="A219" t="s">
        <v>5211</v>
      </c>
    </row>
    <row r="221" spans="1:1">
      <c r="A221" t="s">
        <v>406</v>
      </c>
    </row>
    <row r="222" spans="1:1">
      <c r="A222" t="s">
        <v>5212</v>
      </c>
    </row>
    <row r="223" spans="1:1">
      <c r="A223" t="s">
        <v>5213</v>
      </c>
    </row>
    <row r="224" spans="1:1">
      <c r="A224" t="s">
        <v>5214</v>
      </c>
    </row>
    <row r="225" spans="1:1">
      <c r="A225" t="s">
        <v>5215</v>
      </c>
    </row>
    <row r="226" spans="1:1">
      <c r="A226" t="s">
        <v>5216</v>
      </c>
    </row>
    <row r="227" spans="1:1">
      <c r="A227" t="s">
        <v>5217</v>
      </c>
    </row>
    <row r="228" spans="1:1">
      <c r="A228" t="s">
        <v>5218</v>
      </c>
    </row>
    <row r="229" spans="1:1">
      <c r="A229" t="s">
        <v>5219</v>
      </c>
    </row>
    <row r="230" spans="1:1">
      <c r="A230" t="s">
        <v>5220</v>
      </c>
    </row>
    <row r="231" spans="1:1">
      <c r="A231" t="s">
        <v>421</v>
      </c>
    </row>
    <row r="232" spans="1:1">
      <c r="A232" t="s">
        <v>5221</v>
      </c>
    </row>
    <row r="237" spans="1:1">
      <c r="A237" t="s">
        <v>604</v>
      </c>
    </row>
    <row r="238" spans="1:1">
      <c r="A238" t="s">
        <v>5070</v>
      </c>
    </row>
    <row r="239" spans="1:1">
      <c r="A239" t="s">
        <v>5222</v>
      </c>
    </row>
    <row r="240" spans="1:1">
      <c r="A240" t="s">
        <v>5223</v>
      </c>
    </row>
    <row r="241" spans="1:1">
      <c r="A241" t="s">
        <v>5073</v>
      </c>
    </row>
    <row r="242" spans="1:1">
      <c r="A242" t="s">
        <v>5224</v>
      </c>
    </row>
    <row r="243" spans="1:1">
      <c r="A243" t="s">
        <v>376</v>
      </c>
    </row>
    <row r="245" spans="1:1">
      <c r="A245" t="s">
        <v>5225</v>
      </c>
    </row>
    <row r="246" spans="1:1">
      <c r="A246" t="s">
        <v>378</v>
      </c>
    </row>
    <row r="247" spans="1:1">
      <c r="A247" t="s">
        <v>5226</v>
      </c>
    </row>
    <row r="248" spans="1:1">
      <c r="A248" t="s">
        <v>5227</v>
      </c>
    </row>
    <row r="249" spans="1:1">
      <c r="A249" t="s">
        <v>5228</v>
      </c>
    </row>
    <row r="250" spans="1:1">
      <c r="A250" t="s">
        <v>5229</v>
      </c>
    </row>
    <row r="251" spans="1:1">
      <c r="A251" t="s">
        <v>5230</v>
      </c>
    </row>
    <row r="252" spans="1:1">
      <c r="A252" t="s">
        <v>5231</v>
      </c>
    </row>
    <row r="253" spans="1:1">
      <c r="A253" t="s">
        <v>5232</v>
      </c>
    </row>
    <row r="254" spans="1:1">
      <c r="A254" t="s">
        <v>5233</v>
      </c>
    </row>
    <row r="257" spans="1:1">
      <c r="A257" t="s">
        <v>392</v>
      </c>
    </row>
    <row r="258" spans="1:1">
      <c r="A258" t="s">
        <v>5234</v>
      </c>
    </row>
    <row r="259" spans="1:1">
      <c r="A259" t="s">
        <v>5235</v>
      </c>
    </row>
    <row r="260" spans="1:1">
      <c r="A260" t="s">
        <v>5236</v>
      </c>
    </row>
    <row r="261" spans="1:1">
      <c r="A261" t="s">
        <v>5237</v>
      </c>
    </row>
    <row r="262" spans="1:1">
      <c r="A262" t="s">
        <v>5238</v>
      </c>
    </row>
    <row r="263" spans="1:1">
      <c r="A263" t="s">
        <v>5239</v>
      </c>
    </row>
    <row r="264" spans="1:1">
      <c r="A264" t="s">
        <v>5240</v>
      </c>
    </row>
    <row r="265" spans="1:1">
      <c r="A265" t="s">
        <v>5241</v>
      </c>
    </row>
    <row r="267" spans="1:1">
      <c r="A267" t="s">
        <v>406</v>
      </c>
    </row>
    <row r="268" spans="1:1">
      <c r="A268" t="s">
        <v>5242</v>
      </c>
    </row>
    <row r="269" spans="1:1">
      <c r="A269" t="s">
        <v>5243</v>
      </c>
    </row>
    <row r="270" spans="1:1">
      <c r="A270" t="s">
        <v>5244</v>
      </c>
    </row>
    <row r="271" spans="1:1">
      <c r="A271" t="s">
        <v>5245</v>
      </c>
    </row>
    <row r="272" spans="1:1">
      <c r="A272" t="s">
        <v>5246</v>
      </c>
    </row>
    <row r="273" spans="1:1">
      <c r="A273" t="s">
        <v>5247</v>
      </c>
    </row>
    <row r="274" spans="1:1">
      <c r="A274" t="s">
        <v>5248</v>
      </c>
    </row>
    <row r="275" spans="1:1">
      <c r="A275" t="s">
        <v>5249</v>
      </c>
    </row>
    <row r="276" spans="1:1">
      <c r="A276" t="s">
        <v>5250</v>
      </c>
    </row>
    <row r="277" spans="1:1">
      <c r="A277" t="s">
        <v>421</v>
      </c>
    </row>
    <row r="278" spans="1:1">
      <c r="A278" t="s">
        <v>5251</v>
      </c>
    </row>
    <row r="283" spans="1:1">
      <c r="A283" t="s">
        <v>649</v>
      </c>
    </row>
    <row r="284" spans="1:1">
      <c r="A284" t="s">
        <v>5070</v>
      </c>
    </row>
    <row r="285" spans="1:1">
      <c r="A285" t="s">
        <v>5252</v>
      </c>
    </row>
    <row r="286" spans="1:1">
      <c r="A286" t="s">
        <v>5253</v>
      </c>
    </row>
    <row r="287" spans="1:1">
      <c r="A287" t="s">
        <v>5073</v>
      </c>
    </row>
    <row r="288" spans="1:1">
      <c r="A288" t="s">
        <v>5254</v>
      </c>
    </row>
    <row r="289" spans="1:1">
      <c r="A289" t="s">
        <v>376</v>
      </c>
    </row>
    <row r="291" spans="1:1">
      <c r="A291" t="s">
        <v>5255</v>
      </c>
    </row>
    <row r="292" spans="1:1">
      <c r="A292" t="s">
        <v>378</v>
      </c>
    </row>
    <row r="293" spans="1:1">
      <c r="A293" t="s">
        <v>5256</v>
      </c>
    </row>
    <row r="294" spans="1:1">
      <c r="A294" t="s">
        <v>5257</v>
      </c>
    </row>
    <row r="295" spans="1:1">
      <c r="A295" t="s">
        <v>5258</v>
      </c>
    </row>
    <row r="296" spans="1:1">
      <c r="A296" t="s">
        <v>5259</v>
      </c>
    </row>
    <row r="297" spans="1:1">
      <c r="A297" t="s">
        <v>5260</v>
      </c>
    </row>
    <row r="298" spans="1:1">
      <c r="A298" t="s">
        <v>5261</v>
      </c>
    </row>
    <row r="299" spans="1:1">
      <c r="A299" t="s">
        <v>5262</v>
      </c>
    </row>
    <row r="300" spans="1:1">
      <c r="A300" t="s">
        <v>5263</v>
      </c>
    </row>
    <row r="303" spans="1:1">
      <c r="A303" t="s">
        <v>392</v>
      </c>
    </row>
    <row r="304" spans="1:1">
      <c r="A304" t="s">
        <v>5264</v>
      </c>
    </row>
    <row r="305" spans="1:1">
      <c r="A305" t="s">
        <v>5265</v>
      </c>
    </row>
    <row r="306" spans="1:1">
      <c r="A306" t="s">
        <v>5266</v>
      </c>
    </row>
    <row r="307" spans="1:1">
      <c r="A307" t="s">
        <v>5267</v>
      </c>
    </row>
    <row r="308" spans="1:1">
      <c r="A308" t="s">
        <v>5268</v>
      </c>
    </row>
    <row r="309" spans="1:1">
      <c r="A309" t="s">
        <v>5269</v>
      </c>
    </row>
    <row r="310" spans="1:1">
      <c r="A310" t="s">
        <v>5270</v>
      </c>
    </row>
    <row r="311" spans="1:1">
      <c r="A311" t="s">
        <v>5271</v>
      </c>
    </row>
    <row r="313" spans="1:1">
      <c r="A313" t="s">
        <v>406</v>
      </c>
    </row>
    <row r="314" spans="1:1">
      <c r="A314" t="s">
        <v>5272</v>
      </c>
    </row>
    <row r="315" spans="1:1">
      <c r="A315" t="s">
        <v>5273</v>
      </c>
    </row>
    <row r="316" spans="1:1">
      <c r="A316" t="s">
        <v>5274</v>
      </c>
    </row>
    <row r="317" spans="1:1">
      <c r="A317" t="s">
        <v>5275</v>
      </c>
    </row>
    <row r="318" spans="1:1">
      <c r="A318" t="s">
        <v>5276</v>
      </c>
    </row>
    <row r="319" spans="1:1">
      <c r="A319" t="s">
        <v>5277</v>
      </c>
    </row>
    <row r="320" spans="1:1">
      <c r="A320" t="s">
        <v>5278</v>
      </c>
    </row>
    <row r="321" spans="1:1">
      <c r="A321" t="s">
        <v>5279</v>
      </c>
    </row>
    <row r="322" spans="1:1">
      <c r="A322" t="s">
        <v>5280</v>
      </c>
    </row>
    <row r="323" spans="1:1">
      <c r="A323" t="s">
        <v>421</v>
      </c>
    </row>
    <row r="324" spans="1:1">
      <c r="A324" t="s">
        <v>5281</v>
      </c>
    </row>
    <row r="329" spans="1:1">
      <c r="A329" t="s">
        <v>691</v>
      </c>
    </row>
    <row r="330" spans="1:1">
      <c r="A330" t="s">
        <v>5070</v>
      </c>
    </row>
    <row r="331" spans="1:1">
      <c r="A331" t="s">
        <v>5282</v>
      </c>
    </row>
    <row r="332" spans="1:1">
      <c r="A332" t="s">
        <v>5283</v>
      </c>
    </row>
    <row r="333" spans="1:1">
      <c r="A333" t="s">
        <v>5073</v>
      </c>
    </row>
    <row r="334" spans="1:1">
      <c r="A334" t="s">
        <v>5284</v>
      </c>
    </row>
    <row r="335" spans="1:1">
      <c r="A335" t="s">
        <v>376</v>
      </c>
    </row>
    <row r="337" spans="1:1">
      <c r="A337" t="s">
        <v>5285</v>
      </c>
    </row>
    <row r="338" spans="1:1">
      <c r="A338" t="s">
        <v>378</v>
      </c>
    </row>
    <row r="339" spans="1:1">
      <c r="A339" t="s">
        <v>5286</v>
      </c>
    </row>
    <row r="340" spans="1:1">
      <c r="A340" t="s">
        <v>5287</v>
      </c>
    </row>
    <row r="341" spans="1:1">
      <c r="A341" t="s">
        <v>5288</v>
      </c>
    </row>
    <row r="342" spans="1:1">
      <c r="A342" t="s">
        <v>5289</v>
      </c>
    </row>
    <row r="343" spans="1:1">
      <c r="A343" t="s">
        <v>5290</v>
      </c>
    </row>
    <row r="344" spans="1:1">
      <c r="A344" t="s">
        <v>5291</v>
      </c>
    </row>
    <row r="345" spans="1:1">
      <c r="A345" t="s">
        <v>5292</v>
      </c>
    </row>
    <row r="346" spans="1:1">
      <c r="A346" t="s">
        <v>5293</v>
      </c>
    </row>
    <row r="349" spans="1:1">
      <c r="A349" t="s">
        <v>392</v>
      </c>
    </row>
    <row r="350" spans="1:1">
      <c r="A350" t="s">
        <v>5294</v>
      </c>
    </row>
    <row r="351" spans="1:1">
      <c r="A351" t="s">
        <v>5295</v>
      </c>
    </row>
    <row r="352" spans="1:1">
      <c r="A352" t="s">
        <v>5296</v>
      </c>
    </row>
    <row r="353" spans="1:1">
      <c r="A353" t="s">
        <v>5297</v>
      </c>
    </row>
    <row r="354" spans="1:1">
      <c r="A354" t="s">
        <v>5298</v>
      </c>
    </row>
    <row r="355" spans="1:1">
      <c r="A355" t="s">
        <v>5299</v>
      </c>
    </row>
    <row r="356" spans="1:1">
      <c r="A356" t="s">
        <v>5300</v>
      </c>
    </row>
    <row r="357" spans="1:1">
      <c r="A357" t="s">
        <v>5301</v>
      </c>
    </row>
    <row r="359" spans="1:1">
      <c r="A359" t="s">
        <v>406</v>
      </c>
    </row>
    <row r="360" spans="1:1">
      <c r="A360" t="s">
        <v>5302</v>
      </c>
    </row>
    <row r="361" spans="1:1">
      <c r="A361" t="s">
        <v>5303</v>
      </c>
    </row>
    <row r="362" spans="1:1">
      <c r="A362" t="s">
        <v>5304</v>
      </c>
    </row>
    <row r="363" spans="1:1">
      <c r="A363" t="s">
        <v>5305</v>
      </c>
    </row>
    <row r="364" spans="1:1">
      <c r="A364" t="s">
        <v>5306</v>
      </c>
    </row>
    <row r="365" spans="1:1">
      <c r="A365" t="s">
        <v>5307</v>
      </c>
    </row>
    <row r="366" spans="1:1">
      <c r="A366" t="s">
        <v>5308</v>
      </c>
    </row>
    <row r="367" spans="1:1">
      <c r="A367" t="s">
        <v>5309</v>
      </c>
    </row>
    <row r="368" spans="1:1">
      <c r="A368" t="s">
        <v>5310</v>
      </c>
    </row>
    <row r="369" spans="1:1">
      <c r="A369" t="s">
        <v>421</v>
      </c>
    </row>
    <row r="370" spans="1:1">
      <c r="A370" t="s">
        <v>5311</v>
      </c>
    </row>
    <row r="375" spans="1:1">
      <c r="A375" t="s">
        <v>733</v>
      </c>
    </row>
    <row r="376" spans="1:1">
      <c r="A376" t="s">
        <v>5070</v>
      </c>
    </row>
    <row r="377" spans="1:1">
      <c r="A377" t="s">
        <v>5312</v>
      </c>
    </row>
    <row r="378" spans="1:1">
      <c r="A378" t="s">
        <v>5313</v>
      </c>
    </row>
    <row r="379" spans="1:1">
      <c r="A379" t="s">
        <v>5073</v>
      </c>
    </row>
    <row r="380" spans="1:1">
      <c r="A380" t="s">
        <v>5314</v>
      </c>
    </row>
    <row r="381" spans="1:1">
      <c r="A381" t="s">
        <v>376</v>
      </c>
    </row>
    <row r="383" spans="1:1">
      <c r="A383" t="s">
        <v>5255</v>
      </c>
    </row>
    <row r="384" spans="1:1">
      <c r="A384" t="s">
        <v>378</v>
      </c>
    </row>
    <row r="385" spans="1:1">
      <c r="A385" t="s">
        <v>5315</v>
      </c>
    </row>
    <row r="386" spans="1:1">
      <c r="A386" t="s">
        <v>5316</v>
      </c>
    </row>
    <row r="387" spans="1:1">
      <c r="A387" t="s">
        <v>5317</v>
      </c>
    </row>
    <row r="388" spans="1:1">
      <c r="A388" t="s">
        <v>5318</v>
      </c>
    </row>
    <row r="389" spans="1:1">
      <c r="A389" t="s">
        <v>5319</v>
      </c>
    </row>
    <row r="390" spans="1:1">
      <c r="A390" t="s">
        <v>5320</v>
      </c>
    </row>
    <row r="391" spans="1:1">
      <c r="A391" t="s">
        <v>5321</v>
      </c>
    </row>
    <row r="392" spans="1:1">
      <c r="A392" t="s">
        <v>5322</v>
      </c>
    </row>
    <row r="395" spans="1:1">
      <c r="A395" t="s">
        <v>392</v>
      </c>
    </row>
    <row r="396" spans="1:1">
      <c r="A396" t="s">
        <v>5323</v>
      </c>
    </row>
    <row r="397" spans="1:1">
      <c r="A397" t="s">
        <v>5324</v>
      </c>
    </row>
    <row r="398" spans="1:1">
      <c r="A398" t="s">
        <v>5325</v>
      </c>
    </row>
    <row r="399" spans="1:1">
      <c r="A399" t="s">
        <v>5326</v>
      </c>
    </row>
    <row r="400" spans="1:1">
      <c r="A400" t="s">
        <v>5327</v>
      </c>
    </row>
    <row r="401" spans="1:1">
      <c r="A401" t="s">
        <v>5328</v>
      </c>
    </row>
    <row r="402" spans="1:1">
      <c r="A402" t="s">
        <v>5329</v>
      </c>
    </row>
    <row r="404" spans="1:1">
      <c r="A404" t="s">
        <v>406</v>
      </c>
    </row>
    <row r="405" spans="1:1">
      <c r="A405" t="s">
        <v>5330</v>
      </c>
    </row>
    <row r="406" spans="1:1">
      <c r="A406" t="s">
        <v>5331</v>
      </c>
    </row>
    <row r="407" spans="1:1">
      <c r="A407" t="s">
        <v>5332</v>
      </c>
    </row>
    <row r="408" spans="1:1">
      <c r="A408" t="s">
        <v>5333</v>
      </c>
    </row>
    <row r="409" spans="1:1">
      <c r="A409" t="s">
        <v>5334</v>
      </c>
    </row>
    <row r="410" spans="1:1">
      <c r="A410" t="s">
        <v>5335</v>
      </c>
    </row>
    <row r="411" spans="1:1">
      <c r="A411" t="s">
        <v>5336</v>
      </c>
    </row>
    <row r="412" spans="1:1">
      <c r="A412" t="s">
        <v>5337</v>
      </c>
    </row>
    <row r="413" spans="1:1">
      <c r="A413" t="s">
        <v>5338</v>
      </c>
    </row>
    <row r="414" spans="1:1">
      <c r="A414" t="s">
        <v>421</v>
      </c>
    </row>
    <row r="415" spans="1:1">
      <c r="A415" t="s">
        <v>5339</v>
      </c>
    </row>
    <row r="420" spans="1:1">
      <c r="A420" t="s">
        <v>778</v>
      </c>
    </row>
    <row r="421" spans="1:1">
      <c r="A421" t="s">
        <v>5070</v>
      </c>
    </row>
    <row r="422" spans="1:1">
      <c r="A422" t="s">
        <v>5340</v>
      </c>
    </row>
    <row r="423" spans="1:1">
      <c r="A423" t="s">
        <v>5341</v>
      </c>
    </row>
    <row r="424" spans="1:1">
      <c r="A424" t="s">
        <v>5073</v>
      </c>
    </row>
    <row r="425" spans="1:1">
      <c r="A425" t="s">
        <v>5342</v>
      </c>
    </row>
    <row r="426" spans="1:1">
      <c r="A426" t="s">
        <v>376</v>
      </c>
    </row>
    <row r="428" spans="1:1">
      <c r="A428" t="s">
        <v>5225</v>
      </c>
    </row>
    <row r="429" spans="1:1">
      <c r="A429" t="s">
        <v>378</v>
      </c>
    </row>
    <row r="430" spans="1:1">
      <c r="A430" t="s">
        <v>5343</v>
      </c>
    </row>
    <row r="431" spans="1:1">
      <c r="A431" t="s">
        <v>5344</v>
      </c>
    </row>
    <row r="432" spans="1:1">
      <c r="A432" t="s">
        <v>5345</v>
      </c>
    </row>
    <row r="433" spans="1:1">
      <c r="A433" t="s">
        <v>5346</v>
      </c>
    </row>
    <row r="434" spans="1:1">
      <c r="A434" t="s">
        <v>5347</v>
      </c>
    </row>
    <row r="435" spans="1:1">
      <c r="A435" t="s">
        <v>5348</v>
      </c>
    </row>
    <row r="436" spans="1:1">
      <c r="A436" t="s">
        <v>5349</v>
      </c>
    </row>
    <row r="437" spans="1:1">
      <c r="A437" t="s">
        <v>5350</v>
      </c>
    </row>
    <row r="440" spans="1:1">
      <c r="A440" t="s">
        <v>392</v>
      </c>
    </row>
    <row r="441" spans="1:1">
      <c r="A441" t="s">
        <v>5351</v>
      </c>
    </row>
    <row r="442" spans="1:1">
      <c r="A442" t="s">
        <v>5352</v>
      </c>
    </row>
    <row r="443" spans="1:1">
      <c r="A443" t="s">
        <v>5353</v>
      </c>
    </row>
    <row r="444" spans="1:1">
      <c r="A444" t="s">
        <v>5354</v>
      </c>
    </row>
    <row r="445" spans="1:1">
      <c r="A445" t="s">
        <v>5355</v>
      </c>
    </row>
    <row r="446" spans="1:1">
      <c r="A446" t="s">
        <v>5356</v>
      </c>
    </row>
    <row r="447" spans="1:1">
      <c r="A447" t="s">
        <v>5357</v>
      </c>
    </row>
    <row r="448" spans="1:1">
      <c r="A448" t="s">
        <v>5358</v>
      </c>
    </row>
    <row r="450" spans="1:1">
      <c r="A450" t="s">
        <v>406</v>
      </c>
    </row>
    <row r="451" spans="1:1">
      <c r="A451" t="s">
        <v>5359</v>
      </c>
    </row>
    <row r="452" spans="1:1">
      <c r="A452" t="s">
        <v>5360</v>
      </c>
    </row>
    <row r="453" spans="1:1">
      <c r="A453" t="s">
        <v>5361</v>
      </c>
    </row>
    <row r="454" spans="1:1">
      <c r="A454" t="s">
        <v>5362</v>
      </c>
    </row>
    <row r="455" spans="1:1">
      <c r="A455" t="s">
        <v>5363</v>
      </c>
    </row>
    <row r="456" spans="1:1">
      <c r="A456" t="s">
        <v>5364</v>
      </c>
    </row>
    <row r="457" spans="1:1">
      <c r="A457" t="s">
        <v>5365</v>
      </c>
    </row>
    <row r="458" spans="1:1">
      <c r="A458" t="s">
        <v>5366</v>
      </c>
    </row>
    <row r="459" spans="1:1">
      <c r="A459" t="s">
        <v>5367</v>
      </c>
    </row>
    <row r="460" spans="1:1">
      <c r="A460" t="s">
        <v>421</v>
      </c>
    </row>
    <row r="461" spans="1:1">
      <c r="A461" t="s">
        <v>5368</v>
      </c>
    </row>
    <row r="466" spans="1:1">
      <c r="A466" t="s">
        <v>824</v>
      </c>
    </row>
    <row r="467" spans="1:1">
      <c r="A467" t="s">
        <v>5070</v>
      </c>
    </row>
    <row r="468" spans="1:1">
      <c r="A468" t="s">
        <v>5369</v>
      </c>
    </row>
    <row r="469" spans="1:1">
      <c r="A469" t="s">
        <v>5370</v>
      </c>
    </row>
    <row r="470" spans="1:1">
      <c r="A470" t="s">
        <v>5073</v>
      </c>
    </row>
    <row r="471" spans="1:1">
      <c r="A471" t="s">
        <v>5371</v>
      </c>
    </row>
    <row r="472" spans="1:1">
      <c r="A472" t="s">
        <v>376</v>
      </c>
    </row>
    <row r="474" spans="1:1">
      <c r="A474" t="s">
        <v>5372</v>
      </c>
    </row>
    <row r="475" spans="1:1">
      <c r="A475" t="s">
        <v>378</v>
      </c>
    </row>
    <row r="476" spans="1:1">
      <c r="A476" t="s">
        <v>5373</v>
      </c>
    </row>
    <row r="477" spans="1:1">
      <c r="A477" t="s">
        <v>5374</v>
      </c>
    </row>
    <row r="478" spans="1:1">
      <c r="A478" t="s">
        <v>5375</v>
      </c>
    </row>
    <row r="479" spans="1:1">
      <c r="A479" t="s">
        <v>5376</v>
      </c>
    </row>
    <row r="480" spans="1:1">
      <c r="A480" t="s">
        <v>5377</v>
      </c>
    </row>
    <row r="481" spans="1:1">
      <c r="A481" t="s">
        <v>5378</v>
      </c>
    </row>
    <row r="482" spans="1:1">
      <c r="A482" t="s">
        <v>5379</v>
      </c>
    </row>
    <row r="483" spans="1:1">
      <c r="A483" t="s">
        <v>5380</v>
      </c>
    </row>
    <row r="486" spans="1:1">
      <c r="A486" t="s">
        <v>392</v>
      </c>
    </row>
    <row r="487" spans="1:1">
      <c r="A487" t="s">
        <v>5381</v>
      </c>
    </row>
    <row r="488" spans="1:1">
      <c r="A488" t="s">
        <v>5382</v>
      </c>
    </row>
    <row r="489" spans="1:1">
      <c r="A489" t="s">
        <v>5383</v>
      </c>
    </row>
    <row r="490" spans="1:1">
      <c r="A490" t="s">
        <v>5384</v>
      </c>
    </row>
    <row r="491" spans="1:1">
      <c r="A491" t="s">
        <v>5385</v>
      </c>
    </row>
    <row r="492" spans="1:1">
      <c r="A492" t="s">
        <v>5386</v>
      </c>
    </row>
    <row r="493" spans="1:1">
      <c r="A493" t="s">
        <v>5387</v>
      </c>
    </row>
    <row r="494" spans="1:1">
      <c r="A494" t="s">
        <v>5388</v>
      </c>
    </row>
    <row r="496" spans="1:1">
      <c r="A496" t="s">
        <v>406</v>
      </c>
    </row>
    <row r="497" spans="1:1">
      <c r="A497" t="s">
        <v>5389</v>
      </c>
    </row>
    <row r="498" spans="1:1">
      <c r="A498" t="s">
        <v>5390</v>
      </c>
    </row>
    <row r="499" spans="1:1">
      <c r="A499" t="s">
        <v>5391</v>
      </c>
    </row>
    <row r="500" spans="1:1">
      <c r="A500" t="s">
        <v>5392</v>
      </c>
    </row>
    <row r="501" spans="1:1">
      <c r="A501" t="s">
        <v>5393</v>
      </c>
    </row>
    <row r="502" spans="1:1">
      <c r="A502" t="s">
        <v>5394</v>
      </c>
    </row>
    <row r="503" spans="1:1">
      <c r="A503" t="s">
        <v>5395</v>
      </c>
    </row>
    <row r="504" spans="1:1">
      <c r="A504" t="s">
        <v>5396</v>
      </c>
    </row>
    <row r="505" spans="1:1">
      <c r="A505" t="s">
        <v>5397</v>
      </c>
    </row>
    <row r="506" spans="1:1">
      <c r="A506" t="s">
        <v>421</v>
      </c>
    </row>
    <row r="507" spans="1:1">
      <c r="A507" t="s">
        <v>5398</v>
      </c>
    </row>
    <row r="512" spans="1:1">
      <c r="A512" t="s">
        <v>869</v>
      </c>
    </row>
    <row r="513" spans="1:1">
      <c r="A513" t="s">
        <v>5070</v>
      </c>
    </row>
    <row r="514" spans="1:1">
      <c r="A514" t="s">
        <v>5399</v>
      </c>
    </row>
    <row r="515" spans="1:1">
      <c r="A515" t="s">
        <v>5400</v>
      </c>
    </row>
    <row r="516" spans="1:1">
      <c r="A516" t="s">
        <v>5073</v>
      </c>
    </row>
    <row r="517" spans="1:1">
      <c r="A517" t="s">
        <v>5401</v>
      </c>
    </row>
    <row r="518" spans="1:1">
      <c r="A518" t="s">
        <v>376</v>
      </c>
    </row>
    <row r="520" spans="1:1">
      <c r="A520" t="s">
        <v>5135</v>
      </c>
    </row>
    <row r="521" spans="1:1">
      <c r="A521" t="s">
        <v>378</v>
      </c>
    </row>
    <row r="522" spans="1:1">
      <c r="A522" t="s">
        <v>5402</v>
      </c>
    </row>
    <row r="523" spans="1:1">
      <c r="A523" t="s">
        <v>5403</v>
      </c>
    </row>
    <row r="524" spans="1:1">
      <c r="A524" t="s">
        <v>5404</v>
      </c>
    </row>
    <row r="525" spans="1:1">
      <c r="A525" t="s">
        <v>5405</v>
      </c>
    </row>
    <row r="526" spans="1:1">
      <c r="A526" t="s">
        <v>5406</v>
      </c>
    </row>
    <row r="527" spans="1:1">
      <c r="A527" t="s">
        <v>5407</v>
      </c>
    </row>
    <row r="528" spans="1:1">
      <c r="A528" t="s">
        <v>5408</v>
      </c>
    </row>
    <row r="529" spans="1:1">
      <c r="A529" t="s">
        <v>5409</v>
      </c>
    </row>
    <row r="532" spans="1:1">
      <c r="A532" t="s">
        <v>392</v>
      </c>
    </row>
    <row r="533" spans="1:1">
      <c r="A533" t="s">
        <v>5410</v>
      </c>
    </row>
    <row r="534" spans="1:1">
      <c r="A534" t="s">
        <v>5411</v>
      </c>
    </row>
    <row r="535" spans="1:1">
      <c r="A535" t="s">
        <v>5412</v>
      </c>
    </row>
    <row r="536" spans="1:1">
      <c r="A536" t="s">
        <v>5413</v>
      </c>
    </row>
    <row r="537" spans="1:1">
      <c r="A537" t="s">
        <v>5414</v>
      </c>
    </row>
    <row r="538" spans="1:1">
      <c r="A538" t="s">
        <v>5415</v>
      </c>
    </row>
    <row r="539" spans="1:1">
      <c r="A539" t="s">
        <v>5416</v>
      </c>
    </row>
    <row r="540" spans="1:1">
      <c r="A540" t="s">
        <v>5417</v>
      </c>
    </row>
    <row r="542" spans="1:1">
      <c r="A542" t="s">
        <v>406</v>
      </c>
    </row>
    <row r="543" spans="1:1">
      <c r="A543" t="s">
        <v>5418</v>
      </c>
    </row>
    <row r="544" spans="1:1">
      <c r="A544" t="s">
        <v>5419</v>
      </c>
    </row>
    <row r="545" spans="1:1">
      <c r="A545" t="s">
        <v>5420</v>
      </c>
    </row>
    <row r="546" spans="1:1">
      <c r="A546" t="s">
        <v>5421</v>
      </c>
    </row>
    <row r="547" spans="1:1">
      <c r="A547" t="s">
        <v>5422</v>
      </c>
    </row>
    <row r="548" spans="1:1">
      <c r="A548" t="s">
        <v>5423</v>
      </c>
    </row>
    <row r="549" spans="1:1">
      <c r="A549" t="s">
        <v>5424</v>
      </c>
    </row>
    <row r="550" spans="1:1">
      <c r="A550" t="s">
        <v>5425</v>
      </c>
    </row>
    <row r="551" spans="1:1">
      <c r="A551" t="s">
        <v>5426</v>
      </c>
    </row>
    <row r="552" spans="1:1">
      <c r="A552" t="s">
        <v>421</v>
      </c>
    </row>
    <row r="553" spans="1:1">
      <c r="A553" t="s">
        <v>5427</v>
      </c>
    </row>
    <row r="558" spans="1:1">
      <c r="A558" t="s">
        <v>914</v>
      </c>
    </row>
    <row r="559" spans="1:1">
      <c r="A559" t="s">
        <v>5070</v>
      </c>
    </row>
    <row r="560" spans="1:1">
      <c r="A560" t="s">
        <v>5428</v>
      </c>
    </row>
    <row r="561" spans="1:1">
      <c r="A561" t="s">
        <v>5429</v>
      </c>
    </row>
    <row r="562" spans="1:1">
      <c r="A562" t="s">
        <v>5073</v>
      </c>
    </row>
    <row r="563" spans="1:1">
      <c r="A563" t="s">
        <v>5430</v>
      </c>
    </row>
    <row r="564" spans="1:1">
      <c r="A564" t="s">
        <v>376</v>
      </c>
    </row>
    <row r="566" spans="1:1">
      <c r="A566" t="s">
        <v>5431</v>
      </c>
    </row>
    <row r="567" spans="1:1">
      <c r="A567" t="s">
        <v>378</v>
      </c>
    </row>
    <row r="568" spans="1:1">
      <c r="A568" t="s">
        <v>5432</v>
      </c>
    </row>
    <row r="569" spans="1:1">
      <c r="A569" t="s">
        <v>5433</v>
      </c>
    </row>
    <row r="570" spans="1:1">
      <c r="A570" t="s">
        <v>5434</v>
      </c>
    </row>
    <row r="571" spans="1:1">
      <c r="A571" t="s">
        <v>5435</v>
      </c>
    </row>
    <row r="572" spans="1:1">
      <c r="A572" t="s">
        <v>5436</v>
      </c>
    </row>
    <row r="573" spans="1:1">
      <c r="A573" t="s">
        <v>5437</v>
      </c>
    </row>
    <row r="574" spans="1:1">
      <c r="A574" t="s">
        <v>5438</v>
      </c>
    </row>
    <row r="575" spans="1:1">
      <c r="A575" t="s">
        <v>5439</v>
      </c>
    </row>
    <row r="578" spans="1:1">
      <c r="A578" t="s">
        <v>392</v>
      </c>
    </row>
    <row r="579" spans="1:1">
      <c r="A579" t="s">
        <v>5440</v>
      </c>
    </row>
    <row r="580" spans="1:1">
      <c r="A580" t="s">
        <v>5441</v>
      </c>
    </row>
    <row r="581" spans="1:1">
      <c r="A581" t="s">
        <v>5442</v>
      </c>
    </row>
    <row r="582" spans="1:1">
      <c r="A582" t="s">
        <v>5443</v>
      </c>
    </row>
    <row r="583" spans="1:1">
      <c r="A583" t="s">
        <v>5444</v>
      </c>
    </row>
    <row r="584" spans="1:1">
      <c r="A584" t="s">
        <v>5445</v>
      </c>
    </row>
    <row r="585" spans="1:1">
      <c r="A585" t="s">
        <v>5446</v>
      </c>
    </row>
    <row r="586" spans="1:1">
      <c r="A586" t="s">
        <v>5447</v>
      </c>
    </row>
    <row r="588" spans="1:1">
      <c r="A588" t="s">
        <v>406</v>
      </c>
    </row>
    <row r="589" spans="1:1">
      <c r="A589" t="s">
        <v>5448</v>
      </c>
    </row>
    <row r="590" spans="1:1">
      <c r="A590" t="s">
        <v>5449</v>
      </c>
    </row>
    <row r="591" spans="1:1">
      <c r="A591" t="s">
        <v>5450</v>
      </c>
    </row>
    <row r="592" spans="1:1">
      <c r="A592" t="s">
        <v>5451</v>
      </c>
    </row>
    <row r="593" spans="1:1">
      <c r="A593" t="s">
        <v>5452</v>
      </c>
    </row>
    <row r="594" spans="1:1">
      <c r="A594" t="s">
        <v>5453</v>
      </c>
    </row>
    <row r="595" spans="1:1">
      <c r="A595" t="s">
        <v>5454</v>
      </c>
    </row>
    <row r="596" spans="1:1">
      <c r="A596" t="s">
        <v>5455</v>
      </c>
    </row>
    <row r="597" spans="1:1">
      <c r="A597" t="s">
        <v>5456</v>
      </c>
    </row>
    <row r="598" spans="1:1">
      <c r="A598" t="s">
        <v>421</v>
      </c>
    </row>
    <row r="599" spans="1:1">
      <c r="A599" t="s">
        <v>5457</v>
      </c>
    </row>
    <row r="604" spans="1:1">
      <c r="A604" t="s">
        <v>959</v>
      </c>
    </row>
    <row r="605" spans="1:1">
      <c r="A605" t="s">
        <v>5070</v>
      </c>
    </row>
    <row r="606" spans="1:1">
      <c r="A606" t="s">
        <v>5458</v>
      </c>
    </row>
    <row r="607" spans="1:1">
      <c r="A607" t="s">
        <v>5459</v>
      </c>
    </row>
    <row r="608" spans="1:1">
      <c r="A608" t="s">
        <v>5073</v>
      </c>
    </row>
    <row r="609" spans="1:1">
      <c r="A609" t="s">
        <v>5460</v>
      </c>
    </row>
    <row r="610" spans="1:1">
      <c r="A610" t="s">
        <v>376</v>
      </c>
    </row>
    <row r="612" spans="1:1">
      <c r="A612" t="s">
        <v>5461</v>
      </c>
    </row>
    <row r="613" spans="1:1">
      <c r="A613" t="s">
        <v>378</v>
      </c>
    </row>
    <row r="614" spans="1:1">
      <c r="A614" t="s">
        <v>5462</v>
      </c>
    </row>
    <row r="615" spans="1:1">
      <c r="A615" t="s">
        <v>5463</v>
      </c>
    </row>
    <row r="616" spans="1:1">
      <c r="A616" t="s">
        <v>5464</v>
      </c>
    </row>
    <row r="617" spans="1:1">
      <c r="A617" t="s">
        <v>5465</v>
      </c>
    </row>
    <row r="618" spans="1:1">
      <c r="A618" t="s">
        <v>5466</v>
      </c>
    </row>
    <row r="619" spans="1:1">
      <c r="A619" t="s">
        <v>5467</v>
      </c>
    </row>
    <row r="620" spans="1:1">
      <c r="A620" t="s">
        <v>5468</v>
      </c>
    </row>
    <row r="621" spans="1:1">
      <c r="A621" t="s">
        <v>5469</v>
      </c>
    </row>
    <row r="624" spans="1:1">
      <c r="A624" t="s">
        <v>392</v>
      </c>
    </row>
    <row r="625" spans="1:1">
      <c r="A625" t="s">
        <v>5470</v>
      </c>
    </row>
    <row r="626" spans="1:1">
      <c r="A626" t="s">
        <v>5471</v>
      </c>
    </row>
    <row r="627" spans="1:1">
      <c r="A627" t="s">
        <v>5472</v>
      </c>
    </row>
    <row r="628" spans="1:1">
      <c r="A628" t="s">
        <v>5473</v>
      </c>
    </row>
    <row r="629" spans="1:1">
      <c r="A629" t="s">
        <v>5474</v>
      </c>
    </row>
    <row r="630" spans="1:1">
      <c r="A630" t="s">
        <v>5475</v>
      </c>
    </row>
    <row r="631" spans="1:1">
      <c r="A631" t="s">
        <v>5476</v>
      </c>
    </row>
    <row r="632" spans="1:1">
      <c r="A632" t="s">
        <v>5477</v>
      </c>
    </row>
    <row r="634" spans="1:1">
      <c r="A634" t="s">
        <v>406</v>
      </c>
    </row>
    <row r="635" spans="1:1">
      <c r="A635" t="s">
        <v>5478</v>
      </c>
    </row>
    <row r="636" spans="1:1">
      <c r="A636" t="s">
        <v>5479</v>
      </c>
    </row>
    <row r="637" spans="1:1">
      <c r="A637" t="s">
        <v>5480</v>
      </c>
    </row>
    <row r="638" spans="1:1">
      <c r="A638" t="s">
        <v>5481</v>
      </c>
    </row>
    <row r="639" spans="1:1">
      <c r="A639" t="s">
        <v>5482</v>
      </c>
    </row>
    <row r="640" spans="1:1">
      <c r="A640" t="s">
        <v>5483</v>
      </c>
    </row>
    <row r="641" spans="1:1">
      <c r="A641" t="s">
        <v>5484</v>
      </c>
    </row>
    <row r="642" spans="1:1">
      <c r="A642" t="s">
        <v>5485</v>
      </c>
    </row>
    <row r="643" spans="1:1">
      <c r="A643" t="s">
        <v>5486</v>
      </c>
    </row>
    <row r="644" spans="1:1">
      <c r="A644" t="s">
        <v>421</v>
      </c>
    </row>
    <row r="645" spans="1:1">
      <c r="A645" t="s">
        <v>5487</v>
      </c>
    </row>
    <row r="650" spans="1:1">
      <c r="A650" t="s">
        <v>1004</v>
      </c>
    </row>
    <row r="651" spans="1:1">
      <c r="A651" t="s">
        <v>5070</v>
      </c>
    </row>
    <row r="652" spans="1:1">
      <c r="A652" t="s">
        <v>5488</v>
      </c>
    </row>
    <row r="653" spans="1:1">
      <c r="A653" t="s">
        <v>5489</v>
      </c>
    </row>
    <row r="654" spans="1:1">
      <c r="A654" t="s">
        <v>5073</v>
      </c>
    </row>
    <row r="655" spans="1:1">
      <c r="A655" t="s">
        <v>5490</v>
      </c>
    </row>
    <row r="656" spans="1:1">
      <c r="A656" t="s">
        <v>376</v>
      </c>
    </row>
    <row r="658" spans="1:1">
      <c r="A658" t="s">
        <v>5225</v>
      </c>
    </row>
    <row r="659" spans="1:1">
      <c r="A659" t="s">
        <v>378</v>
      </c>
    </row>
    <row r="660" spans="1:1">
      <c r="A660" t="s">
        <v>5491</v>
      </c>
    </row>
    <row r="661" spans="1:1">
      <c r="A661" t="s">
        <v>5492</v>
      </c>
    </row>
    <row r="662" spans="1:1">
      <c r="A662" t="s">
        <v>5493</v>
      </c>
    </row>
    <row r="663" spans="1:1">
      <c r="A663" t="s">
        <v>5494</v>
      </c>
    </row>
    <row r="664" spans="1:1">
      <c r="A664" t="s">
        <v>5495</v>
      </c>
    </row>
    <row r="665" spans="1:1">
      <c r="A665" t="s">
        <v>5496</v>
      </c>
    </row>
    <row r="666" spans="1:1">
      <c r="A666" t="s">
        <v>5497</v>
      </c>
    </row>
    <row r="667" spans="1:1">
      <c r="A667" t="s">
        <v>5498</v>
      </c>
    </row>
    <row r="670" spans="1:1">
      <c r="A670" t="s">
        <v>392</v>
      </c>
    </row>
    <row r="671" spans="1:1">
      <c r="A671" t="s">
        <v>5499</v>
      </c>
    </row>
    <row r="672" spans="1:1">
      <c r="A672" t="s">
        <v>5500</v>
      </c>
    </row>
    <row r="673" spans="1:1">
      <c r="A673" t="s">
        <v>5501</v>
      </c>
    </row>
    <row r="674" spans="1:1">
      <c r="A674" t="s">
        <v>5502</v>
      </c>
    </row>
    <row r="675" spans="1:1">
      <c r="A675" t="s">
        <v>5503</v>
      </c>
    </row>
    <row r="676" spans="1:1">
      <c r="A676" t="s">
        <v>5504</v>
      </c>
    </row>
    <row r="677" spans="1:1">
      <c r="A677" t="s">
        <v>5505</v>
      </c>
    </row>
    <row r="678" spans="1:1">
      <c r="A678" t="s">
        <v>5506</v>
      </c>
    </row>
    <row r="680" spans="1:1">
      <c r="A680" t="s">
        <v>406</v>
      </c>
    </row>
    <row r="681" spans="1:1">
      <c r="A681" t="s">
        <v>5507</v>
      </c>
    </row>
    <row r="682" spans="1:1">
      <c r="A682" t="s">
        <v>5508</v>
      </c>
    </row>
    <row r="683" spans="1:1">
      <c r="A683" t="s">
        <v>5509</v>
      </c>
    </row>
    <row r="684" spans="1:1">
      <c r="A684" t="s">
        <v>5510</v>
      </c>
    </row>
    <row r="685" spans="1:1">
      <c r="A685" t="s">
        <v>5511</v>
      </c>
    </row>
    <row r="686" spans="1:1">
      <c r="A686" t="s">
        <v>5512</v>
      </c>
    </row>
    <row r="687" spans="1:1">
      <c r="A687" t="s">
        <v>5513</v>
      </c>
    </row>
    <row r="688" spans="1:1">
      <c r="A688" t="s">
        <v>5514</v>
      </c>
    </row>
    <row r="689" spans="1:1">
      <c r="A689" t="s">
        <v>5515</v>
      </c>
    </row>
    <row r="690" spans="1:1">
      <c r="A690" t="s">
        <v>421</v>
      </c>
    </row>
    <row r="691" spans="1:1">
      <c r="A691" t="s">
        <v>5516</v>
      </c>
    </row>
    <row r="696" spans="1:1">
      <c r="A696" t="s">
        <v>1049</v>
      </c>
    </row>
    <row r="697" spans="1:1">
      <c r="A697" t="s">
        <v>5070</v>
      </c>
    </row>
    <row r="698" spans="1:1">
      <c r="A698" t="s">
        <v>5517</v>
      </c>
    </row>
    <row r="699" spans="1:1">
      <c r="A699" t="s">
        <v>5518</v>
      </c>
    </row>
    <row r="700" spans="1:1">
      <c r="A700" t="s">
        <v>5073</v>
      </c>
    </row>
    <row r="701" spans="1:1">
      <c r="A701" t="s">
        <v>5519</v>
      </c>
    </row>
    <row r="702" spans="1:1">
      <c r="A702" t="s">
        <v>376</v>
      </c>
    </row>
    <row r="704" spans="1:1">
      <c r="A704" t="s">
        <v>5255</v>
      </c>
    </row>
    <row r="705" spans="1:1">
      <c r="A705" t="s">
        <v>378</v>
      </c>
    </row>
    <row r="706" spans="1:1">
      <c r="A706" t="s">
        <v>5520</v>
      </c>
    </row>
    <row r="707" spans="1:1">
      <c r="A707" t="s">
        <v>5521</v>
      </c>
    </row>
    <row r="708" spans="1:1">
      <c r="A708" t="s">
        <v>5522</v>
      </c>
    </row>
    <row r="709" spans="1:1">
      <c r="A709" t="s">
        <v>5523</v>
      </c>
    </row>
    <row r="710" spans="1:1">
      <c r="A710" t="s">
        <v>5524</v>
      </c>
    </row>
    <row r="711" spans="1:1">
      <c r="A711" t="s">
        <v>5525</v>
      </c>
    </row>
    <row r="712" spans="1:1">
      <c r="A712" t="s">
        <v>5526</v>
      </c>
    </row>
    <row r="713" spans="1:1">
      <c r="A713" t="s">
        <v>5527</v>
      </c>
    </row>
    <row r="716" spans="1:1">
      <c r="A716" t="s">
        <v>392</v>
      </c>
    </row>
    <row r="717" spans="1:1">
      <c r="A717" t="s">
        <v>5528</v>
      </c>
    </row>
    <row r="718" spans="1:1">
      <c r="A718" t="s">
        <v>5529</v>
      </c>
    </row>
    <row r="719" spans="1:1">
      <c r="A719" t="s">
        <v>5530</v>
      </c>
    </row>
    <row r="720" spans="1:1">
      <c r="A720" t="s">
        <v>5531</v>
      </c>
    </row>
    <row r="721" spans="1:1">
      <c r="A721" t="s">
        <v>5532</v>
      </c>
    </row>
    <row r="722" spans="1:1">
      <c r="A722" t="s">
        <v>5533</v>
      </c>
    </row>
    <row r="723" spans="1:1">
      <c r="A723" t="s">
        <v>5534</v>
      </c>
    </row>
    <row r="724" spans="1:1">
      <c r="A724" t="s">
        <v>5535</v>
      </c>
    </row>
    <row r="726" spans="1:1">
      <c r="A726" t="s">
        <v>406</v>
      </c>
    </row>
    <row r="727" spans="1:1">
      <c r="A727" t="s">
        <v>5536</v>
      </c>
    </row>
    <row r="728" spans="1:1">
      <c r="A728" t="s">
        <v>5537</v>
      </c>
    </row>
    <row r="729" spans="1:1">
      <c r="A729" t="s">
        <v>5538</v>
      </c>
    </row>
    <row r="730" spans="1:1">
      <c r="A730" t="s">
        <v>5539</v>
      </c>
    </row>
    <row r="731" spans="1:1">
      <c r="A731" t="s">
        <v>5540</v>
      </c>
    </row>
    <row r="732" spans="1:1">
      <c r="A732" t="s">
        <v>5541</v>
      </c>
    </row>
    <row r="733" spans="1:1">
      <c r="A733" t="s">
        <v>5542</v>
      </c>
    </row>
    <row r="734" spans="1:1">
      <c r="A734" t="s">
        <v>5543</v>
      </c>
    </row>
    <row r="735" spans="1:1">
      <c r="A735" t="s">
        <v>5544</v>
      </c>
    </row>
    <row r="736" spans="1:1">
      <c r="A736" t="s">
        <v>421</v>
      </c>
    </row>
    <row r="737" spans="1:1">
      <c r="A737" t="s">
        <v>5545</v>
      </c>
    </row>
    <row r="742" spans="1:1">
      <c r="A742" t="s">
        <v>1094</v>
      </c>
    </row>
    <row r="743" spans="1:1">
      <c r="A743" t="s">
        <v>5070</v>
      </c>
    </row>
    <row r="744" spans="1:1">
      <c r="A744" t="s">
        <v>5546</v>
      </c>
    </row>
    <row r="745" spans="1:1">
      <c r="A745" t="s">
        <v>5547</v>
      </c>
    </row>
    <row r="746" spans="1:1">
      <c r="A746" t="s">
        <v>5073</v>
      </c>
    </row>
    <row r="747" spans="1:1">
      <c r="A747" t="s">
        <v>5548</v>
      </c>
    </row>
    <row r="748" spans="1:1">
      <c r="A748" t="s">
        <v>376</v>
      </c>
    </row>
    <row r="750" spans="1:1">
      <c r="A750" t="s">
        <v>5549</v>
      </c>
    </row>
    <row r="751" spans="1:1">
      <c r="A751" t="s">
        <v>378</v>
      </c>
    </row>
    <row r="752" spans="1:1">
      <c r="A752" t="s">
        <v>5550</v>
      </c>
    </row>
    <row r="753" spans="1:1">
      <c r="A753" t="s">
        <v>5551</v>
      </c>
    </row>
    <row r="754" spans="1:1">
      <c r="A754" t="s">
        <v>5552</v>
      </c>
    </row>
    <row r="755" spans="1:1">
      <c r="A755" t="s">
        <v>5553</v>
      </c>
    </row>
    <row r="756" spans="1:1">
      <c r="A756" t="s">
        <v>5554</v>
      </c>
    </row>
    <row r="757" spans="1:1">
      <c r="A757" t="s">
        <v>5555</v>
      </c>
    </row>
    <row r="758" spans="1:1">
      <c r="A758" t="s">
        <v>5556</v>
      </c>
    </row>
    <row r="759" spans="1:1">
      <c r="A759" t="s">
        <v>5557</v>
      </c>
    </row>
    <row r="762" spans="1:1">
      <c r="A762" t="s">
        <v>392</v>
      </c>
    </row>
    <row r="763" spans="1:1">
      <c r="A763" t="s">
        <v>5558</v>
      </c>
    </row>
    <row r="764" spans="1:1">
      <c r="A764" t="s">
        <v>5559</v>
      </c>
    </row>
    <row r="765" spans="1:1">
      <c r="A765" t="s">
        <v>5560</v>
      </c>
    </row>
    <row r="766" spans="1:1">
      <c r="A766" t="s">
        <v>5561</v>
      </c>
    </row>
    <row r="767" spans="1:1">
      <c r="A767" t="s">
        <v>5562</v>
      </c>
    </row>
    <row r="768" spans="1:1">
      <c r="A768" t="s">
        <v>5563</v>
      </c>
    </row>
    <row r="769" spans="1:1">
      <c r="A769" t="s">
        <v>5564</v>
      </c>
    </row>
    <row r="770" spans="1:1">
      <c r="A770" t="s">
        <v>5565</v>
      </c>
    </row>
    <row r="772" spans="1:1">
      <c r="A772" t="s">
        <v>406</v>
      </c>
    </row>
    <row r="773" spans="1:1">
      <c r="A773" t="s">
        <v>5566</v>
      </c>
    </row>
    <row r="774" spans="1:1">
      <c r="A774" t="s">
        <v>5567</v>
      </c>
    </row>
    <row r="775" spans="1:1">
      <c r="A775" t="s">
        <v>5568</v>
      </c>
    </row>
    <row r="776" spans="1:1">
      <c r="A776" t="s">
        <v>5569</v>
      </c>
    </row>
    <row r="777" spans="1:1">
      <c r="A777" t="s">
        <v>5570</v>
      </c>
    </row>
    <row r="778" spans="1:1">
      <c r="A778" t="s">
        <v>5571</v>
      </c>
    </row>
    <row r="779" spans="1:1">
      <c r="A779" t="s">
        <v>5572</v>
      </c>
    </row>
    <row r="780" spans="1:1">
      <c r="A780" t="s">
        <v>5573</v>
      </c>
    </row>
    <row r="781" spans="1:1">
      <c r="A781" t="s">
        <v>5574</v>
      </c>
    </row>
    <row r="782" spans="1:1">
      <c r="A782" t="s">
        <v>421</v>
      </c>
    </row>
    <row r="783" spans="1:1">
      <c r="A783" t="s">
        <v>5575</v>
      </c>
    </row>
    <row r="788" spans="1:1">
      <c r="A788" t="s">
        <v>1139</v>
      </c>
    </row>
    <row r="789" spans="1:1">
      <c r="A789" t="s">
        <v>5070</v>
      </c>
    </row>
    <row r="790" spans="1:1">
      <c r="A790" t="s">
        <v>5576</v>
      </c>
    </row>
    <row r="791" spans="1:1">
      <c r="A791" t="s">
        <v>5577</v>
      </c>
    </row>
    <row r="792" spans="1:1">
      <c r="A792" t="s">
        <v>5073</v>
      </c>
    </row>
    <row r="793" spans="1:1">
      <c r="A793" t="s">
        <v>5578</v>
      </c>
    </row>
    <row r="794" spans="1:1">
      <c r="A794" t="s">
        <v>376</v>
      </c>
    </row>
    <row r="796" spans="1:1">
      <c r="A796" t="s">
        <v>5225</v>
      </c>
    </row>
    <row r="797" spans="1:1">
      <c r="A797" t="s">
        <v>378</v>
      </c>
    </row>
    <row r="798" spans="1:1">
      <c r="A798" t="s">
        <v>5579</v>
      </c>
    </row>
    <row r="799" spans="1:1">
      <c r="A799" t="s">
        <v>5580</v>
      </c>
    </row>
    <row r="800" spans="1:1">
      <c r="A800" t="s">
        <v>5581</v>
      </c>
    </row>
    <row r="801" spans="1:1">
      <c r="A801" t="s">
        <v>5582</v>
      </c>
    </row>
    <row r="802" spans="1:1">
      <c r="A802" t="s">
        <v>5583</v>
      </c>
    </row>
    <row r="803" spans="1:1">
      <c r="A803" t="s">
        <v>5584</v>
      </c>
    </row>
    <row r="804" spans="1:1">
      <c r="A804" t="s">
        <v>5585</v>
      </c>
    </row>
    <row r="805" spans="1:1">
      <c r="A805" t="s">
        <v>5586</v>
      </c>
    </row>
    <row r="808" spans="1:1">
      <c r="A808" t="s">
        <v>392</v>
      </c>
    </row>
    <row r="809" spans="1:1">
      <c r="A809" t="s">
        <v>5587</v>
      </c>
    </row>
    <row r="810" spans="1:1">
      <c r="A810" t="s">
        <v>5588</v>
      </c>
    </row>
    <row r="811" spans="1:1">
      <c r="A811" t="s">
        <v>5589</v>
      </c>
    </row>
    <row r="812" spans="1:1">
      <c r="A812" t="s">
        <v>5590</v>
      </c>
    </row>
    <row r="813" spans="1:1">
      <c r="A813" t="s">
        <v>5591</v>
      </c>
    </row>
    <row r="814" spans="1:1">
      <c r="A814" t="s">
        <v>5592</v>
      </c>
    </row>
    <row r="815" spans="1:1">
      <c r="A815" t="s">
        <v>5593</v>
      </c>
    </row>
    <row r="816" spans="1:1">
      <c r="A816" t="s">
        <v>5594</v>
      </c>
    </row>
    <row r="818" spans="1:1">
      <c r="A818" t="s">
        <v>406</v>
      </c>
    </row>
    <row r="819" spans="1:1">
      <c r="A819" t="s">
        <v>5595</v>
      </c>
    </row>
    <row r="820" spans="1:1">
      <c r="A820" t="s">
        <v>5596</v>
      </c>
    </row>
    <row r="821" spans="1:1">
      <c r="A821" t="s">
        <v>5597</v>
      </c>
    </row>
    <row r="822" spans="1:1">
      <c r="A822" t="s">
        <v>5598</v>
      </c>
    </row>
    <row r="823" spans="1:1">
      <c r="A823" t="s">
        <v>5599</v>
      </c>
    </row>
    <row r="824" spans="1:1">
      <c r="A824" t="s">
        <v>5600</v>
      </c>
    </row>
    <row r="825" spans="1:1">
      <c r="A825" t="s">
        <v>5601</v>
      </c>
    </row>
    <row r="826" spans="1:1">
      <c r="A826" t="s">
        <v>5602</v>
      </c>
    </row>
    <row r="827" spans="1:1">
      <c r="A827" t="s">
        <v>5603</v>
      </c>
    </row>
    <row r="828" spans="1:1">
      <c r="A828" t="s">
        <v>421</v>
      </c>
    </row>
    <row r="829" spans="1:1">
      <c r="A829" t="s">
        <v>5604</v>
      </c>
    </row>
    <row r="834" spans="1:1">
      <c r="A834" t="s">
        <v>1184</v>
      </c>
    </row>
    <row r="835" spans="1:1">
      <c r="A835" t="s">
        <v>5070</v>
      </c>
    </row>
    <row r="836" spans="1:1">
      <c r="A836" t="s">
        <v>5605</v>
      </c>
    </row>
    <row r="837" spans="1:1">
      <c r="A837" t="s">
        <v>5606</v>
      </c>
    </row>
    <row r="838" spans="1:1">
      <c r="A838" t="s">
        <v>5073</v>
      </c>
    </row>
    <row r="839" spans="1:1">
      <c r="A839" t="s">
        <v>5607</v>
      </c>
    </row>
    <row r="840" spans="1:1">
      <c r="A840" t="s">
        <v>376</v>
      </c>
    </row>
    <row r="842" spans="1:1">
      <c r="A842" t="s">
        <v>5135</v>
      </c>
    </row>
    <row r="843" spans="1:1">
      <c r="A843" t="s">
        <v>378</v>
      </c>
    </row>
    <row r="844" spans="1:1">
      <c r="A844" t="s">
        <v>5608</v>
      </c>
    </row>
    <row r="845" spans="1:1">
      <c r="A845" t="s">
        <v>5609</v>
      </c>
    </row>
    <row r="846" spans="1:1">
      <c r="A846" t="s">
        <v>5610</v>
      </c>
    </row>
    <row r="847" spans="1:1">
      <c r="A847" t="s">
        <v>5611</v>
      </c>
    </row>
    <row r="848" spans="1:1">
      <c r="A848" t="s">
        <v>5612</v>
      </c>
    </row>
    <row r="849" spans="1:1">
      <c r="A849" t="s">
        <v>5613</v>
      </c>
    </row>
    <row r="850" spans="1:1">
      <c r="A850" t="s">
        <v>5614</v>
      </c>
    </row>
    <row r="851" spans="1:1">
      <c r="A851" t="s">
        <v>5615</v>
      </c>
    </row>
    <row r="854" spans="1:1">
      <c r="A854" t="s">
        <v>392</v>
      </c>
    </row>
    <row r="855" spans="1:1">
      <c r="A855" t="s">
        <v>5616</v>
      </c>
    </row>
    <row r="856" spans="1:1">
      <c r="A856" t="s">
        <v>5617</v>
      </c>
    </row>
    <row r="857" spans="1:1">
      <c r="A857" t="s">
        <v>5618</v>
      </c>
    </row>
    <row r="858" spans="1:1">
      <c r="A858" t="s">
        <v>5619</v>
      </c>
    </row>
    <row r="859" spans="1:1">
      <c r="A859" t="s">
        <v>5620</v>
      </c>
    </row>
    <row r="860" spans="1:1">
      <c r="A860" t="s">
        <v>5621</v>
      </c>
    </row>
    <row r="861" spans="1:1">
      <c r="A861" t="s">
        <v>5622</v>
      </c>
    </row>
    <row r="862" spans="1:1">
      <c r="A862" t="s">
        <v>5623</v>
      </c>
    </row>
    <row r="864" spans="1:1">
      <c r="A864" t="s">
        <v>406</v>
      </c>
    </row>
    <row r="865" spans="1:1">
      <c r="A865" t="s">
        <v>5624</v>
      </c>
    </row>
    <row r="866" spans="1:1">
      <c r="A866" t="s">
        <v>5625</v>
      </c>
    </row>
    <row r="867" spans="1:1">
      <c r="A867" t="s">
        <v>5626</v>
      </c>
    </row>
    <row r="868" spans="1:1">
      <c r="A868" t="s">
        <v>5627</v>
      </c>
    </row>
    <row r="869" spans="1:1">
      <c r="A869" t="s">
        <v>5628</v>
      </c>
    </row>
    <row r="870" spans="1:1">
      <c r="A870" t="s">
        <v>5629</v>
      </c>
    </row>
    <row r="871" spans="1:1">
      <c r="A871" t="s">
        <v>5630</v>
      </c>
    </row>
    <row r="872" spans="1:1">
      <c r="A872" t="s">
        <v>5631</v>
      </c>
    </row>
    <row r="873" spans="1:1">
      <c r="A873" t="s">
        <v>5632</v>
      </c>
    </row>
    <row r="874" spans="1:1">
      <c r="A874" t="s">
        <v>421</v>
      </c>
    </row>
    <row r="875" spans="1:1">
      <c r="A875" t="s">
        <v>5633</v>
      </c>
    </row>
    <row r="880" spans="1:1">
      <c r="A880" t="s">
        <v>1229</v>
      </c>
    </row>
    <row r="881" spans="1:1">
      <c r="A881" t="s">
        <v>5070</v>
      </c>
    </row>
    <row r="882" spans="1:1">
      <c r="A882" t="s">
        <v>5634</v>
      </c>
    </row>
    <row r="883" spans="1:1">
      <c r="A883" t="s">
        <v>5635</v>
      </c>
    </row>
    <row r="884" spans="1:1">
      <c r="A884" t="s">
        <v>5073</v>
      </c>
    </row>
    <row r="885" spans="1:1">
      <c r="A885" t="s">
        <v>5636</v>
      </c>
    </row>
    <row r="886" spans="1:1">
      <c r="A886" t="s">
        <v>376</v>
      </c>
    </row>
    <row r="888" spans="1:1">
      <c r="A888" t="s">
        <v>5285</v>
      </c>
    </row>
    <row r="889" spans="1:1">
      <c r="A889" t="s">
        <v>378</v>
      </c>
    </row>
    <row r="890" spans="1:1">
      <c r="A890" t="s">
        <v>5637</v>
      </c>
    </row>
    <row r="891" spans="1:1">
      <c r="A891" t="s">
        <v>5638</v>
      </c>
    </row>
    <row r="892" spans="1:1">
      <c r="A892" t="s">
        <v>5639</v>
      </c>
    </row>
    <row r="893" spans="1:1">
      <c r="A893" t="s">
        <v>5640</v>
      </c>
    </row>
    <row r="894" spans="1:1">
      <c r="A894" t="s">
        <v>5641</v>
      </c>
    </row>
    <row r="895" spans="1:1">
      <c r="A895" t="s">
        <v>5642</v>
      </c>
    </row>
    <row r="896" spans="1:1">
      <c r="A896" t="s">
        <v>5643</v>
      </c>
    </row>
    <row r="897" spans="1:1">
      <c r="A897" t="s">
        <v>5644</v>
      </c>
    </row>
    <row r="900" spans="1:1">
      <c r="A900" t="s">
        <v>392</v>
      </c>
    </row>
    <row r="901" spans="1:1">
      <c r="A901" t="s">
        <v>5645</v>
      </c>
    </row>
    <row r="902" spans="1:1">
      <c r="A902" t="s">
        <v>5646</v>
      </c>
    </row>
    <row r="903" spans="1:1">
      <c r="A903" t="s">
        <v>5353</v>
      </c>
    </row>
    <row r="904" spans="1:1">
      <c r="A904" t="s">
        <v>5647</v>
      </c>
    </row>
    <row r="905" spans="1:1">
      <c r="A905" t="s">
        <v>5648</v>
      </c>
    </row>
    <row r="906" spans="1:1">
      <c r="A906" t="s">
        <v>5649</v>
      </c>
    </row>
    <row r="907" spans="1:1">
      <c r="A907" t="s">
        <v>5650</v>
      </c>
    </row>
    <row r="908" spans="1:1">
      <c r="A908" t="s">
        <v>5651</v>
      </c>
    </row>
    <row r="910" spans="1:1">
      <c r="A910" t="s">
        <v>406</v>
      </c>
    </row>
    <row r="911" spans="1:1">
      <c r="A911" t="s">
        <v>5652</v>
      </c>
    </row>
    <row r="912" spans="1:1">
      <c r="A912" t="s">
        <v>5653</v>
      </c>
    </row>
    <row r="913" spans="1:1">
      <c r="A913" t="s">
        <v>5654</v>
      </c>
    </row>
    <row r="914" spans="1:1">
      <c r="A914" t="s">
        <v>5655</v>
      </c>
    </row>
    <row r="915" spans="1:1">
      <c r="A915" t="s">
        <v>5656</v>
      </c>
    </row>
    <row r="916" spans="1:1">
      <c r="A916" t="s">
        <v>5657</v>
      </c>
    </row>
    <row r="917" spans="1:1">
      <c r="A917" t="s">
        <v>5658</v>
      </c>
    </row>
    <row r="918" spans="1:1">
      <c r="A918" t="s">
        <v>5659</v>
      </c>
    </row>
    <row r="919" spans="1:1">
      <c r="A919" t="s">
        <v>5660</v>
      </c>
    </row>
    <row r="920" spans="1:1">
      <c r="A920" t="s">
        <v>421</v>
      </c>
    </row>
    <row r="921" spans="1:1">
      <c r="A921" t="s">
        <v>5661</v>
      </c>
    </row>
    <row r="926" spans="1:1">
      <c r="A926" t="s">
        <v>1274</v>
      </c>
    </row>
    <row r="927" spans="1:1">
      <c r="A927" t="s">
        <v>5070</v>
      </c>
    </row>
    <row r="928" spans="1:1">
      <c r="A928" t="s">
        <v>5662</v>
      </c>
    </row>
    <row r="929" spans="1:1">
      <c r="A929" t="s">
        <v>5663</v>
      </c>
    </row>
    <row r="930" spans="1:1">
      <c r="A930" t="s">
        <v>5073</v>
      </c>
    </row>
    <row r="931" spans="1:1">
      <c r="A931" t="s">
        <v>5664</v>
      </c>
    </row>
    <row r="932" spans="1:1">
      <c r="A932" t="s">
        <v>376</v>
      </c>
    </row>
    <row r="934" spans="1:1">
      <c r="A934" t="s">
        <v>5665</v>
      </c>
    </row>
    <row r="935" spans="1:1">
      <c r="A935" t="s">
        <v>378</v>
      </c>
    </row>
    <row r="936" spans="1:1">
      <c r="A936" t="s">
        <v>5666</v>
      </c>
    </row>
    <row r="937" spans="1:1">
      <c r="A937" t="s">
        <v>5667</v>
      </c>
    </row>
    <row r="938" spans="1:1">
      <c r="A938" t="s">
        <v>5668</v>
      </c>
    </row>
    <row r="939" spans="1:1">
      <c r="A939" t="s">
        <v>5669</v>
      </c>
    </row>
    <row r="940" spans="1:1">
      <c r="A940" t="s">
        <v>5670</v>
      </c>
    </row>
    <row r="941" spans="1:1">
      <c r="A941" t="s">
        <v>5671</v>
      </c>
    </row>
    <row r="942" spans="1:1">
      <c r="A942" t="s">
        <v>5672</v>
      </c>
    </row>
    <row r="943" spans="1:1">
      <c r="A943" t="s">
        <v>5673</v>
      </c>
    </row>
    <row r="946" spans="1:1">
      <c r="A946" t="s">
        <v>392</v>
      </c>
    </row>
    <row r="947" spans="1:1">
      <c r="A947" t="s">
        <v>5674</v>
      </c>
    </row>
    <row r="948" spans="1:1">
      <c r="A948" t="s">
        <v>5675</v>
      </c>
    </row>
    <row r="949" spans="1:1">
      <c r="A949" t="s">
        <v>5676</v>
      </c>
    </row>
    <row r="950" spans="1:1">
      <c r="A950" t="s">
        <v>5677</v>
      </c>
    </row>
    <row r="951" spans="1:1">
      <c r="A951" t="s">
        <v>5678</v>
      </c>
    </row>
    <row r="952" spans="1:1">
      <c r="A952" t="s">
        <v>5679</v>
      </c>
    </row>
    <row r="953" spans="1:1">
      <c r="A953" t="s">
        <v>5680</v>
      </c>
    </row>
    <row r="954" spans="1:1">
      <c r="A954" t="s">
        <v>5681</v>
      </c>
    </row>
    <row r="956" spans="1:1">
      <c r="A956" t="s">
        <v>406</v>
      </c>
    </row>
    <row r="957" spans="1:1">
      <c r="A957" t="s">
        <v>5682</v>
      </c>
    </row>
    <row r="958" spans="1:1">
      <c r="A958" t="s">
        <v>5683</v>
      </c>
    </row>
    <row r="959" spans="1:1">
      <c r="A959" t="s">
        <v>5684</v>
      </c>
    </row>
    <row r="960" spans="1:1">
      <c r="A960" t="s">
        <v>5685</v>
      </c>
    </row>
    <row r="961" spans="1:1">
      <c r="A961" t="s">
        <v>5686</v>
      </c>
    </row>
    <row r="962" spans="1:1">
      <c r="A962" t="s">
        <v>5687</v>
      </c>
    </row>
    <row r="963" spans="1:1">
      <c r="A963" t="s">
        <v>5688</v>
      </c>
    </row>
    <row r="964" spans="1:1">
      <c r="A964" t="s">
        <v>5689</v>
      </c>
    </row>
    <row r="965" spans="1:1">
      <c r="A965" t="s">
        <v>5690</v>
      </c>
    </row>
    <row r="966" spans="1:1">
      <c r="A966" t="s">
        <v>421</v>
      </c>
    </row>
    <row r="967" spans="1:1">
      <c r="A967" t="s">
        <v>5691</v>
      </c>
    </row>
    <row r="972" spans="1:1">
      <c r="A972" t="s">
        <v>1319</v>
      </c>
    </row>
    <row r="973" spans="1:1">
      <c r="A973" t="s">
        <v>5070</v>
      </c>
    </row>
    <row r="974" spans="1:1">
      <c r="A974" t="s">
        <v>5692</v>
      </c>
    </row>
    <row r="975" spans="1:1">
      <c r="A975" t="s">
        <v>5693</v>
      </c>
    </row>
    <row r="976" spans="1:1">
      <c r="A976" t="s">
        <v>5073</v>
      </c>
    </row>
    <row r="977" spans="1:1">
      <c r="A977" t="s">
        <v>5694</v>
      </c>
    </row>
    <row r="978" spans="1:1">
      <c r="A978" t="s">
        <v>376</v>
      </c>
    </row>
    <row r="980" spans="1:1">
      <c r="A980" t="s">
        <v>5225</v>
      </c>
    </row>
    <row r="981" spans="1:1">
      <c r="A981" t="s">
        <v>378</v>
      </c>
    </row>
    <row r="982" spans="1:1">
      <c r="A982" t="s">
        <v>5695</v>
      </c>
    </row>
    <row r="983" spans="1:1">
      <c r="A983" t="s">
        <v>5696</v>
      </c>
    </row>
    <row r="984" spans="1:1">
      <c r="A984" t="s">
        <v>5697</v>
      </c>
    </row>
    <row r="985" spans="1:1">
      <c r="A985" t="s">
        <v>5698</v>
      </c>
    </row>
    <row r="986" spans="1:1">
      <c r="A986" t="s">
        <v>5699</v>
      </c>
    </row>
    <row r="987" spans="1:1">
      <c r="A987" t="s">
        <v>5700</v>
      </c>
    </row>
    <row r="988" spans="1:1">
      <c r="A988" t="s">
        <v>5701</v>
      </c>
    </row>
    <row r="989" spans="1:1">
      <c r="A989" t="s">
        <v>5702</v>
      </c>
    </row>
    <row r="992" spans="1:1">
      <c r="A992" t="s">
        <v>392</v>
      </c>
    </row>
    <row r="993" spans="1:1">
      <c r="A993" t="s">
        <v>5703</v>
      </c>
    </row>
    <row r="994" spans="1:1">
      <c r="A994" t="s">
        <v>5704</v>
      </c>
    </row>
    <row r="995" spans="1:1">
      <c r="A995" t="s">
        <v>5705</v>
      </c>
    </row>
    <row r="996" spans="1:1">
      <c r="A996" t="s">
        <v>5706</v>
      </c>
    </row>
    <row r="997" spans="1:1">
      <c r="A997" t="s">
        <v>5707</v>
      </c>
    </row>
    <row r="998" spans="1:1">
      <c r="A998" t="s">
        <v>5708</v>
      </c>
    </row>
    <row r="999" spans="1:1">
      <c r="A999" t="s">
        <v>5709</v>
      </c>
    </row>
    <row r="1000" spans="1:1">
      <c r="A1000" t="s">
        <v>5710</v>
      </c>
    </row>
    <row r="1002" spans="1:1">
      <c r="A1002" t="s">
        <v>406</v>
      </c>
    </row>
    <row r="1003" spans="1:1">
      <c r="A1003" t="s">
        <v>5711</v>
      </c>
    </row>
    <row r="1004" spans="1:1">
      <c r="A1004" t="s">
        <v>5712</v>
      </c>
    </row>
    <row r="1005" spans="1:1">
      <c r="A1005" t="s">
        <v>5713</v>
      </c>
    </row>
    <row r="1006" spans="1:1">
      <c r="A1006" t="s">
        <v>5714</v>
      </c>
    </row>
    <row r="1007" spans="1:1">
      <c r="A1007" t="s">
        <v>5715</v>
      </c>
    </row>
    <row r="1008" spans="1:1">
      <c r="A1008" t="s">
        <v>5716</v>
      </c>
    </row>
    <row r="1009" spans="1:1">
      <c r="A1009" t="s">
        <v>5717</v>
      </c>
    </row>
    <row r="1010" spans="1:1">
      <c r="A1010" t="s">
        <v>5718</v>
      </c>
    </row>
    <row r="1011" spans="1:1">
      <c r="A1011" t="s">
        <v>5719</v>
      </c>
    </row>
    <row r="1012" spans="1:1">
      <c r="A1012" t="s">
        <v>421</v>
      </c>
    </row>
    <row r="1013" spans="1:1">
      <c r="A1013" t="s">
        <v>5720</v>
      </c>
    </row>
    <row r="1018" spans="1:1">
      <c r="A1018" t="s">
        <v>1365</v>
      </c>
    </row>
    <row r="1019" spans="1:1">
      <c r="A1019" t="s">
        <v>5070</v>
      </c>
    </row>
    <row r="1020" spans="1:1">
      <c r="A1020" t="s">
        <v>5721</v>
      </c>
    </row>
    <row r="1021" spans="1:1">
      <c r="A1021" t="s">
        <v>5722</v>
      </c>
    </row>
    <row r="1022" spans="1:1">
      <c r="A1022" t="s">
        <v>5073</v>
      </c>
    </row>
    <row r="1023" spans="1:1">
      <c r="A1023" t="s">
        <v>5723</v>
      </c>
    </row>
    <row r="1024" spans="1:1">
      <c r="A1024" t="s">
        <v>376</v>
      </c>
    </row>
    <row r="1026" spans="1:1">
      <c r="A1026" t="s">
        <v>5724</v>
      </c>
    </row>
    <row r="1027" spans="1:1">
      <c r="A1027" t="s">
        <v>378</v>
      </c>
    </row>
    <row r="1028" spans="1:1">
      <c r="A1028" t="s">
        <v>5725</v>
      </c>
    </row>
    <row r="1029" spans="1:1">
      <c r="A1029" t="s">
        <v>5726</v>
      </c>
    </row>
    <row r="1030" spans="1:1">
      <c r="A1030" t="s">
        <v>5727</v>
      </c>
    </row>
    <row r="1031" spans="1:1">
      <c r="A1031" t="s">
        <v>5728</v>
      </c>
    </row>
    <row r="1032" spans="1:1">
      <c r="A1032" t="s">
        <v>5729</v>
      </c>
    </row>
    <row r="1033" spans="1:1">
      <c r="A1033" t="s">
        <v>5730</v>
      </c>
    </row>
    <row r="1034" spans="1:1">
      <c r="A1034" t="s">
        <v>5731</v>
      </c>
    </row>
    <row r="1035" spans="1:1">
      <c r="A1035" t="s">
        <v>5732</v>
      </c>
    </row>
    <row r="1038" spans="1:1">
      <c r="A1038" t="s">
        <v>392</v>
      </c>
    </row>
    <row r="1039" spans="1:1">
      <c r="A1039" t="s">
        <v>5733</v>
      </c>
    </row>
    <row r="1040" spans="1:1">
      <c r="A1040" t="s">
        <v>5704</v>
      </c>
    </row>
    <row r="1041" spans="1:1">
      <c r="A1041" t="s">
        <v>5705</v>
      </c>
    </row>
    <row r="1042" spans="1:1">
      <c r="A1042" t="s">
        <v>5734</v>
      </c>
    </row>
    <row r="1043" spans="1:1">
      <c r="A1043" t="s">
        <v>5707</v>
      </c>
    </row>
    <row r="1044" spans="1:1">
      <c r="A1044" t="s">
        <v>5708</v>
      </c>
    </row>
    <row r="1045" spans="1:1">
      <c r="A1045" t="s">
        <v>5709</v>
      </c>
    </row>
    <row r="1046" spans="1:1">
      <c r="A1046" t="s">
        <v>5735</v>
      </c>
    </row>
    <row r="1048" spans="1:1">
      <c r="A1048" t="s">
        <v>406</v>
      </c>
    </row>
    <row r="1049" spans="1:1">
      <c r="A1049" t="s">
        <v>5736</v>
      </c>
    </row>
    <row r="1050" spans="1:1">
      <c r="A1050" t="s">
        <v>5737</v>
      </c>
    </row>
    <row r="1051" spans="1:1">
      <c r="A1051" t="s">
        <v>5738</v>
      </c>
    </row>
    <row r="1052" spans="1:1">
      <c r="A1052" t="s">
        <v>5739</v>
      </c>
    </row>
    <row r="1053" spans="1:1">
      <c r="A1053" t="s">
        <v>5740</v>
      </c>
    </row>
    <row r="1054" spans="1:1">
      <c r="A1054" t="s">
        <v>5741</v>
      </c>
    </row>
    <row r="1055" spans="1:1">
      <c r="A1055" t="s">
        <v>5742</v>
      </c>
    </row>
    <row r="1056" spans="1:1">
      <c r="A1056" t="s">
        <v>5743</v>
      </c>
    </row>
    <row r="1057" spans="1:1">
      <c r="A1057" t="s">
        <v>5744</v>
      </c>
    </row>
    <row r="1058" spans="1:1">
      <c r="A1058" t="s">
        <v>421</v>
      </c>
    </row>
    <row r="1059" spans="1:1">
      <c r="A1059" t="s">
        <v>5745</v>
      </c>
    </row>
    <row r="1064" spans="1:1">
      <c r="A1064" t="s">
        <v>1410</v>
      </c>
    </row>
    <row r="1065" spans="1:1">
      <c r="A1065" t="s">
        <v>5070</v>
      </c>
    </row>
    <row r="1066" spans="1:1">
      <c r="A1066" t="s">
        <v>5746</v>
      </c>
    </row>
    <row r="1067" spans="1:1">
      <c r="A1067" t="s">
        <v>5747</v>
      </c>
    </row>
    <row r="1068" spans="1:1">
      <c r="A1068" t="s">
        <v>5073</v>
      </c>
    </row>
    <row r="1069" spans="1:1">
      <c r="A1069" t="s">
        <v>5748</v>
      </c>
    </row>
    <row r="1070" spans="1:1">
      <c r="A1070" t="s">
        <v>376</v>
      </c>
    </row>
    <row r="1072" spans="1:1">
      <c r="A1072" t="s">
        <v>5749</v>
      </c>
    </row>
    <row r="1073" spans="1:1">
      <c r="A1073" t="s">
        <v>378</v>
      </c>
    </row>
    <row r="1074" spans="1:1">
      <c r="A1074" t="s">
        <v>5750</v>
      </c>
    </row>
    <row r="1075" spans="1:1">
      <c r="A1075" t="s">
        <v>5751</v>
      </c>
    </row>
    <row r="1076" spans="1:1">
      <c r="A1076" t="s">
        <v>5752</v>
      </c>
    </row>
    <row r="1077" spans="1:1">
      <c r="A1077" t="s">
        <v>5753</v>
      </c>
    </row>
    <row r="1078" spans="1:1">
      <c r="A1078" t="s">
        <v>5754</v>
      </c>
    </row>
    <row r="1079" spans="1:1">
      <c r="A1079" t="s">
        <v>5755</v>
      </c>
    </row>
    <row r="1080" spans="1:1">
      <c r="A1080" t="s">
        <v>5756</v>
      </c>
    </row>
    <row r="1081" spans="1:1">
      <c r="A1081" t="s">
        <v>5757</v>
      </c>
    </row>
    <row r="1084" spans="1:1">
      <c r="A1084" t="s">
        <v>392</v>
      </c>
    </row>
    <row r="1085" spans="1:1">
      <c r="A1085" t="s">
        <v>5758</v>
      </c>
    </row>
    <row r="1086" spans="1:1">
      <c r="A1086" t="s">
        <v>5759</v>
      </c>
    </row>
    <row r="1087" spans="1:1">
      <c r="A1087" t="s">
        <v>5760</v>
      </c>
    </row>
    <row r="1088" spans="1:1">
      <c r="A1088" t="s">
        <v>5761</v>
      </c>
    </row>
    <row r="1089" spans="1:1">
      <c r="A1089" t="s">
        <v>5762</v>
      </c>
    </row>
    <row r="1090" spans="1:1">
      <c r="A1090" t="s">
        <v>5763</v>
      </c>
    </row>
    <row r="1091" spans="1:1">
      <c r="A1091" t="s">
        <v>5764</v>
      </c>
    </row>
    <row r="1092" spans="1:1">
      <c r="A1092" t="s">
        <v>5765</v>
      </c>
    </row>
    <row r="1094" spans="1:1">
      <c r="A1094" t="s">
        <v>406</v>
      </c>
    </row>
    <row r="1095" spans="1:1">
      <c r="A1095" t="s">
        <v>5766</v>
      </c>
    </row>
    <row r="1096" spans="1:1">
      <c r="A1096" t="s">
        <v>5767</v>
      </c>
    </row>
    <row r="1097" spans="1:1">
      <c r="A1097" t="s">
        <v>5768</v>
      </c>
    </row>
    <row r="1098" spans="1:1">
      <c r="A1098" t="s">
        <v>5769</v>
      </c>
    </row>
    <row r="1099" spans="1:1">
      <c r="A1099" t="s">
        <v>5770</v>
      </c>
    </row>
    <row r="1100" spans="1:1">
      <c r="A1100" t="s">
        <v>5771</v>
      </c>
    </row>
    <row r="1101" spans="1:1">
      <c r="A1101" t="s">
        <v>5772</v>
      </c>
    </row>
    <row r="1102" spans="1:1">
      <c r="A1102" t="s">
        <v>5773</v>
      </c>
    </row>
    <row r="1103" spans="1:1">
      <c r="A1103" t="s">
        <v>5774</v>
      </c>
    </row>
    <row r="1104" spans="1:1">
      <c r="A1104" t="s">
        <v>421</v>
      </c>
    </row>
    <row r="1105" spans="1:1">
      <c r="A1105" t="s">
        <v>5775</v>
      </c>
    </row>
    <row r="1110" spans="1:1">
      <c r="A1110" t="s">
        <v>1455</v>
      </c>
    </row>
    <row r="1111" spans="1:1">
      <c r="A1111" t="s">
        <v>5070</v>
      </c>
    </row>
    <row r="1112" spans="1:1">
      <c r="A1112" t="s">
        <v>5776</v>
      </c>
    </row>
    <row r="1113" spans="1:1">
      <c r="A1113" t="s">
        <v>5777</v>
      </c>
    </row>
    <row r="1114" spans="1:1">
      <c r="A1114" t="s">
        <v>5073</v>
      </c>
    </row>
    <row r="1115" spans="1:1">
      <c r="A1115" t="s">
        <v>5778</v>
      </c>
    </row>
    <row r="1116" spans="1:1">
      <c r="A1116" t="s">
        <v>376</v>
      </c>
    </row>
    <row r="1118" spans="1:1">
      <c r="A1118" t="s">
        <v>5779</v>
      </c>
    </row>
    <row r="1119" spans="1:1">
      <c r="A1119" t="s">
        <v>378</v>
      </c>
    </row>
    <row r="1120" spans="1:1">
      <c r="A1120" t="s">
        <v>5780</v>
      </c>
    </row>
    <row r="1121" spans="1:1">
      <c r="A1121" t="s">
        <v>5781</v>
      </c>
    </row>
    <row r="1122" spans="1:1">
      <c r="A1122" t="s">
        <v>5782</v>
      </c>
    </row>
    <row r="1123" spans="1:1">
      <c r="A1123" t="s">
        <v>5783</v>
      </c>
    </row>
    <row r="1124" spans="1:1">
      <c r="A1124" t="s">
        <v>5784</v>
      </c>
    </row>
    <row r="1125" spans="1:1">
      <c r="A1125" t="s">
        <v>5785</v>
      </c>
    </row>
    <row r="1126" spans="1:1">
      <c r="A1126" t="s">
        <v>5786</v>
      </c>
    </row>
    <row r="1127" spans="1:1">
      <c r="A1127" t="s">
        <v>5787</v>
      </c>
    </row>
    <row r="1130" spans="1:1">
      <c r="A1130" t="s">
        <v>392</v>
      </c>
    </row>
    <row r="1131" spans="1:1">
      <c r="A1131" t="s">
        <v>5144</v>
      </c>
    </row>
    <row r="1132" spans="1:1">
      <c r="A1132" t="s">
        <v>5788</v>
      </c>
    </row>
    <row r="1133" spans="1:1">
      <c r="A1133" t="s">
        <v>5146</v>
      </c>
    </row>
    <row r="1134" spans="1:1">
      <c r="A1134" t="s">
        <v>5789</v>
      </c>
    </row>
    <row r="1135" spans="1:1">
      <c r="A1135" t="s">
        <v>5148</v>
      </c>
    </row>
    <row r="1136" spans="1:1">
      <c r="A1136" t="s">
        <v>5150</v>
      </c>
    </row>
    <row r="1137" spans="1:1">
      <c r="A1137" t="s">
        <v>5790</v>
      </c>
    </row>
    <row r="1139" spans="1:1">
      <c r="A1139" t="s">
        <v>406</v>
      </c>
    </row>
    <row r="1140" spans="1:1">
      <c r="A1140" t="s">
        <v>5791</v>
      </c>
    </row>
    <row r="1141" spans="1:1">
      <c r="A1141" t="s">
        <v>5792</v>
      </c>
    </row>
    <row r="1142" spans="1:1">
      <c r="A1142" t="s">
        <v>5793</v>
      </c>
    </row>
    <row r="1143" spans="1:1">
      <c r="A1143" t="s">
        <v>5794</v>
      </c>
    </row>
    <row r="1144" spans="1:1">
      <c r="A1144" t="s">
        <v>5795</v>
      </c>
    </row>
    <row r="1145" spans="1:1">
      <c r="A1145" t="s">
        <v>5796</v>
      </c>
    </row>
    <row r="1146" spans="1:1">
      <c r="A1146" t="s">
        <v>5797</v>
      </c>
    </row>
    <row r="1147" spans="1:1">
      <c r="A1147" t="s">
        <v>5798</v>
      </c>
    </row>
    <row r="1148" spans="1:1">
      <c r="A1148" t="s">
        <v>5799</v>
      </c>
    </row>
    <row r="1149" spans="1:1">
      <c r="A1149" t="s">
        <v>421</v>
      </c>
    </row>
    <row r="1150" spans="1:1">
      <c r="A1150" t="s">
        <v>5800</v>
      </c>
    </row>
    <row r="1155" spans="1:1">
      <c r="A1155" t="s">
        <v>1500</v>
      </c>
    </row>
    <row r="1156" spans="1:1">
      <c r="A1156" t="s">
        <v>5070</v>
      </c>
    </row>
    <row r="1157" spans="1:1">
      <c r="A1157" t="s">
        <v>5801</v>
      </c>
    </row>
    <row r="1158" spans="1:1">
      <c r="A1158" t="s">
        <v>5802</v>
      </c>
    </row>
    <row r="1159" spans="1:1">
      <c r="A1159" t="s">
        <v>5073</v>
      </c>
    </row>
    <row r="1160" spans="1:1">
      <c r="A1160" t="s">
        <v>5803</v>
      </c>
    </row>
    <row r="1161" spans="1:1">
      <c r="A1161" t="s">
        <v>376</v>
      </c>
    </row>
    <row r="1163" spans="1:1">
      <c r="A1163" t="s">
        <v>5779</v>
      </c>
    </row>
    <row r="1164" spans="1:1">
      <c r="A1164" t="s">
        <v>378</v>
      </c>
    </row>
    <row r="1165" spans="1:1">
      <c r="A1165" t="s">
        <v>5804</v>
      </c>
    </row>
    <row r="1166" spans="1:1">
      <c r="A1166" t="s">
        <v>5805</v>
      </c>
    </row>
    <row r="1167" spans="1:1">
      <c r="A1167" t="s">
        <v>5806</v>
      </c>
    </row>
    <row r="1168" spans="1:1">
      <c r="A1168" t="s">
        <v>5807</v>
      </c>
    </row>
    <row r="1169" spans="1:1">
      <c r="A1169" t="s">
        <v>5808</v>
      </c>
    </row>
    <row r="1170" spans="1:1">
      <c r="A1170" t="s">
        <v>5809</v>
      </c>
    </row>
    <row r="1171" spans="1:1">
      <c r="A1171" t="s">
        <v>5810</v>
      </c>
    </row>
    <row r="1172" spans="1:1">
      <c r="A1172" t="s">
        <v>5811</v>
      </c>
    </row>
    <row r="1175" spans="1:1">
      <c r="A1175" t="s">
        <v>392</v>
      </c>
    </row>
    <row r="1176" spans="1:1">
      <c r="A1176" t="s">
        <v>5812</v>
      </c>
    </row>
    <row r="1177" spans="1:1">
      <c r="A1177" t="s">
        <v>5813</v>
      </c>
    </row>
    <row r="1178" spans="1:1">
      <c r="A1178" t="s">
        <v>5814</v>
      </c>
    </row>
    <row r="1179" spans="1:1">
      <c r="A1179" t="s">
        <v>5815</v>
      </c>
    </row>
    <row r="1180" spans="1:1">
      <c r="A1180" t="s">
        <v>5816</v>
      </c>
    </row>
    <row r="1181" spans="1:1">
      <c r="A1181" t="s">
        <v>5817</v>
      </c>
    </row>
    <row r="1182" spans="1:1">
      <c r="A1182" t="s">
        <v>5818</v>
      </c>
    </row>
    <row r="1183" spans="1:1">
      <c r="A1183" t="s">
        <v>5819</v>
      </c>
    </row>
    <row r="1185" spans="1:1">
      <c r="A1185" t="s">
        <v>406</v>
      </c>
    </row>
    <row r="1186" spans="1:1">
      <c r="A1186" t="s">
        <v>5820</v>
      </c>
    </row>
    <row r="1187" spans="1:1">
      <c r="A1187" t="s">
        <v>5821</v>
      </c>
    </row>
    <row r="1188" spans="1:1">
      <c r="A1188" t="s">
        <v>5822</v>
      </c>
    </row>
    <row r="1189" spans="1:1">
      <c r="A1189" t="s">
        <v>5823</v>
      </c>
    </row>
    <row r="1190" spans="1:1">
      <c r="A1190" t="s">
        <v>5824</v>
      </c>
    </row>
    <row r="1191" spans="1:1">
      <c r="A1191" t="s">
        <v>5825</v>
      </c>
    </row>
    <row r="1192" spans="1:1">
      <c r="A1192" t="s">
        <v>5826</v>
      </c>
    </row>
    <row r="1193" spans="1:1">
      <c r="A1193" t="s">
        <v>5827</v>
      </c>
    </row>
    <row r="1194" spans="1:1">
      <c r="A1194" t="s">
        <v>5828</v>
      </c>
    </row>
    <row r="1195" spans="1:1">
      <c r="A1195" t="s">
        <v>421</v>
      </c>
    </row>
    <row r="1196" spans="1:1">
      <c r="A1196" t="s">
        <v>5829</v>
      </c>
    </row>
    <row r="1201" spans="1:1">
      <c r="A1201" t="s">
        <v>1545</v>
      </c>
    </row>
    <row r="1202" spans="1:1">
      <c r="A1202" t="s">
        <v>5070</v>
      </c>
    </row>
    <row r="1203" spans="1:1">
      <c r="A1203" t="s">
        <v>5830</v>
      </c>
    </row>
    <row r="1204" spans="1:1">
      <c r="A1204" t="s">
        <v>5831</v>
      </c>
    </row>
    <row r="1205" spans="1:1">
      <c r="A1205" t="s">
        <v>5073</v>
      </c>
    </row>
    <row r="1206" spans="1:1">
      <c r="A1206" t="s">
        <v>5832</v>
      </c>
    </row>
    <row r="1207" spans="1:1">
      <c r="A1207" t="s">
        <v>376</v>
      </c>
    </row>
    <row r="1209" spans="1:1">
      <c r="A1209" t="s">
        <v>5833</v>
      </c>
    </row>
    <row r="1210" spans="1:1">
      <c r="A1210" t="s">
        <v>378</v>
      </c>
    </row>
    <row r="1211" spans="1:1">
      <c r="A1211" t="s">
        <v>5834</v>
      </c>
    </row>
    <row r="1212" spans="1:1">
      <c r="A1212" t="s">
        <v>5835</v>
      </c>
    </row>
    <row r="1213" spans="1:1">
      <c r="A1213" t="s">
        <v>5836</v>
      </c>
    </row>
    <row r="1214" spans="1:1">
      <c r="A1214" t="s">
        <v>5837</v>
      </c>
    </row>
    <row r="1215" spans="1:1">
      <c r="A1215" t="s">
        <v>5838</v>
      </c>
    </row>
    <row r="1216" spans="1:1">
      <c r="A1216" t="s">
        <v>5839</v>
      </c>
    </row>
    <row r="1217" spans="1:1">
      <c r="A1217" t="s">
        <v>5840</v>
      </c>
    </row>
    <row r="1218" spans="1:1">
      <c r="A1218" t="s">
        <v>5841</v>
      </c>
    </row>
    <row r="1221" spans="1:1">
      <c r="A1221" t="s">
        <v>392</v>
      </c>
    </row>
    <row r="1222" spans="1:1">
      <c r="A1222" t="s">
        <v>5842</v>
      </c>
    </row>
    <row r="1223" spans="1:1">
      <c r="A1223" t="s">
        <v>5843</v>
      </c>
    </row>
    <row r="1224" spans="1:1">
      <c r="A1224" t="s">
        <v>5844</v>
      </c>
    </row>
    <row r="1225" spans="1:1">
      <c r="A1225" t="s">
        <v>5845</v>
      </c>
    </row>
    <row r="1226" spans="1:1">
      <c r="A1226" t="s">
        <v>5846</v>
      </c>
    </row>
    <row r="1227" spans="1:1">
      <c r="A1227" t="s">
        <v>5847</v>
      </c>
    </row>
    <row r="1228" spans="1:1">
      <c r="A1228" t="s">
        <v>5090</v>
      </c>
    </row>
    <row r="1229" spans="1:1">
      <c r="A1229" t="s">
        <v>5848</v>
      </c>
    </row>
    <row r="1231" spans="1:1">
      <c r="A1231" t="s">
        <v>406</v>
      </c>
    </row>
    <row r="1232" spans="1:1">
      <c r="A1232" t="s">
        <v>5849</v>
      </c>
    </row>
    <row r="1233" spans="1:1">
      <c r="A1233" t="s">
        <v>5850</v>
      </c>
    </row>
    <row r="1234" spans="1:1">
      <c r="A1234" t="s">
        <v>5851</v>
      </c>
    </row>
    <row r="1235" spans="1:1">
      <c r="A1235" t="s">
        <v>5852</v>
      </c>
    </row>
    <row r="1236" spans="1:1">
      <c r="A1236" t="s">
        <v>5853</v>
      </c>
    </row>
    <row r="1237" spans="1:1">
      <c r="A1237" t="s">
        <v>5854</v>
      </c>
    </row>
    <row r="1238" spans="1:1">
      <c r="A1238" t="s">
        <v>5855</v>
      </c>
    </row>
    <row r="1239" spans="1:1">
      <c r="A1239" t="s">
        <v>5856</v>
      </c>
    </row>
    <row r="1240" spans="1:1">
      <c r="A1240" t="s">
        <v>5857</v>
      </c>
    </row>
    <row r="1241" spans="1:1">
      <c r="A1241" t="s">
        <v>421</v>
      </c>
    </row>
    <row r="1242" spans="1:1">
      <c r="A1242" t="s">
        <v>5858</v>
      </c>
    </row>
    <row r="1247" spans="1:1">
      <c r="A1247" t="s">
        <v>1590</v>
      </c>
    </row>
    <row r="1248" spans="1:1">
      <c r="A1248" t="s">
        <v>5070</v>
      </c>
    </row>
    <row r="1249" spans="1:1">
      <c r="A1249" t="s">
        <v>5859</v>
      </c>
    </row>
    <row r="1250" spans="1:1">
      <c r="A1250" t="s">
        <v>5860</v>
      </c>
    </row>
    <row r="1251" spans="1:1">
      <c r="A1251" t="s">
        <v>5073</v>
      </c>
    </row>
    <row r="1252" spans="1:1">
      <c r="A1252" t="s">
        <v>5861</v>
      </c>
    </row>
    <row r="1253" spans="1:1">
      <c r="A1253" t="s">
        <v>376</v>
      </c>
    </row>
    <row r="1255" spans="1:1">
      <c r="A1255" t="s">
        <v>5372</v>
      </c>
    </row>
    <row r="1256" spans="1:1">
      <c r="A1256" t="s">
        <v>378</v>
      </c>
    </row>
    <row r="1257" spans="1:1">
      <c r="A1257" t="s">
        <v>5862</v>
      </c>
    </row>
    <row r="1258" spans="1:1">
      <c r="A1258" t="s">
        <v>5863</v>
      </c>
    </row>
    <row r="1259" spans="1:1">
      <c r="A1259" t="s">
        <v>5864</v>
      </c>
    </row>
    <row r="1260" spans="1:1">
      <c r="A1260" t="s">
        <v>5865</v>
      </c>
    </row>
    <row r="1261" spans="1:1">
      <c r="A1261" t="s">
        <v>5866</v>
      </c>
    </row>
    <row r="1262" spans="1:1">
      <c r="A1262" t="s">
        <v>5867</v>
      </c>
    </row>
    <row r="1263" spans="1:1">
      <c r="A1263" t="s">
        <v>5868</v>
      </c>
    </row>
    <row r="1264" spans="1:1">
      <c r="A1264" t="s">
        <v>5869</v>
      </c>
    </row>
    <row r="1267" spans="1:1">
      <c r="A1267" t="s">
        <v>392</v>
      </c>
    </row>
    <row r="1268" spans="1:1">
      <c r="A1268" t="s">
        <v>5870</v>
      </c>
    </row>
    <row r="1269" spans="1:1">
      <c r="A1269" t="s">
        <v>5871</v>
      </c>
    </row>
    <row r="1270" spans="1:1">
      <c r="A1270" t="s">
        <v>5872</v>
      </c>
    </row>
    <row r="1271" spans="1:1">
      <c r="A1271" t="s">
        <v>5873</v>
      </c>
    </row>
    <row r="1272" spans="1:1">
      <c r="A1272" t="s">
        <v>5874</v>
      </c>
    </row>
    <row r="1273" spans="1:1">
      <c r="A1273" t="s">
        <v>5875</v>
      </c>
    </row>
    <row r="1274" spans="1:1">
      <c r="A1274" t="s">
        <v>5876</v>
      </c>
    </row>
    <row r="1275" spans="1:1">
      <c r="A1275" t="s">
        <v>5877</v>
      </c>
    </row>
    <row r="1277" spans="1:1">
      <c r="A1277" t="s">
        <v>406</v>
      </c>
    </row>
    <row r="1278" spans="1:1">
      <c r="A1278" t="s">
        <v>5878</v>
      </c>
    </row>
    <row r="1279" spans="1:1">
      <c r="A1279" t="s">
        <v>5879</v>
      </c>
    </row>
    <row r="1280" spans="1:1">
      <c r="A1280" t="s">
        <v>5880</v>
      </c>
    </row>
    <row r="1281" spans="1:1">
      <c r="A1281" t="s">
        <v>5881</v>
      </c>
    </row>
    <row r="1282" spans="1:1">
      <c r="A1282" t="s">
        <v>5882</v>
      </c>
    </row>
    <row r="1283" spans="1:1">
      <c r="A1283" t="s">
        <v>5883</v>
      </c>
    </row>
    <row r="1284" spans="1:1">
      <c r="A1284" t="s">
        <v>5884</v>
      </c>
    </row>
    <row r="1285" spans="1:1">
      <c r="A1285" t="s">
        <v>5885</v>
      </c>
    </row>
    <row r="1286" spans="1:1">
      <c r="A1286" t="s">
        <v>5886</v>
      </c>
    </row>
    <row r="1287" spans="1:1">
      <c r="A1287" t="s">
        <v>421</v>
      </c>
    </row>
    <row r="1288" spans="1:1">
      <c r="A1288" t="s">
        <v>5887</v>
      </c>
    </row>
    <row r="1293" spans="1:1">
      <c r="A1293" t="s">
        <v>1635</v>
      </c>
    </row>
    <row r="1294" spans="1:1">
      <c r="A1294" t="s">
        <v>5070</v>
      </c>
    </row>
    <row r="1295" spans="1:1">
      <c r="A1295" t="s">
        <v>5888</v>
      </c>
    </row>
    <row r="1296" spans="1:1">
      <c r="A1296" t="s">
        <v>5889</v>
      </c>
    </row>
    <row r="1297" spans="1:1">
      <c r="A1297" t="s">
        <v>5073</v>
      </c>
    </row>
    <row r="1298" spans="1:1">
      <c r="A1298" t="s">
        <v>5890</v>
      </c>
    </row>
    <row r="1299" spans="1:1">
      <c r="A1299" t="s">
        <v>376</v>
      </c>
    </row>
    <row r="1301" spans="1:1">
      <c r="A1301" t="s">
        <v>5105</v>
      </c>
    </row>
    <row r="1302" spans="1:1">
      <c r="A1302" t="s">
        <v>378</v>
      </c>
    </row>
    <row r="1303" spans="1:1">
      <c r="A1303" t="s">
        <v>5891</v>
      </c>
    </row>
    <row r="1304" spans="1:1">
      <c r="A1304" t="s">
        <v>5892</v>
      </c>
    </row>
    <row r="1305" spans="1:1">
      <c r="A1305" t="s">
        <v>5893</v>
      </c>
    </row>
    <row r="1306" spans="1:1">
      <c r="A1306" t="s">
        <v>5894</v>
      </c>
    </row>
    <row r="1307" spans="1:1">
      <c r="A1307" t="s">
        <v>5895</v>
      </c>
    </row>
    <row r="1308" spans="1:1">
      <c r="A1308" t="s">
        <v>5896</v>
      </c>
    </row>
    <row r="1309" spans="1:1">
      <c r="A1309" t="s">
        <v>5897</v>
      </c>
    </row>
    <row r="1310" spans="1:1">
      <c r="A1310" t="s">
        <v>5898</v>
      </c>
    </row>
    <row r="1313" spans="1:1">
      <c r="A1313" t="s">
        <v>392</v>
      </c>
    </row>
    <row r="1314" spans="1:1">
      <c r="A1314" t="s">
        <v>5899</v>
      </c>
    </row>
    <row r="1315" spans="1:1">
      <c r="A1315" t="s">
        <v>5900</v>
      </c>
    </row>
    <row r="1316" spans="1:1">
      <c r="A1316" t="s">
        <v>5901</v>
      </c>
    </row>
    <row r="1317" spans="1:1">
      <c r="A1317" t="s">
        <v>5902</v>
      </c>
    </row>
    <row r="1318" spans="1:1">
      <c r="A1318" t="s">
        <v>5903</v>
      </c>
    </row>
    <row r="1319" spans="1:1">
      <c r="A1319" t="s">
        <v>5415</v>
      </c>
    </row>
    <row r="1320" spans="1:1">
      <c r="A1320" t="s">
        <v>5446</v>
      </c>
    </row>
    <row r="1321" spans="1:1">
      <c r="A1321" t="s">
        <v>5904</v>
      </c>
    </row>
    <row r="1323" spans="1:1">
      <c r="A1323" t="s">
        <v>406</v>
      </c>
    </row>
    <row r="1324" spans="1:1">
      <c r="A1324" t="s">
        <v>5905</v>
      </c>
    </row>
    <row r="1325" spans="1:1">
      <c r="A1325" t="s">
        <v>5906</v>
      </c>
    </row>
    <row r="1326" spans="1:1">
      <c r="A1326" t="s">
        <v>5907</v>
      </c>
    </row>
    <row r="1327" spans="1:1">
      <c r="A1327" t="s">
        <v>5908</v>
      </c>
    </row>
    <row r="1328" spans="1:1">
      <c r="A1328" t="s">
        <v>5909</v>
      </c>
    </row>
    <row r="1329" spans="1:1">
      <c r="A1329" t="s">
        <v>5910</v>
      </c>
    </row>
    <row r="1330" spans="1:1">
      <c r="A1330" t="s">
        <v>5911</v>
      </c>
    </row>
    <row r="1331" spans="1:1">
      <c r="A1331" t="s">
        <v>5912</v>
      </c>
    </row>
    <row r="1332" spans="1:1">
      <c r="A1332" t="s">
        <v>5913</v>
      </c>
    </row>
    <row r="1333" spans="1:1">
      <c r="A1333" t="s">
        <v>421</v>
      </c>
    </row>
    <row r="1334" spans="1:1">
      <c r="A1334" t="s">
        <v>5914</v>
      </c>
    </row>
    <row r="1339" spans="1:1">
      <c r="A1339" t="s">
        <v>1680</v>
      </c>
    </row>
    <row r="1340" spans="1:1">
      <c r="A1340" t="s">
        <v>5070</v>
      </c>
    </row>
    <row r="1341" spans="1:1">
      <c r="A1341" t="s">
        <v>5915</v>
      </c>
    </row>
    <row r="1342" spans="1:1">
      <c r="A1342" t="s">
        <v>5916</v>
      </c>
    </row>
    <row r="1343" spans="1:1">
      <c r="A1343" t="s">
        <v>5073</v>
      </c>
    </row>
    <row r="1344" spans="1:1">
      <c r="A1344" t="s">
        <v>5917</v>
      </c>
    </row>
    <row r="1345" spans="1:1">
      <c r="A1345" t="s">
        <v>376</v>
      </c>
    </row>
    <row r="1347" spans="1:1">
      <c r="A1347" t="s">
        <v>5918</v>
      </c>
    </row>
    <row r="1348" spans="1:1">
      <c r="A1348" t="s">
        <v>378</v>
      </c>
    </row>
    <row r="1349" spans="1:1">
      <c r="A1349" t="s">
        <v>5919</v>
      </c>
    </row>
    <row r="1350" spans="1:1">
      <c r="A1350" t="s">
        <v>5920</v>
      </c>
    </row>
    <row r="1351" spans="1:1">
      <c r="A1351" t="s">
        <v>5921</v>
      </c>
    </row>
    <row r="1352" spans="1:1">
      <c r="A1352" t="s">
        <v>5922</v>
      </c>
    </row>
    <row r="1353" spans="1:1">
      <c r="A1353" t="s">
        <v>5923</v>
      </c>
    </row>
    <row r="1354" spans="1:1">
      <c r="A1354" t="s">
        <v>5924</v>
      </c>
    </row>
    <row r="1355" spans="1:1">
      <c r="A1355" t="s">
        <v>5925</v>
      </c>
    </row>
    <row r="1356" spans="1:1">
      <c r="A1356" t="s">
        <v>5926</v>
      </c>
    </row>
    <row r="1359" spans="1:1">
      <c r="A1359" t="s">
        <v>392</v>
      </c>
    </row>
    <row r="1360" spans="1:1">
      <c r="A1360" t="s">
        <v>5927</v>
      </c>
    </row>
    <row r="1361" spans="1:1">
      <c r="A1361" t="s">
        <v>5928</v>
      </c>
    </row>
    <row r="1362" spans="1:1">
      <c r="A1362" t="s">
        <v>5929</v>
      </c>
    </row>
    <row r="1363" spans="1:1">
      <c r="A1363" t="s">
        <v>5930</v>
      </c>
    </row>
    <row r="1364" spans="1:1">
      <c r="A1364" t="s">
        <v>5931</v>
      </c>
    </row>
    <row r="1365" spans="1:1">
      <c r="A1365" t="s">
        <v>5932</v>
      </c>
    </row>
    <row r="1366" spans="1:1">
      <c r="A1366" t="s">
        <v>5933</v>
      </c>
    </row>
    <row r="1367" spans="1:1">
      <c r="A1367" t="s">
        <v>5934</v>
      </c>
    </row>
    <row r="1369" spans="1:1">
      <c r="A1369" t="s">
        <v>406</v>
      </c>
    </row>
    <row r="1370" spans="1:1">
      <c r="A1370" t="s">
        <v>5935</v>
      </c>
    </row>
    <row r="1371" spans="1:1">
      <c r="A1371" t="s">
        <v>5936</v>
      </c>
    </row>
    <row r="1372" spans="1:1">
      <c r="A1372" t="s">
        <v>5937</v>
      </c>
    </row>
    <row r="1373" spans="1:1">
      <c r="A1373" t="s">
        <v>5938</v>
      </c>
    </row>
    <row r="1374" spans="1:1">
      <c r="A1374" t="s">
        <v>5939</v>
      </c>
    </row>
    <row r="1375" spans="1:1">
      <c r="A1375" t="s">
        <v>5940</v>
      </c>
    </row>
    <row r="1376" spans="1:1">
      <c r="A1376" t="s">
        <v>5941</v>
      </c>
    </row>
    <row r="1377" spans="1:1">
      <c r="A1377" t="s">
        <v>5942</v>
      </c>
    </row>
    <row r="1378" spans="1:1">
      <c r="A1378" t="s">
        <v>5943</v>
      </c>
    </row>
    <row r="1379" spans="1:1">
      <c r="A1379" t="s">
        <v>421</v>
      </c>
    </row>
    <row r="1380" spans="1:1">
      <c r="A1380" t="s">
        <v>5944</v>
      </c>
    </row>
    <row r="1385" spans="1:1">
      <c r="A1385" t="s">
        <v>1725</v>
      </c>
    </row>
    <row r="1386" spans="1:1">
      <c r="A1386" t="s">
        <v>5070</v>
      </c>
    </row>
    <row r="1387" spans="1:1">
      <c r="A1387" t="s">
        <v>5945</v>
      </c>
    </row>
    <row r="1388" spans="1:1">
      <c r="A1388" t="s">
        <v>5946</v>
      </c>
    </row>
    <row r="1389" spans="1:1">
      <c r="A1389" t="s">
        <v>5073</v>
      </c>
    </row>
    <row r="1390" spans="1:1">
      <c r="A1390" t="s">
        <v>5947</v>
      </c>
    </row>
    <row r="1391" spans="1:1">
      <c r="A1391" t="s">
        <v>376</v>
      </c>
    </row>
    <row r="1393" spans="1:1">
      <c r="A1393" t="s">
        <v>5779</v>
      </c>
    </row>
    <row r="1394" spans="1:1">
      <c r="A1394" t="s">
        <v>378</v>
      </c>
    </row>
    <row r="1395" spans="1:1">
      <c r="A1395" t="s">
        <v>5948</v>
      </c>
    </row>
    <row r="1396" spans="1:1">
      <c r="A1396" t="s">
        <v>5949</v>
      </c>
    </row>
    <row r="1397" spans="1:1">
      <c r="A1397" t="s">
        <v>5950</v>
      </c>
    </row>
    <row r="1398" spans="1:1">
      <c r="A1398" t="s">
        <v>5951</v>
      </c>
    </row>
    <row r="1399" spans="1:1">
      <c r="A1399" t="s">
        <v>5952</v>
      </c>
    </row>
    <row r="1400" spans="1:1">
      <c r="A1400" t="s">
        <v>5953</v>
      </c>
    </row>
    <row r="1401" spans="1:1">
      <c r="A1401" t="s">
        <v>5954</v>
      </c>
    </row>
    <row r="1402" spans="1:1">
      <c r="A1402" t="s">
        <v>5955</v>
      </c>
    </row>
    <row r="1405" spans="1:1">
      <c r="A1405" t="s">
        <v>392</v>
      </c>
    </row>
    <row r="1406" spans="1:1">
      <c r="A1406" t="s">
        <v>5956</v>
      </c>
    </row>
    <row r="1407" spans="1:1">
      <c r="A1407" t="s">
        <v>5957</v>
      </c>
    </row>
    <row r="1408" spans="1:1">
      <c r="A1408" t="s">
        <v>5958</v>
      </c>
    </row>
    <row r="1409" spans="1:1">
      <c r="A1409" t="s">
        <v>5959</v>
      </c>
    </row>
    <row r="1410" spans="1:1">
      <c r="A1410" t="s">
        <v>5960</v>
      </c>
    </row>
    <row r="1411" spans="1:1">
      <c r="A1411" t="s">
        <v>5961</v>
      </c>
    </row>
    <row r="1412" spans="1:1">
      <c r="A1412" t="s">
        <v>5962</v>
      </c>
    </row>
    <row r="1413" spans="1:1">
      <c r="A1413" t="s">
        <v>5963</v>
      </c>
    </row>
    <row r="1415" spans="1:1">
      <c r="A1415" t="s">
        <v>406</v>
      </c>
    </row>
    <row r="1416" spans="1:1">
      <c r="A1416" t="s">
        <v>5964</v>
      </c>
    </row>
    <row r="1417" spans="1:1">
      <c r="A1417" t="s">
        <v>5965</v>
      </c>
    </row>
    <row r="1418" spans="1:1">
      <c r="A1418" t="s">
        <v>5966</v>
      </c>
    </row>
    <row r="1419" spans="1:1">
      <c r="A1419" t="s">
        <v>5967</v>
      </c>
    </row>
    <row r="1420" spans="1:1">
      <c r="A1420" t="s">
        <v>5968</v>
      </c>
    </row>
    <row r="1421" spans="1:1">
      <c r="A1421" t="s">
        <v>5969</v>
      </c>
    </row>
    <row r="1422" spans="1:1">
      <c r="A1422" t="s">
        <v>5970</v>
      </c>
    </row>
    <row r="1423" spans="1:1">
      <c r="A1423" t="s">
        <v>5971</v>
      </c>
    </row>
    <row r="1424" spans="1:1">
      <c r="A1424" t="s">
        <v>5972</v>
      </c>
    </row>
    <row r="1425" spans="1:1">
      <c r="A1425" t="s">
        <v>421</v>
      </c>
    </row>
    <row r="1426" spans="1:1">
      <c r="A1426" t="s">
        <v>5973</v>
      </c>
    </row>
    <row r="1431" spans="1:1">
      <c r="A1431" t="s">
        <v>1770</v>
      </c>
    </row>
    <row r="1432" spans="1:1">
      <c r="A1432" t="s">
        <v>5070</v>
      </c>
    </row>
    <row r="1433" spans="1:1">
      <c r="A1433" t="s">
        <v>5974</v>
      </c>
    </row>
    <row r="1434" spans="1:1">
      <c r="A1434" t="s">
        <v>5975</v>
      </c>
    </row>
    <row r="1435" spans="1:1">
      <c r="A1435" t="s">
        <v>5073</v>
      </c>
    </row>
    <row r="1436" spans="1:1">
      <c r="A1436" t="s">
        <v>5976</v>
      </c>
    </row>
    <row r="1437" spans="1:1">
      <c r="A1437" t="s">
        <v>376</v>
      </c>
    </row>
    <row r="1439" spans="1:1">
      <c r="A1439" t="s">
        <v>5918</v>
      </c>
    </row>
    <row r="1440" spans="1:1">
      <c r="A1440" t="s">
        <v>378</v>
      </c>
    </row>
    <row r="1441" spans="1:1">
      <c r="A1441" t="s">
        <v>5977</v>
      </c>
    </row>
    <row r="1442" spans="1:1">
      <c r="A1442" t="s">
        <v>5978</v>
      </c>
    </row>
    <row r="1443" spans="1:1">
      <c r="A1443" t="s">
        <v>5979</v>
      </c>
    </row>
    <row r="1444" spans="1:1">
      <c r="A1444" t="s">
        <v>5980</v>
      </c>
    </row>
    <row r="1445" spans="1:1">
      <c r="A1445" t="s">
        <v>5981</v>
      </c>
    </row>
    <row r="1446" spans="1:1">
      <c r="A1446" t="s">
        <v>5982</v>
      </c>
    </row>
    <row r="1447" spans="1:1">
      <c r="A1447" t="s">
        <v>5983</v>
      </c>
    </row>
    <row r="1448" spans="1:1">
      <c r="A1448" t="s">
        <v>5984</v>
      </c>
    </row>
    <row r="1451" spans="1:1">
      <c r="A1451" t="s">
        <v>392</v>
      </c>
    </row>
    <row r="1452" spans="1:1">
      <c r="A1452" t="s">
        <v>5985</v>
      </c>
    </row>
    <row r="1453" spans="1:1">
      <c r="A1453" t="s">
        <v>5986</v>
      </c>
    </row>
    <row r="1454" spans="1:1">
      <c r="A1454" t="s">
        <v>5987</v>
      </c>
    </row>
    <row r="1455" spans="1:1">
      <c r="A1455" t="s">
        <v>5988</v>
      </c>
    </row>
    <row r="1456" spans="1:1">
      <c r="A1456" t="s">
        <v>5989</v>
      </c>
    </row>
    <row r="1457" spans="1:1">
      <c r="A1457" t="s">
        <v>5990</v>
      </c>
    </row>
    <row r="1458" spans="1:1">
      <c r="A1458" t="s">
        <v>5240</v>
      </c>
    </row>
    <row r="1459" spans="1:1">
      <c r="A1459" t="s">
        <v>5991</v>
      </c>
    </row>
    <row r="1461" spans="1:1">
      <c r="A1461" t="s">
        <v>406</v>
      </c>
    </row>
    <row r="1462" spans="1:1">
      <c r="A1462" t="s">
        <v>5992</v>
      </c>
    </row>
    <row r="1463" spans="1:1">
      <c r="A1463" t="s">
        <v>5993</v>
      </c>
    </row>
    <row r="1464" spans="1:1">
      <c r="A1464" t="s">
        <v>5994</v>
      </c>
    </row>
    <row r="1465" spans="1:1">
      <c r="A1465" t="s">
        <v>5995</v>
      </c>
    </row>
    <row r="1466" spans="1:1">
      <c r="A1466" t="s">
        <v>5996</v>
      </c>
    </row>
    <row r="1467" spans="1:1">
      <c r="A1467" t="s">
        <v>5997</v>
      </c>
    </row>
    <row r="1468" spans="1:1">
      <c r="A1468" t="s">
        <v>5998</v>
      </c>
    </row>
    <row r="1469" spans="1:1">
      <c r="A1469" t="s">
        <v>5999</v>
      </c>
    </row>
    <row r="1470" spans="1:1">
      <c r="A1470" t="s">
        <v>6000</v>
      </c>
    </row>
    <row r="1471" spans="1:1">
      <c r="A1471" t="s">
        <v>421</v>
      </c>
    </row>
    <row r="1472" spans="1:1">
      <c r="A1472" t="s">
        <v>6001</v>
      </c>
    </row>
    <row r="1477" spans="1:1">
      <c r="A1477" t="s">
        <v>1815</v>
      </c>
    </row>
    <row r="1478" spans="1:1">
      <c r="A1478" t="s">
        <v>5070</v>
      </c>
    </row>
    <row r="1479" spans="1:1">
      <c r="A1479" t="s">
        <v>6002</v>
      </c>
    </row>
    <row r="1480" spans="1:1">
      <c r="A1480" t="s">
        <v>6003</v>
      </c>
    </row>
    <row r="1481" spans="1:1">
      <c r="A1481" t="s">
        <v>5073</v>
      </c>
    </row>
    <row r="1482" spans="1:1">
      <c r="A1482" t="s">
        <v>6004</v>
      </c>
    </row>
    <row r="1483" spans="1:1">
      <c r="A1483" t="s">
        <v>376</v>
      </c>
    </row>
    <row r="1485" spans="1:1">
      <c r="A1485" t="s">
        <v>5749</v>
      </c>
    </row>
    <row r="1486" spans="1:1">
      <c r="A1486" t="s">
        <v>378</v>
      </c>
    </row>
    <row r="1487" spans="1:1">
      <c r="A1487" t="s">
        <v>6005</v>
      </c>
    </row>
    <row r="1488" spans="1:1">
      <c r="A1488" t="s">
        <v>6006</v>
      </c>
    </row>
    <row r="1489" spans="1:1">
      <c r="A1489" t="s">
        <v>6007</v>
      </c>
    </row>
    <row r="1490" spans="1:1">
      <c r="A1490" t="s">
        <v>6008</v>
      </c>
    </row>
    <row r="1491" spans="1:1">
      <c r="A1491" t="s">
        <v>6009</v>
      </c>
    </row>
    <row r="1492" spans="1:1">
      <c r="A1492" t="s">
        <v>6010</v>
      </c>
    </row>
    <row r="1493" spans="1:1">
      <c r="A1493" t="s">
        <v>6011</v>
      </c>
    </row>
    <row r="1494" spans="1:1">
      <c r="A1494" t="s">
        <v>6012</v>
      </c>
    </row>
    <row r="1497" spans="1:1">
      <c r="A1497" t="s">
        <v>392</v>
      </c>
    </row>
    <row r="1498" spans="1:1">
      <c r="A1498" t="s">
        <v>6013</v>
      </c>
    </row>
    <row r="1499" spans="1:1">
      <c r="A1499" t="s">
        <v>6014</v>
      </c>
    </row>
    <row r="1500" spans="1:1">
      <c r="A1500" t="s">
        <v>6015</v>
      </c>
    </row>
    <row r="1501" spans="1:1">
      <c r="A1501" t="s">
        <v>6016</v>
      </c>
    </row>
    <row r="1502" spans="1:1">
      <c r="A1502" t="s">
        <v>6017</v>
      </c>
    </row>
    <row r="1503" spans="1:1">
      <c r="A1503" t="s">
        <v>6018</v>
      </c>
    </row>
    <row r="1504" spans="1:1">
      <c r="A1504" t="s">
        <v>6019</v>
      </c>
    </row>
    <row r="1505" spans="1:1">
      <c r="A1505" t="s">
        <v>6020</v>
      </c>
    </row>
    <row r="1507" spans="1:1">
      <c r="A1507" t="s">
        <v>406</v>
      </c>
    </row>
    <row r="1508" spans="1:1">
      <c r="A1508" t="s">
        <v>6021</v>
      </c>
    </row>
    <row r="1509" spans="1:1">
      <c r="A1509" t="s">
        <v>6022</v>
      </c>
    </row>
    <row r="1510" spans="1:1">
      <c r="A1510" t="s">
        <v>6023</v>
      </c>
    </row>
    <row r="1511" spans="1:1">
      <c r="A1511" t="s">
        <v>6024</v>
      </c>
    </row>
    <row r="1512" spans="1:1">
      <c r="A1512" t="s">
        <v>6025</v>
      </c>
    </row>
    <row r="1513" spans="1:1">
      <c r="A1513" t="s">
        <v>6026</v>
      </c>
    </row>
    <row r="1514" spans="1:1">
      <c r="A1514" t="s">
        <v>6027</v>
      </c>
    </row>
    <row r="1515" spans="1:1">
      <c r="A1515" t="s">
        <v>6028</v>
      </c>
    </row>
    <row r="1516" spans="1:1">
      <c r="A1516" t="s">
        <v>6029</v>
      </c>
    </row>
    <row r="1517" spans="1:1">
      <c r="A1517" t="s">
        <v>421</v>
      </c>
    </row>
    <row r="1518" spans="1:1">
      <c r="A1518" t="s">
        <v>6030</v>
      </c>
    </row>
    <row r="1523" spans="1:1">
      <c r="A1523" t="s">
        <v>1860</v>
      </c>
    </row>
    <row r="1524" spans="1:1">
      <c r="A1524" t="s">
        <v>5070</v>
      </c>
    </row>
    <row r="1525" spans="1:1">
      <c r="A1525" t="s">
        <v>6031</v>
      </c>
    </row>
    <row r="1526" spans="1:1">
      <c r="A1526" t="s">
        <v>6032</v>
      </c>
    </row>
    <row r="1527" spans="1:1">
      <c r="A1527" t="s">
        <v>5073</v>
      </c>
    </row>
    <row r="1528" spans="1:1">
      <c r="A1528" t="s">
        <v>6033</v>
      </c>
    </row>
    <row r="1529" spans="1:1">
      <c r="A1529" t="s">
        <v>376</v>
      </c>
    </row>
    <row r="1531" spans="1:1">
      <c r="A1531" t="s">
        <v>5918</v>
      </c>
    </row>
    <row r="1532" spans="1:1">
      <c r="A1532" t="s">
        <v>378</v>
      </c>
    </row>
    <row r="1533" spans="1:1">
      <c r="A1533" t="s">
        <v>6034</v>
      </c>
    </row>
    <row r="1534" spans="1:1">
      <c r="A1534" t="s">
        <v>6035</v>
      </c>
    </row>
    <row r="1535" spans="1:1">
      <c r="A1535" t="s">
        <v>6036</v>
      </c>
    </row>
    <row r="1536" spans="1:1">
      <c r="A1536" t="s">
        <v>6037</v>
      </c>
    </row>
    <row r="1537" spans="1:1">
      <c r="A1537" t="s">
        <v>6038</v>
      </c>
    </row>
    <row r="1538" spans="1:1">
      <c r="A1538" t="s">
        <v>6039</v>
      </c>
    </row>
    <row r="1539" spans="1:1">
      <c r="A1539" t="s">
        <v>6040</v>
      </c>
    </row>
    <row r="1540" spans="1:1">
      <c r="A1540" t="s">
        <v>6041</v>
      </c>
    </row>
    <row r="1543" spans="1:1">
      <c r="A1543" t="s">
        <v>392</v>
      </c>
    </row>
    <row r="1544" spans="1:1">
      <c r="A1544" t="s">
        <v>6042</v>
      </c>
    </row>
    <row r="1545" spans="1:1">
      <c r="A1545" t="s">
        <v>6043</v>
      </c>
    </row>
    <row r="1546" spans="1:1">
      <c r="A1546" t="s">
        <v>6044</v>
      </c>
    </row>
    <row r="1547" spans="1:1">
      <c r="A1547" t="s">
        <v>6045</v>
      </c>
    </row>
    <row r="1548" spans="1:1">
      <c r="A1548" t="s">
        <v>6046</v>
      </c>
    </row>
    <row r="1549" spans="1:1">
      <c r="A1549" t="s">
        <v>6047</v>
      </c>
    </row>
    <row r="1550" spans="1:1">
      <c r="A1550" t="s">
        <v>6048</v>
      </c>
    </row>
    <row r="1551" spans="1:1">
      <c r="A1551" t="s">
        <v>6049</v>
      </c>
    </row>
    <row r="1553" spans="1:1">
      <c r="A1553" t="s">
        <v>406</v>
      </c>
    </row>
    <row r="1554" spans="1:1">
      <c r="A1554" t="s">
        <v>6050</v>
      </c>
    </row>
    <row r="1555" spans="1:1">
      <c r="A1555" t="s">
        <v>6051</v>
      </c>
    </row>
    <row r="1556" spans="1:1">
      <c r="A1556" t="s">
        <v>6052</v>
      </c>
    </row>
    <row r="1557" spans="1:1">
      <c r="A1557" t="s">
        <v>6053</v>
      </c>
    </row>
    <row r="1558" spans="1:1">
      <c r="A1558" t="s">
        <v>6054</v>
      </c>
    </row>
    <row r="1559" spans="1:1">
      <c r="A1559" t="s">
        <v>6055</v>
      </c>
    </row>
    <row r="1560" spans="1:1">
      <c r="A1560" t="s">
        <v>6056</v>
      </c>
    </row>
    <row r="1561" spans="1:1">
      <c r="A1561" t="s">
        <v>6057</v>
      </c>
    </row>
    <row r="1562" spans="1:1">
      <c r="A1562" t="s">
        <v>6058</v>
      </c>
    </row>
    <row r="1563" spans="1:1">
      <c r="A1563" t="s">
        <v>421</v>
      </c>
    </row>
    <row r="1564" spans="1:1">
      <c r="A1564" t="s">
        <v>6059</v>
      </c>
    </row>
    <row r="1569" spans="1:1">
      <c r="A1569" t="s">
        <v>1905</v>
      </c>
    </row>
    <row r="1570" spans="1:1">
      <c r="A1570" t="s">
        <v>5070</v>
      </c>
    </row>
    <row r="1571" spans="1:1">
      <c r="A1571" t="s">
        <v>6060</v>
      </c>
    </row>
    <row r="1572" spans="1:1">
      <c r="A1572" t="s">
        <v>6061</v>
      </c>
    </row>
    <row r="1573" spans="1:1">
      <c r="A1573" t="s">
        <v>5073</v>
      </c>
    </row>
    <row r="1574" spans="1:1">
      <c r="A1574" t="s">
        <v>6062</v>
      </c>
    </row>
    <row r="1575" spans="1:1">
      <c r="A1575" t="s">
        <v>376</v>
      </c>
    </row>
    <row r="1577" spans="1:1">
      <c r="A1577" t="s">
        <v>5135</v>
      </c>
    </row>
    <row r="1578" spans="1:1">
      <c r="A1578" t="s">
        <v>378</v>
      </c>
    </row>
    <row r="1579" spans="1:1">
      <c r="A1579" t="s">
        <v>6063</v>
      </c>
    </row>
    <row r="1580" spans="1:1">
      <c r="A1580" t="s">
        <v>6064</v>
      </c>
    </row>
    <row r="1581" spans="1:1">
      <c r="A1581" t="s">
        <v>6065</v>
      </c>
    </row>
    <row r="1582" spans="1:1">
      <c r="A1582" t="s">
        <v>6066</v>
      </c>
    </row>
    <row r="1583" spans="1:1">
      <c r="A1583" t="s">
        <v>6067</v>
      </c>
    </row>
    <row r="1584" spans="1:1">
      <c r="A1584" t="s">
        <v>6068</v>
      </c>
    </row>
    <row r="1585" spans="1:1">
      <c r="A1585" t="s">
        <v>6069</v>
      </c>
    </row>
    <row r="1586" spans="1:1">
      <c r="A1586" t="s">
        <v>6070</v>
      </c>
    </row>
    <row r="1589" spans="1:1">
      <c r="A1589" t="s">
        <v>392</v>
      </c>
    </row>
    <row r="1590" spans="1:1">
      <c r="A1590" t="s">
        <v>6071</v>
      </c>
    </row>
    <row r="1591" spans="1:1">
      <c r="A1591" t="s">
        <v>6072</v>
      </c>
    </row>
    <row r="1592" spans="1:1">
      <c r="A1592" t="s">
        <v>6073</v>
      </c>
    </row>
    <row r="1593" spans="1:1">
      <c r="A1593" t="s">
        <v>6074</v>
      </c>
    </row>
    <row r="1594" spans="1:1">
      <c r="A1594" t="s">
        <v>6075</v>
      </c>
    </row>
    <row r="1595" spans="1:1">
      <c r="A1595" t="s">
        <v>6076</v>
      </c>
    </row>
    <row r="1596" spans="1:1">
      <c r="A1596" t="s">
        <v>6077</v>
      </c>
    </row>
    <row r="1597" spans="1:1">
      <c r="A1597" t="s">
        <v>6078</v>
      </c>
    </row>
    <row r="1599" spans="1:1">
      <c r="A1599" t="s">
        <v>406</v>
      </c>
    </row>
    <row r="1600" spans="1:1">
      <c r="A1600" t="s">
        <v>6079</v>
      </c>
    </row>
    <row r="1601" spans="1:1">
      <c r="A1601" t="s">
        <v>6080</v>
      </c>
    </row>
    <row r="1602" spans="1:1">
      <c r="A1602" t="s">
        <v>6081</v>
      </c>
    </row>
    <row r="1603" spans="1:1">
      <c r="A1603" t="s">
        <v>6082</v>
      </c>
    </row>
    <row r="1604" spans="1:1">
      <c r="A1604" t="s">
        <v>6083</v>
      </c>
    </row>
    <row r="1605" spans="1:1">
      <c r="A1605" t="s">
        <v>6084</v>
      </c>
    </row>
    <row r="1606" spans="1:1">
      <c r="A1606" t="s">
        <v>6085</v>
      </c>
    </row>
    <row r="1607" spans="1:1">
      <c r="A1607" t="s">
        <v>6086</v>
      </c>
    </row>
    <row r="1608" spans="1:1">
      <c r="A1608" t="s">
        <v>6087</v>
      </c>
    </row>
    <row r="1609" spans="1:1">
      <c r="A1609" t="s">
        <v>421</v>
      </c>
    </row>
    <row r="1610" spans="1:1">
      <c r="A1610" t="s">
        <v>6088</v>
      </c>
    </row>
    <row r="1615" spans="1:1">
      <c r="A1615" t="s">
        <v>1950</v>
      </c>
    </row>
    <row r="1616" spans="1:1">
      <c r="A1616" t="s">
        <v>5070</v>
      </c>
    </row>
    <row r="1617" spans="1:1">
      <c r="A1617" t="s">
        <v>6089</v>
      </c>
    </row>
    <row r="1618" spans="1:1">
      <c r="A1618" t="s">
        <v>6090</v>
      </c>
    </row>
    <row r="1619" spans="1:1">
      <c r="A1619" t="s">
        <v>5073</v>
      </c>
    </row>
    <row r="1620" spans="1:1">
      <c r="A1620" t="s">
        <v>6091</v>
      </c>
    </row>
    <row r="1621" spans="1:1">
      <c r="A1621" t="s">
        <v>376</v>
      </c>
    </row>
    <row r="1623" spans="1:1">
      <c r="A1623" t="s">
        <v>5285</v>
      </c>
    </row>
    <row r="1624" spans="1:1">
      <c r="A1624" t="s">
        <v>378</v>
      </c>
    </row>
    <row r="1625" spans="1:1">
      <c r="A1625" t="s">
        <v>6092</v>
      </c>
    </row>
    <row r="1626" spans="1:1">
      <c r="A1626" t="s">
        <v>6093</v>
      </c>
    </row>
    <row r="1627" spans="1:1">
      <c r="A1627" t="s">
        <v>6094</v>
      </c>
    </row>
    <row r="1628" spans="1:1">
      <c r="A1628" t="s">
        <v>6095</v>
      </c>
    </row>
    <row r="1629" spans="1:1">
      <c r="A1629" t="s">
        <v>6096</v>
      </c>
    </row>
    <row r="1630" spans="1:1">
      <c r="A1630" t="s">
        <v>6097</v>
      </c>
    </row>
    <row r="1631" spans="1:1">
      <c r="A1631" t="s">
        <v>6098</v>
      </c>
    </row>
    <row r="1632" spans="1:1">
      <c r="A1632" t="s">
        <v>6099</v>
      </c>
    </row>
    <row r="1635" spans="1:1">
      <c r="A1635" t="s">
        <v>392</v>
      </c>
    </row>
    <row r="1636" spans="1:1">
      <c r="A1636" t="s">
        <v>6100</v>
      </c>
    </row>
    <row r="1637" spans="1:1">
      <c r="A1637" t="s">
        <v>6101</v>
      </c>
    </row>
    <row r="1638" spans="1:1">
      <c r="A1638" t="s">
        <v>6073</v>
      </c>
    </row>
    <row r="1639" spans="1:1">
      <c r="A1639" t="s">
        <v>6102</v>
      </c>
    </row>
    <row r="1640" spans="1:1">
      <c r="A1640" t="s">
        <v>6103</v>
      </c>
    </row>
    <row r="1641" spans="1:1">
      <c r="A1641" t="s">
        <v>6076</v>
      </c>
    </row>
    <row r="1642" spans="1:1">
      <c r="A1642" t="s">
        <v>6104</v>
      </c>
    </row>
    <row r="1643" spans="1:1">
      <c r="A1643" t="s">
        <v>6105</v>
      </c>
    </row>
    <row r="1645" spans="1:1">
      <c r="A1645" t="s">
        <v>406</v>
      </c>
    </row>
    <row r="1646" spans="1:1">
      <c r="A1646" t="s">
        <v>6106</v>
      </c>
    </row>
    <row r="1647" spans="1:1">
      <c r="A1647" t="s">
        <v>6107</v>
      </c>
    </row>
    <row r="1648" spans="1:1">
      <c r="A1648" t="s">
        <v>6108</v>
      </c>
    </row>
    <row r="1649" spans="1:1">
      <c r="A1649" t="s">
        <v>6109</v>
      </c>
    </row>
    <row r="1650" spans="1:1">
      <c r="A1650" t="s">
        <v>6110</v>
      </c>
    </row>
    <row r="1651" spans="1:1">
      <c r="A1651" t="s">
        <v>6111</v>
      </c>
    </row>
    <row r="1652" spans="1:1">
      <c r="A1652" t="s">
        <v>6112</v>
      </c>
    </row>
    <row r="1653" spans="1:1">
      <c r="A1653" t="s">
        <v>6113</v>
      </c>
    </row>
    <row r="1654" spans="1:1">
      <c r="A1654" t="s">
        <v>6114</v>
      </c>
    </row>
    <row r="1655" spans="1:1">
      <c r="A1655" t="s">
        <v>421</v>
      </c>
    </row>
    <row r="1656" spans="1:1">
      <c r="A1656" t="s">
        <v>6115</v>
      </c>
    </row>
    <row r="1661" spans="1:1">
      <c r="A1661" t="s">
        <v>1995</v>
      </c>
    </row>
    <row r="1662" spans="1:1">
      <c r="A1662" t="s">
        <v>5070</v>
      </c>
    </row>
    <row r="1663" spans="1:1">
      <c r="A1663" t="s">
        <v>6116</v>
      </c>
    </row>
    <row r="1664" spans="1:1">
      <c r="A1664" t="s">
        <v>6117</v>
      </c>
    </row>
    <row r="1665" spans="1:1">
      <c r="A1665" t="s">
        <v>5073</v>
      </c>
    </row>
    <row r="1666" spans="1:1">
      <c r="A1666" t="s">
        <v>6118</v>
      </c>
    </row>
    <row r="1667" spans="1:1">
      <c r="A1667" t="s">
        <v>376</v>
      </c>
    </row>
    <row r="1669" spans="1:1">
      <c r="A1669" t="s">
        <v>5779</v>
      </c>
    </row>
    <row r="1670" spans="1:1">
      <c r="A1670" t="s">
        <v>378</v>
      </c>
    </row>
    <row r="1671" spans="1:1">
      <c r="A1671" t="s">
        <v>6119</v>
      </c>
    </row>
    <row r="1672" spans="1:1">
      <c r="A1672" t="s">
        <v>6120</v>
      </c>
    </row>
    <row r="1673" spans="1:1">
      <c r="A1673" t="s">
        <v>6121</v>
      </c>
    </row>
    <row r="1674" spans="1:1">
      <c r="A1674" t="s">
        <v>6122</v>
      </c>
    </row>
    <row r="1675" spans="1:1">
      <c r="A1675" t="s">
        <v>6123</v>
      </c>
    </row>
    <row r="1676" spans="1:1">
      <c r="A1676" t="s">
        <v>6124</v>
      </c>
    </row>
    <row r="1677" spans="1:1">
      <c r="A1677" t="s">
        <v>6125</v>
      </c>
    </row>
    <row r="1678" spans="1:1">
      <c r="A1678" t="s">
        <v>6126</v>
      </c>
    </row>
    <row r="1681" spans="1:1">
      <c r="A1681" t="s">
        <v>392</v>
      </c>
    </row>
    <row r="1682" spans="1:1">
      <c r="A1682" t="s">
        <v>6127</v>
      </c>
    </row>
    <row r="1683" spans="1:1">
      <c r="A1683" t="s">
        <v>6128</v>
      </c>
    </row>
    <row r="1684" spans="1:1">
      <c r="A1684" t="s">
        <v>5472</v>
      </c>
    </row>
    <row r="1685" spans="1:1">
      <c r="A1685" t="s">
        <v>6129</v>
      </c>
    </row>
    <row r="1686" spans="1:1">
      <c r="A1686" t="s">
        <v>6130</v>
      </c>
    </row>
    <row r="1687" spans="1:1">
      <c r="A1687" t="s">
        <v>6131</v>
      </c>
    </row>
    <row r="1688" spans="1:1">
      <c r="A1688" t="s">
        <v>6132</v>
      </c>
    </row>
    <row r="1689" spans="1:1">
      <c r="A1689" t="s">
        <v>6133</v>
      </c>
    </row>
    <row r="1691" spans="1:1">
      <c r="A1691" t="s">
        <v>406</v>
      </c>
    </row>
    <row r="1692" spans="1:1">
      <c r="A1692" t="s">
        <v>6134</v>
      </c>
    </row>
    <row r="1693" spans="1:1">
      <c r="A1693" t="s">
        <v>6135</v>
      </c>
    </row>
    <row r="1694" spans="1:1">
      <c r="A1694" t="s">
        <v>6136</v>
      </c>
    </row>
    <row r="1695" spans="1:1">
      <c r="A1695" t="s">
        <v>6137</v>
      </c>
    </row>
    <row r="1696" spans="1:1">
      <c r="A1696" t="s">
        <v>6138</v>
      </c>
    </row>
    <row r="1697" spans="1:1">
      <c r="A1697" t="s">
        <v>6139</v>
      </c>
    </row>
    <row r="1698" spans="1:1">
      <c r="A1698" t="s">
        <v>6140</v>
      </c>
    </row>
    <row r="1699" spans="1:1">
      <c r="A1699" t="s">
        <v>6141</v>
      </c>
    </row>
    <row r="1700" spans="1:1">
      <c r="A1700" t="s">
        <v>6142</v>
      </c>
    </row>
    <row r="1701" spans="1:1">
      <c r="A1701" t="s">
        <v>421</v>
      </c>
    </row>
    <row r="1702" spans="1:1">
      <c r="A1702" t="s">
        <v>6143</v>
      </c>
    </row>
    <row r="1707" spans="1:1">
      <c r="A1707" t="s">
        <v>2040</v>
      </c>
    </row>
    <row r="1708" spans="1:1">
      <c r="A1708" t="s">
        <v>5070</v>
      </c>
    </row>
    <row r="1709" spans="1:1">
      <c r="A1709" t="s">
        <v>6144</v>
      </c>
    </row>
    <row r="1710" spans="1:1">
      <c r="A1710" t="s">
        <v>6145</v>
      </c>
    </row>
    <row r="1711" spans="1:1">
      <c r="A1711" t="s">
        <v>5073</v>
      </c>
    </row>
    <row r="1712" spans="1:1">
      <c r="A1712" t="s">
        <v>6146</v>
      </c>
    </row>
    <row r="1713" spans="1:1">
      <c r="A1713" t="s">
        <v>376</v>
      </c>
    </row>
    <row r="1715" spans="1:1">
      <c r="A1715" t="s">
        <v>5105</v>
      </c>
    </row>
    <row r="1716" spans="1:1">
      <c r="A1716" t="s">
        <v>378</v>
      </c>
    </row>
    <row r="1717" spans="1:1">
      <c r="A1717" t="s">
        <v>6147</v>
      </c>
    </row>
    <row r="1718" spans="1:1">
      <c r="A1718" t="s">
        <v>6148</v>
      </c>
    </row>
    <row r="1719" spans="1:1">
      <c r="A1719" t="s">
        <v>6149</v>
      </c>
    </row>
    <row r="1720" spans="1:1">
      <c r="A1720" t="s">
        <v>6150</v>
      </c>
    </row>
    <row r="1721" spans="1:1">
      <c r="A1721" t="s">
        <v>6151</v>
      </c>
    </row>
    <row r="1722" spans="1:1">
      <c r="A1722" t="s">
        <v>6152</v>
      </c>
    </row>
    <row r="1723" spans="1:1">
      <c r="A1723" t="s">
        <v>6153</v>
      </c>
    </row>
    <row r="1724" spans="1:1">
      <c r="A1724" t="s">
        <v>6154</v>
      </c>
    </row>
    <row r="1727" spans="1:1">
      <c r="A1727" t="s">
        <v>392</v>
      </c>
    </row>
    <row r="1728" spans="1:1">
      <c r="A1728" t="s">
        <v>6155</v>
      </c>
    </row>
    <row r="1729" spans="1:1">
      <c r="A1729" t="s">
        <v>5441</v>
      </c>
    </row>
    <row r="1730" spans="1:1">
      <c r="A1730" t="s">
        <v>5442</v>
      </c>
    </row>
    <row r="1731" spans="1:1">
      <c r="A1731" t="s">
        <v>6156</v>
      </c>
    </row>
    <row r="1732" spans="1:1">
      <c r="A1732" t="s">
        <v>6157</v>
      </c>
    </row>
    <row r="1733" spans="1:1">
      <c r="A1733" t="s">
        <v>6158</v>
      </c>
    </row>
    <row r="1734" spans="1:1">
      <c r="A1734" t="s">
        <v>5446</v>
      </c>
    </row>
    <row r="1735" spans="1:1">
      <c r="A1735" t="s">
        <v>6159</v>
      </c>
    </row>
    <row r="1737" spans="1:1">
      <c r="A1737" t="s">
        <v>406</v>
      </c>
    </row>
    <row r="1738" spans="1:1">
      <c r="A1738" t="s">
        <v>6160</v>
      </c>
    </row>
    <row r="1739" spans="1:1">
      <c r="A1739" t="s">
        <v>6161</v>
      </c>
    </row>
    <row r="1740" spans="1:1">
      <c r="A1740" t="s">
        <v>6162</v>
      </c>
    </row>
    <row r="1741" spans="1:1">
      <c r="A1741" t="s">
        <v>6163</v>
      </c>
    </row>
    <row r="1742" spans="1:1">
      <c r="A1742" t="s">
        <v>6164</v>
      </c>
    </row>
    <row r="1743" spans="1:1">
      <c r="A1743" t="s">
        <v>6165</v>
      </c>
    </row>
    <row r="1744" spans="1:1">
      <c r="A1744" t="s">
        <v>6166</v>
      </c>
    </row>
    <row r="1745" spans="1:1">
      <c r="A1745" t="s">
        <v>6167</v>
      </c>
    </row>
    <row r="1746" spans="1:1">
      <c r="A1746" t="s">
        <v>6168</v>
      </c>
    </row>
    <row r="1747" spans="1:1">
      <c r="A1747" t="s">
        <v>421</v>
      </c>
    </row>
    <row r="1748" spans="1:1">
      <c r="A1748" t="s">
        <v>6169</v>
      </c>
    </row>
    <row r="1753" spans="1:1">
      <c r="A1753" t="s">
        <v>2085</v>
      </c>
    </row>
    <row r="1754" spans="1:1">
      <c r="A1754" t="s">
        <v>5070</v>
      </c>
    </row>
    <row r="1755" spans="1:1">
      <c r="A1755" t="s">
        <v>6170</v>
      </c>
    </row>
    <row r="1756" spans="1:1">
      <c r="A1756" t="s">
        <v>6171</v>
      </c>
    </row>
    <row r="1757" spans="1:1">
      <c r="A1757" t="s">
        <v>5073</v>
      </c>
    </row>
    <row r="1758" spans="1:1">
      <c r="A1758" t="s">
        <v>6172</v>
      </c>
    </row>
    <row r="1759" spans="1:1">
      <c r="A1759" t="s">
        <v>376</v>
      </c>
    </row>
    <row r="1761" spans="1:1">
      <c r="A1761" t="s">
        <v>5918</v>
      </c>
    </row>
    <row r="1762" spans="1:1">
      <c r="A1762" t="s">
        <v>378</v>
      </c>
    </row>
    <row r="1763" spans="1:1">
      <c r="A1763" t="s">
        <v>6173</v>
      </c>
    </row>
    <row r="1764" spans="1:1">
      <c r="A1764" t="s">
        <v>6174</v>
      </c>
    </row>
    <row r="1765" spans="1:1">
      <c r="A1765" t="s">
        <v>6175</v>
      </c>
    </row>
    <row r="1766" spans="1:1">
      <c r="A1766" t="s">
        <v>6176</v>
      </c>
    </row>
    <row r="1767" spans="1:1">
      <c r="A1767" t="s">
        <v>6177</v>
      </c>
    </row>
    <row r="1768" spans="1:1">
      <c r="A1768" t="s">
        <v>6178</v>
      </c>
    </row>
    <row r="1769" spans="1:1">
      <c r="A1769" t="s">
        <v>6179</v>
      </c>
    </row>
    <row r="1770" spans="1:1">
      <c r="A1770" t="s">
        <v>6180</v>
      </c>
    </row>
    <row r="1773" spans="1:1">
      <c r="A1773" t="s">
        <v>392</v>
      </c>
    </row>
    <row r="1774" spans="1:1">
      <c r="A1774" t="s">
        <v>6181</v>
      </c>
    </row>
    <row r="1775" spans="1:1">
      <c r="A1775" t="s">
        <v>6182</v>
      </c>
    </row>
    <row r="1776" spans="1:1">
      <c r="A1776" t="s">
        <v>6183</v>
      </c>
    </row>
    <row r="1777" spans="1:1">
      <c r="A1777" t="s">
        <v>6184</v>
      </c>
    </row>
    <row r="1778" spans="1:1">
      <c r="A1778" t="s">
        <v>6185</v>
      </c>
    </row>
    <row r="1779" spans="1:1">
      <c r="A1779" t="s">
        <v>6186</v>
      </c>
    </row>
    <row r="1780" spans="1:1">
      <c r="A1780" t="s">
        <v>6187</v>
      </c>
    </row>
    <row r="1781" spans="1:1">
      <c r="A1781" t="s">
        <v>6188</v>
      </c>
    </row>
    <row r="1783" spans="1:1">
      <c r="A1783" t="s">
        <v>406</v>
      </c>
    </row>
    <row r="1784" spans="1:1">
      <c r="A1784" t="s">
        <v>6189</v>
      </c>
    </row>
    <row r="1785" spans="1:1">
      <c r="A1785" t="s">
        <v>6190</v>
      </c>
    </row>
    <row r="1786" spans="1:1">
      <c r="A1786" t="s">
        <v>6191</v>
      </c>
    </row>
    <row r="1787" spans="1:1">
      <c r="A1787" t="s">
        <v>6192</v>
      </c>
    </row>
    <row r="1788" spans="1:1">
      <c r="A1788" t="s">
        <v>6193</v>
      </c>
    </row>
    <row r="1789" spans="1:1">
      <c r="A1789" t="s">
        <v>6194</v>
      </c>
    </row>
    <row r="1790" spans="1:1">
      <c r="A1790" t="s">
        <v>6195</v>
      </c>
    </row>
    <row r="1791" spans="1:1">
      <c r="A1791" t="s">
        <v>6196</v>
      </c>
    </row>
    <row r="1792" spans="1:1">
      <c r="A1792" t="s">
        <v>6197</v>
      </c>
    </row>
    <row r="1793" spans="1:1">
      <c r="A1793" t="s">
        <v>421</v>
      </c>
    </row>
    <row r="1794" spans="1:1">
      <c r="A1794" t="s">
        <v>6198</v>
      </c>
    </row>
    <row r="1799" spans="1:1">
      <c r="A1799" t="s">
        <v>2130</v>
      </c>
    </row>
    <row r="1800" spans="1:1">
      <c r="A1800" t="s">
        <v>5070</v>
      </c>
    </row>
    <row r="1801" spans="1:1">
      <c r="A1801" t="s">
        <v>6199</v>
      </c>
    </row>
    <row r="1802" spans="1:1">
      <c r="A1802" t="s">
        <v>6200</v>
      </c>
    </row>
    <row r="1803" spans="1:1">
      <c r="A1803" t="s">
        <v>5073</v>
      </c>
    </row>
    <row r="1804" spans="1:1">
      <c r="A1804" t="s">
        <v>6201</v>
      </c>
    </row>
    <row r="1805" spans="1:1">
      <c r="A1805" t="s">
        <v>376</v>
      </c>
    </row>
    <row r="1807" spans="1:1">
      <c r="A1807" t="s">
        <v>5225</v>
      </c>
    </row>
    <row r="1808" spans="1:1">
      <c r="A1808" t="s">
        <v>378</v>
      </c>
    </row>
    <row r="1809" spans="1:1">
      <c r="A1809" t="s">
        <v>6202</v>
      </c>
    </row>
    <row r="1810" spans="1:1">
      <c r="A1810" t="s">
        <v>6203</v>
      </c>
    </row>
    <row r="1811" spans="1:1">
      <c r="A1811" t="s">
        <v>6204</v>
      </c>
    </row>
    <row r="1812" spans="1:1">
      <c r="A1812" t="s">
        <v>6205</v>
      </c>
    </row>
    <row r="1813" spans="1:1">
      <c r="A1813" t="s">
        <v>6206</v>
      </c>
    </row>
    <row r="1814" spans="1:1">
      <c r="A1814" t="s">
        <v>6207</v>
      </c>
    </row>
    <row r="1815" spans="1:1">
      <c r="A1815" t="s">
        <v>6208</v>
      </c>
    </row>
    <row r="1816" spans="1:1">
      <c r="A1816" t="s">
        <v>6209</v>
      </c>
    </row>
    <row r="1819" spans="1:1">
      <c r="A1819" t="s">
        <v>392</v>
      </c>
    </row>
    <row r="1820" spans="1:1">
      <c r="A1820" t="s">
        <v>6210</v>
      </c>
    </row>
    <row r="1821" spans="1:1">
      <c r="A1821" t="s">
        <v>6211</v>
      </c>
    </row>
    <row r="1822" spans="1:1">
      <c r="A1822" t="s">
        <v>6212</v>
      </c>
    </row>
    <row r="1823" spans="1:1">
      <c r="A1823" t="s">
        <v>6213</v>
      </c>
    </row>
    <row r="1824" spans="1:1">
      <c r="A1824" t="s">
        <v>6214</v>
      </c>
    </row>
    <row r="1825" spans="1:1">
      <c r="A1825" t="s">
        <v>6215</v>
      </c>
    </row>
    <row r="1826" spans="1:1">
      <c r="A1826" t="s">
        <v>6216</v>
      </c>
    </row>
    <row r="1827" spans="1:1">
      <c r="A1827" t="s">
        <v>6217</v>
      </c>
    </row>
    <row r="1829" spans="1:1">
      <c r="A1829" t="s">
        <v>406</v>
      </c>
    </row>
    <row r="1830" spans="1:1">
      <c r="A1830" t="s">
        <v>6218</v>
      </c>
    </row>
    <row r="1831" spans="1:1">
      <c r="A1831" t="s">
        <v>6219</v>
      </c>
    </row>
    <row r="1832" spans="1:1">
      <c r="A1832" t="s">
        <v>6220</v>
      </c>
    </row>
    <row r="1833" spans="1:1">
      <c r="A1833" t="s">
        <v>6221</v>
      </c>
    </row>
    <row r="1834" spans="1:1">
      <c r="A1834" t="s">
        <v>6222</v>
      </c>
    </row>
    <row r="1835" spans="1:1">
      <c r="A1835" t="s">
        <v>6223</v>
      </c>
    </row>
    <row r="1836" spans="1:1">
      <c r="A1836" t="s">
        <v>6224</v>
      </c>
    </row>
    <row r="1837" spans="1:1">
      <c r="A1837" t="s">
        <v>6225</v>
      </c>
    </row>
    <row r="1838" spans="1:1">
      <c r="A1838" t="s">
        <v>6226</v>
      </c>
    </row>
    <row r="1839" spans="1:1">
      <c r="A1839" t="s">
        <v>421</v>
      </c>
    </row>
    <row r="1840" spans="1:1">
      <c r="A1840" t="s">
        <v>6227</v>
      </c>
    </row>
    <row r="1845" spans="1:1">
      <c r="A1845" t="s">
        <v>2175</v>
      </c>
    </row>
    <row r="1846" spans="1:1">
      <c r="A1846" t="s">
        <v>5070</v>
      </c>
    </row>
    <row r="1847" spans="1:1">
      <c r="A1847" t="s">
        <v>6228</v>
      </c>
    </row>
    <row r="1848" spans="1:1">
      <c r="A1848" t="s">
        <v>6229</v>
      </c>
    </row>
    <row r="1849" spans="1:1">
      <c r="A1849" t="s">
        <v>5073</v>
      </c>
    </row>
    <row r="1850" spans="1:1">
      <c r="A1850" t="s">
        <v>6230</v>
      </c>
    </row>
    <row r="1851" spans="1:1">
      <c r="A1851" t="s">
        <v>376</v>
      </c>
    </row>
    <row r="1853" spans="1:1">
      <c r="A1853" t="s">
        <v>5135</v>
      </c>
    </row>
    <row r="1854" spans="1:1">
      <c r="A1854" t="s">
        <v>378</v>
      </c>
    </row>
    <row r="1855" spans="1:1">
      <c r="A1855" t="s">
        <v>6231</v>
      </c>
    </row>
    <row r="1856" spans="1:1">
      <c r="A1856" t="s">
        <v>6232</v>
      </c>
    </row>
    <row r="1857" spans="1:1">
      <c r="A1857" t="s">
        <v>6233</v>
      </c>
    </row>
    <row r="1858" spans="1:1">
      <c r="A1858" t="s">
        <v>6234</v>
      </c>
    </row>
    <row r="1859" spans="1:1">
      <c r="A1859" t="s">
        <v>6235</v>
      </c>
    </row>
    <row r="1860" spans="1:1">
      <c r="A1860" t="s">
        <v>6236</v>
      </c>
    </row>
    <row r="1861" spans="1:1">
      <c r="A1861" t="s">
        <v>6237</v>
      </c>
    </row>
    <row r="1862" spans="1:1">
      <c r="A1862" t="s">
        <v>6238</v>
      </c>
    </row>
    <row r="1865" spans="1:1">
      <c r="A1865" t="s">
        <v>392</v>
      </c>
    </row>
    <row r="1866" spans="1:1">
      <c r="A1866" t="s">
        <v>6239</v>
      </c>
    </row>
    <row r="1867" spans="1:1">
      <c r="A1867" t="s">
        <v>6240</v>
      </c>
    </row>
    <row r="1868" spans="1:1">
      <c r="A1868" t="s">
        <v>6241</v>
      </c>
    </row>
    <row r="1869" spans="1:1">
      <c r="A1869" t="s">
        <v>6242</v>
      </c>
    </row>
    <row r="1870" spans="1:1">
      <c r="A1870" t="s">
        <v>6243</v>
      </c>
    </row>
    <row r="1871" spans="1:1">
      <c r="A1871" t="s">
        <v>6244</v>
      </c>
    </row>
    <row r="1872" spans="1:1">
      <c r="A1872" t="s">
        <v>6245</v>
      </c>
    </row>
    <row r="1874" spans="1:1">
      <c r="A1874" t="s">
        <v>406</v>
      </c>
    </row>
    <row r="1875" spans="1:1">
      <c r="A1875" t="s">
        <v>6246</v>
      </c>
    </row>
    <row r="1876" spans="1:1">
      <c r="A1876" t="s">
        <v>6247</v>
      </c>
    </row>
    <row r="1877" spans="1:1">
      <c r="A1877" t="s">
        <v>6248</v>
      </c>
    </row>
    <row r="1878" spans="1:1">
      <c r="A1878" t="s">
        <v>6249</v>
      </c>
    </row>
    <row r="1879" spans="1:1">
      <c r="A1879" t="s">
        <v>6250</v>
      </c>
    </row>
    <row r="1880" spans="1:1">
      <c r="A1880" t="s">
        <v>6251</v>
      </c>
    </row>
    <row r="1881" spans="1:1">
      <c r="A1881" t="s">
        <v>6252</v>
      </c>
    </row>
    <row r="1882" spans="1:1">
      <c r="A1882" t="s">
        <v>6253</v>
      </c>
    </row>
    <row r="1883" spans="1:1">
      <c r="A1883" t="s">
        <v>6254</v>
      </c>
    </row>
    <row r="1884" spans="1:1">
      <c r="A1884" t="s">
        <v>421</v>
      </c>
    </row>
    <row r="1885" spans="1:1">
      <c r="A1885" t="s">
        <v>6255</v>
      </c>
    </row>
    <row r="1890" spans="1:1">
      <c r="A1890" t="s">
        <v>2220</v>
      </c>
    </row>
    <row r="1891" spans="1:1">
      <c r="A1891" t="s">
        <v>5070</v>
      </c>
    </row>
    <row r="1892" spans="1:1">
      <c r="A1892" t="s">
        <v>6256</v>
      </c>
    </row>
    <row r="1893" spans="1:1">
      <c r="A1893" t="s">
        <v>6257</v>
      </c>
    </row>
    <row r="1894" spans="1:1">
      <c r="A1894" t="s">
        <v>5073</v>
      </c>
    </row>
    <row r="1895" spans="1:1">
      <c r="A1895" t="s">
        <v>6258</v>
      </c>
    </row>
    <row r="1896" spans="1:1">
      <c r="A1896" t="s">
        <v>376</v>
      </c>
    </row>
    <row r="1898" spans="1:1">
      <c r="A1898" t="s">
        <v>5749</v>
      </c>
    </row>
    <row r="1899" spans="1:1">
      <c r="A1899" t="s">
        <v>378</v>
      </c>
    </row>
    <row r="1900" spans="1:1">
      <c r="A1900" t="s">
        <v>6259</v>
      </c>
    </row>
    <row r="1901" spans="1:1">
      <c r="A1901" t="s">
        <v>6260</v>
      </c>
    </row>
    <row r="1902" spans="1:1">
      <c r="A1902" t="s">
        <v>6261</v>
      </c>
    </row>
    <row r="1903" spans="1:1">
      <c r="A1903" t="s">
        <v>6262</v>
      </c>
    </row>
    <row r="1904" spans="1:1">
      <c r="A1904" t="s">
        <v>6263</v>
      </c>
    </row>
    <row r="1905" spans="1:1">
      <c r="A1905" t="s">
        <v>6264</v>
      </c>
    </row>
    <row r="1906" spans="1:1">
      <c r="A1906" t="s">
        <v>6265</v>
      </c>
    </row>
    <row r="1907" spans="1:1">
      <c r="A1907" t="s">
        <v>6266</v>
      </c>
    </row>
    <row r="1910" spans="1:1">
      <c r="A1910" t="s">
        <v>392</v>
      </c>
    </row>
    <row r="1911" spans="1:1">
      <c r="A1911" t="s">
        <v>6267</v>
      </c>
    </row>
    <row r="1912" spans="1:1">
      <c r="A1912" t="s">
        <v>6268</v>
      </c>
    </row>
    <row r="1913" spans="1:1">
      <c r="A1913" t="s">
        <v>6269</v>
      </c>
    </row>
    <row r="1914" spans="1:1">
      <c r="A1914" t="s">
        <v>6270</v>
      </c>
    </row>
    <row r="1915" spans="1:1">
      <c r="A1915" t="s">
        <v>6271</v>
      </c>
    </row>
    <row r="1916" spans="1:1">
      <c r="A1916" t="s">
        <v>6272</v>
      </c>
    </row>
    <row r="1917" spans="1:1">
      <c r="A1917" t="s">
        <v>6273</v>
      </c>
    </row>
    <row r="1918" spans="1:1">
      <c r="A1918" t="s">
        <v>6274</v>
      </c>
    </row>
    <row r="1920" spans="1:1">
      <c r="A1920" t="s">
        <v>406</v>
      </c>
    </row>
    <row r="1921" spans="1:1">
      <c r="A1921" t="s">
        <v>6275</v>
      </c>
    </row>
    <row r="1922" spans="1:1">
      <c r="A1922" t="s">
        <v>6276</v>
      </c>
    </row>
    <row r="1923" spans="1:1">
      <c r="A1923" t="s">
        <v>6277</v>
      </c>
    </row>
    <row r="1924" spans="1:1">
      <c r="A1924" t="s">
        <v>6278</v>
      </c>
    </row>
    <row r="1925" spans="1:1">
      <c r="A1925" t="s">
        <v>6279</v>
      </c>
    </row>
    <row r="1926" spans="1:1">
      <c r="A1926" t="s">
        <v>6280</v>
      </c>
    </row>
    <row r="1927" spans="1:1">
      <c r="A1927" t="s">
        <v>6281</v>
      </c>
    </row>
    <row r="1928" spans="1:1">
      <c r="A1928" t="s">
        <v>6282</v>
      </c>
    </row>
    <row r="1929" spans="1:1">
      <c r="A1929" t="s">
        <v>6283</v>
      </c>
    </row>
    <row r="1930" spans="1:1">
      <c r="A1930" t="s">
        <v>421</v>
      </c>
    </row>
    <row r="1931" spans="1:1">
      <c r="A1931" t="s">
        <v>6284</v>
      </c>
    </row>
    <row r="1936" spans="1:1">
      <c r="A1936" t="s">
        <v>2265</v>
      </c>
    </row>
    <row r="1937" spans="1:1">
      <c r="A1937" t="s">
        <v>5070</v>
      </c>
    </row>
    <row r="1938" spans="1:1">
      <c r="A1938" t="s">
        <v>6285</v>
      </c>
    </row>
    <row r="1939" spans="1:1">
      <c r="A1939" t="s">
        <v>6286</v>
      </c>
    </row>
    <row r="1940" spans="1:1">
      <c r="A1940" t="s">
        <v>5073</v>
      </c>
    </row>
    <row r="1941" spans="1:1">
      <c r="A1941" t="s">
        <v>6287</v>
      </c>
    </row>
    <row r="1942" spans="1:1">
      <c r="A1942" t="s">
        <v>376</v>
      </c>
    </row>
    <row r="1944" spans="1:1">
      <c r="A1944" t="s">
        <v>5105</v>
      </c>
    </row>
    <row r="1945" spans="1:1">
      <c r="A1945" t="s">
        <v>378</v>
      </c>
    </row>
    <row r="1946" spans="1:1">
      <c r="A1946" t="s">
        <v>6288</v>
      </c>
    </row>
    <row r="1947" spans="1:1">
      <c r="A1947" t="s">
        <v>6289</v>
      </c>
    </row>
    <row r="1948" spans="1:1">
      <c r="A1948" t="s">
        <v>6290</v>
      </c>
    </row>
    <row r="1949" spans="1:1">
      <c r="A1949" t="s">
        <v>6291</v>
      </c>
    </row>
    <row r="1950" spans="1:1">
      <c r="A1950" t="s">
        <v>6292</v>
      </c>
    </row>
    <row r="1951" spans="1:1">
      <c r="A1951" t="s">
        <v>6293</v>
      </c>
    </row>
    <row r="1952" spans="1:1">
      <c r="A1952" t="s">
        <v>6294</v>
      </c>
    </row>
    <row r="1953" spans="1:1">
      <c r="A1953" t="s">
        <v>6295</v>
      </c>
    </row>
    <row r="1956" spans="1:1">
      <c r="A1956" t="s">
        <v>392</v>
      </c>
    </row>
    <row r="1957" spans="1:1">
      <c r="A1957" t="s">
        <v>6296</v>
      </c>
    </row>
    <row r="1958" spans="1:1">
      <c r="A1958" t="s">
        <v>6297</v>
      </c>
    </row>
    <row r="1959" spans="1:1">
      <c r="A1959" t="s">
        <v>6298</v>
      </c>
    </row>
    <row r="1960" spans="1:1">
      <c r="A1960" t="s">
        <v>6299</v>
      </c>
    </row>
    <row r="1961" spans="1:1">
      <c r="A1961" t="s">
        <v>6300</v>
      </c>
    </row>
    <row r="1962" spans="1:1">
      <c r="A1962" t="s">
        <v>6301</v>
      </c>
    </row>
    <row r="1963" spans="1:1">
      <c r="A1963" t="s">
        <v>6302</v>
      </c>
    </row>
    <row r="1964" spans="1:1">
      <c r="A1964" t="s">
        <v>6303</v>
      </c>
    </row>
    <row r="1966" spans="1:1">
      <c r="A1966" t="s">
        <v>406</v>
      </c>
    </row>
    <row r="1967" spans="1:1">
      <c r="A1967" t="s">
        <v>6304</v>
      </c>
    </row>
    <row r="1968" spans="1:1">
      <c r="A1968" t="s">
        <v>6305</v>
      </c>
    </row>
    <row r="1969" spans="1:1">
      <c r="A1969" t="s">
        <v>6306</v>
      </c>
    </row>
    <row r="1970" spans="1:1">
      <c r="A1970" t="s">
        <v>6307</v>
      </c>
    </row>
    <row r="1971" spans="1:1">
      <c r="A1971" t="s">
        <v>6308</v>
      </c>
    </row>
    <row r="1972" spans="1:1">
      <c r="A1972" t="s">
        <v>6309</v>
      </c>
    </row>
    <row r="1973" spans="1:1">
      <c r="A1973" t="s">
        <v>6310</v>
      </c>
    </row>
    <row r="1974" spans="1:1">
      <c r="A1974" t="s">
        <v>6311</v>
      </c>
    </row>
    <row r="1975" spans="1:1">
      <c r="A1975" t="s">
        <v>6312</v>
      </c>
    </row>
    <row r="1976" spans="1:1">
      <c r="A1976" t="s">
        <v>421</v>
      </c>
    </row>
    <row r="1977" spans="1:1">
      <c r="A1977" t="s">
        <v>6313</v>
      </c>
    </row>
    <row r="1982" spans="1:1">
      <c r="A1982" t="s">
        <v>2310</v>
      </c>
    </row>
    <row r="1983" spans="1:1">
      <c r="A1983" t="s">
        <v>5070</v>
      </c>
    </row>
    <row r="1984" spans="1:1">
      <c r="A1984" t="s">
        <v>6314</v>
      </c>
    </row>
    <row r="1985" spans="1:1">
      <c r="A1985" t="s">
        <v>6315</v>
      </c>
    </row>
    <row r="1986" spans="1:1">
      <c r="A1986" t="s">
        <v>5073</v>
      </c>
    </row>
    <row r="1987" spans="1:1">
      <c r="A1987" t="s">
        <v>6316</v>
      </c>
    </row>
    <row r="1988" spans="1:1">
      <c r="A1988" t="s">
        <v>376</v>
      </c>
    </row>
    <row r="1990" spans="1:1">
      <c r="A1990" t="s">
        <v>5749</v>
      </c>
    </row>
    <row r="1991" spans="1:1">
      <c r="A1991" t="s">
        <v>378</v>
      </c>
    </row>
    <row r="1992" spans="1:1">
      <c r="A1992" t="s">
        <v>6317</v>
      </c>
    </row>
    <row r="1993" spans="1:1">
      <c r="A1993" t="s">
        <v>6318</v>
      </c>
    </row>
    <row r="1994" spans="1:1">
      <c r="A1994" t="s">
        <v>6319</v>
      </c>
    </row>
    <row r="1995" spans="1:1">
      <c r="A1995" t="s">
        <v>6320</v>
      </c>
    </row>
    <row r="1996" spans="1:1">
      <c r="A1996" t="s">
        <v>6321</v>
      </c>
    </row>
    <row r="1997" spans="1:1">
      <c r="A1997" t="s">
        <v>6322</v>
      </c>
    </row>
    <row r="1998" spans="1:1">
      <c r="A1998" t="s">
        <v>6323</v>
      </c>
    </row>
    <row r="1999" spans="1:1">
      <c r="A1999" t="s">
        <v>6324</v>
      </c>
    </row>
    <row r="2002" spans="1:1">
      <c r="A2002" t="s">
        <v>392</v>
      </c>
    </row>
    <row r="2003" spans="1:1">
      <c r="A2003" t="s">
        <v>6325</v>
      </c>
    </row>
    <row r="2004" spans="1:1">
      <c r="A2004" t="s">
        <v>6326</v>
      </c>
    </row>
    <row r="2005" spans="1:1">
      <c r="A2005" t="s">
        <v>6327</v>
      </c>
    </row>
    <row r="2006" spans="1:1">
      <c r="A2006" t="s">
        <v>6328</v>
      </c>
    </row>
    <row r="2007" spans="1:1">
      <c r="A2007" t="s">
        <v>6329</v>
      </c>
    </row>
    <row r="2008" spans="1:1">
      <c r="A2008" t="s">
        <v>6330</v>
      </c>
    </row>
    <row r="2009" spans="1:1">
      <c r="A2009" t="s">
        <v>6331</v>
      </c>
    </row>
    <row r="2010" spans="1:1">
      <c r="A2010" t="s">
        <v>6332</v>
      </c>
    </row>
    <row r="2012" spans="1:1">
      <c r="A2012" t="s">
        <v>406</v>
      </c>
    </row>
    <row r="2013" spans="1:1">
      <c r="A2013" t="s">
        <v>6333</v>
      </c>
    </row>
    <row r="2014" spans="1:1">
      <c r="A2014" t="s">
        <v>6334</v>
      </c>
    </row>
    <row r="2015" spans="1:1">
      <c r="A2015" t="s">
        <v>6335</v>
      </c>
    </row>
    <row r="2016" spans="1:1">
      <c r="A2016" t="s">
        <v>6336</v>
      </c>
    </row>
    <row r="2017" spans="1:1">
      <c r="A2017" t="s">
        <v>6337</v>
      </c>
    </row>
    <row r="2018" spans="1:1">
      <c r="A2018" t="s">
        <v>6338</v>
      </c>
    </row>
    <row r="2019" spans="1:1">
      <c r="A2019" t="s">
        <v>6339</v>
      </c>
    </row>
    <row r="2020" spans="1:1">
      <c r="A2020" t="s">
        <v>6340</v>
      </c>
    </row>
    <row r="2021" spans="1:1">
      <c r="A2021" t="s">
        <v>6341</v>
      </c>
    </row>
    <row r="2022" spans="1:1">
      <c r="A2022" t="s">
        <v>421</v>
      </c>
    </row>
    <row r="2023" spans="1:1">
      <c r="A2023" t="s">
        <v>6342</v>
      </c>
    </row>
    <row r="2028" spans="1:1">
      <c r="A2028" t="s">
        <v>2355</v>
      </c>
    </row>
    <row r="2029" spans="1:1">
      <c r="A2029" t="s">
        <v>5070</v>
      </c>
    </row>
    <row r="2030" spans="1:1">
      <c r="A2030" t="s">
        <v>6343</v>
      </c>
    </row>
    <row r="2031" spans="1:1">
      <c r="A2031" t="s">
        <v>6344</v>
      </c>
    </row>
    <row r="2032" spans="1:1">
      <c r="A2032" t="s">
        <v>5073</v>
      </c>
    </row>
    <row r="2033" spans="1:1">
      <c r="A2033" t="s">
        <v>6345</v>
      </c>
    </row>
    <row r="2034" spans="1:1">
      <c r="A2034" t="s">
        <v>376</v>
      </c>
    </row>
    <row r="2036" spans="1:1">
      <c r="A2036" t="s">
        <v>5749</v>
      </c>
    </row>
    <row r="2037" spans="1:1">
      <c r="A2037" t="s">
        <v>378</v>
      </c>
    </row>
    <row r="2038" spans="1:1">
      <c r="A2038" t="s">
        <v>6346</v>
      </c>
    </row>
    <row r="2039" spans="1:1">
      <c r="A2039" t="s">
        <v>6347</v>
      </c>
    </row>
    <row r="2040" spans="1:1">
      <c r="A2040" t="s">
        <v>6348</v>
      </c>
    </row>
    <row r="2041" spans="1:1">
      <c r="A2041" t="s">
        <v>6349</v>
      </c>
    </row>
    <row r="2042" spans="1:1">
      <c r="A2042" t="s">
        <v>6350</v>
      </c>
    </row>
    <row r="2043" spans="1:1">
      <c r="A2043" t="s">
        <v>6351</v>
      </c>
    </row>
    <row r="2044" spans="1:1">
      <c r="A2044" t="s">
        <v>6352</v>
      </c>
    </row>
    <row r="2045" spans="1:1">
      <c r="A2045" t="s">
        <v>6353</v>
      </c>
    </row>
    <row r="2048" spans="1:1">
      <c r="A2048" t="s">
        <v>392</v>
      </c>
    </row>
    <row r="2049" spans="1:1">
      <c r="A2049" t="s">
        <v>6354</v>
      </c>
    </row>
    <row r="2050" spans="1:1">
      <c r="A2050" t="s">
        <v>6355</v>
      </c>
    </row>
    <row r="2051" spans="1:1">
      <c r="A2051" t="s">
        <v>6356</v>
      </c>
    </row>
    <row r="2052" spans="1:1">
      <c r="A2052" t="s">
        <v>6357</v>
      </c>
    </row>
    <row r="2053" spans="1:1">
      <c r="A2053" t="s">
        <v>6358</v>
      </c>
    </row>
    <row r="2054" spans="1:1">
      <c r="A2054" t="s">
        <v>6359</v>
      </c>
    </row>
    <row r="2055" spans="1:1">
      <c r="A2055" t="s">
        <v>6360</v>
      </c>
    </row>
    <row r="2057" spans="1:1">
      <c r="A2057" t="s">
        <v>406</v>
      </c>
    </row>
    <row r="2058" spans="1:1">
      <c r="A2058" t="s">
        <v>6361</v>
      </c>
    </row>
    <row r="2059" spans="1:1">
      <c r="A2059" t="s">
        <v>6362</v>
      </c>
    </row>
    <row r="2060" spans="1:1">
      <c r="A2060" t="s">
        <v>6363</v>
      </c>
    </row>
    <row r="2061" spans="1:1">
      <c r="A2061" t="s">
        <v>6364</v>
      </c>
    </row>
    <row r="2062" spans="1:1">
      <c r="A2062" t="s">
        <v>6365</v>
      </c>
    </row>
    <row r="2063" spans="1:1">
      <c r="A2063" t="s">
        <v>6366</v>
      </c>
    </row>
    <row r="2064" spans="1:1">
      <c r="A2064" t="s">
        <v>6367</v>
      </c>
    </row>
    <row r="2065" spans="1:1">
      <c r="A2065" t="s">
        <v>6368</v>
      </c>
    </row>
    <row r="2066" spans="1:1">
      <c r="A2066" t="s">
        <v>6369</v>
      </c>
    </row>
    <row r="2067" spans="1:1">
      <c r="A2067" t="s">
        <v>421</v>
      </c>
    </row>
    <row r="2068" spans="1:1">
      <c r="A2068" t="s">
        <v>6370</v>
      </c>
    </row>
    <row r="2073" spans="1:1">
      <c r="A2073" t="s">
        <v>2401</v>
      </c>
    </row>
    <row r="2074" spans="1:1">
      <c r="A2074" t="s">
        <v>5070</v>
      </c>
    </row>
    <row r="2075" spans="1:1">
      <c r="A2075" t="s">
        <v>6371</v>
      </c>
    </row>
    <row r="2076" spans="1:1">
      <c r="A2076" t="s">
        <v>6372</v>
      </c>
    </row>
    <row r="2077" spans="1:1">
      <c r="A2077" t="s">
        <v>5073</v>
      </c>
    </row>
    <row r="2078" spans="1:1">
      <c r="A2078" t="s">
        <v>6373</v>
      </c>
    </row>
    <row r="2079" spans="1:1">
      <c r="A2079" t="s">
        <v>376</v>
      </c>
    </row>
    <row r="2081" spans="1:1">
      <c r="A2081" t="s">
        <v>5255</v>
      </c>
    </row>
    <row r="2082" spans="1:1">
      <c r="A2082" t="s">
        <v>378</v>
      </c>
    </row>
    <row r="2083" spans="1:1">
      <c r="A2083" t="s">
        <v>6374</v>
      </c>
    </row>
    <row r="2084" spans="1:1">
      <c r="A2084" t="s">
        <v>6375</v>
      </c>
    </row>
    <row r="2085" spans="1:1">
      <c r="A2085" t="s">
        <v>6376</v>
      </c>
    </row>
    <row r="2086" spans="1:1">
      <c r="A2086" t="s">
        <v>6377</v>
      </c>
    </row>
    <row r="2087" spans="1:1">
      <c r="A2087" t="s">
        <v>6378</v>
      </c>
    </row>
    <row r="2088" spans="1:1">
      <c r="A2088" t="s">
        <v>6379</v>
      </c>
    </row>
    <row r="2089" spans="1:1">
      <c r="A2089" t="s">
        <v>6380</v>
      </c>
    </row>
    <row r="2090" spans="1:1">
      <c r="A2090" t="s">
        <v>6381</v>
      </c>
    </row>
    <row r="2093" spans="1:1">
      <c r="A2093" t="s">
        <v>392</v>
      </c>
    </row>
    <row r="2094" spans="1:1">
      <c r="A2094" t="s">
        <v>6382</v>
      </c>
    </row>
    <row r="2095" spans="1:1">
      <c r="A2095" t="s">
        <v>6383</v>
      </c>
    </row>
    <row r="2096" spans="1:1">
      <c r="A2096" t="s">
        <v>6384</v>
      </c>
    </row>
    <row r="2097" spans="1:1">
      <c r="A2097" t="s">
        <v>6385</v>
      </c>
    </row>
    <row r="2098" spans="1:1">
      <c r="A2098" t="s">
        <v>6386</v>
      </c>
    </row>
    <row r="2099" spans="1:1">
      <c r="A2099" t="s">
        <v>6387</v>
      </c>
    </row>
    <row r="2100" spans="1:1">
      <c r="A2100" t="s">
        <v>5210</v>
      </c>
    </row>
    <row r="2101" spans="1:1">
      <c r="A2101" t="s">
        <v>6388</v>
      </c>
    </row>
    <row r="2103" spans="1:1">
      <c r="A2103" t="s">
        <v>406</v>
      </c>
    </row>
    <row r="2104" spans="1:1">
      <c r="A2104" t="s">
        <v>6389</v>
      </c>
    </row>
    <row r="2105" spans="1:1">
      <c r="A2105" t="s">
        <v>6390</v>
      </c>
    </row>
    <row r="2106" spans="1:1">
      <c r="A2106" t="s">
        <v>6391</v>
      </c>
    </row>
    <row r="2107" spans="1:1">
      <c r="A2107" t="s">
        <v>6392</v>
      </c>
    </row>
    <row r="2108" spans="1:1">
      <c r="A2108" t="s">
        <v>6393</v>
      </c>
    </row>
    <row r="2109" spans="1:1">
      <c r="A2109" t="s">
        <v>6394</v>
      </c>
    </row>
    <row r="2110" spans="1:1">
      <c r="A2110" t="s">
        <v>6395</v>
      </c>
    </row>
    <row r="2111" spans="1:1">
      <c r="A2111" t="s">
        <v>6396</v>
      </c>
    </row>
    <row r="2112" spans="1:1">
      <c r="A2112" t="s">
        <v>6397</v>
      </c>
    </row>
    <row r="2113" spans="1:1">
      <c r="A2113" t="s">
        <v>421</v>
      </c>
    </row>
    <row r="2114" spans="1:1">
      <c r="A2114" t="s">
        <v>6398</v>
      </c>
    </row>
    <row r="2119" spans="1:1">
      <c r="A2119" t="s">
        <v>2446</v>
      </c>
    </row>
    <row r="2120" spans="1:1">
      <c r="A2120" t="s">
        <v>5070</v>
      </c>
    </row>
    <row r="2121" spans="1:1">
      <c r="A2121" t="s">
        <v>6399</v>
      </c>
    </row>
    <row r="2122" spans="1:1">
      <c r="A2122" t="s">
        <v>6400</v>
      </c>
    </row>
    <row r="2123" spans="1:1">
      <c r="A2123" t="s">
        <v>5073</v>
      </c>
    </row>
    <row r="2124" spans="1:1">
      <c r="A2124" t="s">
        <v>6401</v>
      </c>
    </row>
    <row r="2125" spans="1:1">
      <c r="A2125" t="s">
        <v>376</v>
      </c>
    </row>
    <row r="2127" spans="1:1">
      <c r="A2127" t="s">
        <v>5779</v>
      </c>
    </row>
    <row r="2128" spans="1:1">
      <c r="A2128" t="s">
        <v>378</v>
      </c>
    </row>
    <row r="2129" spans="1:1">
      <c r="A2129" t="s">
        <v>6402</v>
      </c>
    </row>
    <row r="2130" spans="1:1">
      <c r="A2130" t="s">
        <v>6403</v>
      </c>
    </row>
    <row r="2131" spans="1:1">
      <c r="A2131" t="s">
        <v>6404</v>
      </c>
    </row>
    <row r="2132" spans="1:1">
      <c r="A2132" t="s">
        <v>6405</v>
      </c>
    </row>
    <row r="2133" spans="1:1">
      <c r="A2133" t="s">
        <v>6406</v>
      </c>
    </row>
    <row r="2134" spans="1:1">
      <c r="A2134" t="s">
        <v>6407</v>
      </c>
    </row>
    <row r="2135" spans="1:1">
      <c r="A2135" t="s">
        <v>6408</v>
      </c>
    </row>
    <row r="2136" spans="1:1">
      <c r="A2136" t="s">
        <v>6409</v>
      </c>
    </row>
    <row r="2139" spans="1:1">
      <c r="A2139" t="s">
        <v>392</v>
      </c>
    </row>
    <row r="2140" spans="1:1">
      <c r="A2140" t="s">
        <v>6410</v>
      </c>
    </row>
    <row r="2141" spans="1:1">
      <c r="A2141" t="s">
        <v>6411</v>
      </c>
    </row>
    <row r="2142" spans="1:1">
      <c r="A2142" t="s">
        <v>6412</v>
      </c>
    </row>
    <row r="2143" spans="1:1">
      <c r="A2143" t="s">
        <v>6413</v>
      </c>
    </row>
    <row r="2144" spans="1:1">
      <c r="A2144" t="s">
        <v>6414</v>
      </c>
    </row>
    <row r="2145" spans="1:1">
      <c r="A2145" t="s">
        <v>6415</v>
      </c>
    </row>
    <row r="2146" spans="1:1">
      <c r="A2146" t="s">
        <v>6416</v>
      </c>
    </row>
    <row r="2147" spans="1:1">
      <c r="A2147" t="s">
        <v>6417</v>
      </c>
    </row>
    <row r="2149" spans="1:1">
      <c r="A2149" t="s">
        <v>406</v>
      </c>
    </row>
    <row r="2150" spans="1:1">
      <c r="A2150" t="s">
        <v>6418</v>
      </c>
    </row>
    <row r="2151" spans="1:1">
      <c r="A2151" t="s">
        <v>6419</v>
      </c>
    </row>
    <row r="2152" spans="1:1">
      <c r="A2152" t="s">
        <v>6420</v>
      </c>
    </row>
    <row r="2153" spans="1:1">
      <c r="A2153" t="s">
        <v>6421</v>
      </c>
    </row>
    <row r="2154" spans="1:1">
      <c r="A2154" t="s">
        <v>6422</v>
      </c>
    </row>
    <row r="2155" spans="1:1">
      <c r="A2155" t="s">
        <v>6423</v>
      </c>
    </row>
    <row r="2156" spans="1:1">
      <c r="A2156" t="s">
        <v>6424</v>
      </c>
    </row>
    <row r="2157" spans="1:1">
      <c r="A2157" t="s">
        <v>6425</v>
      </c>
    </row>
    <row r="2158" spans="1:1">
      <c r="A2158" t="s">
        <v>6426</v>
      </c>
    </row>
    <row r="2159" spans="1:1">
      <c r="A2159" t="s">
        <v>421</v>
      </c>
    </row>
    <row r="2160" spans="1:1">
      <c r="A2160" t="s">
        <v>6427</v>
      </c>
    </row>
    <row r="2165" spans="1:1">
      <c r="A2165" t="s">
        <v>2491</v>
      </c>
    </row>
    <row r="2166" spans="1:1">
      <c r="A2166" t="s">
        <v>5070</v>
      </c>
    </row>
    <row r="2167" spans="1:1">
      <c r="A2167" t="s">
        <v>6428</v>
      </c>
    </row>
    <row r="2168" spans="1:1">
      <c r="A2168" t="s">
        <v>6429</v>
      </c>
    </row>
    <row r="2169" spans="1:1">
      <c r="A2169" t="s">
        <v>5073</v>
      </c>
    </row>
    <row r="2170" spans="1:1">
      <c r="A2170" t="s">
        <v>6430</v>
      </c>
    </row>
    <row r="2171" spans="1:1">
      <c r="A2171" t="s">
        <v>376</v>
      </c>
    </row>
    <row r="2173" spans="1:1">
      <c r="A2173" t="s">
        <v>6431</v>
      </c>
    </row>
    <row r="2174" spans="1:1">
      <c r="A2174" t="s">
        <v>378</v>
      </c>
    </row>
    <row r="2175" spans="1:1">
      <c r="A2175" t="s">
        <v>6432</v>
      </c>
    </row>
    <row r="2176" spans="1:1">
      <c r="A2176" t="s">
        <v>6433</v>
      </c>
    </row>
    <row r="2177" spans="1:1">
      <c r="A2177" t="s">
        <v>6434</v>
      </c>
    </row>
    <row r="2178" spans="1:1">
      <c r="A2178" t="s">
        <v>6435</v>
      </c>
    </row>
    <row r="2179" spans="1:1">
      <c r="A2179" t="s">
        <v>6436</v>
      </c>
    </row>
    <row r="2180" spans="1:1">
      <c r="A2180" t="s">
        <v>6437</v>
      </c>
    </row>
    <row r="2181" spans="1:1">
      <c r="A2181" t="s">
        <v>6438</v>
      </c>
    </row>
    <row r="2182" spans="1:1">
      <c r="A2182" t="s">
        <v>6439</v>
      </c>
    </row>
    <row r="2185" spans="1:1">
      <c r="A2185" t="s">
        <v>392</v>
      </c>
    </row>
    <row r="2186" spans="1:1">
      <c r="A2186" t="s">
        <v>6440</v>
      </c>
    </row>
    <row r="2187" spans="1:1">
      <c r="A2187" t="s">
        <v>6441</v>
      </c>
    </row>
    <row r="2188" spans="1:1">
      <c r="A2188" t="s">
        <v>6442</v>
      </c>
    </row>
    <row r="2189" spans="1:1">
      <c r="A2189" t="s">
        <v>6443</v>
      </c>
    </row>
    <row r="2190" spans="1:1">
      <c r="A2190" t="s">
        <v>6444</v>
      </c>
    </row>
    <row r="2191" spans="1:1">
      <c r="A2191" t="s">
        <v>6445</v>
      </c>
    </row>
    <row r="2192" spans="1:1">
      <c r="A2192" t="s">
        <v>6446</v>
      </c>
    </row>
    <row r="2193" spans="1:1">
      <c r="A2193" t="s">
        <v>6447</v>
      </c>
    </row>
    <row r="2195" spans="1:1">
      <c r="A2195" t="s">
        <v>406</v>
      </c>
    </row>
    <row r="2196" spans="1:1">
      <c r="A2196" t="s">
        <v>6448</v>
      </c>
    </row>
    <row r="2197" spans="1:1">
      <c r="A2197" t="s">
        <v>6449</v>
      </c>
    </row>
    <row r="2198" spans="1:1">
      <c r="A2198" t="s">
        <v>6450</v>
      </c>
    </row>
    <row r="2199" spans="1:1">
      <c r="A2199" t="s">
        <v>6451</v>
      </c>
    </row>
    <row r="2200" spans="1:1">
      <c r="A2200" t="s">
        <v>6452</v>
      </c>
    </row>
    <row r="2201" spans="1:1">
      <c r="A2201" t="s">
        <v>6453</v>
      </c>
    </row>
    <row r="2202" spans="1:1">
      <c r="A2202" t="s">
        <v>6454</v>
      </c>
    </row>
    <row r="2203" spans="1:1">
      <c r="A2203" t="s">
        <v>6455</v>
      </c>
    </row>
    <row r="2204" spans="1:1">
      <c r="A2204" t="s">
        <v>6456</v>
      </c>
    </row>
    <row r="2205" spans="1:1">
      <c r="A2205" t="s">
        <v>421</v>
      </c>
    </row>
    <row r="2206" spans="1:1">
      <c r="A2206" t="s">
        <v>6457</v>
      </c>
    </row>
    <row r="2211" spans="1:1">
      <c r="A2211" t="s">
        <v>2536</v>
      </c>
    </row>
    <row r="2212" spans="1:1">
      <c r="A2212" t="s">
        <v>5070</v>
      </c>
    </row>
    <row r="2213" spans="1:1">
      <c r="A2213" t="s">
        <v>6458</v>
      </c>
    </row>
    <row r="2214" spans="1:1">
      <c r="A2214" t="s">
        <v>6459</v>
      </c>
    </row>
    <row r="2215" spans="1:1">
      <c r="A2215" t="s">
        <v>5073</v>
      </c>
    </row>
    <row r="2216" spans="1:1">
      <c r="A2216" t="s">
        <v>6460</v>
      </c>
    </row>
    <row r="2217" spans="1:1">
      <c r="A2217" t="s">
        <v>376</v>
      </c>
    </row>
    <row r="2219" spans="1:1">
      <c r="A2219" t="s">
        <v>5165</v>
      </c>
    </row>
    <row r="2220" spans="1:1">
      <c r="A2220" t="s">
        <v>378</v>
      </c>
    </row>
    <row r="2221" spans="1:1">
      <c r="A2221" t="s">
        <v>6461</v>
      </c>
    </row>
    <row r="2222" spans="1:1">
      <c r="A2222" t="s">
        <v>6462</v>
      </c>
    </row>
    <row r="2223" spans="1:1">
      <c r="A2223" t="s">
        <v>6463</v>
      </c>
    </row>
    <row r="2224" spans="1:1">
      <c r="A2224" t="s">
        <v>6464</v>
      </c>
    </row>
    <row r="2225" spans="1:1">
      <c r="A2225" t="s">
        <v>6465</v>
      </c>
    </row>
    <row r="2226" spans="1:1">
      <c r="A2226" t="s">
        <v>6466</v>
      </c>
    </row>
    <row r="2227" spans="1:1">
      <c r="A2227" t="s">
        <v>6467</v>
      </c>
    </row>
    <row r="2228" spans="1:1">
      <c r="A2228" t="s">
        <v>6468</v>
      </c>
    </row>
    <row r="2231" spans="1:1">
      <c r="A2231" t="s">
        <v>392</v>
      </c>
    </row>
    <row r="2232" spans="1:1">
      <c r="A2232" t="s">
        <v>6469</v>
      </c>
    </row>
    <row r="2233" spans="1:1">
      <c r="A2233" t="s">
        <v>6470</v>
      </c>
    </row>
    <row r="2234" spans="1:1">
      <c r="A2234" t="s">
        <v>6471</v>
      </c>
    </row>
    <row r="2235" spans="1:1">
      <c r="A2235" t="s">
        <v>6472</v>
      </c>
    </row>
    <row r="2236" spans="1:1">
      <c r="A2236" t="s">
        <v>6473</v>
      </c>
    </row>
    <row r="2237" spans="1:1">
      <c r="A2237" t="s">
        <v>6474</v>
      </c>
    </row>
    <row r="2238" spans="1:1">
      <c r="A2238" t="s">
        <v>6475</v>
      </c>
    </row>
    <row r="2240" spans="1:1">
      <c r="A2240" t="s">
        <v>406</v>
      </c>
    </row>
    <row r="2241" spans="1:1">
      <c r="A2241" t="s">
        <v>6476</v>
      </c>
    </row>
    <row r="2242" spans="1:1">
      <c r="A2242" t="s">
        <v>6477</v>
      </c>
    </row>
    <row r="2243" spans="1:1">
      <c r="A2243" t="s">
        <v>6478</v>
      </c>
    </row>
    <row r="2244" spans="1:1">
      <c r="A2244" t="s">
        <v>6479</v>
      </c>
    </row>
    <row r="2245" spans="1:1">
      <c r="A2245" t="s">
        <v>6480</v>
      </c>
    </row>
    <row r="2246" spans="1:1">
      <c r="A2246" t="s">
        <v>6481</v>
      </c>
    </row>
    <row r="2247" spans="1:1">
      <c r="A2247" t="s">
        <v>6482</v>
      </c>
    </row>
    <row r="2248" spans="1:1">
      <c r="A2248" t="s">
        <v>6483</v>
      </c>
    </row>
    <row r="2249" spans="1:1">
      <c r="A2249" t="s">
        <v>6484</v>
      </c>
    </row>
    <row r="2250" spans="1:1">
      <c r="A2250" t="s">
        <v>421</v>
      </c>
    </row>
    <row r="2251" spans="1:1">
      <c r="A2251" t="s">
        <v>6485</v>
      </c>
    </row>
    <row r="2256" spans="1:1">
      <c r="A2256" t="s">
        <v>2578</v>
      </c>
    </row>
    <row r="2257" spans="1:1">
      <c r="A2257" t="s">
        <v>5070</v>
      </c>
    </row>
    <row r="2258" spans="1:1">
      <c r="A2258" t="s">
        <v>6486</v>
      </c>
    </row>
    <row r="2259" spans="1:1">
      <c r="A2259" t="s">
        <v>6487</v>
      </c>
    </row>
    <row r="2260" spans="1:1">
      <c r="A2260" t="s">
        <v>5073</v>
      </c>
    </row>
    <row r="2261" spans="1:1">
      <c r="A2261" t="s">
        <v>6488</v>
      </c>
    </row>
    <row r="2262" spans="1:1">
      <c r="A2262" t="s">
        <v>376</v>
      </c>
    </row>
    <row r="2264" spans="1:1">
      <c r="A2264" t="s">
        <v>5779</v>
      </c>
    </row>
    <row r="2265" spans="1:1">
      <c r="A2265" t="s">
        <v>378</v>
      </c>
    </row>
    <row r="2266" spans="1:1">
      <c r="A2266" t="s">
        <v>6489</v>
      </c>
    </row>
    <row r="2267" spans="1:1">
      <c r="A2267" t="s">
        <v>6490</v>
      </c>
    </row>
    <row r="2268" spans="1:1">
      <c r="A2268" t="s">
        <v>6491</v>
      </c>
    </row>
    <row r="2269" spans="1:1">
      <c r="A2269" t="s">
        <v>6492</v>
      </c>
    </row>
    <row r="2270" spans="1:1">
      <c r="A2270" t="s">
        <v>6493</v>
      </c>
    </row>
    <row r="2271" spans="1:1">
      <c r="A2271" t="s">
        <v>6494</v>
      </c>
    </row>
    <row r="2272" spans="1:1">
      <c r="A2272" t="s">
        <v>6495</v>
      </c>
    </row>
    <row r="2273" spans="1:1">
      <c r="A2273" t="s">
        <v>6496</v>
      </c>
    </row>
    <row r="2276" spans="1:1">
      <c r="A2276" t="s">
        <v>392</v>
      </c>
    </row>
    <row r="2277" spans="1:1">
      <c r="A2277" t="s">
        <v>6497</v>
      </c>
    </row>
    <row r="2278" spans="1:1">
      <c r="A2278" t="s">
        <v>6498</v>
      </c>
    </row>
    <row r="2279" spans="1:1">
      <c r="A2279" t="s">
        <v>6499</v>
      </c>
    </row>
    <row r="2280" spans="1:1">
      <c r="A2280" t="s">
        <v>6500</v>
      </c>
    </row>
    <row r="2281" spans="1:1">
      <c r="A2281" t="s">
        <v>6501</v>
      </c>
    </row>
    <row r="2282" spans="1:1">
      <c r="A2282" t="s">
        <v>6474</v>
      </c>
    </row>
    <row r="2283" spans="1:1">
      <c r="A2283" t="s">
        <v>6502</v>
      </c>
    </row>
    <row r="2285" spans="1:1">
      <c r="A2285" t="s">
        <v>406</v>
      </c>
    </row>
    <row r="2286" spans="1:1">
      <c r="A2286" t="s">
        <v>6503</v>
      </c>
    </row>
    <row r="2287" spans="1:1">
      <c r="A2287" t="s">
        <v>6504</v>
      </c>
    </row>
    <row r="2288" spans="1:1">
      <c r="A2288" t="s">
        <v>6505</v>
      </c>
    </row>
    <row r="2289" spans="1:1">
      <c r="A2289" t="s">
        <v>6506</v>
      </c>
    </row>
    <row r="2290" spans="1:1">
      <c r="A2290" t="s">
        <v>6507</v>
      </c>
    </row>
    <row r="2291" spans="1:1">
      <c r="A2291" t="s">
        <v>6366</v>
      </c>
    </row>
    <row r="2292" spans="1:1">
      <c r="A2292" t="s">
        <v>6508</v>
      </c>
    </row>
    <row r="2293" spans="1:1">
      <c r="A2293" t="s">
        <v>6509</v>
      </c>
    </row>
    <row r="2294" spans="1:1">
      <c r="A2294" t="s">
        <v>6510</v>
      </c>
    </row>
    <row r="2295" spans="1:1">
      <c r="A2295" t="s">
        <v>421</v>
      </c>
    </row>
    <row r="2296" spans="1:1">
      <c r="A2296" t="s">
        <v>6511</v>
      </c>
    </row>
    <row r="2301" spans="1:1">
      <c r="A2301" t="s">
        <v>2623</v>
      </c>
    </row>
    <row r="2302" spans="1:1">
      <c r="A2302" t="s">
        <v>5070</v>
      </c>
    </row>
    <row r="2303" spans="1:1">
      <c r="A2303" t="s">
        <v>6512</v>
      </c>
    </row>
    <row r="2304" spans="1:1">
      <c r="A2304" t="s">
        <v>6513</v>
      </c>
    </row>
    <row r="2305" spans="1:1">
      <c r="A2305" t="s">
        <v>5073</v>
      </c>
    </row>
    <row r="2306" spans="1:1">
      <c r="A2306" t="s">
        <v>6514</v>
      </c>
    </row>
    <row r="2307" spans="1:1">
      <c r="A2307" t="s">
        <v>376</v>
      </c>
    </row>
    <row r="2309" spans="1:1">
      <c r="A2309" t="s">
        <v>5724</v>
      </c>
    </row>
    <row r="2310" spans="1:1">
      <c r="A2310" t="s">
        <v>378</v>
      </c>
    </row>
    <row r="2311" spans="1:1">
      <c r="A2311" t="s">
        <v>6515</v>
      </c>
    </row>
    <row r="2312" spans="1:1">
      <c r="A2312" t="s">
        <v>6516</v>
      </c>
    </row>
    <row r="2313" spans="1:1">
      <c r="A2313" t="s">
        <v>6517</v>
      </c>
    </row>
    <row r="2314" spans="1:1">
      <c r="A2314" t="s">
        <v>6518</v>
      </c>
    </row>
    <row r="2315" spans="1:1">
      <c r="A2315" t="s">
        <v>6519</v>
      </c>
    </row>
    <row r="2316" spans="1:1">
      <c r="A2316" t="s">
        <v>6520</v>
      </c>
    </row>
    <row r="2317" spans="1:1">
      <c r="A2317" t="s">
        <v>6521</v>
      </c>
    </row>
    <row r="2318" spans="1:1">
      <c r="A2318" t="s">
        <v>6522</v>
      </c>
    </row>
    <row r="2321" spans="1:1">
      <c r="A2321" t="s">
        <v>392</v>
      </c>
    </row>
    <row r="2322" spans="1:1">
      <c r="A2322" t="s">
        <v>6523</v>
      </c>
    </row>
    <row r="2323" spans="1:1">
      <c r="A2323" t="s">
        <v>6524</v>
      </c>
    </row>
    <row r="2324" spans="1:1">
      <c r="A2324" t="s">
        <v>6525</v>
      </c>
    </row>
    <row r="2325" spans="1:1">
      <c r="A2325" t="s">
        <v>6526</v>
      </c>
    </row>
    <row r="2326" spans="1:1">
      <c r="A2326" t="s">
        <v>6527</v>
      </c>
    </row>
    <row r="2327" spans="1:1">
      <c r="A2327" t="s">
        <v>6528</v>
      </c>
    </row>
    <row r="2328" spans="1:1">
      <c r="A2328" t="s">
        <v>6529</v>
      </c>
    </row>
    <row r="2330" spans="1:1">
      <c r="A2330" t="s">
        <v>406</v>
      </c>
    </row>
    <row r="2331" spans="1:1">
      <c r="A2331" t="s">
        <v>6530</v>
      </c>
    </row>
    <row r="2332" spans="1:1">
      <c r="A2332" t="s">
        <v>6531</v>
      </c>
    </row>
    <row r="2333" spans="1:1">
      <c r="A2333" t="s">
        <v>6532</v>
      </c>
    </row>
    <row r="2334" spans="1:1">
      <c r="A2334" t="s">
        <v>6533</v>
      </c>
    </row>
    <row r="2335" spans="1:1">
      <c r="A2335" t="s">
        <v>6534</v>
      </c>
    </row>
    <row r="2336" spans="1:1">
      <c r="A2336" t="s">
        <v>6535</v>
      </c>
    </row>
    <row r="2337" spans="1:1">
      <c r="A2337" t="s">
        <v>6536</v>
      </c>
    </row>
    <row r="2338" spans="1:1">
      <c r="A2338" t="s">
        <v>6537</v>
      </c>
    </row>
    <row r="2339" spans="1:1">
      <c r="A2339" t="s">
        <v>6538</v>
      </c>
    </row>
    <row r="2340" spans="1:1">
      <c r="A2340" t="s">
        <v>421</v>
      </c>
    </row>
    <row r="2341" spans="1:1">
      <c r="A2341" t="s">
        <v>6539</v>
      </c>
    </row>
    <row r="2346" spans="1:1">
      <c r="A2346" t="s">
        <v>2668</v>
      </c>
    </row>
    <row r="2347" spans="1:1">
      <c r="A2347" t="s">
        <v>5070</v>
      </c>
    </row>
    <row r="2348" spans="1:1">
      <c r="A2348" t="s">
        <v>6540</v>
      </c>
    </row>
    <row r="2349" spans="1:1">
      <c r="A2349" t="s">
        <v>6541</v>
      </c>
    </row>
    <row r="2350" spans="1:1">
      <c r="A2350" t="s">
        <v>5073</v>
      </c>
    </row>
    <row r="2351" spans="1:1">
      <c r="A2351" t="s">
        <v>6542</v>
      </c>
    </row>
    <row r="2352" spans="1:1">
      <c r="A2352" t="s">
        <v>376</v>
      </c>
    </row>
    <row r="2354" spans="1:1">
      <c r="A2354" t="s">
        <v>5665</v>
      </c>
    </row>
    <row r="2355" spans="1:1">
      <c r="A2355" t="s">
        <v>378</v>
      </c>
    </row>
    <row r="2356" spans="1:1">
      <c r="A2356" t="s">
        <v>6543</v>
      </c>
    </row>
    <row r="2357" spans="1:1">
      <c r="A2357" t="s">
        <v>6544</v>
      </c>
    </row>
    <row r="2358" spans="1:1">
      <c r="A2358" t="s">
        <v>6545</v>
      </c>
    </row>
    <row r="2359" spans="1:1">
      <c r="A2359" t="s">
        <v>6546</v>
      </c>
    </row>
    <row r="2360" spans="1:1">
      <c r="A2360" t="s">
        <v>6547</v>
      </c>
    </row>
    <row r="2361" spans="1:1">
      <c r="A2361" t="s">
        <v>6548</v>
      </c>
    </row>
    <row r="2362" spans="1:1">
      <c r="A2362" t="s">
        <v>6549</v>
      </c>
    </row>
    <row r="2363" spans="1:1">
      <c r="A2363" t="s">
        <v>6550</v>
      </c>
    </row>
    <row r="2366" spans="1:1">
      <c r="A2366" t="s">
        <v>392</v>
      </c>
    </row>
    <row r="2367" spans="1:1">
      <c r="A2367" t="s">
        <v>6551</v>
      </c>
    </row>
    <row r="2368" spans="1:1">
      <c r="A2368" t="s">
        <v>6552</v>
      </c>
    </row>
    <row r="2369" spans="1:1">
      <c r="A2369" t="s">
        <v>6553</v>
      </c>
    </row>
    <row r="2370" spans="1:1">
      <c r="A2370" t="s">
        <v>6554</v>
      </c>
    </row>
    <row r="2371" spans="1:1">
      <c r="A2371" t="s">
        <v>6555</v>
      </c>
    </row>
    <row r="2372" spans="1:1">
      <c r="A2372" t="s">
        <v>6556</v>
      </c>
    </row>
    <row r="2373" spans="1:1">
      <c r="A2373" t="s">
        <v>6557</v>
      </c>
    </row>
    <row r="2375" spans="1:1">
      <c r="A2375" t="s">
        <v>406</v>
      </c>
    </row>
    <row r="2376" spans="1:1">
      <c r="A2376" t="s">
        <v>6558</v>
      </c>
    </row>
    <row r="2377" spans="1:1">
      <c r="A2377" t="s">
        <v>6559</v>
      </c>
    </row>
    <row r="2378" spans="1:1">
      <c r="A2378" t="s">
        <v>6560</v>
      </c>
    </row>
    <row r="2379" spans="1:1">
      <c r="A2379" t="s">
        <v>6561</v>
      </c>
    </row>
    <row r="2380" spans="1:1">
      <c r="A2380" t="s">
        <v>6562</v>
      </c>
    </row>
    <row r="2381" spans="1:1">
      <c r="A2381" t="s">
        <v>6563</v>
      </c>
    </row>
    <row r="2382" spans="1:1">
      <c r="A2382" t="s">
        <v>6564</v>
      </c>
    </row>
    <row r="2383" spans="1:1">
      <c r="A2383" t="s">
        <v>6565</v>
      </c>
    </row>
    <row r="2384" spans="1:1">
      <c r="A2384" t="s">
        <v>6566</v>
      </c>
    </row>
    <row r="2385" spans="1:1">
      <c r="A2385" t="s">
        <v>421</v>
      </c>
    </row>
    <row r="2386" spans="1:1">
      <c r="A2386" t="s">
        <v>6567</v>
      </c>
    </row>
    <row r="2391" spans="1:1">
      <c r="A2391" t="s">
        <v>2713</v>
      </c>
    </row>
    <row r="2392" spans="1:1">
      <c r="A2392" t="s">
        <v>5070</v>
      </c>
    </row>
    <row r="2393" spans="1:1">
      <c r="A2393" t="s">
        <v>6568</v>
      </c>
    </row>
    <row r="2394" spans="1:1">
      <c r="A2394" t="s">
        <v>6569</v>
      </c>
    </row>
    <row r="2395" spans="1:1">
      <c r="A2395" t="s">
        <v>5073</v>
      </c>
    </row>
    <row r="2396" spans="1:1">
      <c r="A2396" t="s">
        <v>6570</v>
      </c>
    </row>
    <row r="2397" spans="1:1">
      <c r="A2397" t="s">
        <v>376</v>
      </c>
    </row>
    <row r="2399" spans="1:1">
      <c r="A2399" t="s">
        <v>5749</v>
      </c>
    </row>
    <row r="2400" spans="1:1">
      <c r="A2400" t="s">
        <v>378</v>
      </c>
    </row>
    <row r="2401" spans="1:1">
      <c r="A2401" t="s">
        <v>6571</v>
      </c>
    </row>
    <row r="2402" spans="1:1">
      <c r="A2402" t="s">
        <v>6572</v>
      </c>
    </row>
    <row r="2403" spans="1:1">
      <c r="A2403" t="s">
        <v>6573</v>
      </c>
    </row>
    <row r="2404" spans="1:1">
      <c r="A2404" t="s">
        <v>6574</v>
      </c>
    </row>
    <row r="2405" spans="1:1">
      <c r="A2405" t="s">
        <v>6575</v>
      </c>
    </row>
    <row r="2406" spans="1:1">
      <c r="A2406" t="s">
        <v>6576</v>
      </c>
    </row>
    <row r="2407" spans="1:1">
      <c r="A2407" t="s">
        <v>6577</v>
      </c>
    </row>
    <row r="2408" spans="1:1">
      <c r="A2408" t="s">
        <v>6578</v>
      </c>
    </row>
    <row r="2411" spans="1:1">
      <c r="A2411" t="s">
        <v>392</v>
      </c>
    </row>
    <row r="2412" spans="1:1">
      <c r="A2412" t="s">
        <v>6579</v>
      </c>
    </row>
    <row r="2413" spans="1:1">
      <c r="A2413" t="s">
        <v>6580</v>
      </c>
    </row>
    <row r="2414" spans="1:1">
      <c r="A2414" t="s">
        <v>6581</v>
      </c>
    </row>
    <row r="2415" spans="1:1">
      <c r="A2415" t="s">
        <v>6582</v>
      </c>
    </row>
    <row r="2416" spans="1:1">
      <c r="A2416" t="s">
        <v>6583</v>
      </c>
    </row>
    <row r="2417" spans="1:1">
      <c r="A2417" t="s">
        <v>6584</v>
      </c>
    </row>
    <row r="2418" spans="1:1">
      <c r="A2418" t="s">
        <v>6585</v>
      </c>
    </row>
    <row r="2420" spans="1:1">
      <c r="A2420" t="s">
        <v>406</v>
      </c>
    </row>
    <row r="2421" spans="1:1">
      <c r="A2421" t="s">
        <v>6586</v>
      </c>
    </row>
    <row r="2422" spans="1:1">
      <c r="A2422" t="s">
        <v>6587</v>
      </c>
    </row>
    <row r="2423" spans="1:1">
      <c r="A2423" t="s">
        <v>6588</v>
      </c>
    </row>
    <row r="2424" spans="1:1">
      <c r="A2424" t="s">
        <v>6589</v>
      </c>
    </row>
    <row r="2425" spans="1:1">
      <c r="A2425" t="s">
        <v>6590</v>
      </c>
    </row>
    <row r="2426" spans="1:1">
      <c r="A2426" t="s">
        <v>6591</v>
      </c>
    </row>
    <row r="2427" spans="1:1">
      <c r="A2427" t="s">
        <v>6592</v>
      </c>
    </row>
    <row r="2428" spans="1:1">
      <c r="A2428" t="s">
        <v>6593</v>
      </c>
    </row>
    <row r="2429" spans="1:1">
      <c r="A2429" t="s">
        <v>6594</v>
      </c>
    </row>
    <row r="2430" spans="1:1">
      <c r="A2430" t="s">
        <v>421</v>
      </c>
    </row>
    <row r="2431" spans="1:1">
      <c r="A2431" t="s">
        <v>6595</v>
      </c>
    </row>
    <row r="2436" spans="1:1">
      <c r="A2436" t="s">
        <v>2758</v>
      </c>
    </row>
    <row r="2437" spans="1:1">
      <c r="A2437" t="s">
        <v>5070</v>
      </c>
    </row>
    <row r="2438" spans="1:1">
      <c r="A2438" t="s">
        <v>6596</v>
      </c>
    </row>
    <row r="2439" spans="1:1">
      <c r="A2439" t="s">
        <v>6597</v>
      </c>
    </row>
    <row r="2440" spans="1:1">
      <c r="A2440" t="s">
        <v>5073</v>
      </c>
    </row>
    <row r="2441" spans="1:1">
      <c r="A2441" t="s">
        <v>6598</v>
      </c>
    </row>
    <row r="2442" spans="1:1">
      <c r="A2442" t="s">
        <v>376</v>
      </c>
    </row>
    <row r="2444" spans="1:1">
      <c r="A2444" t="s">
        <v>5918</v>
      </c>
    </row>
    <row r="2445" spans="1:1">
      <c r="A2445" t="s">
        <v>378</v>
      </c>
    </row>
    <row r="2446" spans="1:1">
      <c r="A2446" t="s">
        <v>6599</v>
      </c>
    </row>
    <row r="2447" spans="1:1">
      <c r="A2447" t="s">
        <v>6600</v>
      </c>
    </row>
    <row r="2448" spans="1:1">
      <c r="A2448" t="s">
        <v>6601</v>
      </c>
    </row>
    <row r="2449" spans="1:1">
      <c r="A2449" t="s">
        <v>6602</v>
      </c>
    </row>
    <row r="2450" spans="1:1">
      <c r="A2450" t="s">
        <v>6603</v>
      </c>
    </row>
    <row r="2451" spans="1:1">
      <c r="A2451" t="s">
        <v>6604</v>
      </c>
    </row>
    <row r="2452" spans="1:1">
      <c r="A2452" t="s">
        <v>6605</v>
      </c>
    </row>
    <row r="2453" spans="1:1">
      <c r="A2453" t="s">
        <v>6606</v>
      </c>
    </row>
    <row r="2456" spans="1:1">
      <c r="A2456" t="s">
        <v>392</v>
      </c>
    </row>
    <row r="2457" spans="1:1">
      <c r="A2457" t="s">
        <v>6497</v>
      </c>
    </row>
    <row r="2458" spans="1:1">
      <c r="A2458" t="s">
        <v>6607</v>
      </c>
    </row>
    <row r="2459" spans="1:1">
      <c r="A2459" t="s">
        <v>6608</v>
      </c>
    </row>
    <row r="2460" spans="1:1">
      <c r="A2460" t="s">
        <v>6609</v>
      </c>
    </row>
    <row r="2461" spans="1:1">
      <c r="A2461" t="s">
        <v>6610</v>
      </c>
    </row>
    <row r="2462" spans="1:1">
      <c r="A2462" t="s">
        <v>6611</v>
      </c>
    </row>
    <row r="2463" spans="1:1">
      <c r="A2463" t="s">
        <v>6612</v>
      </c>
    </row>
    <row r="2465" spans="1:1">
      <c r="A2465" t="s">
        <v>406</v>
      </c>
    </row>
    <row r="2466" spans="1:1">
      <c r="A2466" t="s">
        <v>6613</v>
      </c>
    </row>
    <row r="2467" spans="1:1">
      <c r="A2467" t="s">
        <v>6614</v>
      </c>
    </row>
    <row r="2468" spans="1:1">
      <c r="A2468" t="s">
        <v>6615</v>
      </c>
    </row>
    <row r="2469" spans="1:1">
      <c r="A2469" t="s">
        <v>6616</v>
      </c>
    </row>
    <row r="2470" spans="1:1">
      <c r="A2470" t="s">
        <v>6617</v>
      </c>
    </row>
    <row r="2471" spans="1:1">
      <c r="A2471" t="s">
        <v>6618</v>
      </c>
    </row>
    <row r="2472" spans="1:1">
      <c r="A2472" t="s">
        <v>6619</v>
      </c>
    </row>
    <row r="2473" spans="1:1">
      <c r="A2473" t="s">
        <v>6620</v>
      </c>
    </row>
    <row r="2474" spans="1:1">
      <c r="A2474" t="s">
        <v>6621</v>
      </c>
    </row>
    <row r="2475" spans="1:1">
      <c r="A2475" t="s">
        <v>421</v>
      </c>
    </row>
    <row r="2476" spans="1:1">
      <c r="A2476" t="s">
        <v>6622</v>
      </c>
    </row>
    <row r="2481" spans="1:1">
      <c r="A2481" t="s">
        <v>2803</v>
      </c>
    </row>
    <row r="2482" spans="1:1">
      <c r="A2482" t="s">
        <v>5070</v>
      </c>
    </row>
    <row r="2483" spans="1:1">
      <c r="A2483" t="s">
        <v>6623</v>
      </c>
    </row>
    <row r="2484" spans="1:1">
      <c r="A2484" t="s">
        <v>6624</v>
      </c>
    </row>
    <row r="2485" spans="1:1">
      <c r="A2485" t="s">
        <v>5073</v>
      </c>
    </row>
    <row r="2486" spans="1:1">
      <c r="A2486" t="s">
        <v>6625</v>
      </c>
    </row>
    <row r="2487" spans="1:1">
      <c r="A2487" t="s">
        <v>376</v>
      </c>
    </row>
    <row r="2489" spans="1:1">
      <c r="A2489" t="s">
        <v>5749</v>
      </c>
    </row>
    <row r="2490" spans="1:1">
      <c r="A2490" t="s">
        <v>378</v>
      </c>
    </row>
    <row r="2491" spans="1:1">
      <c r="A2491" t="s">
        <v>6626</v>
      </c>
    </row>
    <row r="2492" spans="1:1">
      <c r="A2492" t="s">
        <v>6627</v>
      </c>
    </row>
    <row r="2493" spans="1:1">
      <c r="A2493" t="s">
        <v>6628</v>
      </c>
    </row>
    <row r="2494" spans="1:1">
      <c r="A2494" t="s">
        <v>6629</v>
      </c>
    </row>
    <row r="2495" spans="1:1">
      <c r="A2495" t="s">
        <v>6630</v>
      </c>
    </row>
    <row r="2496" spans="1:1">
      <c r="A2496" t="s">
        <v>6631</v>
      </c>
    </row>
    <row r="2497" spans="1:1">
      <c r="A2497" t="s">
        <v>6632</v>
      </c>
    </row>
    <row r="2498" spans="1:1">
      <c r="A2498" t="s">
        <v>6633</v>
      </c>
    </row>
    <row r="2501" spans="1:1">
      <c r="A2501" t="s">
        <v>392</v>
      </c>
    </row>
    <row r="2502" spans="1:1">
      <c r="A2502" t="s">
        <v>6634</v>
      </c>
    </row>
    <row r="2503" spans="1:1">
      <c r="A2503" t="s">
        <v>6635</v>
      </c>
    </row>
    <row r="2504" spans="1:1">
      <c r="A2504" t="s">
        <v>6636</v>
      </c>
    </row>
    <row r="2505" spans="1:1">
      <c r="A2505" t="s">
        <v>6637</v>
      </c>
    </row>
    <row r="2506" spans="1:1">
      <c r="A2506" t="s">
        <v>6638</v>
      </c>
    </row>
    <row r="2507" spans="1:1">
      <c r="A2507" t="s">
        <v>6639</v>
      </c>
    </row>
    <row r="2508" spans="1:1">
      <c r="A2508" t="s">
        <v>6640</v>
      </c>
    </row>
    <row r="2509" spans="1:1">
      <c r="A2509" t="s">
        <v>6641</v>
      </c>
    </row>
    <row r="2511" spans="1:1">
      <c r="A2511" t="s">
        <v>406</v>
      </c>
    </row>
    <row r="2512" spans="1:1">
      <c r="A2512" t="s">
        <v>6642</v>
      </c>
    </row>
    <row r="2513" spans="1:1">
      <c r="A2513" t="s">
        <v>6643</v>
      </c>
    </row>
    <row r="2514" spans="1:1">
      <c r="A2514" t="s">
        <v>6644</v>
      </c>
    </row>
    <row r="2515" spans="1:1">
      <c r="A2515" t="s">
        <v>6645</v>
      </c>
    </row>
    <row r="2516" spans="1:1">
      <c r="A2516" t="s">
        <v>6646</v>
      </c>
    </row>
    <row r="2517" spans="1:1">
      <c r="A2517" t="s">
        <v>6647</v>
      </c>
    </row>
    <row r="2518" spans="1:1">
      <c r="A2518" t="s">
        <v>6648</v>
      </c>
    </row>
    <row r="2519" spans="1:1">
      <c r="A2519" t="s">
        <v>6649</v>
      </c>
    </row>
    <row r="2520" spans="1:1">
      <c r="A2520" t="s">
        <v>6650</v>
      </c>
    </row>
    <row r="2521" spans="1:1">
      <c r="A2521" t="s">
        <v>421</v>
      </c>
    </row>
    <row r="2522" spans="1:1">
      <c r="A2522" t="s">
        <v>6651</v>
      </c>
    </row>
    <row r="2527" spans="1:1">
      <c r="A2527" t="s">
        <v>2849</v>
      </c>
    </row>
    <row r="2528" spans="1:1">
      <c r="A2528" t="s">
        <v>5070</v>
      </c>
    </row>
    <row r="2529" spans="1:1">
      <c r="A2529" t="s">
        <v>6652</v>
      </c>
    </row>
    <row r="2530" spans="1:1">
      <c r="A2530" t="s">
        <v>6653</v>
      </c>
    </row>
    <row r="2531" spans="1:1">
      <c r="A2531" t="s">
        <v>5073</v>
      </c>
    </row>
    <row r="2532" spans="1:1">
      <c r="A2532" t="s">
        <v>6654</v>
      </c>
    </row>
    <row r="2533" spans="1:1">
      <c r="A2533" t="s">
        <v>376</v>
      </c>
    </row>
    <row r="2535" spans="1:1">
      <c r="A2535" t="s">
        <v>5665</v>
      </c>
    </row>
    <row r="2536" spans="1:1">
      <c r="A2536" t="s">
        <v>378</v>
      </c>
    </row>
    <row r="2537" spans="1:1">
      <c r="A2537" t="s">
        <v>6655</v>
      </c>
    </row>
    <row r="2538" spans="1:1">
      <c r="A2538" t="s">
        <v>6656</v>
      </c>
    </row>
    <row r="2539" spans="1:1">
      <c r="A2539" t="s">
        <v>6657</v>
      </c>
    </row>
    <row r="2540" spans="1:1">
      <c r="A2540" t="s">
        <v>6658</v>
      </c>
    </row>
    <row r="2541" spans="1:1">
      <c r="A2541" t="s">
        <v>6659</v>
      </c>
    </row>
    <row r="2542" spans="1:1">
      <c r="A2542" t="s">
        <v>6660</v>
      </c>
    </row>
    <row r="2543" spans="1:1">
      <c r="A2543" t="s">
        <v>6661</v>
      </c>
    </row>
    <row r="2544" spans="1:1">
      <c r="A2544" t="s">
        <v>6662</v>
      </c>
    </row>
    <row r="2547" spans="1:1">
      <c r="A2547" t="s">
        <v>392</v>
      </c>
    </row>
    <row r="2548" spans="1:1">
      <c r="A2548" t="s">
        <v>6663</v>
      </c>
    </row>
    <row r="2549" spans="1:1">
      <c r="A2549" t="s">
        <v>6664</v>
      </c>
    </row>
    <row r="2550" spans="1:1">
      <c r="A2550" t="s">
        <v>6665</v>
      </c>
    </row>
    <row r="2551" spans="1:1">
      <c r="A2551" t="s">
        <v>6666</v>
      </c>
    </row>
    <row r="2552" spans="1:1">
      <c r="A2552" t="s">
        <v>6667</v>
      </c>
    </row>
    <row r="2553" spans="1:1">
      <c r="A2553" t="s">
        <v>6668</v>
      </c>
    </row>
    <row r="2554" spans="1:1">
      <c r="A2554" t="s">
        <v>6669</v>
      </c>
    </row>
    <row r="2555" spans="1:1">
      <c r="A2555" t="s">
        <v>6670</v>
      </c>
    </row>
    <row r="2557" spans="1:1">
      <c r="A2557" t="s">
        <v>406</v>
      </c>
    </row>
    <row r="2558" spans="1:1">
      <c r="A2558" t="s">
        <v>6671</v>
      </c>
    </row>
    <row r="2559" spans="1:1">
      <c r="A2559" t="s">
        <v>6672</v>
      </c>
    </row>
    <row r="2560" spans="1:1">
      <c r="A2560" t="s">
        <v>6673</v>
      </c>
    </row>
    <row r="2561" spans="1:1">
      <c r="A2561" t="s">
        <v>6674</v>
      </c>
    </row>
    <row r="2562" spans="1:1">
      <c r="A2562" t="s">
        <v>6675</v>
      </c>
    </row>
    <row r="2563" spans="1:1">
      <c r="A2563" t="s">
        <v>6676</v>
      </c>
    </row>
    <row r="2564" spans="1:1">
      <c r="A2564" t="s">
        <v>6677</v>
      </c>
    </row>
    <row r="2565" spans="1:1">
      <c r="A2565" t="s">
        <v>6678</v>
      </c>
    </row>
    <row r="2566" spans="1:1">
      <c r="A2566" t="s">
        <v>6679</v>
      </c>
    </row>
    <row r="2567" spans="1:1">
      <c r="A2567" t="s">
        <v>421</v>
      </c>
    </row>
    <row r="2568" spans="1:1">
      <c r="A2568" t="s">
        <v>6680</v>
      </c>
    </row>
    <row r="2573" spans="1:1">
      <c r="A2573" t="s">
        <v>2894</v>
      </c>
    </row>
    <row r="2574" spans="1:1">
      <c r="A2574" t="s">
        <v>5070</v>
      </c>
    </row>
    <row r="2575" spans="1:1">
      <c r="A2575" t="s">
        <v>6681</v>
      </c>
    </row>
    <row r="2576" spans="1:1">
      <c r="A2576" t="s">
        <v>6682</v>
      </c>
    </row>
    <row r="2577" spans="1:1">
      <c r="A2577" t="s">
        <v>5073</v>
      </c>
    </row>
    <row r="2578" spans="1:1">
      <c r="A2578" t="s">
        <v>6683</v>
      </c>
    </row>
    <row r="2579" spans="1:1">
      <c r="A2579" t="s">
        <v>376</v>
      </c>
    </row>
    <row r="2581" spans="1:1">
      <c r="A2581" t="s">
        <v>6684</v>
      </c>
    </row>
    <row r="2582" spans="1:1">
      <c r="A2582" t="s">
        <v>378</v>
      </c>
    </row>
    <row r="2583" spans="1:1">
      <c r="A2583" t="s">
        <v>6685</v>
      </c>
    </row>
    <row r="2584" spans="1:1">
      <c r="A2584" t="s">
        <v>6686</v>
      </c>
    </row>
    <row r="2585" spans="1:1">
      <c r="A2585" t="s">
        <v>6687</v>
      </c>
    </row>
    <row r="2586" spans="1:1">
      <c r="A2586" t="s">
        <v>6688</v>
      </c>
    </row>
    <row r="2587" spans="1:1">
      <c r="A2587" t="s">
        <v>6689</v>
      </c>
    </row>
    <row r="2588" spans="1:1">
      <c r="A2588" t="s">
        <v>6690</v>
      </c>
    </row>
    <row r="2589" spans="1:1">
      <c r="A2589" t="s">
        <v>6691</v>
      </c>
    </row>
    <row r="2590" spans="1:1">
      <c r="A2590" t="s">
        <v>6692</v>
      </c>
    </row>
    <row r="2593" spans="1:1">
      <c r="A2593" t="s">
        <v>392</v>
      </c>
    </row>
    <row r="2594" spans="1:1">
      <c r="A2594" t="s">
        <v>6693</v>
      </c>
    </row>
    <row r="2595" spans="1:1">
      <c r="A2595" t="s">
        <v>6694</v>
      </c>
    </row>
    <row r="2596" spans="1:1">
      <c r="A2596" t="s">
        <v>6665</v>
      </c>
    </row>
    <row r="2597" spans="1:1">
      <c r="A2597" t="s">
        <v>6695</v>
      </c>
    </row>
    <row r="2598" spans="1:1">
      <c r="A2598" t="s">
        <v>6696</v>
      </c>
    </row>
    <row r="2599" spans="1:1">
      <c r="A2599" t="s">
        <v>6584</v>
      </c>
    </row>
    <row r="2600" spans="1:1">
      <c r="A2600" t="s">
        <v>6697</v>
      </c>
    </row>
    <row r="2602" spans="1:1">
      <c r="A2602" t="s">
        <v>406</v>
      </c>
    </row>
    <row r="2603" spans="1:1">
      <c r="A2603" t="s">
        <v>6698</v>
      </c>
    </row>
    <row r="2604" spans="1:1">
      <c r="A2604" t="s">
        <v>6699</v>
      </c>
    </row>
    <row r="2605" spans="1:1">
      <c r="A2605" t="s">
        <v>6700</v>
      </c>
    </row>
    <row r="2606" spans="1:1">
      <c r="A2606" t="s">
        <v>6701</v>
      </c>
    </row>
    <row r="2607" spans="1:1">
      <c r="A2607" t="s">
        <v>6702</v>
      </c>
    </row>
    <row r="2608" spans="1:1">
      <c r="A2608" t="s">
        <v>6366</v>
      </c>
    </row>
    <row r="2609" spans="1:1">
      <c r="A2609" t="s">
        <v>6703</v>
      </c>
    </row>
    <row r="2610" spans="1:1">
      <c r="A2610" t="s">
        <v>6704</v>
      </c>
    </row>
    <row r="2611" spans="1:1">
      <c r="A2611" t="s">
        <v>6705</v>
      </c>
    </row>
    <row r="2612" spans="1:1">
      <c r="A2612" t="s">
        <v>421</v>
      </c>
    </row>
    <row r="2613" spans="1:1">
      <c r="A2613" t="s">
        <v>6706</v>
      </c>
    </row>
    <row r="2618" spans="1:1">
      <c r="A2618" t="s">
        <v>2939</v>
      </c>
    </row>
    <row r="2619" spans="1:1">
      <c r="A2619" t="s">
        <v>5070</v>
      </c>
    </row>
    <row r="2620" spans="1:1">
      <c r="A2620" t="s">
        <v>6707</v>
      </c>
    </row>
    <row r="2621" spans="1:1">
      <c r="A2621" t="s">
        <v>6708</v>
      </c>
    </row>
    <row r="2622" spans="1:1">
      <c r="A2622" t="s">
        <v>5073</v>
      </c>
    </row>
    <row r="2623" spans="1:1">
      <c r="A2623" t="s">
        <v>6709</v>
      </c>
    </row>
    <row r="2624" spans="1:1">
      <c r="A2624" t="s">
        <v>376</v>
      </c>
    </row>
    <row r="2626" spans="1:1">
      <c r="A2626" t="s">
        <v>5665</v>
      </c>
    </row>
    <row r="2627" spans="1:1">
      <c r="A2627" t="s">
        <v>378</v>
      </c>
    </row>
    <row r="2628" spans="1:1">
      <c r="A2628" t="s">
        <v>6710</v>
      </c>
    </row>
    <row r="2629" spans="1:1">
      <c r="A2629" t="s">
        <v>6711</v>
      </c>
    </row>
    <row r="2630" spans="1:1">
      <c r="A2630" t="s">
        <v>6712</v>
      </c>
    </row>
    <row r="2631" spans="1:1">
      <c r="A2631" t="s">
        <v>6713</v>
      </c>
    </row>
    <row r="2632" spans="1:1">
      <c r="A2632" t="s">
        <v>6714</v>
      </c>
    </row>
    <row r="2633" spans="1:1">
      <c r="A2633" t="s">
        <v>6715</v>
      </c>
    </row>
    <row r="2634" spans="1:1">
      <c r="A2634" t="s">
        <v>6716</v>
      </c>
    </row>
    <row r="2635" spans="1:1">
      <c r="A2635" t="s">
        <v>6717</v>
      </c>
    </row>
    <row r="2638" spans="1:1">
      <c r="A2638" t="s">
        <v>392</v>
      </c>
    </row>
    <row r="2639" spans="1:1">
      <c r="A2639" t="s">
        <v>6718</v>
      </c>
    </row>
    <row r="2640" spans="1:1">
      <c r="A2640" t="s">
        <v>6719</v>
      </c>
    </row>
    <row r="2641" spans="1:1">
      <c r="A2641" t="s">
        <v>6720</v>
      </c>
    </row>
    <row r="2642" spans="1:1">
      <c r="A2642" t="s">
        <v>6721</v>
      </c>
    </row>
    <row r="2643" spans="1:1">
      <c r="A2643" t="s">
        <v>6722</v>
      </c>
    </row>
    <row r="2644" spans="1:1">
      <c r="A2644" t="s">
        <v>6723</v>
      </c>
    </row>
    <row r="2645" spans="1:1">
      <c r="A2645" t="s">
        <v>6669</v>
      </c>
    </row>
    <row r="2646" spans="1:1">
      <c r="A2646" t="s">
        <v>6724</v>
      </c>
    </row>
    <row r="2648" spans="1:1">
      <c r="A2648" t="s">
        <v>406</v>
      </c>
    </row>
    <row r="2649" spans="1:1">
      <c r="A2649" t="s">
        <v>6725</v>
      </c>
    </row>
    <row r="2650" spans="1:1">
      <c r="A2650" t="s">
        <v>6726</v>
      </c>
    </row>
    <row r="2651" spans="1:1">
      <c r="A2651" t="s">
        <v>6727</v>
      </c>
    </row>
    <row r="2652" spans="1:1">
      <c r="A2652" t="s">
        <v>6728</v>
      </c>
    </row>
    <row r="2653" spans="1:1">
      <c r="A2653" t="s">
        <v>6729</v>
      </c>
    </row>
    <row r="2654" spans="1:1">
      <c r="A2654" t="s">
        <v>6730</v>
      </c>
    </row>
    <row r="2655" spans="1:1">
      <c r="A2655" t="s">
        <v>6731</v>
      </c>
    </row>
    <row r="2656" spans="1:1">
      <c r="A2656" t="s">
        <v>6732</v>
      </c>
    </row>
    <row r="2657" spans="1:1">
      <c r="A2657" t="s">
        <v>6733</v>
      </c>
    </row>
    <row r="2658" spans="1:1">
      <c r="A2658" t="s">
        <v>421</v>
      </c>
    </row>
    <row r="2659" spans="1:1">
      <c r="A2659" t="s">
        <v>6734</v>
      </c>
    </row>
    <row r="2664" spans="1:1">
      <c r="A2664" t="s">
        <v>2984</v>
      </c>
    </row>
    <row r="2665" spans="1:1">
      <c r="A2665" t="s">
        <v>5070</v>
      </c>
    </row>
    <row r="2666" spans="1:1">
      <c r="A2666" t="s">
        <v>6735</v>
      </c>
    </row>
    <row r="2667" spans="1:1">
      <c r="A2667" t="s">
        <v>6736</v>
      </c>
    </row>
    <row r="2668" spans="1:1">
      <c r="A2668" t="s">
        <v>5073</v>
      </c>
    </row>
    <row r="2669" spans="1:1">
      <c r="A2669" t="s">
        <v>6737</v>
      </c>
    </row>
    <row r="2670" spans="1:1">
      <c r="A2670" t="s">
        <v>376</v>
      </c>
    </row>
    <row r="2672" spans="1:1">
      <c r="A2672" t="s">
        <v>5918</v>
      </c>
    </row>
    <row r="2673" spans="1:1">
      <c r="A2673" t="s">
        <v>378</v>
      </c>
    </row>
    <row r="2674" spans="1:1">
      <c r="A2674" t="s">
        <v>6738</v>
      </c>
    </row>
    <row r="2675" spans="1:1">
      <c r="A2675" t="s">
        <v>6739</v>
      </c>
    </row>
    <row r="2676" spans="1:1">
      <c r="A2676" t="s">
        <v>6740</v>
      </c>
    </row>
    <row r="2677" spans="1:1">
      <c r="A2677" t="s">
        <v>6741</v>
      </c>
    </row>
    <row r="2678" spans="1:1">
      <c r="A2678" t="s">
        <v>6742</v>
      </c>
    </row>
    <row r="2679" spans="1:1">
      <c r="A2679" t="s">
        <v>6743</v>
      </c>
    </row>
    <row r="2680" spans="1:1">
      <c r="A2680" t="s">
        <v>6744</v>
      </c>
    </row>
    <row r="2681" spans="1:1">
      <c r="A2681" t="s">
        <v>6745</v>
      </c>
    </row>
    <row r="2684" spans="1:1">
      <c r="A2684" t="s">
        <v>392</v>
      </c>
    </row>
    <row r="2685" spans="1:1">
      <c r="A2685" t="s">
        <v>6746</v>
      </c>
    </row>
    <row r="2686" spans="1:1">
      <c r="A2686" t="s">
        <v>5843</v>
      </c>
    </row>
    <row r="2687" spans="1:1">
      <c r="A2687" t="s">
        <v>5844</v>
      </c>
    </row>
    <row r="2688" spans="1:1">
      <c r="A2688" t="s">
        <v>6747</v>
      </c>
    </row>
    <row r="2689" spans="1:1">
      <c r="A2689" t="s">
        <v>6748</v>
      </c>
    </row>
    <row r="2690" spans="1:1">
      <c r="A2690" t="s">
        <v>6749</v>
      </c>
    </row>
    <row r="2691" spans="1:1">
      <c r="A2691" t="s">
        <v>6750</v>
      </c>
    </row>
    <row r="2693" spans="1:1">
      <c r="A2693" t="s">
        <v>406</v>
      </c>
    </row>
    <row r="2694" spans="1:1">
      <c r="A2694" t="s">
        <v>6751</v>
      </c>
    </row>
    <row r="2695" spans="1:1">
      <c r="A2695" t="s">
        <v>6752</v>
      </c>
    </row>
    <row r="2696" spans="1:1">
      <c r="A2696" t="s">
        <v>6753</v>
      </c>
    </row>
    <row r="2697" spans="1:1">
      <c r="A2697" t="s">
        <v>6754</v>
      </c>
    </row>
    <row r="2698" spans="1:1">
      <c r="A2698" t="s">
        <v>6755</v>
      </c>
    </row>
    <row r="2699" spans="1:1">
      <c r="A2699" t="s">
        <v>6756</v>
      </c>
    </row>
    <row r="2700" spans="1:1">
      <c r="A2700" t="s">
        <v>6757</v>
      </c>
    </row>
    <row r="2701" spans="1:1">
      <c r="A2701" t="s">
        <v>6758</v>
      </c>
    </row>
    <row r="2702" spans="1:1">
      <c r="A2702" t="s">
        <v>6759</v>
      </c>
    </row>
    <row r="2703" spans="1:1">
      <c r="A2703" t="s">
        <v>421</v>
      </c>
    </row>
    <row r="2704" spans="1:1">
      <c r="A2704" t="s">
        <v>6760</v>
      </c>
    </row>
    <row r="2709" spans="1:1">
      <c r="A2709" t="s">
        <v>3029</v>
      </c>
    </row>
    <row r="2710" spans="1:1">
      <c r="A2710" t="s">
        <v>5070</v>
      </c>
    </row>
    <row r="2711" spans="1:1">
      <c r="A2711" t="s">
        <v>6761</v>
      </c>
    </row>
    <row r="2712" spans="1:1">
      <c r="A2712" t="s">
        <v>6762</v>
      </c>
    </row>
    <row r="2713" spans="1:1">
      <c r="A2713" t="s">
        <v>5073</v>
      </c>
    </row>
    <row r="2714" spans="1:1">
      <c r="A2714" t="s">
        <v>6763</v>
      </c>
    </row>
    <row r="2715" spans="1:1">
      <c r="A2715" t="s">
        <v>376</v>
      </c>
    </row>
    <row r="2717" spans="1:1">
      <c r="A2717" t="s">
        <v>6684</v>
      </c>
    </row>
    <row r="2718" spans="1:1">
      <c r="A2718" t="s">
        <v>378</v>
      </c>
    </row>
    <row r="2719" spans="1:1">
      <c r="A2719" t="s">
        <v>6764</v>
      </c>
    </row>
    <row r="2720" spans="1:1">
      <c r="A2720" t="s">
        <v>6765</v>
      </c>
    </row>
    <row r="2721" spans="1:1">
      <c r="A2721" t="s">
        <v>6766</v>
      </c>
    </row>
    <row r="2722" spans="1:1">
      <c r="A2722" t="s">
        <v>6767</v>
      </c>
    </row>
    <row r="2723" spans="1:1">
      <c r="A2723" t="s">
        <v>6768</v>
      </c>
    </row>
    <row r="2724" spans="1:1">
      <c r="A2724" t="s">
        <v>6769</v>
      </c>
    </row>
    <row r="2725" spans="1:1">
      <c r="A2725" t="s">
        <v>6770</v>
      </c>
    </row>
    <row r="2726" spans="1:1">
      <c r="A2726" t="s">
        <v>6771</v>
      </c>
    </row>
    <row r="2729" spans="1:1">
      <c r="A2729" t="s">
        <v>392</v>
      </c>
    </row>
    <row r="2730" spans="1:1">
      <c r="A2730" t="s">
        <v>6772</v>
      </c>
    </row>
    <row r="2731" spans="1:1">
      <c r="A2731" t="s">
        <v>6773</v>
      </c>
    </row>
    <row r="2732" spans="1:1">
      <c r="A2732" t="s">
        <v>6774</v>
      </c>
    </row>
    <row r="2733" spans="1:1">
      <c r="A2733" t="s">
        <v>6775</v>
      </c>
    </row>
    <row r="2734" spans="1:1">
      <c r="A2734" t="s">
        <v>6776</v>
      </c>
    </row>
    <row r="2735" spans="1:1">
      <c r="A2735" t="s">
        <v>6777</v>
      </c>
    </row>
    <row r="2736" spans="1:1">
      <c r="A2736" t="s">
        <v>6778</v>
      </c>
    </row>
    <row r="2737" spans="1:1">
      <c r="A2737" t="s">
        <v>6779</v>
      </c>
    </row>
    <row r="2739" spans="1:1">
      <c r="A2739" t="s">
        <v>406</v>
      </c>
    </row>
    <row r="2740" spans="1:1">
      <c r="A2740" t="s">
        <v>6780</v>
      </c>
    </row>
    <row r="2741" spans="1:1">
      <c r="A2741" t="s">
        <v>6781</v>
      </c>
    </row>
    <row r="2742" spans="1:1">
      <c r="A2742" t="s">
        <v>6782</v>
      </c>
    </row>
    <row r="2743" spans="1:1">
      <c r="A2743" t="s">
        <v>6783</v>
      </c>
    </row>
    <row r="2744" spans="1:1">
      <c r="A2744" t="s">
        <v>6784</v>
      </c>
    </row>
    <row r="2745" spans="1:1">
      <c r="A2745" t="s">
        <v>6785</v>
      </c>
    </row>
    <row r="2746" spans="1:1">
      <c r="A2746" t="s">
        <v>6786</v>
      </c>
    </row>
    <row r="2747" spans="1:1">
      <c r="A2747" t="s">
        <v>6787</v>
      </c>
    </row>
    <row r="2748" spans="1:1">
      <c r="A2748" t="s">
        <v>6788</v>
      </c>
    </row>
    <row r="2749" spans="1:1">
      <c r="A2749" t="s">
        <v>421</v>
      </c>
    </row>
    <row r="2750" spans="1:1">
      <c r="A2750" t="s">
        <v>6789</v>
      </c>
    </row>
    <row r="2755" spans="1:1">
      <c r="A2755" t="s">
        <v>3069</v>
      </c>
    </row>
    <row r="2756" spans="1:1">
      <c r="A2756" t="s">
        <v>5070</v>
      </c>
    </row>
    <row r="2757" spans="1:1">
      <c r="A2757" t="s">
        <v>6790</v>
      </c>
    </row>
    <row r="2758" spans="1:1">
      <c r="A2758" t="s">
        <v>6791</v>
      </c>
    </row>
    <row r="2759" spans="1:1">
      <c r="A2759" t="s">
        <v>5073</v>
      </c>
    </row>
    <row r="2760" spans="1:1">
      <c r="A2760" t="s">
        <v>6792</v>
      </c>
    </row>
    <row r="2761" spans="1:1">
      <c r="A2761" t="s">
        <v>376</v>
      </c>
    </row>
    <row r="2763" spans="1:1">
      <c r="A2763" t="s">
        <v>5833</v>
      </c>
    </row>
    <row r="2764" spans="1:1">
      <c r="A2764" t="s">
        <v>378</v>
      </c>
    </row>
    <row r="2765" spans="1:1">
      <c r="A2765" t="s">
        <v>6793</v>
      </c>
    </row>
    <row r="2766" spans="1:1">
      <c r="A2766" t="s">
        <v>6794</v>
      </c>
    </row>
    <row r="2767" spans="1:1">
      <c r="A2767" t="s">
        <v>6795</v>
      </c>
    </row>
    <row r="2768" spans="1:1">
      <c r="A2768" t="s">
        <v>6796</v>
      </c>
    </row>
    <row r="2769" spans="1:1">
      <c r="A2769" t="s">
        <v>6797</v>
      </c>
    </row>
    <row r="2770" spans="1:1">
      <c r="A2770" t="s">
        <v>6798</v>
      </c>
    </row>
    <row r="2771" spans="1:1">
      <c r="A2771" t="s">
        <v>6799</v>
      </c>
    </row>
    <row r="2772" spans="1:1">
      <c r="A2772" t="s">
        <v>6800</v>
      </c>
    </row>
    <row r="2775" spans="1:1">
      <c r="A2775" t="s">
        <v>392</v>
      </c>
    </row>
    <row r="2776" spans="1:1">
      <c r="A2776" t="s">
        <v>6801</v>
      </c>
    </row>
    <row r="2777" spans="1:1">
      <c r="A2777" t="s">
        <v>6802</v>
      </c>
    </row>
    <row r="2778" spans="1:1">
      <c r="A2778" t="s">
        <v>6803</v>
      </c>
    </row>
    <row r="2779" spans="1:1">
      <c r="A2779" t="s">
        <v>6804</v>
      </c>
    </row>
    <row r="2780" spans="1:1">
      <c r="A2780" t="s">
        <v>5148</v>
      </c>
    </row>
    <row r="2781" spans="1:1">
      <c r="A2781" t="s">
        <v>6805</v>
      </c>
    </row>
    <row r="2782" spans="1:1">
      <c r="A2782" t="s">
        <v>5818</v>
      </c>
    </row>
    <row r="2783" spans="1:1">
      <c r="A2783" t="s">
        <v>6806</v>
      </c>
    </row>
    <row r="2785" spans="1:1">
      <c r="A2785" t="s">
        <v>406</v>
      </c>
    </row>
    <row r="2786" spans="1:1">
      <c r="A2786" t="s">
        <v>6807</v>
      </c>
    </row>
    <row r="2787" spans="1:1">
      <c r="A2787" t="s">
        <v>6808</v>
      </c>
    </row>
    <row r="2788" spans="1:1">
      <c r="A2788" t="s">
        <v>6809</v>
      </c>
    </row>
    <row r="2789" spans="1:1">
      <c r="A2789" t="s">
        <v>6810</v>
      </c>
    </row>
    <row r="2790" spans="1:1">
      <c r="A2790" t="s">
        <v>6811</v>
      </c>
    </row>
    <row r="2791" spans="1:1">
      <c r="A2791" t="s">
        <v>6812</v>
      </c>
    </row>
    <row r="2792" spans="1:1">
      <c r="A2792" t="s">
        <v>6813</v>
      </c>
    </row>
    <row r="2793" spans="1:1">
      <c r="A2793" t="s">
        <v>6814</v>
      </c>
    </row>
    <row r="2794" spans="1:1">
      <c r="A2794" t="s">
        <v>6815</v>
      </c>
    </row>
    <row r="2795" spans="1:1">
      <c r="A2795" t="s">
        <v>421</v>
      </c>
    </row>
    <row r="2796" spans="1:1">
      <c r="A2796" t="s">
        <v>6816</v>
      </c>
    </row>
    <row r="2801" spans="1:1">
      <c r="A2801" t="s">
        <v>3112</v>
      </c>
    </row>
    <row r="2802" spans="1:1">
      <c r="A2802" t="s">
        <v>5070</v>
      </c>
    </row>
    <row r="2803" spans="1:1">
      <c r="A2803" t="s">
        <v>6817</v>
      </c>
    </row>
    <row r="2804" spans="1:1">
      <c r="A2804" t="s">
        <v>6818</v>
      </c>
    </row>
    <row r="2805" spans="1:1">
      <c r="A2805" t="s">
        <v>5073</v>
      </c>
    </row>
    <row r="2806" spans="1:1">
      <c r="A2806" t="s">
        <v>6819</v>
      </c>
    </row>
    <row r="2807" spans="1:1">
      <c r="A2807" t="s">
        <v>376</v>
      </c>
    </row>
    <row r="2809" spans="1:1">
      <c r="A2809" t="s">
        <v>5665</v>
      </c>
    </row>
    <row r="2810" spans="1:1">
      <c r="A2810" t="s">
        <v>378</v>
      </c>
    </row>
    <row r="2811" spans="1:1">
      <c r="A2811" t="s">
        <v>6820</v>
      </c>
    </row>
    <row r="2812" spans="1:1">
      <c r="A2812" t="s">
        <v>6821</v>
      </c>
    </row>
    <row r="2813" spans="1:1">
      <c r="A2813" t="s">
        <v>6822</v>
      </c>
    </row>
    <row r="2814" spans="1:1">
      <c r="A2814" t="s">
        <v>6823</v>
      </c>
    </row>
    <row r="2815" spans="1:1">
      <c r="A2815" t="s">
        <v>6824</v>
      </c>
    </row>
    <row r="2816" spans="1:1">
      <c r="A2816" t="s">
        <v>6825</v>
      </c>
    </row>
    <row r="2817" spans="1:1">
      <c r="A2817" t="s">
        <v>6826</v>
      </c>
    </row>
    <row r="2818" spans="1:1">
      <c r="A2818" t="s">
        <v>6827</v>
      </c>
    </row>
    <row r="2821" spans="1:1">
      <c r="A2821" t="s">
        <v>392</v>
      </c>
    </row>
    <row r="2822" spans="1:1">
      <c r="A2822" t="s">
        <v>6828</v>
      </c>
    </row>
    <row r="2823" spans="1:1">
      <c r="A2823" t="s">
        <v>6829</v>
      </c>
    </row>
    <row r="2824" spans="1:1">
      <c r="A2824" t="s">
        <v>6830</v>
      </c>
    </row>
    <row r="2825" spans="1:1">
      <c r="A2825" t="s">
        <v>6831</v>
      </c>
    </row>
    <row r="2826" spans="1:1">
      <c r="A2826" t="s">
        <v>6832</v>
      </c>
    </row>
    <row r="2827" spans="1:1">
      <c r="A2827" t="s">
        <v>6833</v>
      </c>
    </row>
    <row r="2828" spans="1:1">
      <c r="A2828" t="s">
        <v>6834</v>
      </c>
    </row>
    <row r="2829" spans="1:1">
      <c r="A2829" t="s">
        <v>6835</v>
      </c>
    </row>
    <row r="2831" spans="1:1">
      <c r="A2831" t="s">
        <v>406</v>
      </c>
    </row>
    <row r="2832" spans="1:1">
      <c r="A2832" t="s">
        <v>6836</v>
      </c>
    </row>
    <row r="2833" spans="1:1">
      <c r="A2833" t="s">
        <v>6837</v>
      </c>
    </row>
    <row r="2834" spans="1:1">
      <c r="A2834" t="s">
        <v>6838</v>
      </c>
    </row>
    <row r="2835" spans="1:1">
      <c r="A2835" t="s">
        <v>6839</v>
      </c>
    </row>
    <row r="2836" spans="1:1">
      <c r="A2836" t="s">
        <v>6840</v>
      </c>
    </row>
    <row r="2837" spans="1:1">
      <c r="A2837" t="s">
        <v>6841</v>
      </c>
    </row>
    <row r="2838" spans="1:1">
      <c r="A2838" t="s">
        <v>6842</v>
      </c>
    </row>
    <row r="2839" spans="1:1">
      <c r="A2839" t="s">
        <v>6843</v>
      </c>
    </row>
    <row r="2840" spans="1:1">
      <c r="A2840" t="s">
        <v>6844</v>
      </c>
    </row>
    <row r="2841" spans="1:1">
      <c r="A2841" t="s">
        <v>421</v>
      </c>
    </row>
    <row r="2842" spans="1:1">
      <c r="A2842" t="s">
        <v>6845</v>
      </c>
    </row>
    <row r="2847" spans="1:1">
      <c r="A2847" t="s">
        <v>3157</v>
      </c>
    </row>
    <row r="2848" spans="1:1">
      <c r="A2848" t="s">
        <v>5070</v>
      </c>
    </row>
    <row r="2849" spans="1:1">
      <c r="A2849" t="s">
        <v>6846</v>
      </c>
    </row>
    <row r="2850" spans="1:1">
      <c r="A2850" t="s">
        <v>6847</v>
      </c>
    </row>
    <row r="2851" spans="1:1">
      <c r="A2851" t="s">
        <v>5073</v>
      </c>
    </row>
    <row r="2852" spans="1:1">
      <c r="A2852" t="s">
        <v>6848</v>
      </c>
    </row>
    <row r="2853" spans="1:1">
      <c r="A2853" t="s">
        <v>376</v>
      </c>
    </row>
    <row r="2855" spans="1:1">
      <c r="A2855" t="s">
        <v>5105</v>
      </c>
    </row>
    <row r="2856" spans="1:1">
      <c r="A2856" t="s">
        <v>378</v>
      </c>
    </row>
    <row r="2857" spans="1:1">
      <c r="A2857" t="s">
        <v>6849</v>
      </c>
    </row>
    <row r="2858" spans="1:1">
      <c r="A2858" t="s">
        <v>6850</v>
      </c>
    </row>
    <row r="2859" spans="1:1">
      <c r="A2859" t="s">
        <v>6851</v>
      </c>
    </row>
    <row r="2860" spans="1:1">
      <c r="A2860" t="s">
        <v>6852</v>
      </c>
    </row>
    <row r="2861" spans="1:1">
      <c r="A2861" t="s">
        <v>6853</v>
      </c>
    </row>
    <row r="2862" spans="1:1">
      <c r="A2862" t="s">
        <v>6854</v>
      </c>
    </row>
    <row r="2863" spans="1:1">
      <c r="A2863" t="s">
        <v>6855</v>
      </c>
    </row>
    <row r="2864" spans="1:1">
      <c r="A2864" t="s">
        <v>6856</v>
      </c>
    </row>
    <row r="2867" spans="1:1">
      <c r="A2867" t="s">
        <v>392</v>
      </c>
    </row>
    <row r="2868" spans="1:1">
      <c r="A2868" t="s">
        <v>6857</v>
      </c>
    </row>
    <row r="2869" spans="1:1">
      <c r="A2869" t="s">
        <v>6858</v>
      </c>
    </row>
    <row r="2870" spans="1:1">
      <c r="A2870" t="s">
        <v>6859</v>
      </c>
    </row>
    <row r="2871" spans="1:1">
      <c r="A2871" t="s">
        <v>6860</v>
      </c>
    </row>
    <row r="2872" spans="1:1">
      <c r="A2872" t="s">
        <v>6861</v>
      </c>
    </row>
    <row r="2873" spans="1:1">
      <c r="A2873" t="s">
        <v>6862</v>
      </c>
    </row>
    <row r="2874" spans="1:1">
      <c r="A2874" t="s">
        <v>6863</v>
      </c>
    </row>
    <row r="2875" spans="1:1">
      <c r="A2875" t="s">
        <v>6864</v>
      </c>
    </row>
    <row r="2877" spans="1:1">
      <c r="A2877" t="s">
        <v>406</v>
      </c>
    </row>
    <row r="2878" spans="1:1">
      <c r="A2878" t="s">
        <v>6865</v>
      </c>
    </row>
    <row r="2879" spans="1:1">
      <c r="A2879" t="s">
        <v>6866</v>
      </c>
    </row>
    <row r="2880" spans="1:1">
      <c r="A2880" t="s">
        <v>6867</v>
      </c>
    </row>
    <row r="2881" spans="1:1">
      <c r="A2881" t="s">
        <v>6868</v>
      </c>
    </row>
    <row r="2882" spans="1:1">
      <c r="A2882" t="s">
        <v>6869</v>
      </c>
    </row>
    <row r="2883" spans="1:1">
      <c r="A2883" t="s">
        <v>6870</v>
      </c>
    </row>
    <row r="2884" spans="1:1">
      <c r="A2884" t="s">
        <v>6871</v>
      </c>
    </row>
    <row r="2885" spans="1:1">
      <c r="A2885" t="s">
        <v>6872</v>
      </c>
    </row>
    <row r="2886" spans="1:1">
      <c r="A2886" t="s">
        <v>6873</v>
      </c>
    </row>
    <row r="2887" spans="1:1">
      <c r="A2887" t="s">
        <v>421</v>
      </c>
    </row>
    <row r="2888" spans="1:1">
      <c r="A2888" t="s">
        <v>6874</v>
      </c>
    </row>
    <row r="2893" spans="1:1">
      <c r="A2893" t="s">
        <v>3202</v>
      </c>
    </row>
    <row r="2894" spans="1:1">
      <c r="A2894" t="s">
        <v>5070</v>
      </c>
    </row>
    <row r="2895" spans="1:1">
      <c r="A2895" t="s">
        <v>6875</v>
      </c>
    </row>
    <row r="2896" spans="1:1">
      <c r="A2896" t="s">
        <v>6876</v>
      </c>
    </row>
    <row r="2897" spans="1:1">
      <c r="A2897" t="s">
        <v>5073</v>
      </c>
    </row>
    <row r="2898" spans="1:1">
      <c r="A2898" t="s">
        <v>6877</v>
      </c>
    </row>
    <row r="2899" spans="1:1">
      <c r="A2899" t="s">
        <v>376</v>
      </c>
    </row>
    <row r="2901" spans="1:1">
      <c r="A2901" t="s">
        <v>5105</v>
      </c>
    </row>
    <row r="2902" spans="1:1">
      <c r="A2902" t="s">
        <v>378</v>
      </c>
    </row>
    <row r="2903" spans="1:1">
      <c r="A2903" t="s">
        <v>6878</v>
      </c>
    </row>
    <row r="2904" spans="1:1">
      <c r="A2904" t="s">
        <v>6879</v>
      </c>
    </row>
    <row r="2905" spans="1:1">
      <c r="A2905" t="s">
        <v>6880</v>
      </c>
    </row>
    <row r="2906" spans="1:1">
      <c r="A2906" t="s">
        <v>6881</v>
      </c>
    </row>
    <row r="2907" spans="1:1">
      <c r="A2907" t="s">
        <v>6882</v>
      </c>
    </row>
    <row r="2908" spans="1:1">
      <c r="A2908" t="s">
        <v>6883</v>
      </c>
    </row>
    <row r="2909" spans="1:1">
      <c r="A2909" t="s">
        <v>6884</v>
      </c>
    </row>
    <row r="2910" spans="1:1">
      <c r="A2910" t="s">
        <v>6885</v>
      </c>
    </row>
    <row r="2913" spans="1:1">
      <c r="A2913" t="s">
        <v>392</v>
      </c>
    </row>
    <row r="2914" spans="1:1">
      <c r="A2914" t="s">
        <v>6886</v>
      </c>
    </row>
    <row r="2915" spans="1:1">
      <c r="A2915" t="s">
        <v>6887</v>
      </c>
    </row>
    <row r="2916" spans="1:1">
      <c r="A2916" t="s">
        <v>6888</v>
      </c>
    </row>
    <row r="2917" spans="1:1">
      <c r="A2917" t="s">
        <v>6889</v>
      </c>
    </row>
    <row r="2918" spans="1:1">
      <c r="A2918" t="s">
        <v>6890</v>
      </c>
    </row>
    <row r="2919" spans="1:1">
      <c r="A2919" t="s">
        <v>6891</v>
      </c>
    </row>
    <row r="2920" spans="1:1">
      <c r="A2920" t="s">
        <v>6892</v>
      </c>
    </row>
    <row r="2921" spans="1:1">
      <c r="A2921" t="s">
        <v>6893</v>
      </c>
    </row>
    <row r="2923" spans="1:1">
      <c r="A2923" t="s">
        <v>406</v>
      </c>
    </row>
    <row r="2924" spans="1:1">
      <c r="A2924" t="s">
        <v>6894</v>
      </c>
    </row>
    <row r="2925" spans="1:1">
      <c r="A2925" t="s">
        <v>6895</v>
      </c>
    </row>
    <row r="2926" spans="1:1">
      <c r="A2926" t="s">
        <v>6896</v>
      </c>
    </row>
    <row r="2927" spans="1:1">
      <c r="A2927" t="s">
        <v>6897</v>
      </c>
    </row>
    <row r="2928" spans="1:1">
      <c r="A2928" t="s">
        <v>6898</v>
      </c>
    </row>
    <row r="2929" spans="1:1">
      <c r="A2929" t="s">
        <v>6899</v>
      </c>
    </row>
    <row r="2930" spans="1:1">
      <c r="A2930" t="s">
        <v>6900</v>
      </c>
    </row>
    <row r="2931" spans="1:1">
      <c r="A2931" t="s">
        <v>6901</v>
      </c>
    </row>
    <row r="2932" spans="1:1">
      <c r="A2932" t="s">
        <v>6902</v>
      </c>
    </row>
    <row r="2933" spans="1:1">
      <c r="A2933" t="s">
        <v>421</v>
      </c>
    </row>
    <row r="2934" spans="1:1">
      <c r="A2934" t="s">
        <v>6903</v>
      </c>
    </row>
    <row r="2939" spans="1:1">
      <c r="A2939" t="s">
        <v>3247</v>
      </c>
    </row>
    <row r="2940" spans="1:1">
      <c r="A2940" t="s">
        <v>5070</v>
      </c>
    </row>
    <row r="2941" spans="1:1">
      <c r="A2941" t="s">
        <v>6904</v>
      </c>
    </row>
    <row r="2942" spans="1:1">
      <c r="A2942" t="s">
        <v>6905</v>
      </c>
    </row>
    <row r="2943" spans="1:1">
      <c r="A2943" t="s">
        <v>5073</v>
      </c>
    </row>
    <row r="2944" spans="1:1">
      <c r="A2944" t="s">
        <v>6906</v>
      </c>
    </row>
    <row r="2945" spans="1:1">
      <c r="A2945" t="s">
        <v>376</v>
      </c>
    </row>
    <row r="2947" spans="1:1">
      <c r="A2947" t="s">
        <v>5833</v>
      </c>
    </row>
    <row r="2948" spans="1:1">
      <c r="A2948" t="s">
        <v>378</v>
      </c>
    </row>
    <row r="2949" spans="1:1">
      <c r="A2949" t="s">
        <v>6907</v>
      </c>
    </row>
    <row r="2950" spans="1:1">
      <c r="A2950" t="s">
        <v>6908</v>
      </c>
    </row>
    <row r="2951" spans="1:1">
      <c r="A2951" t="s">
        <v>6909</v>
      </c>
    </row>
    <row r="2952" spans="1:1">
      <c r="A2952" t="s">
        <v>6910</v>
      </c>
    </row>
    <row r="2953" spans="1:1">
      <c r="A2953" t="s">
        <v>6911</v>
      </c>
    </row>
    <row r="2954" spans="1:1">
      <c r="A2954" t="s">
        <v>6912</v>
      </c>
    </row>
    <row r="2955" spans="1:1">
      <c r="A2955" t="s">
        <v>6913</v>
      </c>
    </row>
    <row r="2956" spans="1:1">
      <c r="A2956" t="s">
        <v>6914</v>
      </c>
    </row>
    <row r="2959" spans="1:1">
      <c r="A2959" t="s">
        <v>392</v>
      </c>
    </row>
    <row r="2960" spans="1:1">
      <c r="A2960" t="s">
        <v>6915</v>
      </c>
    </row>
    <row r="2961" spans="1:1">
      <c r="A2961" t="s">
        <v>6916</v>
      </c>
    </row>
    <row r="2962" spans="1:1">
      <c r="A2962" t="s">
        <v>6917</v>
      </c>
    </row>
    <row r="2963" spans="1:1">
      <c r="A2963" t="s">
        <v>6918</v>
      </c>
    </row>
    <row r="2964" spans="1:1">
      <c r="A2964" t="s">
        <v>6919</v>
      </c>
    </row>
    <row r="2965" spans="1:1">
      <c r="A2965" t="s">
        <v>6920</v>
      </c>
    </row>
    <row r="2966" spans="1:1">
      <c r="A2966" t="s">
        <v>6921</v>
      </c>
    </row>
    <row r="2967" spans="1:1">
      <c r="A2967" t="s">
        <v>6922</v>
      </c>
    </row>
    <row r="2969" spans="1:1">
      <c r="A2969" t="s">
        <v>406</v>
      </c>
    </row>
    <row r="2970" spans="1:1">
      <c r="A2970" t="s">
        <v>6923</v>
      </c>
    </row>
    <row r="2971" spans="1:1">
      <c r="A2971" t="s">
        <v>6924</v>
      </c>
    </row>
    <row r="2972" spans="1:1">
      <c r="A2972" t="s">
        <v>6925</v>
      </c>
    </row>
    <row r="2973" spans="1:1">
      <c r="A2973" t="s">
        <v>6926</v>
      </c>
    </row>
    <row r="2974" spans="1:1">
      <c r="A2974" t="s">
        <v>6927</v>
      </c>
    </row>
    <row r="2975" spans="1:1">
      <c r="A2975" t="s">
        <v>6928</v>
      </c>
    </row>
    <row r="2976" spans="1:1">
      <c r="A2976" t="s">
        <v>6929</v>
      </c>
    </row>
    <row r="2977" spans="1:1">
      <c r="A2977" t="s">
        <v>6930</v>
      </c>
    </row>
    <row r="2978" spans="1:1">
      <c r="A2978" t="s">
        <v>6931</v>
      </c>
    </row>
    <row r="2979" spans="1:1">
      <c r="A2979" t="s">
        <v>421</v>
      </c>
    </row>
    <row r="2980" spans="1:1">
      <c r="A2980" t="s">
        <v>6932</v>
      </c>
    </row>
    <row r="2985" spans="1:1">
      <c r="A2985" t="s">
        <v>3292</v>
      </c>
    </row>
    <row r="2986" spans="1:1">
      <c r="A2986" t="s">
        <v>5070</v>
      </c>
    </row>
    <row r="2987" spans="1:1">
      <c r="A2987" t="s">
        <v>6933</v>
      </c>
    </row>
    <row r="2988" spans="1:1">
      <c r="A2988" t="s">
        <v>6934</v>
      </c>
    </row>
    <row r="2989" spans="1:1">
      <c r="A2989" t="s">
        <v>5073</v>
      </c>
    </row>
    <row r="2990" spans="1:1">
      <c r="A2990" t="s">
        <v>6935</v>
      </c>
    </row>
    <row r="2991" spans="1:1">
      <c r="A2991" t="s">
        <v>376</v>
      </c>
    </row>
    <row r="2993" spans="1:1">
      <c r="A2993" t="s">
        <v>5779</v>
      </c>
    </row>
    <row r="2994" spans="1:1">
      <c r="A2994" t="s">
        <v>378</v>
      </c>
    </row>
    <row r="2995" spans="1:1">
      <c r="A2995" t="s">
        <v>6936</v>
      </c>
    </row>
    <row r="2996" spans="1:1">
      <c r="A2996" t="s">
        <v>6937</v>
      </c>
    </row>
    <row r="2997" spans="1:1">
      <c r="A2997" t="s">
        <v>6348</v>
      </c>
    </row>
    <row r="2998" spans="1:1">
      <c r="A2998" t="s">
        <v>6938</v>
      </c>
    </row>
    <row r="2999" spans="1:1">
      <c r="A2999" t="s">
        <v>6939</v>
      </c>
    </row>
    <row r="3000" spans="1:1">
      <c r="A3000" t="s">
        <v>6940</v>
      </c>
    </row>
    <row r="3001" spans="1:1">
      <c r="A3001" t="s">
        <v>6941</v>
      </c>
    </row>
    <row r="3002" spans="1:1">
      <c r="A3002" t="s">
        <v>6942</v>
      </c>
    </row>
    <row r="3005" spans="1:1">
      <c r="A3005" t="s">
        <v>392</v>
      </c>
    </row>
    <row r="3006" spans="1:1">
      <c r="A3006" t="s">
        <v>6943</v>
      </c>
    </row>
    <row r="3007" spans="1:1">
      <c r="A3007" t="s">
        <v>6355</v>
      </c>
    </row>
    <row r="3008" spans="1:1">
      <c r="A3008" t="s">
        <v>6944</v>
      </c>
    </row>
    <row r="3009" spans="1:1">
      <c r="A3009" t="s">
        <v>6945</v>
      </c>
    </row>
    <row r="3010" spans="1:1">
      <c r="A3010" t="s">
        <v>6946</v>
      </c>
    </row>
    <row r="3011" spans="1:1">
      <c r="A3011" t="s">
        <v>6359</v>
      </c>
    </row>
    <row r="3012" spans="1:1">
      <c r="A3012" t="s">
        <v>6947</v>
      </c>
    </row>
    <row r="3014" spans="1:1">
      <c r="A3014" t="s">
        <v>406</v>
      </c>
    </row>
    <row r="3015" spans="1:1">
      <c r="A3015" t="s">
        <v>6948</v>
      </c>
    </row>
    <row r="3016" spans="1:1">
      <c r="A3016" t="s">
        <v>6949</v>
      </c>
    </row>
    <row r="3017" spans="1:1">
      <c r="A3017" t="s">
        <v>6950</v>
      </c>
    </row>
    <row r="3018" spans="1:1">
      <c r="A3018" t="s">
        <v>6951</v>
      </c>
    </row>
    <row r="3019" spans="1:1">
      <c r="A3019" t="s">
        <v>6952</v>
      </c>
    </row>
    <row r="3020" spans="1:1">
      <c r="A3020" t="s">
        <v>6953</v>
      </c>
    </row>
    <row r="3021" spans="1:1">
      <c r="A3021" t="s">
        <v>6954</v>
      </c>
    </row>
    <row r="3022" spans="1:1">
      <c r="A3022" t="s">
        <v>6086</v>
      </c>
    </row>
    <row r="3023" spans="1:1">
      <c r="A3023" t="s">
        <v>6955</v>
      </c>
    </row>
    <row r="3024" spans="1:1">
      <c r="A3024" t="s">
        <v>421</v>
      </c>
    </row>
    <row r="3025" spans="1:1">
      <c r="A3025" t="s">
        <v>6956</v>
      </c>
    </row>
    <row r="3030" spans="1:1">
      <c r="A3030" t="s">
        <v>3336</v>
      </c>
    </row>
    <row r="3031" spans="1:1">
      <c r="A3031" t="s">
        <v>5070</v>
      </c>
    </row>
    <row r="3032" spans="1:1">
      <c r="A3032" t="s">
        <v>6957</v>
      </c>
    </row>
    <row r="3033" spans="1:1">
      <c r="A3033" t="s">
        <v>6958</v>
      </c>
    </row>
    <row r="3034" spans="1:1">
      <c r="A3034" t="s">
        <v>5073</v>
      </c>
    </row>
    <row r="3035" spans="1:1">
      <c r="A3035" t="s">
        <v>6959</v>
      </c>
    </row>
    <row r="3036" spans="1:1">
      <c r="A3036" t="s">
        <v>376</v>
      </c>
    </row>
    <row r="3038" spans="1:1">
      <c r="A3038" t="s">
        <v>6960</v>
      </c>
    </row>
    <row r="3039" spans="1:1">
      <c r="A3039" t="s">
        <v>378</v>
      </c>
    </row>
    <row r="3040" spans="1:1">
      <c r="A3040" t="s">
        <v>6961</v>
      </c>
    </row>
    <row r="3041" spans="1:1">
      <c r="A3041" t="s">
        <v>6962</v>
      </c>
    </row>
    <row r="3042" spans="1:1">
      <c r="A3042" t="s">
        <v>6963</v>
      </c>
    </row>
    <row r="3043" spans="1:1">
      <c r="A3043" t="s">
        <v>6964</v>
      </c>
    </row>
    <row r="3044" spans="1:1">
      <c r="A3044" t="s">
        <v>6965</v>
      </c>
    </row>
    <row r="3045" spans="1:1">
      <c r="A3045" t="s">
        <v>6966</v>
      </c>
    </row>
    <row r="3046" spans="1:1">
      <c r="A3046" t="s">
        <v>6967</v>
      </c>
    </row>
    <row r="3047" spans="1:1">
      <c r="A3047" t="s">
        <v>6968</v>
      </c>
    </row>
    <row r="3050" spans="1:1">
      <c r="A3050" t="s">
        <v>392</v>
      </c>
    </row>
    <row r="3051" spans="1:1">
      <c r="A3051" t="s">
        <v>6969</v>
      </c>
    </row>
    <row r="3052" spans="1:1">
      <c r="A3052" t="s">
        <v>6970</v>
      </c>
    </row>
    <row r="3053" spans="1:1">
      <c r="A3053" t="s">
        <v>6971</v>
      </c>
    </row>
    <row r="3054" spans="1:1">
      <c r="A3054" t="s">
        <v>6972</v>
      </c>
    </row>
    <row r="3055" spans="1:1">
      <c r="A3055" t="s">
        <v>6973</v>
      </c>
    </row>
    <row r="3056" spans="1:1">
      <c r="A3056" t="s">
        <v>6974</v>
      </c>
    </row>
    <row r="3057" spans="1:1">
      <c r="A3057" t="s">
        <v>6975</v>
      </c>
    </row>
    <row r="3059" spans="1:1">
      <c r="A3059" t="s">
        <v>406</v>
      </c>
    </row>
    <row r="3060" spans="1:1">
      <c r="A3060" t="s">
        <v>6976</v>
      </c>
    </row>
    <row r="3061" spans="1:1">
      <c r="A3061" t="s">
        <v>6977</v>
      </c>
    </row>
    <row r="3062" spans="1:1">
      <c r="A3062" t="s">
        <v>6978</v>
      </c>
    </row>
    <row r="3063" spans="1:1">
      <c r="A3063" t="s">
        <v>6979</v>
      </c>
    </row>
    <row r="3064" spans="1:1">
      <c r="A3064" t="s">
        <v>6980</v>
      </c>
    </row>
    <row r="3065" spans="1:1">
      <c r="A3065" t="s">
        <v>6366</v>
      </c>
    </row>
    <row r="3066" spans="1:1">
      <c r="A3066" t="s">
        <v>6981</v>
      </c>
    </row>
    <row r="3067" spans="1:1">
      <c r="A3067" t="s">
        <v>6982</v>
      </c>
    </row>
    <row r="3068" spans="1:1">
      <c r="A3068" t="s">
        <v>6983</v>
      </c>
    </row>
    <row r="3069" spans="1:1">
      <c r="A3069" t="s">
        <v>421</v>
      </c>
    </row>
    <row r="3070" spans="1:1">
      <c r="A3070" t="s">
        <v>6984</v>
      </c>
    </row>
    <row r="3075" spans="1:1">
      <c r="A3075" t="s">
        <v>3380</v>
      </c>
    </row>
    <row r="3076" spans="1:1">
      <c r="A3076" t="s">
        <v>5070</v>
      </c>
    </row>
    <row r="3077" spans="1:1">
      <c r="A3077" t="s">
        <v>6985</v>
      </c>
    </row>
    <row r="3078" spans="1:1">
      <c r="A3078" t="s">
        <v>6986</v>
      </c>
    </row>
    <row r="3079" spans="1:1">
      <c r="A3079" t="s">
        <v>5073</v>
      </c>
    </row>
    <row r="3080" spans="1:1">
      <c r="A3080" t="s">
        <v>6987</v>
      </c>
    </row>
    <row r="3081" spans="1:1">
      <c r="A3081" t="s">
        <v>376</v>
      </c>
    </row>
    <row r="3083" spans="1:1">
      <c r="A3083" t="s">
        <v>5665</v>
      </c>
    </row>
    <row r="3084" spans="1:1">
      <c r="A3084" t="s">
        <v>378</v>
      </c>
    </row>
    <row r="3085" spans="1:1">
      <c r="A3085" t="s">
        <v>6988</v>
      </c>
    </row>
    <row r="3086" spans="1:1">
      <c r="A3086" t="s">
        <v>6989</v>
      </c>
    </row>
    <row r="3087" spans="1:1">
      <c r="A3087" t="s">
        <v>6990</v>
      </c>
    </row>
    <row r="3088" spans="1:1">
      <c r="A3088" t="s">
        <v>6991</v>
      </c>
    </row>
    <row r="3089" spans="1:1">
      <c r="A3089" t="s">
        <v>6992</v>
      </c>
    </row>
    <row r="3090" spans="1:1">
      <c r="A3090" t="s">
        <v>6993</v>
      </c>
    </row>
    <row r="3091" spans="1:1">
      <c r="A3091" t="s">
        <v>6994</v>
      </c>
    </row>
    <row r="3092" spans="1:1">
      <c r="A3092" t="s">
        <v>6995</v>
      </c>
    </row>
    <row r="3095" spans="1:1">
      <c r="A3095" t="s">
        <v>392</v>
      </c>
    </row>
    <row r="3096" spans="1:1">
      <c r="A3096" t="s">
        <v>6996</v>
      </c>
    </row>
    <row r="3097" spans="1:1">
      <c r="A3097" t="s">
        <v>6997</v>
      </c>
    </row>
    <row r="3098" spans="1:1">
      <c r="A3098" t="s">
        <v>6998</v>
      </c>
    </row>
    <row r="3099" spans="1:1">
      <c r="A3099" t="s">
        <v>6999</v>
      </c>
    </row>
    <row r="3100" spans="1:1">
      <c r="A3100" t="s">
        <v>7000</v>
      </c>
    </row>
    <row r="3101" spans="1:1">
      <c r="A3101" t="s">
        <v>7001</v>
      </c>
    </row>
    <row r="3102" spans="1:1">
      <c r="A3102" t="s">
        <v>7002</v>
      </c>
    </row>
    <row r="3104" spans="1:1">
      <c r="A3104" t="s">
        <v>406</v>
      </c>
    </row>
    <row r="3105" spans="1:1">
      <c r="A3105" t="s">
        <v>7003</v>
      </c>
    </row>
    <row r="3106" spans="1:1">
      <c r="A3106" t="s">
        <v>7004</v>
      </c>
    </row>
    <row r="3107" spans="1:1">
      <c r="A3107" t="s">
        <v>7005</v>
      </c>
    </row>
    <row r="3108" spans="1:1">
      <c r="A3108" t="s">
        <v>7006</v>
      </c>
    </row>
    <row r="3109" spans="1:1">
      <c r="A3109" t="s">
        <v>7007</v>
      </c>
    </row>
    <row r="3110" spans="1:1">
      <c r="A3110" t="s">
        <v>7008</v>
      </c>
    </row>
    <row r="3111" spans="1:1">
      <c r="A3111" t="s">
        <v>7009</v>
      </c>
    </row>
    <row r="3112" spans="1:1">
      <c r="A3112" t="s">
        <v>7010</v>
      </c>
    </row>
    <row r="3113" spans="1:1">
      <c r="A3113" t="s">
        <v>7011</v>
      </c>
    </row>
    <row r="3114" spans="1:1">
      <c r="A3114" t="s">
        <v>421</v>
      </c>
    </row>
    <row r="3115" spans="1:1">
      <c r="A3115" t="s">
        <v>7012</v>
      </c>
    </row>
    <row r="3120" spans="1:1">
      <c r="A3120" t="s">
        <v>3425</v>
      </c>
    </row>
    <row r="3121" spans="1:1">
      <c r="A3121" t="s">
        <v>5070</v>
      </c>
    </row>
    <row r="3122" spans="1:1">
      <c r="A3122" t="s">
        <v>7013</v>
      </c>
    </row>
    <row r="3123" spans="1:1">
      <c r="A3123" t="s">
        <v>7014</v>
      </c>
    </row>
    <row r="3124" spans="1:1">
      <c r="A3124" t="s">
        <v>5073</v>
      </c>
    </row>
    <row r="3125" spans="1:1">
      <c r="A3125" t="s">
        <v>7015</v>
      </c>
    </row>
    <row r="3126" spans="1:1">
      <c r="A3126" t="s">
        <v>376</v>
      </c>
    </row>
    <row r="3128" spans="1:1">
      <c r="A3128" t="s">
        <v>5135</v>
      </c>
    </row>
    <row r="3129" spans="1:1">
      <c r="A3129" t="s">
        <v>378</v>
      </c>
    </row>
    <row r="3130" spans="1:1">
      <c r="A3130" t="s">
        <v>7016</v>
      </c>
    </row>
    <row r="3131" spans="1:1">
      <c r="A3131" t="s">
        <v>7017</v>
      </c>
    </row>
    <row r="3132" spans="1:1">
      <c r="A3132" t="s">
        <v>7018</v>
      </c>
    </row>
    <row r="3133" spans="1:1">
      <c r="A3133" t="s">
        <v>7019</v>
      </c>
    </row>
    <row r="3134" spans="1:1">
      <c r="A3134" t="s">
        <v>7020</v>
      </c>
    </row>
    <row r="3135" spans="1:1">
      <c r="A3135" t="s">
        <v>7021</v>
      </c>
    </row>
    <row r="3136" spans="1:1">
      <c r="A3136" t="s">
        <v>7022</v>
      </c>
    </row>
    <row r="3137" spans="1:1">
      <c r="A3137" t="s">
        <v>7023</v>
      </c>
    </row>
    <row r="3140" spans="1:1">
      <c r="A3140" t="s">
        <v>392</v>
      </c>
    </row>
    <row r="3141" spans="1:1">
      <c r="A3141" t="s">
        <v>7024</v>
      </c>
    </row>
    <row r="3142" spans="1:1">
      <c r="A3142" t="s">
        <v>7025</v>
      </c>
    </row>
    <row r="3143" spans="1:1">
      <c r="A3143" t="s">
        <v>7026</v>
      </c>
    </row>
    <row r="3144" spans="1:1">
      <c r="A3144" t="s">
        <v>7027</v>
      </c>
    </row>
    <row r="3145" spans="1:1">
      <c r="A3145" t="s">
        <v>7028</v>
      </c>
    </row>
    <row r="3146" spans="1:1">
      <c r="A3146" t="s">
        <v>7029</v>
      </c>
    </row>
    <row r="3147" spans="1:1">
      <c r="A3147" t="s">
        <v>7030</v>
      </c>
    </row>
    <row r="3149" spans="1:1">
      <c r="A3149" t="s">
        <v>406</v>
      </c>
    </row>
    <row r="3150" spans="1:1">
      <c r="A3150" t="s">
        <v>7031</v>
      </c>
    </row>
    <row r="3151" spans="1:1">
      <c r="A3151" t="s">
        <v>7032</v>
      </c>
    </row>
    <row r="3152" spans="1:1">
      <c r="A3152" t="s">
        <v>7033</v>
      </c>
    </row>
    <row r="3153" spans="1:1">
      <c r="A3153" t="s">
        <v>7034</v>
      </c>
    </row>
    <row r="3154" spans="1:1">
      <c r="A3154" t="s">
        <v>7035</v>
      </c>
    </row>
    <row r="3155" spans="1:1">
      <c r="A3155" t="s">
        <v>7036</v>
      </c>
    </row>
    <row r="3156" spans="1:1">
      <c r="A3156" t="s">
        <v>7037</v>
      </c>
    </row>
    <row r="3157" spans="1:1">
      <c r="A3157" t="s">
        <v>7038</v>
      </c>
    </row>
    <row r="3158" spans="1:1">
      <c r="A3158" t="s">
        <v>7039</v>
      </c>
    </row>
    <row r="3159" spans="1:1">
      <c r="A3159" t="s">
        <v>421</v>
      </c>
    </row>
    <row r="3160" spans="1:1">
      <c r="A3160" t="s">
        <v>7040</v>
      </c>
    </row>
    <row r="3165" spans="1:1">
      <c r="A3165" t="s">
        <v>3471</v>
      </c>
    </row>
    <row r="3166" spans="1:1">
      <c r="A3166" t="s">
        <v>5070</v>
      </c>
    </row>
    <row r="3167" spans="1:1">
      <c r="A3167" t="s">
        <v>7041</v>
      </c>
    </row>
    <row r="3168" spans="1:1">
      <c r="A3168" t="s">
        <v>7042</v>
      </c>
    </row>
    <row r="3169" spans="1:1">
      <c r="A3169" t="s">
        <v>5073</v>
      </c>
    </row>
    <row r="3170" spans="1:1">
      <c r="A3170" t="s">
        <v>7043</v>
      </c>
    </row>
    <row r="3171" spans="1:1">
      <c r="A3171" t="s">
        <v>376</v>
      </c>
    </row>
    <row r="3173" spans="1:1">
      <c r="A3173" t="s">
        <v>5105</v>
      </c>
    </row>
    <row r="3174" spans="1:1">
      <c r="A3174" t="s">
        <v>378</v>
      </c>
    </row>
    <row r="3175" spans="1:1">
      <c r="A3175" t="s">
        <v>7044</v>
      </c>
    </row>
    <row r="3176" spans="1:1">
      <c r="A3176" t="s">
        <v>7045</v>
      </c>
    </row>
    <row r="3177" spans="1:1">
      <c r="A3177" t="s">
        <v>7046</v>
      </c>
    </row>
    <row r="3178" spans="1:1">
      <c r="A3178" t="s">
        <v>7047</v>
      </c>
    </row>
    <row r="3179" spans="1:1">
      <c r="A3179" t="s">
        <v>7048</v>
      </c>
    </row>
    <row r="3180" spans="1:1">
      <c r="A3180" t="s">
        <v>7049</v>
      </c>
    </row>
    <row r="3181" spans="1:1">
      <c r="A3181" t="s">
        <v>7050</v>
      </c>
    </row>
    <row r="3182" spans="1:1">
      <c r="A3182" t="s">
        <v>7051</v>
      </c>
    </row>
    <row r="3185" spans="1:1">
      <c r="A3185" t="s">
        <v>392</v>
      </c>
    </row>
    <row r="3186" spans="1:1">
      <c r="A3186" t="s">
        <v>7052</v>
      </c>
    </row>
    <row r="3187" spans="1:1">
      <c r="A3187" t="s">
        <v>6997</v>
      </c>
    </row>
    <row r="3188" spans="1:1">
      <c r="A3188" t="s">
        <v>7053</v>
      </c>
    </row>
    <row r="3189" spans="1:1">
      <c r="A3189" t="s">
        <v>7054</v>
      </c>
    </row>
    <row r="3190" spans="1:1">
      <c r="A3190" t="s">
        <v>7000</v>
      </c>
    </row>
    <row r="3191" spans="1:1">
      <c r="A3191" t="s">
        <v>7055</v>
      </c>
    </row>
    <row r="3192" spans="1:1">
      <c r="A3192" t="s">
        <v>7001</v>
      </c>
    </row>
    <row r="3193" spans="1:1">
      <c r="A3193" t="s">
        <v>7056</v>
      </c>
    </row>
    <row r="3195" spans="1:1">
      <c r="A3195" t="s">
        <v>406</v>
      </c>
    </row>
    <row r="3196" spans="1:1">
      <c r="A3196" t="s">
        <v>7057</v>
      </c>
    </row>
    <row r="3197" spans="1:1">
      <c r="A3197" t="s">
        <v>7058</v>
      </c>
    </row>
    <row r="3198" spans="1:1">
      <c r="A3198" t="s">
        <v>7059</v>
      </c>
    </row>
    <row r="3199" spans="1:1">
      <c r="A3199" t="s">
        <v>7060</v>
      </c>
    </row>
    <row r="3200" spans="1:1">
      <c r="A3200" t="s">
        <v>7061</v>
      </c>
    </row>
    <row r="3201" spans="1:1">
      <c r="A3201" t="s">
        <v>7062</v>
      </c>
    </row>
    <row r="3202" spans="1:1">
      <c r="A3202" t="s">
        <v>7063</v>
      </c>
    </row>
    <row r="3203" spans="1:1">
      <c r="A3203" t="s">
        <v>7064</v>
      </c>
    </row>
    <row r="3204" spans="1:1">
      <c r="A3204" t="s">
        <v>7065</v>
      </c>
    </row>
    <row r="3205" spans="1:1">
      <c r="A3205" t="s">
        <v>421</v>
      </c>
    </row>
    <row r="3206" spans="1:1">
      <c r="A3206" t="s">
        <v>7066</v>
      </c>
    </row>
    <row r="3211" spans="1:1">
      <c r="A3211" t="s">
        <v>3516</v>
      </c>
    </row>
    <row r="3212" spans="1:1">
      <c r="A3212" t="s">
        <v>5070</v>
      </c>
    </row>
    <row r="3213" spans="1:1">
      <c r="A3213" t="s">
        <v>7067</v>
      </c>
    </row>
    <row r="3214" spans="1:1">
      <c r="A3214" t="s">
        <v>7068</v>
      </c>
    </row>
    <row r="3215" spans="1:1">
      <c r="A3215" t="s">
        <v>5073</v>
      </c>
    </row>
    <row r="3216" spans="1:1">
      <c r="A3216" t="s">
        <v>7069</v>
      </c>
    </row>
    <row r="3217" spans="1:1">
      <c r="A3217" t="s">
        <v>376</v>
      </c>
    </row>
    <row r="3219" spans="1:1">
      <c r="A3219" t="s">
        <v>5665</v>
      </c>
    </row>
    <row r="3220" spans="1:1">
      <c r="A3220" t="s">
        <v>378</v>
      </c>
    </row>
    <row r="3221" spans="1:1">
      <c r="A3221" t="s">
        <v>7070</v>
      </c>
    </row>
    <row r="3222" spans="1:1">
      <c r="A3222" t="s">
        <v>7071</v>
      </c>
    </row>
    <row r="3223" spans="1:1">
      <c r="A3223" t="s">
        <v>7072</v>
      </c>
    </row>
    <row r="3224" spans="1:1">
      <c r="A3224" t="s">
        <v>7073</v>
      </c>
    </row>
    <row r="3225" spans="1:1">
      <c r="A3225" t="s">
        <v>7074</v>
      </c>
    </row>
    <row r="3226" spans="1:1">
      <c r="A3226" t="s">
        <v>7075</v>
      </c>
    </row>
    <row r="3227" spans="1:1">
      <c r="A3227" t="s">
        <v>7076</v>
      </c>
    </row>
    <row r="3228" spans="1:1">
      <c r="A3228" t="s">
        <v>7077</v>
      </c>
    </row>
    <row r="3231" spans="1:1">
      <c r="A3231" t="s">
        <v>392</v>
      </c>
    </row>
    <row r="3232" spans="1:1">
      <c r="A3232" t="s">
        <v>7078</v>
      </c>
    </row>
    <row r="3233" spans="1:1">
      <c r="A3233" t="s">
        <v>7079</v>
      </c>
    </row>
    <row r="3234" spans="1:1">
      <c r="A3234" t="s">
        <v>7080</v>
      </c>
    </row>
    <row r="3235" spans="1:1">
      <c r="A3235" t="s">
        <v>7081</v>
      </c>
    </row>
    <row r="3236" spans="1:1">
      <c r="A3236" t="s">
        <v>7082</v>
      </c>
    </row>
    <row r="3237" spans="1:1">
      <c r="A3237" t="s">
        <v>7083</v>
      </c>
    </row>
    <row r="3238" spans="1:1">
      <c r="A3238" t="s">
        <v>7084</v>
      </c>
    </row>
    <row r="3239" spans="1:1">
      <c r="A3239" t="s">
        <v>7085</v>
      </c>
    </row>
    <row r="3241" spans="1:1">
      <c r="A3241" t="s">
        <v>406</v>
      </c>
    </row>
    <row r="3242" spans="1:1">
      <c r="A3242" t="s">
        <v>7086</v>
      </c>
    </row>
    <row r="3243" spans="1:1">
      <c r="A3243" t="s">
        <v>7087</v>
      </c>
    </row>
    <row r="3244" spans="1:1">
      <c r="A3244" t="s">
        <v>7088</v>
      </c>
    </row>
    <row r="3245" spans="1:1">
      <c r="A3245" t="s">
        <v>7089</v>
      </c>
    </row>
    <row r="3246" spans="1:1">
      <c r="A3246" t="s">
        <v>7090</v>
      </c>
    </row>
    <row r="3247" spans="1:1">
      <c r="A3247" t="s">
        <v>7091</v>
      </c>
    </row>
    <row r="3248" spans="1:1">
      <c r="A3248" t="s">
        <v>7092</v>
      </c>
    </row>
    <row r="3249" spans="1:1">
      <c r="A3249" t="s">
        <v>7093</v>
      </c>
    </row>
    <row r="3250" spans="1:1">
      <c r="A3250" t="s">
        <v>7094</v>
      </c>
    </row>
    <row r="3251" spans="1:1">
      <c r="A3251" t="s">
        <v>421</v>
      </c>
    </row>
    <row r="3252" spans="1:1">
      <c r="A3252" t="s">
        <v>7095</v>
      </c>
    </row>
    <row r="3257" spans="1:1">
      <c r="A3257" t="s">
        <v>3559</v>
      </c>
    </row>
    <row r="3258" spans="1:1">
      <c r="A3258" t="s">
        <v>5070</v>
      </c>
    </row>
    <row r="3259" spans="1:1">
      <c r="A3259" t="s">
        <v>7096</v>
      </c>
    </row>
    <row r="3260" spans="1:1">
      <c r="A3260" t="s">
        <v>7097</v>
      </c>
    </row>
    <row r="3261" spans="1:1">
      <c r="A3261" t="s">
        <v>5073</v>
      </c>
    </row>
    <row r="3262" spans="1:1">
      <c r="A3262" t="s">
        <v>7098</v>
      </c>
    </row>
    <row r="3263" spans="1:1">
      <c r="A3263" t="s">
        <v>376</v>
      </c>
    </row>
    <row r="3265" spans="1:1">
      <c r="A3265" t="s">
        <v>5779</v>
      </c>
    </row>
    <row r="3266" spans="1:1">
      <c r="A3266" t="s">
        <v>378</v>
      </c>
    </row>
    <row r="3267" spans="1:1">
      <c r="A3267" t="s">
        <v>7099</v>
      </c>
    </row>
    <row r="3268" spans="1:1">
      <c r="A3268" t="s">
        <v>7100</v>
      </c>
    </row>
    <row r="3269" spans="1:1">
      <c r="A3269" t="s">
        <v>7101</v>
      </c>
    </row>
    <row r="3270" spans="1:1">
      <c r="A3270" t="s">
        <v>7102</v>
      </c>
    </row>
    <row r="3271" spans="1:1">
      <c r="A3271" t="s">
        <v>7103</v>
      </c>
    </row>
    <row r="3272" spans="1:1">
      <c r="A3272" t="s">
        <v>7104</v>
      </c>
    </row>
    <row r="3273" spans="1:1">
      <c r="A3273" t="s">
        <v>7105</v>
      </c>
    </row>
    <row r="3274" spans="1:1">
      <c r="A3274" t="s">
        <v>7106</v>
      </c>
    </row>
    <row r="3277" spans="1:1">
      <c r="A3277" t="s">
        <v>392</v>
      </c>
    </row>
    <row r="3278" spans="1:1">
      <c r="A3278" t="s">
        <v>7107</v>
      </c>
    </row>
    <row r="3279" spans="1:1">
      <c r="A3279" t="s">
        <v>7108</v>
      </c>
    </row>
    <row r="3280" spans="1:1">
      <c r="A3280" t="s">
        <v>7109</v>
      </c>
    </row>
    <row r="3281" spans="1:1">
      <c r="A3281" t="s">
        <v>7110</v>
      </c>
    </row>
    <row r="3282" spans="1:1">
      <c r="A3282" t="s">
        <v>7111</v>
      </c>
    </row>
    <row r="3283" spans="1:1">
      <c r="A3283" t="s">
        <v>7112</v>
      </c>
    </row>
    <row r="3284" spans="1:1">
      <c r="A3284" t="s">
        <v>7113</v>
      </c>
    </row>
    <row r="3285" spans="1:1">
      <c r="A3285" t="s">
        <v>7114</v>
      </c>
    </row>
    <row r="3287" spans="1:1">
      <c r="A3287" t="s">
        <v>406</v>
      </c>
    </row>
    <row r="3288" spans="1:1">
      <c r="A3288" t="s">
        <v>7115</v>
      </c>
    </row>
    <row r="3289" spans="1:1">
      <c r="A3289" t="s">
        <v>7116</v>
      </c>
    </row>
    <row r="3290" spans="1:1">
      <c r="A3290" t="s">
        <v>7117</v>
      </c>
    </row>
    <row r="3291" spans="1:1">
      <c r="A3291" t="s">
        <v>7118</v>
      </c>
    </row>
    <row r="3292" spans="1:1">
      <c r="A3292" t="s">
        <v>7119</v>
      </c>
    </row>
    <row r="3293" spans="1:1">
      <c r="A3293" t="s">
        <v>7120</v>
      </c>
    </row>
    <row r="3294" spans="1:1">
      <c r="A3294" t="s">
        <v>7121</v>
      </c>
    </row>
    <row r="3295" spans="1:1">
      <c r="A3295" t="s">
        <v>7122</v>
      </c>
    </row>
    <row r="3296" spans="1:1">
      <c r="A3296" t="s">
        <v>7123</v>
      </c>
    </row>
    <row r="3297" spans="1:1">
      <c r="A3297" t="s">
        <v>421</v>
      </c>
    </row>
    <row r="3298" spans="1:1">
      <c r="A3298" t="s">
        <v>7124</v>
      </c>
    </row>
    <row r="3303" spans="1:1">
      <c r="A3303" t="s">
        <v>3604</v>
      </c>
    </row>
    <row r="3304" spans="1:1">
      <c r="A3304" t="s">
        <v>5070</v>
      </c>
    </row>
    <row r="3305" spans="1:1">
      <c r="A3305" t="s">
        <v>7125</v>
      </c>
    </row>
    <row r="3306" spans="1:1">
      <c r="A3306" t="s">
        <v>7126</v>
      </c>
    </row>
    <row r="3307" spans="1:1">
      <c r="A3307" t="s">
        <v>5073</v>
      </c>
    </row>
    <row r="3308" spans="1:1">
      <c r="A3308" t="s">
        <v>7127</v>
      </c>
    </row>
    <row r="3309" spans="1:1">
      <c r="A3309" t="s">
        <v>376</v>
      </c>
    </row>
    <row r="3311" spans="1:1">
      <c r="A3311" t="s">
        <v>5105</v>
      </c>
    </row>
    <row r="3312" spans="1:1">
      <c r="A3312" t="s">
        <v>378</v>
      </c>
    </row>
    <row r="3313" spans="1:1">
      <c r="A3313" t="s">
        <v>7128</v>
      </c>
    </row>
    <row r="3314" spans="1:1">
      <c r="A3314" t="s">
        <v>7129</v>
      </c>
    </row>
    <row r="3315" spans="1:1">
      <c r="A3315" t="s">
        <v>7130</v>
      </c>
    </row>
    <row r="3316" spans="1:1">
      <c r="A3316" t="s">
        <v>7131</v>
      </c>
    </row>
    <row r="3317" spans="1:1">
      <c r="A3317" t="s">
        <v>7132</v>
      </c>
    </row>
    <row r="3318" spans="1:1">
      <c r="A3318" t="s">
        <v>7133</v>
      </c>
    </row>
    <row r="3319" spans="1:1">
      <c r="A3319" t="s">
        <v>7134</v>
      </c>
    </row>
    <row r="3320" spans="1:1">
      <c r="A3320" t="s">
        <v>7135</v>
      </c>
    </row>
    <row r="3323" spans="1:1">
      <c r="A3323" t="s">
        <v>392</v>
      </c>
    </row>
    <row r="3324" spans="1:1">
      <c r="A3324" t="s">
        <v>7136</v>
      </c>
    </row>
    <row r="3325" spans="1:1">
      <c r="A3325" t="s">
        <v>7137</v>
      </c>
    </row>
    <row r="3326" spans="1:1">
      <c r="A3326" t="s">
        <v>7138</v>
      </c>
    </row>
    <row r="3327" spans="1:1">
      <c r="A3327" t="s">
        <v>7139</v>
      </c>
    </row>
    <row r="3328" spans="1:1">
      <c r="A3328" t="s">
        <v>7140</v>
      </c>
    </row>
    <row r="3329" spans="1:1">
      <c r="A3329" t="s">
        <v>7141</v>
      </c>
    </row>
    <row r="3330" spans="1:1">
      <c r="A3330" t="s">
        <v>7084</v>
      </c>
    </row>
    <row r="3331" spans="1:1">
      <c r="A3331" t="s">
        <v>7142</v>
      </c>
    </row>
    <row r="3333" spans="1:1">
      <c r="A3333" t="s">
        <v>406</v>
      </c>
    </row>
    <row r="3334" spans="1:1">
      <c r="A3334" t="s">
        <v>7143</v>
      </c>
    </row>
    <row r="3335" spans="1:1">
      <c r="A3335" t="s">
        <v>7144</v>
      </c>
    </row>
    <row r="3336" spans="1:1">
      <c r="A3336" t="s">
        <v>7145</v>
      </c>
    </row>
    <row r="3337" spans="1:1">
      <c r="A3337" t="s">
        <v>7146</v>
      </c>
    </row>
    <row r="3338" spans="1:1">
      <c r="A3338" t="s">
        <v>7147</v>
      </c>
    </row>
    <row r="3339" spans="1:1">
      <c r="A3339" t="s">
        <v>7148</v>
      </c>
    </row>
    <row r="3340" spans="1:1">
      <c r="A3340" t="s">
        <v>7149</v>
      </c>
    </row>
    <row r="3341" spans="1:1">
      <c r="A3341" t="s">
        <v>7150</v>
      </c>
    </row>
    <row r="3342" spans="1:1">
      <c r="A3342" t="s">
        <v>7151</v>
      </c>
    </row>
    <row r="3343" spans="1:1">
      <c r="A3343" t="s">
        <v>421</v>
      </c>
    </row>
    <row r="3344" spans="1:1">
      <c r="A3344" t="s">
        <v>7152</v>
      </c>
    </row>
    <row r="3349" spans="1:1">
      <c r="A3349" t="s">
        <v>3649</v>
      </c>
    </row>
    <row r="3350" spans="1:1">
      <c r="A3350" t="s">
        <v>5070</v>
      </c>
    </row>
    <row r="3351" spans="1:1">
      <c r="A3351" t="s">
        <v>7153</v>
      </c>
    </row>
    <row r="3352" spans="1:1">
      <c r="A3352" t="s">
        <v>7154</v>
      </c>
    </row>
    <row r="3353" spans="1:1">
      <c r="A3353" t="s">
        <v>5073</v>
      </c>
    </row>
    <row r="3354" spans="1:1">
      <c r="A3354" t="s">
        <v>7155</v>
      </c>
    </row>
    <row r="3355" spans="1:1">
      <c r="A3355" t="s">
        <v>376</v>
      </c>
    </row>
    <row r="3357" spans="1:1">
      <c r="A3357" t="s">
        <v>5255</v>
      </c>
    </row>
    <row r="3358" spans="1:1">
      <c r="A3358" t="s">
        <v>378</v>
      </c>
    </row>
    <row r="3359" spans="1:1">
      <c r="A3359" t="s">
        <v>7156</v>
      </c>
    </row>
    <row r="3360" spans="1:1">
      <c r="A3360" t="s">
        <v>7157</v>
      </c>
    </row>
    <row r="3361" spans="1:1">
      <c r="A3361" t="s">
        <v>7158</v>
      </c>
    </row>
    <row r="3362" spans="1:1">
      <c r="A3362" t="s">
        <v>7159</v>
      </c>
    </row>
    <row r="3363" spans="1:1">
      <c r="A3363" t="s">
        <v>7160</v>
      </c>
    </row>
    <row r="3364" spans="1:1">
      <c r="A3364" t="s">
        <v>7161</v>
      </c>
    </row>
    <row r="3365" spans="1:1">
      <c r="A3365" t="s">
        <v>7162</v>
      </c>
    </row>
    <row r="3366" spans="1:1">
      <c r="A3366" t="s">
        <v>7163</v>
      </c>
    </row>
    <row r="3369" spans="1:1">
      <c r="A3369" t="s">
        <v>392</v>
      </c>
    </row>
    <row r="3370" spans="1:1">
      <c r="A3370" t="s">
        <v>7164</v>
      </c>
    </row>
    <row r="3371" spans="1:1">
      <c r="A3371" t="s">
        <v>7165</v>
      </c>
    </row>
    <row r="3372" spans="1:1">
      <c r="A3372" t="s">
        <v>7166</v>
      </c>
    </row>
    <row r="3373" spans="1:1">
      <c r="A3373" t="s">
        <v>7167</v>
      </c>
    </row>
    <row r="3374" spans="1:1">
      <c r="A3374" t="s">
        <v>7168</v>
      </c>
    </row>
    <row r="3375" spans="1:1">
      <c r="A3375" t="s">
        <v>7169</v>
      </c>
    </row>
    <row r="3376" spans="1:1">
      <c r="A3376" t="s">
        <v>7170</v>
      </c>
    </row>
    <row r="3377" spans="1:1">
      <c r="A3377" t="s">
        <v>7171</v>
      </c>
    </row>
    <row r="3379" spans="1:1">
      <c r="A3379" t="s">
        <v>406</v>
      </c>
    </row>
    <row r="3380" spans="1:1">
      <c r="A3380" t="s">
        <v>7172</v>
      </c>
    </row>
    <row r="3381" spans="1:1">
      <c r="A3381" t="s">
        <v>7173</v>
      </c>
    </row>
    <row r="3382" spans="1:1">
      <c r="A3382" t="s">
        <v>7174</v>
      </c>
    </row>
    <row r="3383" spans="1:1">
      <c r="A3383" t="s">
        <v>7175</v>
      </c>
    </row>
    <row r="3384" spans="1:1">
      <c r="A3384" t="s">
        <v>7176</v>
      </c>
    </row>
    <row r="3385" spans="1:1">
      <c r="A3385" t="s">
        <v>7177</v>
      </c>
    </row>
    <row r="3386" spans="1:1">
      <c r="A3386" t="s">
        <v>7178</v>
      </c>
    </row>
    <row r="3387" spans="1:1">
      <c r="A3387" t="s">
        <v>7179</v>
      </c>
    </row>
    <row r="3388" spans="1:1">
      <c r="A3388" t="s">
        <v>7180</v>
      </c>
    </row>
    <row r="3389" spans="1:1">
      <c r="A3389" t="s">
        <v>421</v>
      </c>
    </row>
    <row r="3390" spans="1:1">
      <c r="A3390" t="s">
        <v>7181</v>
      </c>
    </row>
    <row r="3395" spans="1:1">
      <c r="A3395" t="s">
        <v>3694</v>
      </c>
    </row>
    <row r="3396" spans="1:1">
      <c r="A3396" t="s">
        <v>5070</v>
      </c>
    </row>
    <row r="3397" spans="1:1">
      <c r="A3397" t="s">
        <v>7182</v>
      </c>
    </row>
    <row r="3398" spans="1:1">
      <c r="A3398" t="s">
        <v>7183</v>
      </c>
    </row>
    <row r="3399" spans="1:1">
      <c r="A3399" t="s">
        <v>5073</v>
      </c>
    </row>
    <row r="3400" spans="1:1">
      <c r="A3400" t="s">
        <v>7184</v>
      </c>
    </row>
    <row r="3401" spans="1:1">
      <c r="A3401" t="s">
        <v>376</v>
      </c>
    </row>
    <row r="3403" spans="1:1">
      <c r="A3403" t="s">
        <v>5549</v>
      </c>
    </row>
    <row r="3404" spans="1:1">
      <c r="A3404" t="s">
        <v>378</v>
      </c>
    </row>
    <row r="3405" spans="1:1">
      <c r="A3405" t="s">
        <v>7185</v>
      </c>
    </row>
    <row r="3406" spans="1:1">
      <c r="A3406" t="s">
        <v>7186</v>
      </c>
    </row>
    <row r="3407" spans="1:1">
      <c r="A3407" t="s">
        <v>7187</v>
      </c>
    </row>
    <row r="3408" spans="1:1">
      <c r="A3408" t="s">
        <v>7188</v>
      </c>
    </row>
    <row r="3409" spans="1:1">
      <c r="A3409" t="s">
        <v>7189</v>
      </c>
    </row>
    <row r="3410" spans="1:1">
      <c r="A3410" t="s">
        <v>7190</v>
      </c>
    </row>
    <row r="3411" spans="1:1">
      <c r="A3411" t="s">
        <v>7191</v>
      </c>
    </row>
    <row r="3412" spans="1:1">
      <c r="A3412" t="s">
        <v>7192</v>
      </c>
    </row>
    <row r="3415" spans="1:1">
      <c r="A3415" t="s">
        <v>392</v>
      </c>
    </row>
    <row r="3416" spans="1:1">
      <c r="A3416" t="s">
        <v>7193</v>
      </c>
    </row>
    <row r="3417" spans="1:1">
      <c r="A3417" t="s">
        <v>7194</v>
      </c>
    </row>
    <row r="3418" spans="1:1">
      <c r="A3418" t="s">
        <v>7195</v>
      </c>
    </row>
    <row r="3419" spans="1:1">
      <c r="A3419" t="s">
        <v>7196</v>
      </c>
    </row>
    <row r="3420" spans="1:1">
      <c r="A3420" t="s">
        <v>7197</v>
      </c>
    </row>
    <row r="3421" spans="1:1">
      <c r="A3421" t="s">
        <v>7141</v>
      </c>
    </row>
    <row r="3422" spans="1:1">
      <c r="A3422" t="s">
        <v>7084</v>
      </c>
    </row>
    <row r="3423" spans="1:1">
      <c r="A3423" t="s">
        <v>7198</v>
      </c>
    </row>
    <row r="3425" spans="1:1">
      <c r="A3425" t="s">
        <v>406</v>
      </c>
    </row>
    <row r="3426" spans="1:1">
      <c r="A3426" t="s">
        <v>7199</v>
      </c>
    </row>
    <row r="3427" spans="1:1">
      <c r="A3427" t="s">
        <v>7200</v>
      </c>
    </row>
    <row r="3428" spans="1:1">
      <c r="A3428" t="s">
        <v>7201</v>
      </c>
    </row>
    <row r="3429" spans="1:1">
      <c r="A3429" t="s">
        <v>7202</v>
      </c>
    </row>
    <row r="3430" spans="1:1">
      <c r="A3430" t="s">
        <v>7203</v>
      </c>
    </row>
    <row r="3431" spans="1:1">
      <c r="A3431" t="s">
        <v>7204</v>
      </c>
    </row>
    <row r="3432" spans="1:1">
      <c r="A3432" t="s">
        <v>7205</v>
      </c>
    </row>
    <row r="3433" spans="1:1">
      <c r="A3433" t="s">
        <v>7206</v>
      </c>
    </row>
    <row r="3434" spans="1:1">
      <c r="A3434" t="s">
        <v>7207</v>
      </c>
    </row>
    <row r="3435" spans="1:1">
      <c r="A3435" t="s">
        <v>421</v>
      </c>
    </row>
    <row r="3436" spans="1:1">
      <c r="A3436" t="s">
        <v>7208</v>
      </c>
    </row>
    <row r="3441" spans="1:1">
      <c r="A3441" t="s">
        <v>3739</v>
      </c>
    </row>
    <row r="3442" spans="1:1">
      <c r="A3442" t="s">
        <v>5070</v>
      </c>
    </row>
    <row r="3443" spans="1:1">
      <c r="A3443" t="s">
        <v>7209</v>
      </c>
    </row>
    <row r="3444" spans="1:1">
      <c r="A3444" t="s">
        <v>7210</v>
      </c>
    </row>
    <row r="3445" spans="1:1">
      <c r="A3445" t="s">
        <v>5073</v>
      </c>
    </row>
    <row r="3446" spans="1:1">
      <c r="A3446" t="s">
        <v>7211</v>
      </c>
    </row>
    <row r="3447" spans="1:1">
      <c r="A3447" t="s">
        <v>376</v>
      </c>
    </row>
    <row r="3449" spans="1:1">
      <c r="A3449" t="s">
        <v>5749</v>
      </c>
    </row>
    <row r="3450" spans="1:1">
      <c r="A3450" t="s">
        <v>378</v>
      </c>
    </row>
    <row r="3451" spans="1:1">
      <c r="A3451" t="s">
        <v>7212</v>
      </c>
    </row>
    <row r="3452" spans="1:1">
      <c r="A3452" t="s">
        <v>7213</v>
      </c>
    </row>
    <row r="3453" spans="1:1">
      <c r="A3453" t="s">
        <v>7214</v>
      </c>
    </row>
    <row r="3454" spans="1:1">
      <c r="A3454" t="s">
        <v>7215</v>
      </c>
    </row>
    <row r="3455" spans="1:1">
      <c r="A3455" t="s">
        <v>7216</v>
      </c>
    </row>
    <row r="3456" spans="1:1">
      <c r="A3456" t="s">
        <v>7217</v>
      </c>
    </row>
    <row r="3457" spans="1:1">
      <c r="A3457" t="s">
        <v>7218</v>
      </c>
    </row>
    <row r="3458" spans="1:1">
      <c r="A3458" t="s">
        <v>7219</v>
      </c>
    </row>
    <row r="3461" spans="1:1">
      <c r="A3461" t="s">
        <v>392</v>
      </c>
    </row>
    <row r="3462" spans="1:1">
      <c r="A3462" t="s">
        <v>5323</v>
      </c>
    </row>
    <row r="3463" spans="1:1">
      <c r="A3463" t="s">
        <v>7220</v>
      </c>
    </row>
    <row r="3464" spans="1:1">
      <c r="A3464" t="s">
        <v>6044</v>
      </c>
    </row>
    <row r="3465" spans="1:1">
      <c r="A3465" t="s">
        <v>7221</v>
      </c>
    </row>
    <row r="3466" spans="1:1">
      <c r="A3466" t="s">
        <v>7222</v>
      </c>
    </row>
    <row r="3467" spans="1:1">
      <c r="A3467" t="s">
        <v>7223</v>
      </c>
    </row>
    <row r="3468" spans="1:1">
      <c r="A3468" t="s">
        <v>7224</v>
      </c>
    </row>
    <row r="3469" spans="1:1">
      <c r="A3469" t="s">
        <v>7225</v>
      </c>
    </row>
    <row r="3471" spans="1:1">
      <c r="A3471" t="s">
        <v>406</v>
      </c>
    </row>
    <row r="3472" spans="1:1">
      <c r="A3472" t="s">
        <v>7226</v>
      </c>
    </row>
    <row r="3473" spans="1:1">
      <c r="A3473" t="s">
        <v>7227</v>
      </c>
    </row>
    <row r="3474" spans="1:1">
      <c r="A3474" t="s">
        <v>7228</v>
      </c>
    </row>
    <row r="3475" spans="1:1">
      <c r="A3475" t="s">
        <v>7229</v>
      </c>
    </row>
    <row r="3476" spans="1:1">
      <c r="A3476" t="s">
        <v>7230</v>
      </c>
    </row>
    <row r="3477" spans="1:1">
      <c r="A3477" t="s">
        <v>7231</v>
      </c>
    </row>
    <row r="3478" spans="1:1">
      <c r="A3478" t="s">
        <v>7232</v>
      </c>
    </row>
    <row r="3479" spans="1:1">
      <c r="A3479" t="s">
        <v>7233</v>
      </c>
    </row>
    <row r="3480" spans="1:1">
      <c r="A3480" t="s">
        <v>7234</v>
      </c>
    </row>
    <row r="3481" spans="1:1">
      <c r="A3481" t="s">
        <v>421</v>
      </c>
    </row>
    <row r="3482" spans="1:1">
      <c r="A3482" t="s">
        <v>7235</v>
      </c>
    </row>
    <row r="3487" spans="1:1">
      <c r="A3487" t="s">
        <v>3784</v>
      </c>
    </row>
    <row r="3488" spans="1:1">
      <c r="A3488" t="s">
        <v>5070</v>
      </c>
    </row>
    <row r="3489" spans="1:1">
      <c r="A3489" t="s">
        <v>7236</v>
      </c>
    </row>
    <row r="3490" spans="1:1">
      <c r="A3490" t="s">
        <v>7237</v>
      </c>
    </row>
    <row r="3491" spans="1:1">
      <c r="A3491" t="s">
        <v>5073</v>
      </c>
    </row>
    <row r="3492" spans="1:1">
      <c r="A3492" t="s">
        <v>7238</v>
      </c>
    </row>
    <row r="3493" spans="1:1">
      <c r="A3493" t="s">
        <v>376</v>
      </c>
    </row>
    <row r="3495" spans="1:1">
      <c r="A3495" t="s">
        <v>5285</v>
      </c>
    </row>
    <row r="3496" spans="1:1">
      <c r="A3496" t="s">
        <v>378</v>
      </c>
    </row>
    <row r="3497" spans="1:1">
      <c r="A3497" t="s">
        <v>7239</v>
      </c>
    </row>
    <row r="3498" spans="1:1">
      <c r="A3498" t="s">
        <v>7240</v>
      </c>
    </row>
    <row r="3499" spans="1:1">
      <c r="A3499" t="s">
        <v>7241</v>
      </c>
    </row>
    <row r="3500" spans="1:1">
      <c r="A3500" t="s">
        <v>7242</v>
      </c>
    </row>
    <row r="3501" spans="1:1">
      <c r="A3501" t="s">
        <v>7243</v>
      </c>
    </row>
    <row r="3502" spans="1:1">
      <c r="A3502" t="s">
        <v>7244</v>
      </c>
    </row>
    <row r="3503" spans="1:1">
      <c r="A3503" t="s">
        <v>7245</v>
      </c>
    </row>
    <row r="3504" spans="1:1">
      <c r="A3504" t="s">
        <v>7246</v>
      </c>
    </row>
    <row r="3507" spans="1:1">
      <c r="A3507" t="s">
        <v>392</v>
      </c>
    </row>
    <row r="3508" spans="1:1">
      <c r="A3508" t="s">
        <v>7247</v>
      </c>
    </row>
    <row r="3509" spans="1:1">
      <c r="A3509" t="s">
        <v>7248</v>
      </c>
    </row>
    <row r="3510" spans="1:1">
      <c r="A3510" t="s">
        <v>7249</v>
      </c>
    </row>
    <row r="3511" spans="1:1">
      <c r="A3511" t="s">
        <v>7250</v>
      </c>
    </row>
    <row r="3512" spans="1:1">
      <c r="A3512" t="s">
        <v>7251</v>
      </c>
    </row>
    <row r="3513" spans="1:1">
      <c r="A3513" t="s">
        <v>7252</v>
      </c>
    </row>
    <row r="3514" spans="1:1">
      <c r="A3514" t="s">
        <v>7253</v>
      </c>
    </row>
    <row r="3515" spans="1:1">
      <c r="A3515" t="s">
        <v>7254</v>
      </c>
    </row>
    <row r="3517" spans="1:1">
      <c r="A3517" t="s">
        <v>406</v>
      </c>
    </row>
    <row r="3518" spans="1:1">
      <c r="A3518" t="s">
        <v>7255</v>
      </c>
    </row>
    <row r="3519" spans="1:1">
      <c r="A3519" t="s">
        <v>7256</v>
      </c>
    </row>
    <row r="3520" spans="1:1">
      <c r="A3520" t="s">
        <v>7257</v>
      </c>
    </row>
    <row r="3521" spans="1:1">
      <c r="A3521" t="s">
        <v>7258</v>
      </c>
    </row>
    <row r="3522" spans="1:1">
      <c r="A3522" t="s">
        <v>7259</v>
      </c>
    </row>
    <row r="3523" spans="1:1">
      <c r="A3523" t="s">
        <v>7260</v>
      </c>
    </row>
    <row r="3524" spans="1:1">
      <c r="A3524" t="s">
        <v>7261</v>
      </c>
    </row>
    <row r="3525" spans="1:1">
      <c r="A3525" t="s">
        <v>7262</v>
      </c>
    </row>
    <row r="3526" spans="1:1">
      <c r="A3526" t="s">
        <v>7263</v>
      </c>
    </row>
    <row r="3527" spans="1:1">
      <c r="A3527" t="s">
        <v>421</v>
      </c>
    </row>
    <row r="3528" spans="1:1">
      <c r="A3528" t="s">
        <v>7264</v>
      </c>
    </row>
    <row r="3533" spans="1:1">
      <c r="A3533" t="s">
        <v>3829</v>
      </c>
    </row>
    <row r="3534" spans="1:1">
      <c r="A3534" t="s">
        <v>5070</v>
      </c>
    </row>
    <row r="3535" spans="1:1">
      <c r="A3535" t="s">
        <v>7265</v>
      </c>
    </row>
    <row r="3536" spans="1:1">
      <c r="A3536" t="s">
        <v>7266</v>
      </c>
    </row>
    <row r="3537" spans="1:1">
      <c r="A3537" t="s">
        <v>5073</v>
      </c>
    </row>
    <row r="3538" spans="1:1">
      <c r="A3538" t="s">
        <v>7267</v>
      </c>
    </row>
    <row r="3539" spans="1:1">
      <c r="A3539" t="s">
        <v>376</v>
      </c>
    </row>
    <row r="3541" spans="1:1">
      <c r="A3541" t="s">
        <v>5749</v>
      </c>
    </row>
    <row r="3542" spans="1:1">
      <c r="A3542" t="s">
        <v>378</v>
      </c>
    </row>
    <row r="3543" spans="1:1">
      <c r="A3543" t="s">
        <v>7268</v>
      </c>
    </row>
    <row r="3544" spans="1:1">
      <c r="A3544" t="s">
        <v>7269</v>
      </c>
    </row>
    <row r="3545" spans="1:1">
      <c r="A3545" t="s">
        <v>7270</v>
      </c>
    </row>
    <row r="3546" spans="1:1">
      <c r="A3546" t="s">
        <v>7271</v>
      </c>
    </row>
    <row r="3547" spans="1:1">
      <c r="A3547" t="s">
        <v>7272</v>
      </c>
    </row>
    <row r="3548" spans="1:1">
      <c r="A3548" t="s">
        <v>7273</v>
      </c>
    </row>
    <row r="3549" spans="1:1">
      <c r="A3549" t="s">
        <v>7274</v>
      </c>
    </row>
    <row r="3550" spans="1:1">
      <c r="A3550" t="s">
        <v>7275</v>
      </c>
    </row>
    <row r="3553" spans="1:1">
      <c r="A3553" t="s">
        <v>392</v>
      </c>
    </row>
    <row r="3554" spans="1:1">
      <c r="A3554" t="s">
        <v>7276</v>
      </c>
    </row>
    <row r="3555" spans="1:1">
      <c r="A3555" t="s">
        <v>7277</v>
      </c>
    </row>
    <row r="3556" spans="1:1">
      <c r="A3556" t="s">
        <v>6073</v>
      </c>
    </row>
    <row r="3557" spans="1:1">
      <c r="A3557" t="s">
        <v>7278</v>
      </c>
    </row>
    <row r="3558" spans="1:1">
      <c r="A3558" t="s">
        <v>6075</v>
      </c>
    </row>
    <row r="3559" spans="1:1">
      <c r="A3559" t="s">
        <v>7279</v>
      </c>
    </row>
    <row r="3560" spans="1:1">
      <c r="A3560" t="s">
        <v>7280</v>
      </c>
    </row>
    <row r="3562" spans="1:1">
      <c r="A3562" t="s">
        <v>406</v>
      </c>
    </row>
    <row r="3563" spans="1:1">
      <c r="A3563" t="s">
        <v>7281</v>
      </c>
    </row>
    <row r="3564" spans="1:1">
      <c r="A3564" t="s">
        <v>7282</v>
      </c>
    </row>
    <row r="3565" spans="1:1">
      <c r="A3565" t="s">
        <v>7283</v>
      </c>
    </row>
    <row r="3566" spans="1:1">
      <c r="A3566" t="s">
        <v>7284</v>
      </c>
    </row>
    <row r="3567" spans="1:1">
      <c r="A3567" t="s">
        <v>7285</v>
      </c>
    </row>
    <row r="3568" spans="1:1">
      <c r="A3568" t="s">
        <v>7286</v>
      </c>
    </row>
    <row r="3569" spans="1:1">
      <c r="A3569" t="s">
        <v>7287</v>
      </c>
    </row>
    <row r="3570" spans="1:1">
      <c r="A3570" t="s">
        <v>7288</v>
      </c>
    </row>
    <row r="3571" spans="1:1">
      <c r="A3571" t="s">
        <v>7289</v>
      </c>
    </row>
    <row r="3572" spans="1:1">
      <c r="A3572" t="s">
        <v>421</v>
      </c>
    </row>
    <row r="3573" spans="1:1">
      <c r="A3573" t="s">
        <v>7290</v>
      </c>
    </row>
    <row r="3578" spans="1:1">
      <c r="A3578" t="s">
        <v>3874</v>
      </c>
    </row>
    <row r="3579" spans="1:1">
      <c r="A3579" t="s">
        <v>5070</v>
      </c>
    </row>
    <row r="3580" spans="1:1">
      <c r="A3580" t="s">
        <v>7291</v>
      </c>
    </row>
    <row r="3581" spans="1:1">
      <c r="A3581" t="s">
        <v>7292</v>
      </c>
    </row>
    <row r="3582" spans="1:1">
      <c r="A3582" t="s">
        <v>5073</v>
      </c>
    </row>
    <row r="3583" spans="1:1">
      <c r="A3583" t="s">
        <v>7293</v>
      </c>
    </row>
    <row r="3584" spans="1:1">
      <c r="A3584" t="s">
        <v>376</v>
      </c>
    </row>
    <row r="3586" spans="1:1">
      <c r="A3586" t="s">
        <v>5749</v>
      </c>
    </row>
    <row r="3587" spans="1:1">
      <c r="A3587" t="s">
        <v>378</v>
      </c>
    </row>
    <row r="3588" spans="1:1">
      <c r="A3588" t="s">
        <v>7294</v>
      </c>
    </row>
    <row r="3589" spans="1:1">
      <c r="A3589" t="s">
        <v>7295</v>
      </c>
    </row>
    <row r="3590" spans="1:1">
      <c r="A3590" t="s">
        <v>7296</v>
      </c>
    </row>
    <row r="3591" spans="1:1">
      <c r="A3591" t="s">
        <v>7297</v>
      </c>
    </row>
    <row r="3592" spans="1:1">
      <c r="A3592" t="s">
        <v>7298</v>
      </c>
    </row>
    <row r="3593" spans="1:1">
      <c r="A3593" t="s">
        <v>7299</v>
      </c>
    </row>
    <row r="3594" spans="1:1">
      <c r="A3594" t="s">
        <v>7300</v>
      </c>
    </row>
    <row r="3595" spans="1:1">
      <c r="A3595" t="s">
        <v>7301</v>
      </c>
    </row>
    <row r="3598" spans="1:1">
      <c r="A3598" t="s">
        <v>392</v>
      </c>
    </row>
    <row r="3599" spans="1:1">
      <c r="A3599" t="s">
        <v>7302</v>
      </c>
    </row>
    <row r="3600" spans="1:1">
      <c r="A3600" t="s">
        <v>7303</v>
      </c>
    </row>
    <row r="3601" spans="1:1">
      <c r="A3601" t="s">
        <v>7304</v>
      </c>
    </row>
    <row r="3602" spans="1:1">
      <c r="A3602" t="s">
        <v>7305</v>
      </c>
    </row>
    <row r="3603" spans="1:1">
      <c r="A3603" t="s">
        <v>7306</v>
      </c>
    </row>
    <row r="3604" spans="1:1">
      <c r="A3604" t="s">
        <v>7307</v>
      </c>
    </row>
    <row r="3605" spans="1:1">
      <c r="A3605" t="s">
        <v>7308</v>
      </c>
    </row>
    <row r="3607" spans="1:1">
      <c r="A3607" t="s">
        <v>406</v>
      </c>
    </row>
    <row r="3608" spans="1:1">
      <c r="A3608" t="s">
        <v>7309</v>
      </c>
    </row>
    <row r="3609" spans="1:1">
      <c r="A3609" t="s">
        <v>7310</v>
      </c>
    </row>
    <row r="3610" spans="1:1">
      <c r="A3610" t="s">
        <v>7311</v>
      </c>
    </row>
    <row r="3611" spans="1:1">
      <c r="A3611" t="s">
        <v>7312</v>
      </c>
    </row>
    <row r="3612" spans="1:1">
      <c r="A3612" t="s">
        <v>7313</v>
      </c>
    </row>
    <row r="3613" spans="1:1">
      <c r="A3613" t="s">
        <v>7314</v>
      </c>
    </row>
    <row r="3614" spans="1:1">
      <c r="A3614" t="s">
        <v>7315</v>
      </c>
    </row>
    <row r="3615" spans="1:1">
      <c r="A3615" t="s">
        <v>7316</v>
      </c>
    </row>
    <row r="3616" spans="1:1">
      <c r="A3616" t="s">
        <v>7317</v>
      </c>
    </row>
    <row r="3617" spans="1:1">
      <c r="A3617" t="s">
        <v>421</v>
      </c>
    </row>
    <row r="3618" spans="1:1">
      <c r="A3618" t="s">
        <v>7318</v>
      </c>
    </row>
    <row r="3623" spans="1:1">
      <c r="A3623" t="s">
        <v>3919</v>
      </c>
    </row>
    <row r="3624" spans="1:1">
      <c r="A3624" t="s">
        <v>5070</v>
      </c>
    </row>
    <row r="3625" spans="1:1">
      <c r="A3625" t="s">
        <v>7319</v>
      </c>
    </row>
    <row r="3626" spans="1:1">
      <c r="A3626" t="s">
        <v>7320</v>
      </c>
    </row>
    <row r="3627" spans="1:1">
      <c r="A3627" t="s">
        <v>5073</v>
      </c>
    </row>
    <row r="3628" spans="1:1">
      <c r="A3628" t="s">
        <v>7321</v>
      </c>
    </row>
    <row r="3629" spans="1:1">
      <c r="A3629" t="s">
        <v>376</v>
      </c>
    </row>
    <row r="3631" spans="1:1">
      <c r="A3631" t="s">
        <v>5749</v>
      </c>
    </row>
    <row r="3632" spans="1:1">
      <c r="A3632" t="s">
        <v>378</v>
      </c>
    </row>
    <row r="3633" spans="1:1">
      <c r="A3633" t="s">
        <v>7322</v>
      </c>
    </row>
    <row r="3634" spans="1:1">
      <c r="A3634" t="s">
        <v>7323</v>
      </c>
    </row>
    <row r="3635" spans="1:1">
      <c r="A3635" t="s">
        <v>7324</v>
      </c>
    </row>
    <row r="3636" spans="1:1">
      <c r="A3636" t="s">
        <v>7325</v>
      </c>
    </row>
    <row r="3637" spans="1:1">
      <c r="A3637" t="s">
        <v>7326</v>
      </c>
    </row>
    <row r="3638" spans="1:1">
      <c r="A3638" t="s">
        <v>7327</v>
      </c>
    </row>
    <row r="3639" spans="1:1">
      <c r="A3639" t="s">
        <v>7328</v>
      </c>
    </row>
    <row r="3640" spans="1:1">
      <c r="A3640" t="s">
        <v>7329</v>
      </c>
    </row>
    <row r="3643" spans="1:1">
      <c r="A3643" t="s">
        <v>392</v>
      </c>
    </row>
    <row r="3644" spans="1:1">
      <c r="A3644" t="s">
        <v>7330</v>
      </c>
    </row>
    <row r="3645" spans="1:1">
      <c r="A3645" t="s">
        <v>7331</v>
      </c>
    </row>
    <row r="3646" spans="1:1">
      <c r="A3646" t="s">
        <v>7332</v>
      </c>
    </row>
    <row r="3647" spans="1:1">
      <c r="A3647" t="s">
        <v>7333</v>
      </c>
    </row>
    <row r="3648" spans="1:1">
      <c r="A3648" t="s">
        <v>7334</v>
      </c>
    </row>
    <row r="3649" spans="1:1">
      <c r="A3649" t="s">
        <v>7335</v>
      </c>
    </row>
    <row r="3650" spans="1:1">
      <c r="A3650" t="s">
        <v>7336</v>
      </c>
    </row>
    <row r="3651" spans="1:1">
      <c r="A3651" t="s">
        <v>7337</v>
      </c>
    </row>
    <row r="3653" spans="1:1">
      <c r="A3653" t="s">
        <v>406</v>
      </c>
    </row>
    <row r="3654" spans="1:1">
      <c r="A3654" t="s">
        <v>7338</v>
      </c>
    </row>
    <row r="3655" spans="1:1">
      <c r="A3655" t="s">
        <v>7339</v>
      </c>
    </row>
    <row r="3656" spans="1:1">
      <c r="A3656" t="s">
        <v>7340</v>
      </c>
    </row>
    <row r="3657" spans="1:1">
      <c r="A3657" t="s">
        <v>7341</v>
      </c>
    </row>
    <row r="3658" spans="1:1">
      <c r="A3658" t="s">
        <v>7342</v>
      </c>
    </row>
    <row r="3659" spans="1:1">
      <c r="A3659" t="s">
        <v>7343</v>
      </c>
    </row>
    <row r="3660" spans="1:1">
      <c r="A3660" t="s">
        <v>7344</v>
      </c>
    </row>
    <row r="3661" spans="1:1">
      <c r="A3661" t="s">
        <v>7345</v>
      </c>
    </row>
    <row r="3662" spans="1:1">
      <c r="A3662" t="s">
        <v>7346</v>
      </c>
    </row>
    <row r="3663" spans="1:1">
      <c r="A3663" t="s">
        <v>421</v>
      </c>
    </row>
    <row r="3664" spans="1:1">
      <c r="A3664" t="s">
        <v>7347</v>
      </c>
    </row>
    <row r="3669" spans="1:1">
      <c r="A3669" t="s">
        <v>3962</v>
      </c>
    </row>
    <row r="3670" spans="1:1">
      <c r="A3670" t="s">
        <v>5070</v>
      </c>
    </row>
    <row r="3671" spans="1:1">
      <c r="A3671" t="s">
        <v>7348</v>
      </c>
    </row>
    <row r="3672" spans="1:1">
      <c r="A3672" t="s">
        <v>7349</v>
      </c>
    </row>
    <row r="3673" spans="1:1">
      <c r="A3673" t="s">
        <v>5073</v>
      </c>
    </row>
    <row r="3674" spans="1:1">
      <c r="A3674" t="s">
        <v>7350</v>
      </c>
    </row>
    <row r="3675" spans="1:1">
      <c r="A3675" t="s">
        <v>376</v>
      </c>
    </row>
    <row r="3677" spans="1:1">
      <c r="A3677" t="s">
        <v>5135</v>
      </c>
    </row>
    <row r="3678" spans="1:1">
      <c r="A3678" t="s">
        <v>378</v>
      </c>
    </row>
    <row r="3679" spans="1:1">
      <c r="A3679" t="s">
        <v>7351</v>
      </c>
    </row>
    <row r="3680" spans="1:1">
      <c r="A3680" t="s">
        <v>7352</v>
      </c>
    </row>
    <row r="3681" spans="1:1">
      <c r="A3681" t="s">
        <v>7353</v>
      </c>
    </row>
    <row r="3682" spans="1:1">
      <c r="A3682" t="s">
        <v>7354</v>
      </c>
    </row>
    <row r="3683" spans="1:1">
      <c r="A3683" t="s">
        <v>7355</v>
      </c>
    </row>
    <row r="3684" spans="1:1">
      <c r="A3684" t="s">
        <v>7356</v>
      </c>
    </row>
    <row r="3685" spans="1:1">
      <c r="A3685" t="s">
        <v>7357</v>
      </c>
    </row>
    <row r="3686" spans="1:1">
      <c r="A3686" t="s">
        <v>7358</v>
      </c>
    </row>
    <row r="3689" spans="1:1">
      <c r="A3689" t="s">
        <v>392</v>
      </c>
    </row>
    <row r="3690" spans="1:1">
      <c r="A3690" t="s">
        <v>7359</v>
      </c>
    </row>
    <row r="3691" spans="1:1">
      <c r="A3691" t="s">
        <v>7360</v>
      </c>
    </row>
    <row r="3692" spans="1:1">
      <c r="A3692" t="s">
        <v>7361</v>
      </c>
    </row>
    <row r="3693" spans="1:1">
      <c r="A3693" t="s">
        <v>7362</v>
      </c>
    </row>
    <row r="3694" spans="1:1">
      <c r="A3694" t="s">
        <v>7363</v>
      </c>
    </row>
    <row r="3695" spans="1:1">
      <c r="A3695" t="s">
        <v>7364</v>
      </c>
    </row>
    <row r="3696" spans="1:1">
      <c r="A3696" t="s">
        <v>7365</v>
      </c>
    </row>
    <row r="3697" spans="1:1">
      <c r="A3697" t="s">
        <v>7366</v>
      </c>
    </row>
    <row r="3699" spans="1:1">
      <c r="A3699" t="s">
        <v>406</v>
      </c>
    </row>
    <row r="3700" spans="1:1">
      <c r="A3700" t="s">
        <v>7367</v>
      </c>
    </row>
    <row r="3701" spans="1:1">
      <c r="A3701" t="s">
        <v>7368</v>
      </c>
    </row>
    <row r="3702" spans="1:1">
      <c r="A3702" t="s">
        <v>7369</v>
      </c>
    </row>
    <row r="3703" spans="1:1">
      <c r="A3703" t="s">
        <v>7370</v>
      </c>
    </row>
    <row r="3704" spans="1:1">
      <c r="A3704" t="s">
        <v>7371</v>
      </c>
    </row>
    <row r="3705" spans="1:1">
      <c r="A3705" t="s">
        <v>7372</v>
      </c>
    </row>
    <row r="3706" spans="1:1">
      <c r="A3706" t="s">
        <v>7373</v>
      </c>
    </row>
    <row r="3707" spans="1:1">
      <c r="A3707" t="s">
        <v>7374</v>
      </c>
    </row>
    <row r="3708" spans="1:1">
      <c r="A3708" t="s">
        <v>7375</v>
      </c>
    </row>
    <row r="3709" spans="1:1">
      <c r="A3709" t="s">
        <v>421</v>
      </c>
    </row>
    <row r="3710" spans="1:1">
      <c r="A3710" t="s">
        <v>7376</v>
      </c>
    </row>
    <row r="3715" spans="1:1">
      <c r="A3715" t="s">
        <v>4007</v>
      </c>
    </row>
    <row r="3716" spans="1:1">
      <c r="A3716" t="s">
        <v>5070</v>
      </c>
    </row>
    <row r="3717" spans="1:1">
      <c r="A3717" t="s">
        <v>7377</v>
      </c>
    </row>
    <row r="3718" spans="1:1">
      <c r="A3718" t="s">
        <v>7378</v>
      </c>
    </row>
    <row r="3719" spans="1:1">
      <c r="A3719" t="s">
        <v>5073</v>
      </c>
    </row>
    <row r="3720" spans="1:1">
      <c r="A3720" t="s">
        <v>7379</v>
      </c>
    </row>
    <row r="3721" spans="1:1">
      <c r="A3721" t="s">
        <v>376</v>
      </c>
    </row>
    <row r="3723" spans="1:1">
      <c r="A3723" t="s">
        <v>5105</v>
      </c>
    </row>
    <row r="3724" spans="1:1">
      <c r="A3724" t="s">
        <v>378</v>
      </c>
    </row>
    <row r="3725" spans="1:1">
      <c r="A3725" t="s">
        <v>7380</v>
      </c>
    </row>
    <row r="3726" spans="1:1">
      <c r="A3726" t="s">
        <v>7381</v>
      </c>
    </row>
    <row r="3727" spans="1:1">
      <c r="A3727" t="s">
        <v>7382</v>
      </c>
    </row>
    <row r="3728" spans="1:1">
      <c r="A3728" t="s">
        <v>7383</v>
      </c>
    </row>
    <row r="3729" spans="1:1">
      <c r="A3729" t="s">
        <v>7384</v>
      </c>
    </row>
    <row r="3730" spans="1:1">
      <c r="A3730" t="s">
        <v>7385</v>
      </c>
    </row>
    <row r="3731" spans="1:1">
      <c r="A3731" t="s">
        <v>7386</v>
      </c>
    </row>
    <row r="3732" spans="1:1">
      <c r="A3732" t="s">
        <v>7387</v>
      </c>
    </row>
    <row r="3735" spans="1:1">
      <c r="A3735" t="s">
        <v>392</v>
      </c>
    </row>
    <row r="3736" spans="1:1">
      <c r="A3736" t="s">
        <v>7388</v>
      </c>
    </row>
    <row r="3737" spans="1:1">
      <c r="A3737" t="s">
        <v>7389</v>
      </c>
    </row>
    <row r="3738" spans="1:1">
      <c r="A3738" t="s">
        <v>7390</v>
      </c>
    </row>
    <row r="3739" spans="1:1">
      <c r="A3739" t="s">
        <v>7391</v>
      </c>
    </row>
    <row r="3740" spans="1:1">
      <c r="A3740" t="s">
        <v>6214</v>
      </c>
    </row>
    <row r="3741" spans="1:1">
      <c r="A3741" t="s">
        <v>7392</v>
      </c>
    </row>
    <row r="3742" spans="1:1">
      <c r="A3742" t="s">
        <v>7393</v>
      </c>
    </row>
    <row r="3743" spans="1:1">
      <c r="A3743" t="s">
        <v>7394</v>
      </c>
    </row>
    <row r="3745" spans="1:1">
      <c r="A3745" t="s">
        <v>406</v>
      </c>
    </row>
    <row r="3746" spans="1:1">
      <c r="A3746" t="s">
        <v>7395</v>
      </c>
    </row>
    <row r="3747" spans="1:1">
      <c r="A3747" t="s">
        <v>7396</v>
      </c>
    </row>
    <row r="3748" spans="1:1">
      <c r="A3748" t="s">
        <v>7397</v>
      </c>
    </row>
    <row r="3749" spans="1:1">
      <c r="A3749" t="s">
        <v>7398</v>
      </c>
    </row>
    <row r="3750" spans="1:1">
      <c r="A3750" t="s">
        <v>7399</v>
      </c>
    </row>
    <row r="3751" spans="1:1">
      <c r="A3751" t="s">
        <v>7400</v>
      </c>
    </row>
    <row r="3752" spans="1:1">
      <c r="A3752" t="s">
        <v>7401</v>
      </c>
    </row>
    <row r="3753" spans="1:1">
      <c r="A3753" t="s">
        <v>7402</v>
      </c>
    </row>
    <row r="3754" spans="1:1">
      <c r="A3754" t="s">
        <v>7403</v>
      </c>
    </row>
    <row r="3755" spans="1:1">
      <c r="A3755" t="s">
        <v>421</v>
      </c>
    </row>
    <row r="3756" spans="1:1">
      <c r="A3756" t="s">
        <v>7404</v>
      </c>
    </row>
    <row r="3761" spans="1:1">
      <c r="A3761" t="s">
        <v>4052</v>
      </c>
    </row>
    <row r="3762" spans="1:1">
      <c r="A3762" t="s">
        <v>5070</v>
      </c>
    </row>
    <row r="3763" spans="1:1">
      <c r="A3763" t="s">
        <v>7405</v>
      </c>
    </row>
    <row r="3764" spans="1:1">
      <c r="A3764" t="s">
        <v>7406</v>
      </c>
    </row>
    <row r="3765" spans="1:1">
      <c r="A3765" t="s">
        <v>5073</v>
      </c>
    </row>
    <row r="3766" spans="1:1">
      <c r="A3766" t="s">
        <v>7407</v>
      </c>
    </row>
    <row r="3767" spans="1:1">
      <c r="A3767" t="s">
        <v>376</v>
      </c>
    </row>
    <row r="3769" spans="1:1">
      <c r="A3769" t="s">
        <v>5779</v>
      </c>
    </row>
    <row r="3770" spans="1:1">
      <c r="A3770" t="s">
        <v>378</v>
      </c>
    </row>
    <row r="3771" spans="1:1">
      <c r="A3771" t="s">
        <v>7408</v>
      </c>
    </row>
    <row r="3772" spans="1:1">
      <c r="A3772" t="s">
        <v>7409</v>
      </c>
    </row>
    <row r="3773" spans="1:1">
      <c r="A3773" t="s">
        <v>7410</v>
      </c>
    </row>
    <row r="3774" spans="1:1">
      <c r="A3774" t="s">
        <v>7411</v>
      </c>
    </row>
    <row r="3775" spans="1:1">
      <c r="A3775" t="s">
        <v>7412</v>
      </c>
    </row>
    <row r="3776" spans="1:1">
      <c r="A3776" t="s">
        <v>7413</v>
      </c>
    </row>
    <row r="3777" spans="1:1">
      <c r="A3777" t="s">
        <v>7414</v>
      </c>
    </row>
    <row r="3778" spans="1:1">
      <c r="A3778" t="s">
        <v>7415</v>
      </c>
    </row>
    <row r="3781" spans="1:1">
      <c r="A3781" t="s">
        <v>392</v>
      </c>
    </row>
    <row r="3782" spans="1:1">
      <c r="A3782" t="s">
        <v>7416</v>
      </c>
    </row>
    <row r="3783" spans="1:1">
      <c r="A3783" t="s">
        <v>7417</v>
      </c>
    </row>
    <row r="3784" spans="1:1">
      <c r="A3784" t="s">
        <v>7026</v>
      </c>
    </row>
    <row r="3785" spans="1:1">
      <c r="A3785" t="s">
        <v>7418</v>
      </c>
    </row>
    <row r="3786" spans="1:1">
      <c r="A3786" t="s">
        <v>7419</v>
      </c>
    </row>
    <row r="3787" spans="1:1">
      <c r="A3787" t="s">
        <v>7029</v>
      </c>
    </row>
    <row r="3788" spans="1:1">
      <c r="A3788" t="s">
        <v>7420</v>
      </c>
    </row>
    <row r="3790" spans="1:1">
      <c r="A3790" t="s">
        <v>406</v>
      </c>
    </row>
    <row r="3791" spans="1:1">
      <c r="A3791" t="s">
        <v>7421</v>
      </c>
    </row>
    <row r="3792" spans="1:1">
      <c r="A3792" t="s">
        <v>7422</v>
      </c>
    </row>
    <row r="3793" spans="1:1">
      <c r="A3793" t="s">
        <v>7423</v>
      </c>
    </row>
    <row r="3794" spans="1:1">
      <c r="A3794" t="s">
        <v>7424</v>
      </c>
    </row>
    <row r="3795" spans="1:1">
      <c r="A3795" t="s">
        <v>7425</v>
      </c>
    </row>
    <row r="3796" spans="1:1">
      <c r="A3796" t="s">
        <v>6366</v>
      </c>
    </row>
    <row r="3797" spans="1:1">
      <c r="A3797" t="s">
        <v>7426</v>
      </c>
    </row>
    <row r="3798" spans="1:1">
      <c r="A3798" t="s">
        <v>7427</v>
      </c>
    </row>
    <row r="3799" spans="1:1">
      <c r="A3799" t="s">
        <v>7428</v>
      </c>
    </row>
    <row r="3800" spans="1:1">
      <c r="A3800" t="s">
        <v>421</v>
      </c>
    </row>
    <row r="3801" spans="1:1">
      <c r="A3801" t="s">
        <v>7429</v>
      </c>
    </row>
    <row r="3806" spans="1:1">
      <c r="A3806" t="s">
        <v>4097</v>
      </c>
    </row>
    <row r="3807" spans="1:1">
      <c r="A3807" t="s">
        <v>5070</v>
      </c>
    </row>
    <row r="3808" spans="1:1">
      <c r="A3808" t="s">
        <v>7430</v>
      </c>
    </row>
    <row r="3809" spans="1:1">
      <c r="A3809" t="s">
        <v>7431</v>
      </c>
    </row>
    <row r="3810" spans="1:1">
      <c r="A3810" t="s">
        <v>5073</v>
      </c>
    </row>
    <row r="3811" spans="1:1">
      <c r="A3811" t="s">
        <v>7432</v>
      </c>
    </row>
    <row r="3812" spans="1:1">
      <c r="A3812" t="s">
        <v>376</v>
      </c>
    </row>
    <row r="3814" spans="1:1">
      <c r="A3814" t="s">
        <v>5918</v>
      </c>
    </row>
    <row r="3815" spans="1:1">
      <c r="A3815" t="s">
        <v>378</v>
      </c>
    </row>
    <row r="3816" spans="1:1">
      <c r="A3816" t="s">
        <v>7433</v>
      </c>
    </row>
    <row r="3817" spans="1:1">
      <c r="A3817" t="s">
        <v>7434</v>
      </c>
    </row>
    <row r="3818" spans="1:1">
      <c r="A3818" t="s">
        <v>7435</v>
      </c>
    </row>
    <row r="3819" spans="1:1">
      <c r="A3819" t="s">
        <v>7436</v>
      </c>
    </row>
    <row r="3820" spans="1:1">
      <c r="A3820" t="s">
        <v>7437</v>
      </c>
    </row>
    <row r="3821" spans="1:1">
      <c r="A3821" t="s">
        <v>7438</v>
      </c>
    </row>
    <row r="3822" spans="1:1">
      <c r="A3822" t="s">
        <v>7439</v>
      </c>
    </row>
    <row r="3823" spans="1:1">
      <c r="A3823" t="s">
        <v>7440</v>
      </c>
    </row>
    <row r="3826" spans="1:1">
      <c r="A3826" t="s">
        <v>392</v>
      </c>
    </row>
    <row r="3827" spans="1:1">
      <c r="A3827" t="s">
        <v>7441</v>
      </c>
    </row>
    <row r="3828" spans="1:1">
      <c r="A3828" t="s">
        <v>7442</v>
      </c>
    </row>
    <row r="3829" spans="1:1">
      <c r="A3829" t="s">
        <v>7443</v>
      </c>
    </row>
    <row r="3830" spans="1:1">
      <c r="A3830" t="s">
        <v>7444</v>
      </c>
    </row>
    <row r="3831" spans="1:1">
      <c r="A3831" t="s">
        <v>7445</v>
      </c>
    </row>
    <row r="3832" spans="1:1">
      <c r="A3832" t="s">
        <v>7446</v>
      </c>
    </row>
    <row r="3833" spans="1:1">
      <c r="A3833" t="s">
        <v>7447</v>
      </c>
    </row>
    <row r="3835" spans="1:1">
      <c r="A3835" t="s">
        <v>406</v>
      </c>
    </row>
    <row r="3836" spans="1:1">
      <c r="A3836" t="s">
        <v>7448</v>
      </c>
    </row>
    <row r="3837" spans="1:1">
      <c r="A3837" t="s">
        <v>7449</v>
      </c>
    </row>
    <row r="3838" spans="1:1">
      <c r="A3838" t="s">
        <v>7450</v>
      </c>
    </row>
    <row r="3839" spans="1:1">
      <c r="A3839" t="s">
        <v>7451</v>
      </c>
    </row>
    <row r="3840" spans="1:1">
      <c r="A3840" t="s">
        <v>7452</v>
      </c>
    </row>
    <row r="3841" spans="1:1">
      <c r="A3841" t="s">
        <v>7453</v>
      </c>
    </row>
    <row r="3842" spans="1:1">
      <c r="A3842" t="s">
        <v>7454</v>
      </c>
    </row>
    <row r="3843" spans="1:1">
      <c r="A3843" t="s">
        <v>7455</v>
      </c>
    </row>
    <row r="3844" spans="1:1">
      <c r="A3844" t="s">
        <v>7456</v>
      </c>
    </row>
    <row r="3845" spans="1:1">
      <c r="A3845" t="s">
        <v>421</v>
      </c>
    </row>
    <row r="3846" spans="1:1">
      <c r="A3846" t="s">
        <v>7457</v>
      </c>
    </row>
    <row r="3851" spans="1:1">
      <c r="A3851" t="s">
        <v>4142</v>
      </c>
    </row>
    <row r="3852" spans="1:1">
      <c r="A3852" t="s">
        <v>5070</v>
      </c>
    </row>
    <row r="3853" spans="1:1">
      <c r="A3853" t="s">
        <v>7458</v>
      </c>
    </row>
    <row r="3854" spans="1:1">
      <c r="A3854" t="s">
        <v>7459</v>
      </c>
    </row>
    <row r="3855" spans="1:1">
      <c r="A3855" t="s">
        <v>5073</v>
      </c>
    </row>
    <row r="3856" spans="1:1">
      <c r="A3856" t="s">
        <v>7460</v>
      </c>
    </row>
    <row r="3857" spans="1:1">
      <c r="A3857" t="s">
        <v>376</v>
      </c>
    </row>
    <row r="3859" spans="1:1">
      <c r="A3859" t="s">
        <v>5779</v>
      </c>
    </row>
    <row r="3860" spans="1:1">
      <c r="A3860" t="s">
        <v>378</v>
      </c>
    </row>
    <row r="3861" spans="1:1">
      <c r="A3861" t="s">
        <v>7461</v>
      </c>
    </row>
    <row r="3862" spans="1:1">
      <c r="A3862" t="s">
        <v>7462</v>
      </c>
    </row>
    <row r="3863" spans="1:1">
      <c r="A3863" t="s">
        <v>7463</v>
      </c>
    </row>
    <row r="3864" spans="1:1">
      <c r="A3864" t="s">
        <v>7464</v>
      </c>
    </row>
    <row r="3865" spans="1:1">
      <c r="A3865" t="s">
        <v>7465</v>
      </c>
    </row>
    <row r="3866" spans="1:1">
      <c r="A3866" t="s">
        <v>7466</v>
      </c>
    </row>
    <row r="3867" spans="1:1">
      <c r="A3867" t="s">
        <v>7467</v>
      </c>
    </row>
    <row r="3868" spans="1:1">
      <c r="A3868" t="s">
        <v>7468</v>
      </c>
    </row>
    <row r="3871" spans="1:1">
      <c r="A3871" t="s">
        <v>392</v>
      </c>
    </row>
    <row r="3872" spans="1:1">
      <c r="A3872" t="s">
        <v>7469</v>
      </c>
    </row>
    <row r="3873" spans="1:1">
      <c r="A3873" t="s">
        <v>7470</v>
      </c>
    </row>
    <row r="3874" spans="1:1">
      <c r="A3874" t="s">
        <v>7471</v>
      </c>
    </row>
    <row r="3875" spans="1:1">
      <c r="A3875" t="s">
        <v>7472</v>
      </c>
    </row>
    <row r="3876" spans="1:1">
      <c r="A3876" t="s">
        <v>7473</v>
      </c>
    </row>
    <row r="3877" spans="1:1">
      <c r="A3877" t="s">
        <v>7474</v>
      </c>
    </row>
    <row r="3878" spans="1:1">
      <c r="A3878" t="s">
        <v>7475</v>
      </c>
    </row>
    <row r="3880" spans="1:1">
      <c r="A3880" t="s">
        <v>406</v>
      </c>
    </row>
    <row r="3881" spans="1:1">
      <c r="A3881" t="s">
        <v>7476</v>
      </c>
    </row>
    <row r="3882" spans="1:1">
      <c r="A3882" t="s">
        <v>7477</v>
      </c>
    </row>
    <row r="3883" spans="1:1">
      <c r="A3883" t="s">
        <v>7478</v>
      </c>
    </row>
    <row r="3884" spans="1:1">
      <c r="A3884" t="s">
        <v>7479</v>
      </c>
    </row>
    <row r="3885" spans="1:1">
      <c r="A3885" t="s">
        <v>7480</v>
      </c>
    </row>
    <row r="3886" spans="1:1">
      <c r="A3886" t="s">
        <v>7481</v>
      </c>
    </row>
    <row r="3887" spans="1:1">
      <c r="A3887" t="s">
        <v>7482</v>
      </c>
    </row>
    <row r="3888" spans="1:1">
      <c r="A3888" t="s">
        <v>7483</v>
      </c>
    </row>
    <row r="3889" spans="1:1">
      <c r="A3889" t="s">
        <v>7484</v>
      </c>
    </row>
    <row r="3890" spans="1:1">
      <c r="A3890" t="s">
        <v>421</v>
      </c>
    </row>
    <row r="3891" spans="1:1">
      <c r="A3891" t="s">
        <v>7485</v>
      </c>
    </row>
    <row r="3896" spans="1:1">
      <c r="A3896" t="s">
        <v>4187</v>
      </c>
    </row>
    <row r="3897" spans="1:1">
      <c r="A3897" t="s">
        <v>5070</v>
      </c>
    </row>
    <row r="3898" spans="1:1">
      <c r="A3898" t="s">
        <v>7486</v>
      </c>
    </row>
    <row r="3899" spans="1:1">
      <c r="A3899" t="s">
        <v>7487</v>
      </c>
    </row>
    <row r="3900" spans="1:1">
      <c r="A3900" t="s">
        <v>5073</v>
      </c>
    </row>
    <row r="3901" spans="1:1">
      <c r="A3901" t="s">
        <v>7488</v>
      </c>
    </row>
    <row r="3902" spans="1:1">
      <c r="A3902" t="s">
        <v>376</v>
      </c>
    </row>
    <row r="3904" spans="1:1">
      <c r="A3904" t="s">
        <v>5749</v>
      </c>
    </row>
    <row r="3905" spans="1:1">
      <c r="A3905" t="s">
        <v>378</v>
      </c>
    </row>
    <row r="3906" spans="1:1">
      <c r="A3906" t="s">
        <v>7489</v>
      </c>
    </row>
    <row r="3907" spans="1:1">
      <c r="A3907" t="s">
        <v>7490</v>
      </c>
    </row>
    <row r="3908" spans="1:1">
      <c r="A3908" t="s">
        <v>7491</v>
      </c>
    </row>
    <row r="3909" spans="1:1">
      <c r="A3909" t="s">
        <v>7492</v>
      </c>
    </row>
    <row r="3910" spans="1:1">
      <c r="A3910" t="s">
        <v>7493</v>
      </c>
    </row>
    <row r="3911" spans="1:1">
      <c r="A3911" t="s">
        <v>7494</v>
      </c>
    </row>
    <row r="3912" spans="1:1">
      <c r="A3912" t="s">
        <v>7495</v>
      </c>
    </row>
    <row r="3913" spans="1:1">
      <c r="A3913" t="s">
        <v>7496</v>
      </c>
    </row>
    <row r="3916" spans="1:1">
      <c r="A3916" t="s">
        <v>392</v>
      </c>
    </row>
    <row r="3917" spans="1:1">
      <c r="A3917" t="s">
        <v>7497</v>
      </c>
    </row>
    <row r="3918" spans="1:1">
      <c r="A3918" t="s">
        <v>7498</v>
      </c>
    </row>
    <row r="3919" spans="1:1">
      <c r="A3919" t="s">
        <v>7499</v>
      </c>
    </row>
    <row r="3920" spans="1:1">
      <c r="A3920" t="s">
        <v>7500</v>
      </c>
    </row>
    <row r="3921" spans="1:1">
      <c r="A3921" t="s">
        <v>7501</v>
      </c>
    </row>
    <row r="3922" spans="1:1">
      <c r="A3922" t="s">
        <v>7502</v>
      </c>
    </row>
    <row r="3923" spans="1:1">
      <c r="A3923" t="s">
        <v>7503</v>
      </c>
    </row>
    <row r="3925" spans="1:1">
      <c r="A3925" t="s">
        <v>406</v>
      </c>
    </row>
    <row r="3926" spans="1:1">
      <c r="A3926" t="s">
        <v>7504</v>
      </c>
    </row>
    <row r="3927" spans="1:1">
      <c r="A3927" t="s">
        <v>7505</v>
      </c>
    </row>
    <row r="3928" spans="1:1">
      <c r="A3928" t="s">
        <v>7506</v>
      </c>
    </row>
    <row r="3929" spans="1:1">
      <c r="A3929" t="s">
        <v>7507</v>
      </c>
    </row>
    <row r="3930" spans="1:1">
      <c r="A3930" t="s">
        <v>7508</v>
      </c>
    </row>
    <row r="3931" spans="1:1">
      <c r="A3931" t="s">
        <v>7509</v>
      </c>
    </row>
    <row r="3932" spans="1:1">
      <c r="A3932" t="s">
        <v>7510</v>
      </c>
    </row>
    <row r="3933" spans="1:1">
      <c r="A3933" t="s">
        <v>7511</v>
      </c>
    </row>
    <row r="3934" spans="1:1">
      <c r="A3934" t="s">
        <v>7512</v>
      </c>
    </row>
    <row r="3935" spans="1:1">
      <c r="A3935" t="s">
        <v>421</v>
      </c>
    </row>
    <row r="3936" spans="1:1">
      <c r="A3936" t="s">
        <v>7513</v>
      </c>
    </row>
    <row r="3941" spans="1:1">
      <c r="A3941" t="s">
        <v>4232</v>
      </c>
    </row>
    <row r="3942" spans="1:1">
      <c r="A3942" t="s">
        <v>5070</v>
      </c>
    </row>
    <row r="3943" spans="1:1">
      <c r="A3943" t="s">
        <v>7514</v>
      </c>
    </row>
    <row r="3944" spans="1:1">
      <c r="A3944" t="s">
        <v>7515</v>
      </c>
    </row>
    <row r="3945" spans="1:1">
      <c r="A3945" t="s">
        <v>5073</v>
      </c>
    </row>
    <row r="3946" spans="1:1">
      <c r="A3946" t="s">
        <v>7516</v>
      </c>
    </row>
    <row r="3947" spans="1:1">
      <c r="A3947" t="s">
        <v>376</v>
      </c>
    </row>
    <row r="3949" spans="1:1">
      <c r="A3949" t="s">
        <v>5724</v>
      </c>
    </row>
    <row r="3950" spans="1:1">
      <c r="A3950" t="s">
        <v>378</v>
      </c>
    </row>
    <row r="3951" spans="1:1">
      <c r="A3951" t="s">
        <v>7517</v>
      </c>
    </row>
    <row r="3952" spans="1:1">
      <c r="A3952" t="s">
        <v>7518</v>
      </c>
    </row>
    <row r="3953" spans="1:1">
      <c r="A3953" t="s">
        <v>7519</v>
      </c>
    </row>
    <row r="3954" spans="1:1">
      <c r="A3954" t="s">
        <v>7520</v>
      </c>
    </row>
    <row r="3955" spans="1:1">
      <c r="A3955" t="s">
        <v>7521</v>
      </c>
    </row>
    <row r="3956" spans="1:1">
      <c r="A3956" t="s">
        <v>7522</v>
      </c>
    </row>
    <row r="3957" spans="1:1">
      <c r="A3957" t="s">
        <v>7523</v>
      </c>
    </row>
    <row r="3958" spans="1:1">
      <c r="A3958" t="s">
        <v>7524</v>
      </c>
    </row>
    <row r="3961" spans="1:1">
      <c r="A3961" t="s">
        <v>392</v>
      </c>
    </row>
    <row r="3962" spans="1:1">
      <c r="A3962" t="s">
        <v>7525</v>
      </c>
    </row>
    <row r="3963" spans="1:1">
      <c r="A3963" t="s">
        <v>7526</v>
      </c>
    </row>
    <row r="3964" spans="1:1">
      <c r="A3964" t="s">
        <v>7527</v>
      </c>
    </row>
    <row r="3965" spans="1:1">
      <c r="A3965" t="s">
        <v>7528</v>
      </c>
    </row>
    <row r="3966" spans="1:1">
      <c r="A3966" t="s">
        <v>7529</v>
      </c>
    </row>
    <row r="3967" spans="1:1">
      <c r="A3967" t="s">
        <v>7530</v>
      </c>
    </row>
    <row r="3968" spans="1:1">
      <c r="A3968" t="s">
        <v>7531</v>
      </c>
    </row>
    <row r="3970" spans="1:1">
      <c r="A3970" t="s">
        <v>406</v>
      </c>
    </row>
    <row r="3971" spans="1:1">
      <c r="A3971" t="s">
        <v>7532</v>
      </c>
    </row>
    <row r="3972" spans="1:1">
      <c r="A3972" t="s">
        <v>7533</v>
      </c>
    </row>
    <row r="3973" spans="1:1">
      <c r="A3973" t="s">
        <v>7534</v>
      </c>
    </row>
    <row r="3974" spans="1:1">
      <c r="A3974" t="s">
        <v>7535</v>
      </c>
    </row>
    <row r="3975" spans="1:1">
      <c r="A3975" t="s">
        <v>7536</v>
      </c>
    </row>
    <row r="3976" spans="1:1">
      <c r="A3976" t="s">
        <v>6366</v>
      </c>
    </row>
    <row r="3977" spans="1:1">
      <c r="A3977" t="s">
        <v>7537</v>
      </c>
    </row>
    <row r="3978" spans="1:1">
      <c r="A3978" t="s">
        <v>7538</v>
      </c>
    </row>
    <row r="3979" spans="1:1">
      <c r="A3979" t="s">
        <v>7539</v>
      </c>
    </row>
    <row r="3980" spans="1:1">
      <c r="A3980" t="s">
        <v>421</v>
      </c>
    </row>
    <row r="3981" spans="1:1">
      <c r="A3981" t="s">
        <v>7540</v>
      </c>
    </row>
    <row r="3986" spans="1:1">
      <c r="A3986" t="s">
        <v>4277</v>
      </c>
    </row>
    <row r="3987" spans="1:1">
      <c r="A3987" t="s">
        <v>5070</v>
      </c>
    </row>
    <row r="3988" spans="1:1">
      <c r="A3988" t="s">
        <v>7541</v>
      </c>
    </row>
    <row r="3989" spans="1:1">
      <c r="A3989" t="s">
        <v>7542</v>
      </c>
    </row>
    <row r="3990" spans="1:1">
      <c r="A3990" t="s">
        <v>5073</v>
      </c>
    </row>
    <row r="3991" spans="1:1">
      <c r="A3991" t="s">
        <v>7543</v>
      </c>
    </row>
    <row r="3992" spans="1:1">
      <c r="A3992" t="s">
        <v>376</v>
      </c>
    </row>
    <row r="3994" spans="1:1">
      <c r="A3994" t="s">
        <v>5749</v>
      </c>
    </row>
    <row r="3995" spans="1:1">
      <c r="A3995" t="s">
        <v>378</v>
      </c>
    </row>
    <row r="3996" spans="1:1">
      <c r="A3996" t="s">
        <v>7544</v>
      </c>
    </row>
    <row r="3997" spans="1:1">
      <c r="A3997" t="s">
        <v>7545</v>
      </c>
    </row>
    <row r="3998" spans="1:1">
      <c r="A3998" t="s">
        <v>7546</v>
      </c>
    </row>
    <row r="3999" spans="1:1">
      <c r="A3999" t="s">
        <v>7547</v>
      </c>
    </row>
    <row r="4000" spans="1:1">
      <c r="A4000" t="s">
        <v>7548</v>
      </c>
    </row>
    <row r="4001" spans="1:1">
      <c r="A4001" t="s">
        <v>7549</v>
      </c>
    </row>
    <row r="4002" spans="1:1">
      <c r="A4002" t="s">
        <v>7550</v>
      </c>
    </row>
    <row r="4003" spans="1:1">
      <c r="A4003" t="s">
        <v>7551</v>
      </c>
    </row>
    <row r="4006" spans="1:1">
      <c r="A4006" t="s">
        <v>392</v>
      </c>
    </row>
    <row r="4007" spans="1:1">
      <c r="A4007" t="s">
        <v>7552</v>
      </c>
    </row>
    <row r="4008" spans="1:1">
      <c r="A4008" t="s">
        <v>7553</v>
      </c>
    </row>
    <row r="4009" spans="1:1">
      <c r="A4009" t="s">
        <v>7554</v>
      </c>
    </row>
    <row r="4010" spans="1:1">
      <c r="A4010" t="s">
        <v>7555</v>
      </c>
    </row>
    <row r="4011" spans="1:1">
      <c r="A4011" t="s">
        <v>7556</v>
      </c>
    </row>
    <row r="4012" spans="1:1">
      <c r="A4012" t="s">
        <v>7557</v>
      </c>
    </row>
    <row r="4013" spans="1:1">
      <c r="A4013" t="s">
        <v>7558</v>
      </c>
    </row>
    <row r="4015" spans="1:1">
      <c r="A4015" t="s">
        <v>406</v>
      </c>
    </row>
    <row r="4016" spans="1:1">
      <c r="A4016" t="s">
        <v>7559</v>
      </c>
    </row>
    <row r="4017" spans="1:1">
      <c r="A4017" t="s">
        <v>7560</v>
      </c>
    </row>
    <row r="4018" spans="1:1">
      <c r="A4018" t="s">
        <v>7561</v>
      </c>
    </row>
    <row r="4019" spans="1:1">
      <c r="A4019" t="s">
        <v>7562</v>
      </c>
    </row>
    <row r="4020" spans="1:1">
      <c r="A4020" t="s">
        <v>7563</v>
      </c>
    </row>
    <row r="4021" spans="1:1">
      <c r="A4021" t="s">
        <v>7564</v>
      </c>
    </row>
    <row r="4022" spans="1:1">
      <c r="A4022" t="s">
        <v>7565</v>
      </c>
    </row>
    <row r="4023" spans="1:1">
      <c r="A4023" t="s">
        <v>7566</v>
      </c>
    </row>
    <row r="4024" spans="1:1">
      <c r="A4024" t="s">
        <v>7567</v>
      </c>
    </row>
    <row r="4025" spans="1:1">
      <c r="A4025" t="s">
        <v>421</v>
      </c>
    </row>
    <row r="4026" spans="1:1">
      <c r="A4026" t="s">
        <v>7568</v>
      </c>
    </row>
    <row r="4031" spans="1:1">
      <c r="A4031" t="s">
        <v>4321</v>
      </c>
    </row>
    <row r="4032" spans="1:1">
      <c r="A4032" t="s">
        <v>5070</v>
      </c>
    </row>
    <row r="4033" spans="1:1">
      <c r="A4033" t="s">
        <v>7569</v>
      </c>
    </row>
    <row r="4034" spans="1:1">
      <c r="A4034" t="s">
        <v>7570</v>
      </c>
    </row>
    <row r="4035" spans="1:1">
      <c r="A4035" t="s">
        <v>5073</v>
      </c>
    </row>
    <row r="4036" spans="1:1">
      <c r="A4036" t="s">
        <v>7571</v>
      </c>
    </row>
    <row r="4037" spans="1:1">
      <c r="A4037" t="s">
        <v>376</v>
      </c>
    </row>
    <row r="4039" spans="1:1">
      <c r="A4039" t="s">
        <v>5135</v>
      </c>
    </row>
    <row r="4040" spans="1:1">
      <c r="A4040" t="s">
        <v>378</v>
      </c>
    </row>
    <row r="4041" spans="1:1">
      <c r="A4041" t="s">
        <v>7572</v>
      </c>
    </row>
    <row r="4042" spans="1:1">
      <c r="A4042" t="s">
        <v>7573</v>
      </c>
    </row>
    <row r="4043" spans="1:1">
      <c r="A4043" t="s">
        <v>7574</v>
      </c>
    </row>
    <row r="4044" spans="1:1">
      <c r="A4044" t="s">
        <v>7575</v>
      </c>
    </row>
    <row r="4045" spans="1:1">
      <c r="A4045" t="s">
        <v>7576</v>
      </c>
    </row>
    <row r="4046" spans="1:1">
      <c r="A4046" t="s">
        <v>7577</v>
      </c>
    </row>
    <row r="4047" spans="1:1">
      <c r="A4047" t="s">
        <v>7578</v>
      </c>
    </row>
    <row r="4048" spans="1:1">
      <c r="A4048" t="s">
        <v>7579</v>
      </c>
    </row>
    <row r="4051" spans="1:1">
      <c r="A4051" t="s">
        <v>392</v>
      </c>
    </row>
    <row r="4052" spans="1:1">
      <c r="A4052" t="s">
        <v>7580</v>
      </c>
    </row>
    <row r="4053" spans="1:1">
      <c r="A4053" t="s">
        <v>7581</v>
      </c>
    </row>
    <row r="4054" spans="1:1">
      <c r="A4054" t="s">
        <v>7582</v>
      </c>
    </row>
    <row r="4055" spans="1:1">
      <c r="A4055" t="s">
        <v>7583</v>
      </c>
    </row>
    <row r="4056" spans="1:1">
      <c r="A4056" t="s">
        <v>7584</v>
      </c>
    </row>
    <row r="4057" spans="1:1">
      <c r="A4057" t="s">
        <v>6805</v>
      </c>
    </row>
    <row r="4058" spans="1:1">
      <c r="A4058" t="s">
        <v>5818</v>
      </c>
    </row>
    <row r="4059" spans="1:1">
      <c r="A4059" t="s">
        <v>7585</v>
      </c>
    </row>
    <row r="4061" spans="1:1">
      <c r="A4061" t="s">
        <v>406</v>
      </c>
    </row>
    <row r="4062" spans="1:1">
      <c r="A4062" t="s">
        <v>7586</v>
      </c>
    </row>
    <row r="4063" spans="1:1">
      <c r="A4063" t="s">
        <v>7587</v>
      </c>
    </row>
    <row r="4064" spans="1:1">
      <c r="A4064" t="s">
        <v>7588</v>
      </c>
    </row>
    <row r="4065" spans="1:1">
      <c r="A4065" t="s">
        <v>7589</v>
      </c>
    </row>
    <row r="4066" spans="1:1">
      <c r="A4066" t="s">
        <v>7590</v>
      </c>
    </row>
    <row r="4067" spans="1:1">
      <c r="A4067" t="s">
        <v>7591</v>
      </c>
    </row>
    <row r="4068" spans="1:1">
      <c r="A4068" t="s">
        <v>7592</v>
      </c>
    </row>
    <row r="4069" spans="1:1">
      <c r="A4069" t="s">
        <v>7593</v>
      </c>
    </row>
    <row r="4070" spans="1:1">
      <c r="A4070" t="s">
        <v>7594</v>
      </c>
    </row>
    <row r="4071" spans="1:1">
      <c r="A4071" t="s">
        <v>421</v>
      </c>
    </row>
    <row r="4072" spans="1:1">
      <c r="A4072" t="s">
        <v>7595</v>
      </c>
    </row>
    <row r="4077" spans="1:1">
      <c r="A4077" t="s">
        <v>4366</v>
      </c>
    </row>
    <row r="4078" spans="1:1">
      <c r="A4078" t="s">
        <v>5070</v>
      </c>
    </row>
    <row r="4079" spans="1:1">
      <c r="A4079" t="s">
        <v>7596</v>
      </c>
    </row>
    <row r="4080" spans="1:1">
      <c r="A4080" t="s">
        <v>7597</v>
      </c>
    </row>
    <row r="4081" spans="1:1">
      <c r="A4081" t="s">
        <v>5073</v>
      </c>
    </row>
    <row r="4082" spans="1:1">
      <c r="A4082" t="s">
        <v>7598</v>
      </c>
    </row>
    <row r="4083" spans="1:1">
      <c r="A4083" t="s">
        <v>376</v>
      </c>
    </row>
    <row r="4085" spans="1:1">
      <c r="A4085" t="s">
        <v>5779</v>
      </c>
    </row>
    <row r="4086" spans="1:1">
      <c r="A4086" t="s">
        <v>378</v>
      </c>
    </row>
    <row r="4087" spans="1:1">
      <c r="A4087" t="s">
        <v>7599</v>
      </c>
    </row>
    <row r="4088" spans="1:1">
      <c r="A4088" t="s">
        <v>7600</v>
      </c>
    </row>
    <row r="4089" spans="1:1">
      <c r="A4089" t="s">
        <v>7601</v>
      </c>
    </row>
    <row r="4090" spans="1:1">
      <c r="A4090" t="s">
        <v>7602</v>
      </c>
    </row>
    <row r="4091" spans="1:1">
      <c r="A4091" t="s">
        <v>7603</v>
      </c>
    </row>
    <row r="4092" spans="1:1">
      <c r="A4092" t="s">
        <v>7604</v>
      </c>
    </row>
    <row r="4093" spans="1:1">
      <c r="A4093" t="s">
        <v>7605</v>
      </c>
    </row>
    <row r="4094" spans="1:1">
      <c r="A4094" t="s">
        <v>7606</v>
      </c>
    </row>
    <row r="4097" spans="1:1">
      <c r="A4097" t="s">
        <v>392</v>
      </c>
    </row>
    <row r="4098" spans="1:1">
      <c r="A4098" t="s">
        <v>7607</v>
      </c>
    </row>
    <row r="4099" spans="1:1">
      <c r="A4099" t="s">
        <v>7608</v>
      </c>
    </row>
    <row r="4100" spans="1:1">
      <c r="A4100" t="s">
        <v>7609</v>
      </c>
    </row>
    <row r="4101" spans="1:1">
      <c r="A4101" t="s">
        <v>7610</v>
      </c>
    </row>
    <row r="4102" spans="1:1">
      <c r="A4102" t="s">
        <v>7611</v>
      </c>
    </row>
    <row r="4103" spans="1:1">
      <c r="A4103" t="s">
        <v>7612</v>
      </c>
    </row>
    <row r="4104" spans="1:1">
      <c r="A4104" t="s">
        <v>7613</v>
      </c>
    </row>
    <row r="4105" spans="1:1">
      <c r="A4105" t="s">
        <v>7614</v>
      </c>
    </row>
    <row r="4107" spans="1:1">
      <c r="A4107" t="s">
        <v>406</v>
      </c>
    </row>
    <row r="4108" spans="1:1">
      <c r="A4108" t="s">
        <v>7615</v>
      </c>
    </row>
    <row r="4109" spans="1:1">
      <c r="A4109" t="s">
        <v>7616</v>
      </c>
    </row>
    <row r="4110" spans="1:1">
      <c r="A4110" t="s">
        <v>7617</v>
      </c>
    </row>
    <row r="4111" spans="1:1">
      <c r="A4111" t="s">
        <v>7618</v>
      </c>
    </row>
    <row r="4112" spans="1:1">
      <c r="A4112" t="s">
        <v>7619</v>
      </c>
    </row>
    <row r="4113" spans="1:1">
      <c r="A4113" t="s">
        <v>7620</v>
      </c>
    </row>
    <row r="4114" spans="1:1">
      <c r="A4114" t="s">
        <v>7621</v>
      </c>
    </row>
    <row r="4115" spans="1:1">
      <c r="A4115" t="s">
        <v>7622</v>
      </c>
    </row>
    <row r="4116" spans="1:1">
      <c r="A4116" t="s">
        <v>7623</v>
      </c>
    </row>
    <row r="4117" spans="1:1">
      <c r="A4117" t="s">
        <v>421</v>
      </c>
    </row>
    <row r="4118" spans="1:1">
      <c r="A4118" t="s">
        <v>7624</v>
      </c>
    </row>
    <row r="4123" spans="1:1">
      <c r="A4123" t="s">
        <v>4411</v>
      </c>
    </row>
    <row r="4124" spans="1:1">
      <c r="A4124" t="s">
        <v>5070</v>
      </c>
    </row>
    <row r="4125" spans="1:1">
      <c r="A4125" t="s">
        <v>7625</v>
      </c>
    </row>
    <row r="4126" spans="1:1">
      <c r="A4126" t="s">
        <v>7626</v>
      </c>
    </row>
    <row r="4127" spans="1:1">
      <c r="A4127" t="s">
        <v>5073</v>
      </c>
    </row>
    <row r="4128" spans="1:1">
      <c r="A4128" t="s">
        <v>7627</v>
      </c>
    </row>
    <row r="4129" spans="1:1">
      <c r="A4129" t="s">
        <v>376</v>
      </c>
    </row>
    <row r="4131" spans="1:1">
      <c r="A4131" t="s">
        <v>7628</v>
      </c>
    </row>
    <row r="4132" spans="1:1">
      <c r="A4132" t="s">
        <v>378</v>
      </c>
    </row>
    <row r="4133" spans="1:1">
      <c r="A4133" t="s">
        <v>7629</v>
      </c>
    </row>
    <row r="4134" spans="1:1">
      <c r="A4134" t="s">
        <v>7630</v>
      </c>
    </row>
    <row r="4135" spans="1:1">
      <c r="A4135" t="s">
        <v>7631</v>
      </c>
    </row>
    <row r="4136" spans="1:1">
      <c r="A4136" t="s">
        <v>7632</v>
      </c>
    </row>
    <row r="4137" spans="1:1">
      <c r="A4137" t="s">
        <v>7633</v>
      </c>
    </row>
    <row r="4138" spans="1:1">
      <c r="A4138" t="s">
        <v>7634</v>
      </c>
    </row>
    <row r="4139" spans="1:1">
      <c r="A4139" t="s">
        <v>7635</v>
      </c>
    </row>
    <row r="4140" spans="1:1">
      <c r="A4140" t="s">
        <v>7636</v>
      </c>
    </row>
    <row r="4143" spans="1:1">
      <c r="A4143" t="s">
        <v>392</v>
      </c>
    </row>
    <row r="4144" spans="1:1">
      <c r="A4144" t="s">
        <v>7637</v>
      </c>
    </row>
    <row r="4145" spans="1:1">
      <c r="A4145" t="s">
        <v>7638</v>
      </c>
    </row>
    <row r="4146" spans="1:1">
      <c r="A4146" t="s">
        <v>7639</v>
      </c>
    </row>
    <row r="4147" spans="1:1">
      <c r="A4147" t="s">
        <v>7640</v>
      </c>
    </row>
    <row r="4148" spans="1:1">
      <c r="A4148" t="s">
        <v>7641</v>
      </c>
    </row>
    <row r="4149" spans="1:1">
      <c r="A4149" t="s">
        <v>7642</v>
      </c>
    </row>
    <row r="4150" spans="1:1">
      <c r="A4150" t="s">
        <v>7643</v>
      </c>
    </row>
    <row r="4151" spans="1:1">
      <c r="A4151" t="s">
        <v>7644</v>
      </c>
    </row>
    <row r="4153" spans="1:1">
      <c r="A4153" t="s">
        <v>406</v>
      </c>
    </row>
    <row r="4154" spans="1:1">
      <c r="A4154" t="s">
        <v>7645</v>
      </c>
    </row>
    <row r="4155" spans="1:1">
      <c r="A4155" t="s">
        <v>7646</v>
      </c>
    </row>
    <row r="4156" spans="1:1">
      <c r="A4156" t="s">
        <v>7647</v>
      </c>
    </row>
    <row r="4157" spans="1:1">
      <c r="A4157" t="s">
        <v>7648</v>
      </c>
    </row>
    <row r="4158" spans="1:1">
      <c r="A4158" t="s">
        <v>7649</v>
      </c>
    </row>
    <row r="4159" spans="1:1">
      <c r="A4159" t="s">
        <v>7650</v>
      </c>
    </row>
    <row r="4160" spans="1:1">
      <c r="A4160" t="s">
        <v>7651</v>
      </c>
    </row>
    <row r="4161" spans="1:1">
      <c r="A4161" t="s">
        <v>7652</v>
      </c>
    </row>
    <row r="4162" spans="1:1">
      <c r="A4162" t="s">
        <v>7653</v>
      </c>
    </row>
    <row r="4163" spans="1:1">
      <c r="A4163" t="s">
        <v>421</v>
      </c>
    </row>
    <row r="4164" spans="1:1">
      <c r="A4164" t="s">
        <v>7654</v>
      </c>
    </row>
    <row r="4169" spans="1:1">
      <c r="A4169" t="s">
        <v>4457</v>
      </c>
    </row>
    <row r="4170" spans="1:1">
      <c r="A4170" t="s">
        <v>5070</v>
      </c>
    </row>
    <row r="4171" spans="1:1">
      <c r="A4171" t="s">
        <v>7655</v>
      </c>
    </row>
    <row r="4172" spans="1:1">
      <c r="A4172" t="s">
        <v>7656</v>
      </c>
    </row>
    <row r="4173" spans="1:1">
      <c r="A4173" t="s">
        <v>5073</v>
      </c>
    </row>
    <row r="4174" spans="1:1">
      <c r="A4174" t="s">
        <v>7657</v>
      </c>
    </row>
    <row r="4175" spans="1:1">
      <c r="A4175" t="s">
        <v>376</v>
      </c>
    </row>
    <row r="4177" spans="1:1">
      <c r="A4177" t="s">
        <v>5749</v>
      </c>
    </row>
    <row r="4178" spans="1:1">
      <c r="A4178" t="s">
        <v>378</v>
      </c>
    </row>
    <row r="4179" spans="1:1">
      <c r="A4179" t="s">
        <v>7658</v>
      </c>
    </row>
    <row r="4180" spans="1:1">
      <c r="A4180" t="s">
        <v>7659</v>
      </c>
    </row>
    <row r="4181" spans="1:1">
      <c r="A4181" t="s">
        <v>7660</v>
      </c>
    </row>
    <row r="4182" spans="1:1">
      <c r="A4182" t="s">
        <v>7661</v>
      </c>
    </row>
    <row r="4183" spans="1:1">
      <c r="A4183" t="s">
        <v>7662</v>
      </c>
    </row>
    <row r="4184" spans="1:1">
      <c r="A4184" t="s">
        <v>7663</v>
      </c>
    </row>
    <row r="4185" spans="1:1">
      <c r="A4185" t="s">
        <v>7664</v>
      </c>
    </row>
    <row r="4186" spans="1:1">
      <c r="A4186" t="s">
        <v>7665</v>
      </c>
    </row>
    <row r="4189" spans="1:1">
      <c r="A4189" t="s">
        <v>392</v>
      </c>
    </row>
    <row r="4190" spans="1:1">
      <c r="A4190" t="s">
        <v>7666</v>
      </c>
    </row>
    <row r="4191" spans="1:1">
      <c r="A4191" t="s">
        <v>7667</v>
      </c>
    </row>
    <row r="4192" spans="1:1">
      <c r="A4192" t="s">
        <v>7668</v>
      </c>
    </row>
    <row r="4193" spans="1:1">
      <c r="A4193" t="s">
        <v>7669</v>
      </c>
    </row>
    <row r="4194" spans="1:1">
      <c r="A4194" t="s">
        <v>7670</v>
      </c>
    </row>
    <row r="4195" spans="1:1">
      <c r="A4195" t="s">
        <v>7671</v>
      </c>
    </row>
    <row r="4196" spans="1:1">
      <c r="A4196" t="s">
        <v>7672</v>
      </c>
    </row>
    <row r="4198" spans="1:1">
      <c r="A4198" t="s">
        <v>406</v>
      </c>
    </row>
    <row r="4199" spans="1:1">
      <c r="A4199" t="s">
        <v>7673</v>
      </c>
    </row>
    <row r="4200" spans="1:1">
      <c r="A4200" t="s">
        <v>7674</v>
      </c>
    </row>
    <row r="4201" spans="1:1">
      <c r="A4201" t="s">
        <v>7675</v>
      </c>
    </row>
    <row r="4202" spans="1:1">
      <c r="A4202" t="s">
        <v>7676</v>
      </c>
    </row>
    <row r="4203" spans="1:1">
      <c r="A4203" t="s">
        <v>7677</v>
      </c>
    </row>
    <row r="4204" spans="1:1">
      <c r="A4204" t="s">
        <v>7678</v>
      </c>
    </row>
    <row r="4205" spans="1:1">
      <c r="A4205" t="s">
        <v>7679</v>
      </c>
    </row>
    <row r="4206" spans="1:1">
      <c r="A4206" t="s">
        <v>7680</v>
      </c>
    </row>
    <row r="4207" spans="1:1">
      <c r="A4207" t="s">
        <v>7681</v>
      </c>
    </row>
    <row r="4208" spans="1:1">
      <c r="A4208" t="s">
        <v>421</v>
      </c>
    </row>
    <row r="4209" spans="1:1">
      <c r="A4209" t="s">
        <v>7682</v>
      </c>
    </row>
    <row r="4214" spans="1:1">
      <c r="A4214" t="s">
        <v>4502</v>
      </c>
    </row>
    <row r="4215" spans="1:1">
      <c r="A4215" t="s">
        <v>5070</v>
      </c>
    </row>
    <row r="4216" spans="1:1">
      <c r="A4216" t="s">
        <v>7683</v>
      </c>
    </row>
    <row r="4217" spans="1:1">
      <c r="A4217" t="s">
        <v>7684</v>
      </c>
    </row>
    <row r="4218" spans="1:1">
      <c r="A4218" t="s">
        <v>5073</v>
      </c>
    </row>
    <row r="4219" spans="1:1">
      <c r="A4219" t="s">
        <v>7685</v>
      </c>
    </row>
    <row r="4220" spans="1:1">
      <c r="A4220" t="s">
        <v>376</v>
      </c>
    </row>
    <row r="4222" spans="1:1">
      <c r="A4222" t="s">
        <v>5749</v>
      </c>
    </row>
    <row r="4223" spans="1:1">
      <c r="A4223" t="s">
        <v>378</v>
      </c>
    </row>
    <row r="4224" spans="1:1">
      <c r="A4224" t="s">
        <v>7686</v>
      </c>
    </row>
    <row r="4225" spans="1:1">
      <c r="A4225" t="s">
        <v>7687</v>
      </c>
    </row>
    <row r="4226" spans="1:1">
      <c r="A4226" t="s">
        <v>7688</v>
      </c>
    </row>
    <row r="4227" spans="1:1">
      <c r="A4227" t="s">
        <v>7689</v>
      </c>
    </row>
    <row r="4228" spans="1:1">
      <c r="A4228" t="s">
        <v>7690</v>
      </c>
    </row>
    <row r="4229" spans="1:1">
      <c r="A4229" t="s">
        <v>7691</v>
      </c>
    </row>
    <row r="4230" spans="1:1">
      <c r="A4230" t="s">
        <v>7692</v>
      </c>
    </row>
    <row r="4231" spans="1:1">
      <c r="A4231" t="s">
        <v>7693</v>
      </c>
    </row>
    <row r="4234" spans="1:1">
      <c r="A4234" t="s">
        <v>392</v>
      </c>
    </row>
    <row r="4235" spans="1:1">
      <c r="A4235" t="s">
        <v>7694</v>
      </c>
    </row>
    <row r="4236" spans="1:1">
      <c r="A4236" t="s">
        <v>7695</v>
      </c>
    </row>
    <row r="4237" spans="1:1">
      <c r="A4237" t="s">
        <v>7696</v>
      </c>
    </row>
    <row r="4238" spans="1:1">
      <c r="A4238" t="s">
        <v>7697</v>
      </c>
    </row>
    <row r="4239" spans="1:1">
      <c r="A4239" t="s">
        <v>7698</v>
      </c>
    </row>
    <row r="4240" spans="1:1">
      <c r="A4240" t="s">
        <v>6359</v>
      </c>
    </row>
    <row r="4241" spans="1:1">
      <c r="A4241" t="s">
        <v>7699</v>
      </c>
    </row>
    <row r="4243" spans="1:1">
      <c r="A4243" t="s">
        <v>406</v>
      </c>
    </row>
    <row r="4244" spans="1:1">
      <c r="A4244" t="s">
        <v>7700</v>
      </c>
    </row>
    <row r="4245" spans="1:1">
      <c r="A4245" t="s">
        <v>7701</v>
      </c>
    </row>
    <row r="4246" spans="1:1">
      <c r="A4246" t="s">
        <v>7702</v>
      </c>
    </row>
    <row r="4247" spans="1:1">
      <c r="A4247" t="s">
        <v>7703</v>
      </c>
    </row>
    <row r="4248" spans="1:1">
      <c r="A4248" t="s">
        <v>7704</v>
      </c>
    </row>
    <row r="4249" spans="1:1">
      <c r="A4249" t="s">
        <v>7705</v>
      </c>
    </row>
    <row r="4250" spans="1:1">
      <c r="A4250" t="s">
        <v>7706</v>
      </c>
    </row>
    <row r="4251" spans="1:1">
      <c r="A4251" t="s">
        <v>7707</v>
      </c>
    </row>
    <row r="4252" spans="1:1">
      <c r="A4252" t="s">
        <v>7708</v>
      </c>
    </row>
    <row r="4253" spans="1:1">
      <c r="A4253" t="s">
        <v>421</v>
      </c>
    </row>
    <row r="4254" spans="1:1">
      <c r="A4254" t="s">
        <v>7709</v>
      </c>
    </row>
    <row r="4259" spans="1:1">
      <c r="A4259" t="s">
        <v>4547</v>
      </c>
    </row>
    <row r="4260" spans="1:1">
      <c r="A4260" t="s">
        <v>5070</v>
      </c>
    </row>
    <row r="4261" spans="1:1">
      <c r="A4261" t="s">
        <v>7710</v>
      </c>
    </row>
    <row r="4262" spans="1:1">
      <c r="A4262" t="s">
        <v>7711</v>
      </c>
    </row>
    <row r="4263" spans="1:1">
      <c r="A4263" t="s">
        <v>5073</v>
      </c>
    </row>
    <row r="4264" spans="1:1">
      <c r="A4264" t="s">
        <v>7712</v>
      </c>
    </row>
    <row r="4265" spans="1:1">
      <c r="A4265" t="s">
        <v>376</v>
      </c>
    </row>
    <row r="4267" spans="1:1">
      <c r="A4267" t="s">
        <v>5135</v>
      </c>
    </row>
    <row r="4268" spans="1:1">
      <c r="A4268" t="s">
        <v>378</v>
      </c>
    </row>
    <row r="4269" spans="1:1">
      <c r="A4269" t="s">
        <v>7713</v>
      </c>
    </row>
    <row r="4270" spans="1:1">
      <c r="A4270" t="s">
        <v>7714</v>
      </c>
    </row>
    <row r="4271" spans="1:1">
      <c r="A4271" t="s">
        <v>7715</v>
      </c>
    </row>
    <row r="4272" spans="1:1">
      <c r="A4272" t="s">
        <v>7716</v>
      </c>
    </row>
    <row r="4273" spans="1:1">
      <c r="A4273" t="s">
        <v>7717</v>
      </c>
    </row>
    <row r="4274" spans="1:1">
      <c r="A4274" t="s">
        <v>7718</v>
      </c>
    </row>
    <row r="4275" spans="1:1">
      <c r="A4275" t="s">
        <v>7719</v>
      </c>
    </row>
    <row r="4276" spans="1:1">
      <c r="A4276" t="s">
        <v>7720</v>
      </c>
    </row>
    <row r="4279" spans="1:1">
      <c r="A4279" t="s">
        <v>392</v>
      </c>
    </row>
    <row r="4280" spans="1:1">
      <c r="A4280" t="s">
        <v>7721</v>
      </c>
    </row>
    <row r="4281" spans="1:1">
      <c r="A4281" t="s">
        <v>7722</v>
      </c>
    </row>
    <row r="4282" spans="1:1">
      <c r="A4282" t="s">
        <v>7723</v>
      </c>
    </row>
    <row r="4283" spans="1:1">
      <c r="A4283" t="s">
        <v>7724</v>
      </c>
    </row>
    <row r="4284" spans="1:1">
      <c r="A4284" t="s">
        <v>7725</v>
      </c>
    </row>
    <row r="4285" spans="1:1">
      <c r="A4285" t="s">
        <v>7726</v>
      </c>
    </row>
    <row r="4286" spans="1:1">
      <c r="A4286" t="s">
        <v>7727</v>
      </c>
    </row>
    <row r="4288" spans="1:1">
      <c r="A4288" t="s">
        <v>406</v>
      </c>
    </row>
    <row r="4289" spans="1:1">
      <c r="A4289" t="s">
        <v>7728</v>
      </c>
    </row>
    <row r="4290" spans="1:1">
      <c r="A4290" t="s">
        <v>7729</v>
      </c>
    </row>
    <row r="4291" spans="1:1">
      <c r="A4291" t="s">
        <v>7730</v>
      </c>
    </row>
    <row r="4292" spans="1:1">
      <c r="A4292" t="s">
        <v>7731</v>
      </c>
    </row>
    <row r="4293" spans="1:1">
      <c r="A4293" t="s">
        <v>7732</v>
      </c>
    </row>
    <row r="4294" spans="1:1">
      <c r="A4294" t="s">
        <v>7733</v>
      </c>
    </row>
    <row r="4295" spans="1:1">
      <c r="A4295" t="s">
        <v>7734</v>
      </c>
    </row>
    <row r="4296" spans="1:1">
      <c r="A4296" t="s">
        <v>7735</v>
      </c>
    </row>
    <row r="4297" spans="1:1">
      <c r="A4297" t="s">
        <v>7736</v>
      </c>
    </row>
    <row r="4298" spans="1:1">
      <c r="A4298" t="s">
        <v>421</v>
      </c>
    </row>
    <row r="4299" spans="1:1">
      <c r="A4299" t="s">
        <v>7737</v>
      </c>
    </row>
    <row r="4304" spans="1:1">
      <c r="A4304" t="s">
        <v>4592</v>
      </c>
    </row>
    <row r="4305" spans="1:1">
      <c r="A4305" t="s">
        <v>5070</v>
      </c>
    </row>
    <row r="4306" spans="1:1">
      <c r="A4306" t="s">
        <v>7738</v>
      </c>
    </row>
    <row r="4307" spans="1:1">
      <c r="A4307" t="s">
        <v>7739</v>
      </c>
    </row>
    <row r="4308" spans="1:1">
      <c r="A4308" t="s">
        <v>5073</v>
      </c>
    </row>
    <row r="4309" spans="1:1">
      <c r="A4309" t="s">
        <v>7740</v>
      </c>
    </row>
    <row r="4310" spans="1:1">
      <c r="A4310" t="s">
        <v>376</v>
      </c>
    </row>
    <row r="4312" spans="1:1">
      <c r="A4312" t="s">
        <v>5285</v>
      </c>
    </row>
    <row r="4313" spans="1:1">
      <c r="A4313" t="s">
        <v>378</v>
      </c>
    </row>
    <row r="4314" spans="1:1">
      <c r="A4314" t="s">
        <v>7741</v>
      </c>
    </row>
    <row r="4315" spans="1:1">
      <c r="A4315" t="s">
        <v>7742</v>
      </c>
    </row>
    <row r="4316" spans="1:1">
      <c r="A4316" t="s">
        <v>7743</v>
      </c>
    </row>
    <row r="4317" spans="1:1">
      <c r="A4317" t="s">
        <v>7744</v>
      </c>
    </row>
    <row r="4318" spans="1:1">
      <c r="A4318" t="s">
        <v>7745</v>
      </c>
    </row>
    <row r="4319" spans="1:1">
      <c r="A4319" t="s">
        <v>7746</v>
      </c>
    </row>
    <row r="4320" spans="1:1">
      <c r="A4320" t="s">
        <v>7747</v>
      </c>
    </row>
    <row r="4321" spans="1:1">
      <c r="A4321" t="s">
        <v>7748</v>
      </c>
    </row>
    <row r="4324" spans="1:1">
      <c r="A4324" t="s">
        <v>392</v>
      </c>
    </row>
    <row r="4325" spans="1:1">
      <c r="A4325" t="s">
        <v>7749</v>
      </c>
    </row>
    <row r="4326" spans="1:1">
      <c r="A4326" t="s">
        <v>7750</v>
      </c>
    </row>
    <row r="4327" spans="1:1">
      <c r="A4327" t="s">
        <v>7751</v>
      </c>
    </row>
    <row r="4328" spans="1:1">
      <c r="A4328" t="s">
        <v>7752</v>
      </c>
    </row>
    <row r="4329" spans="1:1">
      <c r="A4329" t="s">
        <v>7753</v>
      </c>
    </row>
    <row r="4330" spans="1:1">
      <c r="A4330" t="s">
        <v>7754</v>
      </c>
    </row>
    <row r="4331" spans="1:1">
      <c r="A4331" t="s">
        <v>7755</v>
      </c>
    </row>
    <row r="4332" spans="1:1">
      <c r="A4332" t="s">
        <v>7756</v>
      </c>
    </row>
    <row r="4334" spans="1:1">
      <c r="A4334" t="s">
        <v>406</v>
      </c>
    </row>
    <row r="4335" spans="1:1">
      <c r="A4335" t="s">
        <v>7757</v>
      </c>
    </row>
    <row r="4336" spans="1:1">
      <c r="A4336" t="s">
        <v>7758</v>
      </c>
    </row>
    <row r="4337" spans="1:1">
      <c r="A4337" t="s">
        <v>7759</v>
      </c>
    </row>
    <row r="4338" spans="1:1">
      <c r="A4338" t="s">
        <v>7760</v>
      </c>
    </row>
    <row r="4339" spans="1:1">
      <c r="A4339" t="s">
        <v>7761</v>
      </c>
    </row>
    <row r="4340" spans="1:1">
      <c r="A4340" t="s">
        <v>7762</v>
      </c>
    </row>
    <row r="4341" spans="1:1">
      <c r="A4341" t="s">
        <v>7763</v>
      </c>
    </row>
    <row r="4342" spans="1:1">
      <c r="A4342" t="s">
        <v>7764</v>
      </c>
    </row>
    <row r="4343" spans="1:1">
      <c r="A4343" t="s">
        <v>7765</v>
      </c>
    </row>
    <row r="4344" spans="1:1">
      <c r="A4344" t="s">
        <v>421</v>
      </c>
    </row>
    <row r="4345" spans="1:1">
      <c r="A4345" t="s">
        <v>7766</v>
      </c>
    </row>
    <row r="4350" spans="1:1">
      <c r="A4350" t="s">
        <v>4637</v>
      </c>
    </row>
    <row r="4351" spans="1:1">
      <c r="A4351" t="s">
        <v>5070</v>
      </c>
    </row>
    <row r="4352" spans="1:1">
      <c r="A4352" t="s">
        <v>7767</v>
      </c>
    </row>
    <row r="4353" spans="1:1">
      <c r="A4353" t="s">
        <v>7768</v>
      </c>
    </row>
    <row r="4354" spans="1:1">
      <c r="A4354" t="s">
        <v>5073</v>
      </c>
    </row>
    <row r="4355" spans="1:1">
      <c r="A4355" t="s">
        <v>7769</v>
      </c>
    </row>
    <row r="4356" spans="1:1">
      <c r="A4356" t="s">
        <v>376</v>
      </c>
    </row>
    <row r="4358" spans="1:1">
      <c r="A4358" t="s">
        <v>5749</v>
      </c>
    </row>
    <row r="4359" spans="1:1">
      <c r="A4359" t="s">
        <v>378</v>
      </c>
    </row>
    <row r="4360" spans="1:1">
      <c r="A4360" t="s">
        <v>7770</v>
      </c>
    </row>
    <row r="4361" spans="1:1">
      <c r="A4361" t="s">
        <v>7771</v>
      </c>
    </row>
    <row r="4362" spans="1:1">
      <c r="A4362" t="s">
        <v>7772</v>
      </c>
    </row>
    <row r="4363" spans="1:1">
      <c r="A4363" t="s">
        <v>7773</v>
      </c>
    </row>
    <row r="4364" spans="1:1">
      <c r="A4364" t="s">
        <v>7774</v>
      </c>
    </row>
    <row r="4365" spans="1:1">
      <c r="A4365" t="s">
        <v>7775</v>
      </c>
    </row>
    <row r="4366" spans="1:1">
      <c r="A4366" t="s">
        <v>7776</v>
      </c>
    </row>
    <row r="4367" spans="1:1">
      <c r="A4367" t="s">
        <v>7777</v>
      </c>
    </row>
    <row r="4370" spans="1:1">
      <c r="A4370" t="s">
        <v>392</v>
      </c>
    </row>
    <row r="4371" spans="1:1">
      <c r="A4371" t="s">
        <v>7778</v>
      </c>
    </row>
    <row r="4372" spans="1:1">
      <c r="A4372" t="s">
        <v>7779</v>
      </c>
    </row>
    <row r="4373" spans="1:1">
      <c r="A4373" t="s">
        <v>6298</v>
      </c>
    </row>
    <row r="4374" spans="1:1">
      <c r="A4374" t="s">
        <v>7780</v>
      </c>
    </row>
    <row r="4375" spans="1:1">
      <c r="A4375" t="s">
        <v>7781</v>
      </c>
    </row>
    <row r="4376" spans="1:1">
      <c r="A4376" t="s">
        <v>7782</v>
      </c>
    </row>
    <row r="4377" spans="1:1">
      <c r="A4377" t="s">
        <v>7783</v>
      </c>
    </row>
    <row r="4379" spans="1:1">
      <c r="A4379" t="s">
        <v>406</v>
      </c>
    </row>
    <row r="4380" spans="1:1">
      <c r="A4380" t="s">
        <v>7784</v>
      </c>
    </row>
    <row r="4381" spans="1:1">
      <c r="A4381" t="s">
        <v>7785</v>
      </c>
    </row>
    <row r="4382" spans="1:1">
      <c r="A4382" t="s">
        <v>7786</v>
      </c>
    </row>
    <row r="4383" spans="1:1">
      <c r="A4383" t="s">
        <v>7787</v>
      </c>
    </row>
    <row r="4384" spans="1:1">
      <c r="A4384" t="s">
        <v>7788</v>
      </c>
    </row>
    <row r="4385" spans="1:1">
      <c r="A4385" t="s">
        <v>7789</v>
      </c>
    </row>
    <row r="4386" spans="1:1">
      <c r="A4386" t="s">
        <v>7790</v>
      </c>
    </row>
    <row r="4387" spans="1:1">
      <c r="A4387" t="s">
        <v>7791</v>
      </c>
    </row>
    <row r="4388" spans="1:1">
      <c r="A4388" t="s">
        <v>7792</v>
      </c>
    </row>
    <row r="4389" spans="1:1">
      <c r="A4389" t="s">
        <v>421</v>
      </c>
    </row>
    <row r="4390" spans="1:1">
      <c r="A4390" t="s">
        <v>7793</v>
      </c>
    </row>
    <row r="4395" spans="1:1">
      <c r="A4395" t="s">
        <v>4678</v>
      </c>
    </row>
    <row r="4396" spans="1:1">
      <c r="A4396" t="s">
        <v>5070</v>
      </c>
    </row>
    <row r="4397" spans="1:1">
      <c r="A4397" t="s">
        <v>7794</v>
      </c>
    </row>
    <row r="4398" spans="1:1">
      <c r="A4398" t="s">
        <v>7795</v>
      </c>
    </row>
    <row r="4399" spans="1:1">
      <c r="A4399" t="s">
        <v>5073</v>
      </c>
    </row>
    <row r="4400" spans="1:1">
      <c r="A4400" t="s">
        <v>7796</v>
      </c>
    </row>
    <row r="4401" spans="1:1">
      <c r="A4401" t="s">
        <v>376</v>
      </c>
    </row>
    <row r="4403" spans="1:1">
      <c r="A4403" t="s">
        <v>5665</v>
      </c>
    </row>
    <row r="4404" spans="1:1">
      <c r="A4404" t="s">
        <v>378</v>
      </c>
    </row>
    <row r="4405" spans="1:1">
      <c r="A4405" t="s">
        <v>7797</v>
      </c>
    </row>
    <row r="4406" spans="1:1">
      <c r="A4406" t="s">
        <v>7798</v>
      </c>
    </row>
    <row r="4407" spans="1:1">
      <c r="A4407" t="s">
        <v>7799</v>
      </c>
    </row>
    <row r="4408" spans="1:1">
      <c r="A4408" t="s">
        <v>7800</v>
      </c>
    </row>
    <row r="4409" spans="1:1">
      <c r="A4409" t="s">
        <v>7801</v>
      </c>
    </row>
    <row r="4410" spans="1:1">
      <c r="A4410" t="s">
        <v>7802</v>
      </c>
    </row>
    <row r="4411" spans="1:1">
      <c r="A4411" t="s">
        <v>7803</v>
      </c>
    </row>
    <row r="4412" spans="1:1">
      <c r="A4412" t="s">
        <v>7804</v>
      </c>
    </row>
    <row r="4415" spans="1:1">
      <c r="A4415" t="s">
        <v>392</v>
      </c>
    </row>
    <row r="4416" spans="1:1">
      <c r="A4416" t="s">
        <v>7805</v>
      </c>
    </row>
    <row r="4417" spans="1:1">
      <c r="A4417" t="s">
        <v>7806</v>
      </c>
    </row>
    <row r="4418" spans="1:1">
      <c r="A4418" t="s">
        <v>7807</v>
      </c>
    </row>
    <row r="4419" spans="1:1">
      <c r="A4419" t="s">
        <v>7808</v>
      </c>
    </row>
    <row r="4420" spans="1:1">
      <c r="A4420" t="s">
        <v>7809</v>
      </c>
    </row>
    <row r="4421" spans="1:1">
      <c r="A4421" t="s">
        <v>7810</v>
      </c>
    </row>
    <row r="4422" spans="1:1">
      <c r="A4422" t="s">
        <v>7811</v>
      </c>
    </row>
    <row r="4423" spans="1:1">
      <c r="A4423" t="s">
        <v>7812</v>
      </c>
    </row>
    <row r="4425" spans="1:1">
      <c r="A4425" t="s">
        <v>406</v>
      </c>
    </row>
    <row r="4426" spans="1:1">
      <c r="A4426" t="s">
        <v>7813</v>
      </c>
    </row>
    <row r="4427" spans="1:1">
      <c r="A4427" t="s">
        <v>7814</v>
      </c>
    </row>
    <row r="4428" spans="1:1">
      <c r="A4428" t="s">
        <v>7815</v>
      </c>
    </row>
    <row r="4429" spans="1:1">
      <c r="A4429" t="s">
        <v>7816</v>
      </c>
    </row>
    <row r="4430" spans="1:1">
      <c r="A4430" t="s">
        <v>7817</v>
      </c>
    </row>
    <row r="4431" spans="1:1">
      <c r="A4431" t="s">
        <v>7818</v>
      </c>
    </row>
    <row r="4432" spans="1:1">
      <c r="A4432" t="s">
        <v>7819</v>
      </c>
    </row>
    <row r="4433" spans="1:1">
      <c r="A4433" t="s">
        <v>7820</v>
      </c>
    </row>
    <row r="4434" spans="1:1">
      <c r="A4434" t="s">
        <v>7821</v>
      </c>
    </row>
    <row r="4435" spans="1:1">
      <c r="A4435" t="s">
        <v>421</v>
      </c>
    </row>
    <row r="4436" spans="1:1">
      <c r="A4436" t="s">
        <v>7822</v>
      </c>
    </row>
    <row r="4441" spans="1:1">
      <c r="A4441" t="s">
        <v>4723</v>
      </c>
    </row>
    <row r="4442" spans="1:1">
      <c r="A4442" t="s">
        <v>5070</v>
      </c>
    </row>
    <row r="4443" spans="1:1">
      <c r="A4443" t="s">
        <v>7823</v>
      </c>
    </row>
    <row r="4444" spans="1:1">
      <c r="A4444" t="s">
        <v>7824</v>
      </c>
    </row>
    <row r="4445" spans="1:1">
      <c r="A4445" t="s">
        <v>5073</v>
      </c>
    </row>
    <row r="4446" spans="1:1">
      <c r="A4446" t="s">
        <v>7825</v>
      </c>
    </row>
    <row r="4447" spans="1:1">
      <c r="A4447" t="s">
        <v>376</v>
      </c>
    </row>
    <row r="4449" spans="1:1">
      <c r="A4449" t="s">
        <v>5285</v>
      </c>
    </row>
    <row r="4450" spans="1:1">
      <c r="A4450" t="s">
        <v>378</v>
      </c>
    </row>
    <row r="4451" spans="1:1">
      <c r="A4451" t="s">
        <v>7826</v>
      </c>
    </row>
    <row r="4452" spans="1:1">
      <c r="A4452" t="s">
        <v>7827</v>
      </c>
    </row>
    <row r="4453" spans="1:1">
      <c r="A4453" t="s">
        <v>7828</v>
      </c>
    </row>
    <row r="4454" spans="1:1">
      <c r="A4454" t="s">
        <v>7829</v>
      </c>
    </row>
    <row r="4455" spans="1:1">
      <c r="A4455" t="s">
        <v>7830</v>
      </c>
    </row>
    <row r="4456" spans="1:1">
      <c r="A4456" t="s">
        <v>7831</v>
      </c>
    </row>
    <row r="4457" spans="1:1">
      <c r="A4457" t="s">
        <v>7832</v>
      </c>
    </row>
    <row r="4458" spans="1:1">
      <c r="A4458" t="s">
        <v>7833</v>
      </c>
    </row>
    <row r="4461" spans="1:1">
      <c r="A4461" t="s">
        <v>392</v>
      </c>
    </row>
    <row r="4462" spans="1:1">
      <c r="A4462" t="s">
        <v>7834</v>
      </c>
    </row>
    <row r="4463" spans="1:1">
      <c r="A4463" t="s">
        <v>7835</v>
      </c>
    </row>
    <row r="4464" spans="1:1">
      <c r="A4464" t="s">
        <v>7836</v>
      </c>
    </row>
    <row r="4465" spans="1:1">
      <c r="A4465" t="s">
        <v>7837</v>
      </c>
    </row>
    <row r="4466" spans="1:1">
      <c r="A4466" t="s">
        <v>7838</v>
      </c>
    </row>
    <row r="4467" spans="1:1">
      <c r="A4467" t="s">
        <v>7839</v>
      </c>
    </row>
    <row r="4468" spans="1:1">
      <c r="A4468" t="s">
        <v>7840</v>
      </c>
    </row>
    <row r="4470" spans="1:1">
      <c r="A4470" t="s">
        <v>406</v>
      </c>
    </row>
    <row r="4471" spans="1:1">
      <c r="A4471" t="s">
        <v>7841</v>
      </c>
    </row>
    <row r="4472" spans="1:1">
      <c r="A4472" t="s">
        <v>7842</v>
      </c>
    </row>
    <row r="4473" spans="1:1">
      <c r="A4473" t="s">
        <v>7843</v>
      </c>
    </row>
    <row r="4474" spans="1:1">
      <c r="A4474" t="s">
        <v>7844</v>
      </c>
    </row>
    <row r="4475" spans="1:1">
      <c r="A4475" t="s">
        <v>7845</v>
      </c>
    </row>
    <row r="4476" spans="1:1">
      <c r="A4476" t="s">
        <v>7846</v>
      </c>
    </row>
    <row r="4477" spans="1:1">
      <c r="A4477" t="s">
        <v>7847</v>
      </c>
    </row>
    <row r="4478" spans="1:1">
      <c r="A4478" t="s">
        <v>7848</v>
      </c>
    </row>
    <row r="4479" spans="1:1">
      <c r="A4479" t="s">
        <v>7849</v>
      </c>
    </row>
    <row r="4480" spans="1:1">
      <c r="A4480" t="s">
        <v>421</v>
      </c>
    </row>
    <row r="4481" spans="1:1">
      <c r="A4481" t="s">
        <v>7850</v>
      </c>
    </row>
    <row r="4486" spans="1:1">
      <c r="A4486" t="s">
        <v>4768</v>
      </c>
    </row>
    <row r="4487" spans="1:1">
      <c r="A4487" t="s">
        <v>5070</v>
      </c>
    </row>
    <row r="4488" spans="1:1">
      <c r="A4488" t="s">
        <v>7851</v>
      </c>
    </row>
    <row r="4489" spans="1:1">
      <c r="A4489" t="s">
        <v>7852</v>
      </c>
    </row>
    <row r="4490" spans="1:1">
      <c r="A4490" t="s">
        <v>5073</v>
      </c>
    </row>
    <row r="4491" spans="1:1">
      <c r="A4491" t="s">
        <v>7853</v>
      </c>
    </row>
    <row r="4492" spans="1:1">
      <c r="A4492" t="s">
        <v>376</v>
      </c>
    </row>
    <row r="4494" spans="1:1">
      <c r="A4494" t="s">
        <v>5255</v>
      </c>
    </row>
    <row r="4495" spans="1:1">
      <c r="A4495" t="s">
        <v>378</v>
      </c>
    </row>
    <row r="4496" spans="1:1">
      <c r="A4496" t="s">
        <v>7854</v>
      </c>
    </row>
    <row r="4497" spans="1:1">
      <c r="A4497" t="s">
        <v>7855</v>
      </c>
    </row>
    <row r="4498" spans="1:1">
      <c r="A4498" t="s">
        <v>7856</v>
      </c>
    </row>
    <row r="4499" spans="1:1">
      <c r="A4499" t="s">
        <v>7857</v>
      </c>
    </row>
    <row r="4500" spans="1:1">
      <c r="A4500" t="s">
        <v>7858</v>
      </c>
    </row>
    <row r="4501" spans="1:1">
      <c r="A4501" t="s">
        <v>7859</v>
      </c>
    </row>
    <row r="4502" spans="1:1">
      <c r="A4502" t="s">
        <v>7860</v>
      </c>
    </row>
    <row r="4503" spans="1:1">
      <c r="A4503" t="s">
        <v>7861</v>
      </c>
    </row>
    <row r="4506" spans="1:1">
      <c r="A4506" t="s">
        <v>392</v>
      </c>
    </row>
    <row r="4507" spans="1:1">
      <c r="A4507" t="s">
        <v>7862</v>
      </c>
    </row>
    <row r="4508" spans="1:1">
      <c r="A4508" t="s">
        <v>7863</v>
      </c>
    </row>
    <row r="4509" spans="1:1">
      <c r="A4509" t="s">
        <v>7864</v>
      </c>
    </row>
    <row r="4510" spans="1:1">
      <c r="A4510" t="s">
        <v>7865</v>
      </c>
    </row>
    <row r="4511" spans="1:1">
      <c r="A4511" t="s">
        <v>7866</v>
      </c>
    </row>
    <row r="4512" spans="1:1">
      <c r="A4512" t="s">
        <v>7867</v>
      </c>
    </row>
    <row r="4513" spans="1:1">
      <c r="A4513" t="s">
        <v>7868</v>
      </c>
    </row>
    <row r="4514" spans="1:1">
      <c r="A4514" t="s">
        <v>7869</v>
      </c>
    </row>
    <row r="4516" spans="1:1">
      <c r="A4516" t="s">
        <v>406</v>
      </c>
    </row>
    <row r="4517" spans="1:1">
      <c r="A4517" t="s">
        <v>7870</v>
      </c>
    </row>
    <row r="4518" spans="1:1">
      <c r="A4518" t="s">
        <v>7871</v>
      </c>
    </row>
    <row r="4519" spans="1:1">
      <c r="A4519" t="s">
        <v>7872</v>
      </c>
    </row>
    <row r="4520" spans="1:1">
      <c r="A4520" t="s">
        <v>7873</v>
      </c>
    </row>
    <row r="4521" spans="1:1">
      <c r="A4521" t="s">
        <v>7874</v>
      </c>
    </row>
    <row r="4522" spans="1:1">
      <c r="A4522" t="s">
        <v>7875</v>
      </c>
    </row>
    <row r="4523" spans="1:1">
      <c r="A4523" t="s">
        <v>7876</v>
      </c>
    </row>
    <row r="4524" spans="1:1">
      <c r="A4524" t="s">
        <v>7877</v>
      </c>
    </row>
    <row r="4525" spans="1:1">
      <c r="A4525" t="s">
        <v>7878</v>
      </c>
    </row>
    <row r="4526" spans="1:1">
      <c r="A4526" t="s">
        <v>421</v>
      </c>
    </row>
    <row r="4527" spans="1:1">
      <c r="A4527" t="s">
        <v>7879</v>
      </c>
    </row>
    <row r="4532" spans="1:1">
      <c r="A4532" t="s">
        <v>4813</v>
      </c>
    </row>
    <row r="4533" spans="1:1">
      <c r="A4533" t="s">
        <v>5070</v>
      </c>
    </row>
    <row r="4534" spans="1:1">
      <c r="A4534" t="s">
        <v>7880</v>
      </c>
    </row>
    <row r="4535" spans="1:1">
      <c r="A4535" t="s">
        <v>7881</v>
      </c>
    </row>
    <row r="4536" spans="1:1">
      <c r="A4536" t="s">
        <v>5073</v>
      </c>
    </row>
    <row r="4537" spans="1:1">
      <c r="A4537" t="s">
        <v>7882</v>
      </c>
    </row>
    <row r="4538" spans="1:1">
      <c r="A4538" t="s">
        <v>376</v>
      </c>
    </row>
    <row r="4540" spans="1:1">
      <c r="A4540" t="s">
        <v>5779</v>
      </c>
    </row>
    <row r="4541" spans="1:1">
      <c r="A4541" t="s">
        <v>378</v>
      </c>
    </row>
    <row r="4542" spans="1:1">
      <c r="A4542" t="s">
        <v>7883</v>
      </c>
    </row>
    <row r="4543" spans="1:1">
      <c r="A4543" t="s">
        <v>7884</v>
      </c>
    </row>
    <row r="4544" spans="1:1">
      <c r="A4544" t="s">
        <v>7885</v>
      </c>
    </row>
    <row r="4545" spans="1:1">
      <c r="A4545" t="s">
        <v>7886</v>
      </c>
    </row>
    <row r="4546" spans="1:1">
      <c r="A4546" t="s">
        <v>7887</v>
      </c>
    </row>
    <row r="4547" spans="1:1">
      <c r="A4547" t="s">
        <v>7888</v>
      </c>
    </row>
    <row r="4548" spans="1:1">
      <c r="A4548" t="s">
        <v>7889</v>
      </c>
    </row>
    <row r="4549" spans="1:1">
      <c r="A4549" t="s">
        <v>7890</v>
      </c>
    </row>
    <row r="4552" spans="1:1">
      <c r="A4552" t="s">
        <v>392</v>
      </c>
    </row>
    <row r="4553" spans="1:1">
      <c r="A4553" t="s">
        <v>7891</v>
      </c>
    </row>
    <row r="4554" spans="1:1">
      <c r="A4554" t="s">
        <v>7750</v>
      </c>
    </row>
    <row r="4555" spans="1:1">
      <c r="A4555" t="s">
        <v>7892</v>
      </c>
    </row>
    <row r="4556" spans="1:1">
      <c r="A4556" t="s">
        <v>7893</v>
      </c>
    </row>
    <row r="4557" spans="1:1">
      <c r="A4557" t="s">
        <v>7753</v>
      </c>
    </row>
    <row r="4558" spans="1:1">
      <c r="A4558" t="s">
        <v>7894</v>
      </c>
    </row>
    <row r="4559" spans="1:1">
      <c r="A4559" t="s">
        <v>7895</v>
      </c>
    </row>
    <row r="4560" spans="1:1">
      <c r="A4560" t="s">
        <v>7896</v>
      </c>
    </row>
    <row r="4562" spans="1:1">
      <c r="A4562" t="s">
        <v>406</v>
      </c>
    </row>
    <row r="4563" spans="1:1">
      <c r="A4563" t="s">
        <v>7897</v>
      </c>
    </row>
    <row r="4564" spans="1:1">
      <c r="A4564" t="s">
        <v>7898</v>
      </c>
    </row>
    <row r="4565" spans="1:1">
      <c r="A4565" t="s">
        <v>7899</v>
      </c>
    </row>
    <row r="4566" spans="1:1">
      <c r="A4566" t="s">
        <v>7900</v>
      </c>
    </row>
    <row r="4567" spans="1:1">
      <c r="A4567" t="s">
        <v>7901</v>
      </c>
    </row>
    <row r="4568" spans="1:1">
      <c r="A4568" t="s">
        <v>7902</v>
      </c>
    </row>
    <row r="4569" spans="1:1">
      <c r="A4569" t="s">
        <v>7903</v>
      </c>
    </row>
    <row r="4570" spans="1:1">
      <c r="A4570" t="s">
        <v>7904</v>
      </c>
    </row>
    <row r="4571" spans="1:1">
      <c r="A4571" t="s">
        <v>7905</v>
      </c>
    </row>
    <row r="4572" spans="1:1">
      <c r="A4572" t="s">
        <v>421</v>
      </c>
    </row>
    <row r="4573" spans="1:1">
      <c r="A4573" t="s">
        <v>7906</v>
      </c>
    </row>
    <row r="4578" spans="1:1">
      <c r="A4578" t="s">
        <v>4858</v>
      </c>
    </row>
    <row r="4579" spans="1:1">
      <c r="A4579" t="s">
        <v>5070</v>
      </c>
    </row>
    <row r="4580" spans="1:1">
      <c r="A4580" t="s">
        <v>7907</v>
      </c>
    </row>
    <row r="4581" spans="1:1">
      <c r="A4581" t="s">
        <v>7908</v>
      </c>
    </row>
    <row r="4582" spans="1:1">
      <c r="A4582" t="s">
        <v>5073</v>
      </c>
    </row>
    <row r="4583" spans="1:1">
      <c r="A4583" t="s">
        <v>7909</v>
      </c>
    </row>
    <row r="4584" spans="1:1">
      <c r="A4584" t="s">
        <v>376</v>
      </c>
    </row>
    <row r="4586" spans="1:1">
      <c r="A4586" t="s">
        <v>5285</v>
      </c>
    </row>
    <row r="4587" spans="1:1">
      <c r="A4587" t="s">
        <v>378</v>
      </c>
    </row>
    <row r="4588" spans="1:1">
      <c r="A4588" t="s">
        <v>7910</v>
      </c>
    </row>
    <row r="4589" spans="1:1">
      <c r="A4589" t="s">
        <v>7911</v>
      </c>
    </row>
    <row r="4590" spans="1:1">
      <c r="A4590" t="s">
        <v>7912</v>
      </c>
    </row>
    <row r="4591" spans="1:1">
      <c r="A4591" t="s">
        <v>7913</v>
      </c>
    </row>
    <row r="4592" spans="1:1">
      <c r="A4592" t="s">
        <v>7914</v>
      </c>
    </row>
    <row r="4593" spans="1:1">
      <c r="A4593" t="s">
        <v>7915</v>
      </c>
    </row>
    <row r="4594" spans="1:1">
      <c r="A4594" t="s">
        <v>7916</v>
      </c>
    </row>
    <row r="4595" spans="1:1">
      <c r="A4595" t="s">
        <v>7917</v>
      </c>
    </row>
    <row r="4598" spans="1:1">
      <c r="A4598" t="s">
        <v>392</v>
      </c>
    </row>
    <row r="4599" spans="1:1">
      <c r="A4599" t="s">
        <v>7918</v>
      </c>
    </row>
    <row r="4600" spans="1:1">
      <c r="A4600" t="s">
        <v>7919</v>
      </c>
    </row>
    <row r="4601" spans="1:1">
      <c r="A4601" t="s">
        <v>7920</v>
      </c>
    </row>
    <row r="4602" spans="1:1">
      <c r="A4602" t="s">
        <v>7921</v>
      </c>
    </row>
    <row r="4603" spans="1:1">
      <c r="A4603" t="s">
        <v>7922</v>
      </c>
    </row>
    <row r="4604" spans="1:1">
      <c r="A4604" t="s">
        <v>7923</v>
      </c>
    </row>
    <row r="4605" spans="1:1">
      <c r="A4605" t="s">
        <v>7924</v>
      </c>
    </row>
    <row r="4606" spans="1:1">
      <c r="A4606" t="s">
        <v>7925</v>
      </c>
    </row>
    <row r="4608" spans="1:1">
      <c r="A4608" t="s">
        <v>406</v>
      </c>
    </row>
    <row r="4609" spans="1:1">
      <c r="A4609" t="s">
        <v>7926</v>
      </c>
    </row>
    <row r="4610" spans="1:1">
      <c r="A4610" t="s">
        <v>7927</v>
      </c>
    </row>
    <row r="4611" spans="1:1">
      <c r="A4611" t="s">
        <v>7928</v>
      </c>
    </row>
    <row r="4612" spans="1:1">
      <c r="A4612" t="s">
        <v>7929</v>
      </c>
    </row>
    <row r="4613" spans="1:1">
      <c r="A4613" t="s">
        <v>7930</v>
      </c>
    </row>
    <row r="4614" spans="1:1">
      <c r="A4614" t="s">
        <v>7931</v>
      </c>
    </row>
    <row r="4615" spans="1:1">
      <c r="A4615" t="s">
        <v>7932</v>
      </c>
    </row>
    <row r="4616" spans="1:1">
      <c r="A4616" t="s">
        <v>7933</v>
      </c>
    </row>
    <row r="4617" spans="1:1">
      <c r="A4617" t="s">
        <v>7934</v>
      </c>
    </row>
    <row r="4618" spans="1:1">
      <c r="A4618" t="s">
        <v>421</v>
      </c>
    </row>
    <row r="4619" spans="1:1">
      <c r="A4619" t="s">
        <v>7935</v>
      </c>
    </row>
    <row r="4624" spans="1:1">
      <c r="A4624" t="s">
        <v>4903</v>
      </c>
    </row>
    <row r="4625" spans="1:1">
      <c r="A4625" t="s">
        <v>5070</v>
      </c>
    </row>
    <row r="4626" spans="1:1">
      <c r="A4626" t="s">
        <v>7936</v>
      </c>
    </row>
    <row r="4627" spans="1:1">
      <c r="A4627" t="s">
        <v>7937</v>
      </c>
    </row>
    <row r="4628" spans="1:1">
      <c r="A4628" t="s">
        <v>5073</v>
      </c>
    </row>
    <row r="4629" spans="1:1">
      <c r="A4629" t="s">
        <v>7938</v>
      </c>
    </row>
    <row r="4630" spans="1:1">
      <c r="A4630" t="s">
        <v>376</v>
      </c>
    </row>
    <row r="4632" spans="1:1">
      <c r="A4632" t="s">
        <v>5749</v>
      </c>
    </row>
    <row r="4633" spans="1:1">
      <c r="A4633" t="s">
        <v>378</v>
      </c>
    </row>
    <row r="4634" spans="1:1">
      <c r="A4634" t="s">
        <v>7939</v>
      </c>
    </row>
    <row r="4635" spans="1:1">
      <c r="A4635" t="s">
        <v>7940</v>
      </c>
    </row>
    <row r="4636" spans="1:1">
      <c r="A4636" t="s">
        <v>7941</v>
      </c>
    </row>
    <row r="4637" spans="1:1">
      <c r="A4637" t="s">
        <v>7942</v>
      </c>
    </row>
    <row r="4638" spans="1:1">
      <c r="A4638" t="s">
        <v>7943</v>
      </c>
    </row>
    <row r="4639" spans="1:1">
      <c r="A4639" t="s">
        <v>7944</v>
      </c>
    </row>
    <row r="4640" spans="1:1">
      <c r="A4640" t="s">
        <v>7945</v>
      </c>
    </row>
    <row r="4641" spans="1:1">
      <c r="A4641" t="s">
        <v>7946</v>
      </c>
    </row>
    <row r="4644" spans="1:1">
      <c r="A4644" t="s">
        <v>392</v>
      </c>
    </row>
    <row r="4645" spans="1:1">
      <c r="A4645" t="s">
        <v>7947</v>
      </c>
    </row>
    <row r="4646" spans="1:1">
      <c r="A4646" t="s">
        <v>7948</v>
      </c>
    </row>
    <row r="4647" spans="1:1">
      <c r="A4647" t="s">
        <v>7949</v>
      </c>
    </row>
    <row r="4648" spans="1:1">
      <c r="A4648" t="s">
        <v>7950</v>
      </c>
    </row>
    <row r="4649" spans="1:1">
      <c r="A4649" t="s">
        <v>7951</v>
      </c>
    </row>
    <row r="4650" spans="1:1">
      <c r="A4650" t="s">
        <v>7952</v>
      </c>
    </row>
    <row r="4651" spans="1:1">
      <c r="A4651" t="s">
        <v>7953</v>
      </c>
    </row>
    <row r="4653" spans="1:1">
      <c r="A4653" t="s">
        <v>406</v>
      </c>
    </row>
    <row r="4654" spans="1:1">
      <c r="A4654" t="s">
        <v>7954</v>
      </c>
    </row>
    <row r="4655" spans="1:1">
      <c r="A4655" t="s">
        <v>7955</v>
      </c>
    </row>
    <row r="4656" spans="1:1">
      <c r="A4656" t="s">
        <v>7956</v>
      </c>
    </row>
    <row r="4657" spans="1:1">
      <c r="A4657" t="s">
        <v>7957</v>
      </c>
    </row>
    <row r="4658" spans="1:1">
      <c r="A4658" t="s">
        <v>7958</v>
      </c>
    </row>
    <row r="4659" spans="1:1">
      <c r="A4659" t="s">
        <v>7959</v>
      </c>
    </row>
    <row r="4660" spans="1:1">
      <c r="A4660" t="s">
        <v>7960</v>
      </c>
    </row>
    <row r="4661" spans="1:1">
      <c r="A4661" t="s">
        <v>7961</v>
      </c>
    </row>
    <row r="4662" spans="1:1">
      <c r="A4662" t="s">
        <v>7962</v>
      </c>
    </row>
    <row r="4663" spans="1:1">
      <c r="A4663" t="s">
        <v>421</v>
      </c>
    </row>
    <row r="4664" spans="1:1">
      <c r="A4664" t="s">
        <v>7963</v>
      </c>
    </row>
    <row r="4669" spans="1:1">
      <c r="A4669" t="s">
        <v>4946</v>
      </c>
    </row>
    <row r="4670" spans="1:1">
      <c r="A4670" t="s">
        <v>5070</v>
      </c>
    </row>
    <row r="4671" spans="1:1">
      <c r="A4671" t="s">
        <v>7964</v>
      </c>
    </row>
    <row r="4672" spans="1:1">
      <c r="A4672" t="s">
        <v>7965</v>
      </c>
    </row>
    <row r="4673" spans="1:1">
      <c r="A4673" t="s">
        <v>5073</v>
      </c>
    </row>
    <row r="4674" spans="1:1">
      <c r="A4674" t="s">
        <v>7966</v>
      </c>
    </row>
    <row r="4675" spans="1:1">
      <c r="A4675" t="s">
        <v>376</v>
      </c>
    </row>
    <row r="4677" spans="1:1">
      <c r="A4677" t="s">
        <v>5724</v>
      </c>
    </row>
    <row r="4678" spans="1:1">
      <c r="A4678" t="s">
        <v>378</v>
      </c>
    </row>
    <row r="4679" spans="1:1">
      <c r="A4679" t="s">
        <v>7967</v>
      </c>
    </row>
    <row r="4680" spans="1:1">
      <c r="A4680" t="s">
        <v>7968</v>
      </c>
    </row>
    <row r="4681" spans="1:1">
      <c r="A4681" t="s">
        <v>7969</v>
      </c>
    </row>
    <row r="4682" spans="1:1">
      <c r="A4682" t="s">
        <v>7970</v>
      </c>
    </row>
    <row r="4683" spans="1:1">
      <c r="A4683" t="s">
        <v>7971</v>
      </c>
    </row>
    <row r="4684" spans="1:1">
      <c r="A4684" t="s">
        <v>7972</v>
      </c>
    </row>
    <row r="4685" spans="1:1">
      <c r="A4685" t="s">
        <v>7973</v>
      </c>
    </row>
    <row r="4686" spans="1:1">
      <c r="A4686" t="s">
        <v>7974</v>
      </c>
    </row>
    <row r="4689" spans="1:1">
      <c r="A4689" t="s">
        <v>392</v>
      </c>
    </row>
    <row r="4690" spans="1:1">
      <c r="A4690" t="s">
        <v>7975</v>
      </c>
    </row>
    <row r="4691" spans="1:1">
      <c r="A4691" t="s">
        <v>7976</v>
      </c>
    </row>
    <row r="4692" spans="1:1">
      <c r="A4692" t="s">
        <v>7949</v>
      </c>
    </row>
    <row r="4693" spans="1:1">
      <c r="A4693" t="s">
        <v>7977</v>
      </c>
    </row>
    <row r="4694" spans="1:1">
      <c r="A4694" t="s">
        <v>7978</v>
      </c>
    </row>
    <row r="4695" spans="1:1">
      <c r="A4695" t="s">
        <v>7979</v>
      </c>
    </row>
    <row r="4696" spans="1:1">
      <c r="A4696" t="s">
        <v>7980</v>
      </c>
    </row>
    <row r="4698" spans="1:1">
      <c r="A4698" t="s">
        <v>406</v>
      </c>
    </row>
    <row r="4699" spans="1:1">
      <c r="A4699" t="s">
        <v>7981</v>
      </c>
    </row>
    <row r="4700" spans="1:1">
      <c r="A4700" t="s">
        <v>7982</v>
      </c>
    </row>
    <row r="4701" spans="1:1">
      <c r="A4701" t="s">
        <v>7983</v>
      </c>
    </row>
    <row r="4702" spans="1:1">
      <c r="A4702" t="s">
        <v>7984</v>
      </c>
    </row>
    <row r="4703" spans="1:1">
      <c r="A4703" t="s">
        <v>7985</v>
      </c>
    </row>
    <row r="4704" spans="1:1">
      <c r="A4704" t="s">
        <v>7986</v>
      </c>
    </row>
    <row r="4705" spans="1:1">
      <c r="A4705" t="s">
        <v>7987</v>
      </c>
    </row>
    <row r="4706" spans="1:1">
      <c r="A4706" t="s">
        <v>7988</v>
      </c>
    </row>
    <row r="4707" spans="1:1">
      <c r="A4707" t="s">
        <v>7989</v>
      </c>
    </row>
    <row r="4708" spans="1:1">
      <c r="A4708" t="s">
        <v>421</v>
      </c>
    </row>
    <row r="4709" spans="1:1">
      <c r="A4709" t="s">
        <v>7990</v>
      </c>
    </row>
    <row r="4714" spans="1:1">
      <c r="A4714" t="s">
        <v>4988</v>
      </c>
    </row>
    <row r="4715" spans="1:1">
      <c r="A4715" t="s">
        <v>5070</v>
      </c>
    </row>
    <row r="4716" spans="1:1">
      <c r="A4716" t="s">
        <v>7991</v>
      </c>
    </row>
    <row r="4717" spans="1:1">
      <c r="A4717" t="s">
        <v>7992</v>
      </c>
    </row>
    <row r="4718" spans="1:1">
      <c r="A4718" t="s">
        <v>5073</v>
      </c>
    </row>
    <row r="4719" spans="1:1">
      <c r="A4719" t="s">
        <v>7993</v>
      </c>
    </row>
    <row r="4720" spans="1:1">
      <c r="A4720" t="s">
        <v>376</v>
      </c>
    </row>
    <row r="4722" spans="1:1">
      <c r="A4722" t="s">
        <v>5285</v>
      </c>
    </row>
    <row r="4723" spans="1:1">
      <c r="A4723" t="s">
        <v>378</v>
      </c>
    </row>
    <row r="4724" spans="1:1">
      <c r="A4724" t="s">
        <v>7994</v>
      </c>
    </row>
    <row r="4725" spans="1:1">
      <c r="A4725" t="s">
        <v>7995</v>
      </c>
    </row>
    <row r="4726" spans="1:1">
      <c r="A4726" t="s">
        <v>7996</v>
      </c>
    </row>
    <row r="4727" spans="1:1">
      <c r="A4727" t="s">
        <v>7997</v>
      </c>
    </row>
    <row r="4728" spans="1:1">
      <c r="A4728" t="s">
        <v>7998</v>
      </c>
    </row>
    <row r="4729" spans="1:1">
      <c r="A4729" t="s">
        <v>7999</v>
      </c>
    </row>
    <row r="4730" spans="1:1">
      <c r="A4730" t="s">
        <v>8000</v>
      </c>
    </row>
    <row r="4731" spans="1:1">
      <c r="A4731" t="s">
        <v>8001</v>
      </c>
    </row>
    <row r="4734" spans="1:1">
      <c r="A4734" t="s">
        <v>392</v>
      </c>
    </row>
    <row r="4735" spans="1:1">
      <c r="A4735" t="s">
        <v>8002</v>
      </c>
    </row>
    <row r="4736" spans="1:1">
      <c r="A4736" t="s">
        <v>8003</v>
      </c>
    </row>
    <row r="4737" spans="1:1">
      <c r="A4737" t="s">
        <v>8004</v>
      </c>
    </row>
    <row r="4738" spans="1:1">
      <c r="A4738" t="s">
        <v>8005</v>
      </c>
    </row>
    <row r="4739" spans="1:1">
      <c r="A4739" t="s">
        <v>8006</v>
      </c>
    </row>
    <row r="4740" spans="1:1">
      <c r="A4740" t="s">
        <v>8007</v>
      </c>
    </row>
    <row r="4741" spans="1:1">
      <c r="A4741" t="s">
        <v>5564</v>
      </c>
    </row>
    <row r="4742" spans="1:1">
      <c r="A4742" t="s">
        <v>8008</v>
      </c>
    </row>
    <row r="4744" spans="1:1">
      <c r="A4744" t="s">
        <v>406</v>
      </c>
    </row>
    <row r="4745" spans="1:1">
      <c r="A4745" t="s">
        <v>8009</v>
      </c>
    </row>
    <row r="4746" spans="1:1">
      <c r="A4746" t="s">
        <v>8010</v>
      </c>
    </row>
    <row r="4747" spans="1:1">
      <c r="A4747" t="s">
        <v>8011</v>
      </c>
    </row>
    <row r="4748" spans="1:1">
      <c r="A4748" t="s">
        <v>8012</v>
      </c>
    </row>
    <row r="4749" spans="1:1">
      <c r="A4749" t="s">
        <v>8013</v>
      </c>
    </row>
    <row r="4750" spans="1:1">
      <c r="A4750" t="s">
        <v>8014</v>
      </c>
    </row>
    <row r="4751" spans="1:1">
      <c r="A4751" t="s">
        <v>8015</v>
      </c>
    </row>
    <row r="4752" spans="1:1">
      <c r="A4752" t="s">
        <v>8016</v>
      </c>
    </row>
    <row r="4753" spans="1:1">
      <c r="A4753" t="s">
        <v>8017</v>
      </c>
    </row>
    <row r="4754" spans="1:1">
      <c r="A4754" t="s">
        <v>421</v>
      </c>
    </row>
    <row r="4755" spans="1:1">
      <c r="A4755" t="s">
        <v>8018</v>
      </c>
    </row>
    <row r="4760" spans="1:1">
      <c r="A4760" t="s">
        <v>5025</v>
      </c>
    </row>
    <row r="4761" spans="1:1">
      <c r="A4761" t="s">
        <v>5070</v>
      </c>
    </row>
    <row r="4762" spans="1:1">
      <c r="A4762" t="s">
        <v>8019</v>
      </c>
    </row>
    <row r="4763" spans="1:1">
      <c r="A4763" t="s">
        <v>8020</v>
      </c>
    </row>
    <row r="4764" spans="1:1">
      <c r="A4764" t="s">
        <v>5073</v>
      </c>
    </row>
    <row r="4765" spans="1:1">
      <c r="A4765" t="s">
        <v>8021</v>
      </c>
    </row>
    <row r="4766" spans="1:1">
      <c r="A4766" t="s">
        <v>376</v>
      </c>
    </row>
    <row r="4768" spans="1:1">
      <c r="A4768" t="s">
        <v>5665</v>
      </c>
    </row>
    <row r="4769" spans="1:1">
      <c r="A4769" t="s">
        <v>378</v>
      </c>
    </row>
    <row r="4770" spans="1:1">
      <c r="A4770" t="s">
        <v>8022</v>
      </c>
    </row>
    <row r="4771" spans="1:1">
      <c r="A4771" t="s">
        <v>8023</v>
      </c>
    </row>
    <row r="4772" spans="1:1">
      <c r="A4772" t="s">
        <v>8024</v>
      </c>
    </row>
    <row r="4773" spans="1:1">
      <c r="A4773" t="s">
        <v>8025</v>
      </c>
    </row>
    <row r="4774" spans="1:1">
      <c r="A4774" t="s">
        <v>8026</v>
      </c>
    </row>
    <row r="4775" spans="1:1">
      <c r="A4775" t="s">
        <v>8027</v>
      </c>
    </row>
    <row r="4776" spans="1:1">
      <c r="A4776" t="s">
        <v>8028</v>
      </c>
    </row>
    <row r="4777" spans="1:1">
      <c r="A4777" t="s">
        <v>8029</v>
      </c>
    </row>
    <row r="4780" spans="1:1">
      <c r="A4780" t="s">
        <v>392</v>
      </c>
    </row>
    <row r="4781" spans="1:1">
      <c r="A4781" t="s">
        <v>8030</v>
      </c>
    </row>
    <row r="4782" spans="1:1">
      <c r="A4782" t="s">
        <v>5559</v>
      </c>
    </row>
    <row r="4783" spans="1:1">
      <c r="A4783" t="s">
        <v>8004</v>
      </c>
    </row>
    <row r="4784" spans="1:1">
      <c r="A4784" t="s">
        <v>8031</v>
      </c>
    </row>
    <row r="4785" spans="1:1">
      <c r="A4785" t="s">
        <v>8032</v>
      </c>
    </row>
    <row r="4786" spans="1:1">
      <c r="A4786" t="s">
        <v>8007</v>
      </c>
    </row>
    <row r="4787" spans="1:1">
      <c r="A4787" t="s">
        <v>8033</v>
      </c>
    </row>
    <row r="4788" spans="1:1">
      <c r="A4788" t="s">
        <v>8034</v>
      </c>
    </row>
    <row r="4790" spans="1:1">
      <c r="A4790" t="s">
        <v>406</v>
      </c>
    </row>
    <row r="4791" spans="1:1">
      <c r="A4791" t="s">
        <v>8035</v>
      </c>
    </row>
    <row r="4792" spans="1:1">
      <c r="A4792" t="s">
        <v>8036</v>
      </c>
    </row>
    <row r="4793" spans="1:1">
      <c r="A4793" t="s">
        <v>8037</v>
      </c>
    </row>
    <row r="4794" spans="1:1">
      <c r="A4794" t="s">
        <v>8038</v>
      </c>
    </row>
    <row r="4795" spans="1:1">
      <c r="A4795" t="s">
        <v>8039</v>
      </c>
    </row>
    <row r="4796" spans="1:1">
      <c r="A4796" t="s">
        <v>8040</v>
      </c>
    </row>
    <row r="4797" spans="1:1">
      <c r="A4797" t="s">
        <v>8041</v>
      </c>
    </row>
    <row r="4798" spans="1:1">
      <c r="A4798" t="s">
        <v>8042</v>
      </c>
    </row>
    <row r="4799" spans="1:1">
      <c r="A4799" t="s">
        <v>8043</v>
      </c>
    </row>
    <row r="4800" spans="1:1">
      <c r="A4800" t="s">
        <v>421</v>
      </c>
    </row>
    <row r="4801" spans="1:1">
      <c r="A4801" t="s">
        <v>8044</v>
      </c>
    </row>
    <row r="4806" spans="1:1">
      <c r="A4806" t="s">
        <v>8045</v>
      </c>
    </row>
    <row r="4807" spans="1:1">
      <c r="A4807" t="s">
        <v>5070</v>
      </c>
    </row>
    <row r="4808" spans="1:1">
      <c r="A4808" t="s">
        <v>8046</v>
      </c>
    </row>
    <row r="4809" spans="1:1">
      <c r="A4809" t="s">
        <v>8047</v>
      </c>
    </row>
    <row r="4810" spans="1:1">
      <c r="A4810" t="s">
        <v>5073</v>
      </c>
    </row>
    <row r="4811" spans="1:1">
      <c r="A4811" t="s">
        <v>8048</v>
      </c>
    </row>
    <row r="4812" spans="1:1">
      <c r="A4812" t="s">
        <v>376</v>
      </c>
    </row>
    <row r="4814" spans="1:1">
      <c r="A4814" t="s">
        <v>5135</v>
      </c>
    </row>
    <row r="4815" spans="1:1">
      <c r="A4815" t="s">
        <v>378</v>
      </c>
    </row>
    <row r="4816" spans="1:1">
      <c r="A4816" t="s">
        <v>8049</v>
      </c>
    </row>
    <row r="4817" spans="1:1">
      <c r="A4817" t="s">
        <v>8050</v>
      </c>
    </row>
    <row r="4818" spans="1:1">
      <c r="A4818" t="s">
        <v>8051</v>
      </c>
    </row>
    <row r="4819" spans="1:1">
      <c r="A4819" t="s">
        <v>8052</v>
      </c>
    </row>
    <row r="4820" spans="1:1">
      <c r="A4820" t="s">
        <v>8053</v>
      </c>
    </row>
    <row r="4821" spans="1:1">
      <c r="A4821" t="s">
        <v>8054</v>
      </c>
    </row>
    <row r="4822" spans="1:1">
      <c r="A4822" t="s">
        <v>8055</v>
      </c>
    </row>
    <row r="4823" spans="1:1">
      <c r="A4823" t="s">
        <v>8056</v>
      </c>
    </row>
    <row r="4826" spans="1:1">
      <c r="A4826" t="s">
        <v>392</v>
      </c>
    </row>
    <row r="4827" spans="1:1">
      <c r="A4827" t="s">
        <v>8057</v>
      </c>
    </row>
    <row r="4828" spans="1:1">
      <c r="A4828" t="s">
        <v>8058</v>
      </c>
    </row>
    <row r="4829" spans="1:1">
      <c r="A4829" t="s">
        <v>8059</v>
      </c>
    </row>
    <row r="4830" spans="1:1">
      <c r="A4830" t="s">
        <v>8060</v>
      </c>
    </row>
    <row r="4831" spans="1:1">
      <c r="A4831" t="s">
        <v>5532</v>
      </c>
    </row>
    <row r="4832" spans="1:1">
      <c r="A4832" t="s">
        <v>8061</v>
      </c>
    </row>
    <row r="4833" spans="1:1">
      <c r="A4833" t="s">
        <v>5534</v>
      </c>
    </row>
    <row r="4834" spans="1:1">
      <c r="A4834" t="s">
        <v>8062</v>
      </c>
    </row>
    <row r="4836" spans="1:1">
      <c r="A4836" t="s">
        <v>406</v>
      </c>
    </row>
    <row r="4837" spans="1:1">
      <c r="A4837" t="s">
        <v>8063</v>
      </c>
    </row>
    <row r="4838" spans="1:1">
      <c r="A4838" t="s">
        <v>8064</v>
      </c>
    </row>
    <row r="4839" spans="1:1">
      <c r="A4839" t="s">
        <v>8065</v>
      </c>
    </row>
    <row r="4840" spans="1:1">
      <c r="A4840" t="s">
        <v>8066</v>
      </c>
    </row>
    <row r="4841" spans="1:1">
      <c r="A4841" t="s">
        <v>8067</v>
      </c>
    </row>
    <row r="4842" spans="1:1">
      <c r="A4842" t="s">
        <v>8068</v>
      </c>
    </row>
    <row r="4843" spans="1:1">
      <c r="A4843" t="s">
        <v>8069</v>
      </c>
    </row>
    <row r="4844" spans="1:1">
      <c r="A4844" t="s">
        <v>8070</v>
      </c>
    </row>
    <row r="4845" spans="1:1">
      <c r="A4845" t="s">
        <v>8071</v>
      </c>
    </row>
    <row r="4846" spans="1:1">
      <c r="A4846" t="s">
        <v>421</v>
      </c>
    </row>
    <row r="4847" spans="1:1">
      <c r="A4847" t="s">
        <v>8072</v>
      </c>
    </row>
    <row r="4852" spans="1:1">
      <c r="A4852" t="s">
        <v>8073</v>
      </c>
    </row>
    <row r="4853" spans="1:1">
      <c r="A4853" t="s">
        <v>5070</v>
      </c>
    </row>
    <row r="4854" spans="1:1">
      <c r="A4854" t="s">
        <v>8074</v>
      </c>
    </row>
    <row r="4855" spans="1:1">
      <c r="A4855" t="s">
        <v>8075</v>
      </c>
    </row>
    <row r="4856" spans="1:1">
      <c r="A4856" t="s">
        <v>5073</v>
      </c>
    </row>
    <row r="4857" spans="1:1">
      <c r="A4857" t="s">
        <v>8076</v>
      </c>
    </row>
    <row r="4858" spans="1:1">
      <c r="A4858" t="s">
        <v>376</v>
      </c>
    </row>
    <row r="4860" spans="1:1">
      <c r="A4860" t="s">
        <v>5285</v>
      </c>
    </row>
    <row r="4861" spans="1:1">
      <c r="A4861" t="s">
        <v>378</v>
      </c>
    </row>
    <row r="4862" spans="1:1">
      <c r="A4862" t="s">
        <v>8077</v>
      </c>
    </row>
    <row r="4863" spans="1:1">
      <c r="A4863" t="s">
        <v>8078</v>
      </c>
    </row>
    <row r="4864" spans="1:1">
      <c r="A4864" t="s">
        <v>8079</v>
      </c>
    </row>
    <row r="4865" spans="1:1">
      <c r="A4865" t="s">
        <v>8080</v>
      </c>
    </row>
    <row r="4866" spans="1:1">
      <c r="A4866" t="s">
        <v>8081</v>
      </c>
    </row>
    <row r="4867" spans="1:1">
      <c r="A4867" t="s">
        <v>8082</v>
      </c>
    </row>
    <row r="4868" spans="1:1">
      <c r="A4868" t="s">
        <v>8083</v>
      </c>
    </row>
    <row r="4869" spans="1:1">
      <c r="A4869" t="s">
        <v>8084</v>
      </c>
    </row>
    <row r="4872" spans="1:1">
      <c r="A4872" t="s">
        <v>392</v>
      </c>
    </row>
    <row r="4873" spans="1:1">
      <c r="A4873" t="s">
        <v>8085</v>
      </c>
    </row>
    <row r="4874" spans="1:1">
      <c r="A4874" t="s">
        <v>8086</v>
      </c>
    </row>
    <row r="4875" spans="1:1">
      <c r="A4875" t="s">
        <v>8087</v>
      </c>
    </row>
    <row r="4876" spans="1:1">
      <c r="A4876" t="s">
        <v>8088</v>
      </c>
    </row>
    <row r="4877" spans="1:1">
      <c r="A4877" t="s">
        <v>8089</v>
      </c>
    </row>
    <row r="4878" spans="1:1">
      <c r="A4878" t="s">
        <v>8090</v>
      </c>
    </row>
    <row r="4879" spans="1:1">
      <c r="A4879" t="s">
        <v>8091</v>
      </c>
    </row>
    <row r="4880" spans="1:1">
      <c r="A4880" t="s">
        <v>8092</v>
      </c>
    </row>
    <row r="4882" spans="1:1">
      <c r="A4882" t="s">
        <v>406</v>
      </c>
    </row>
    <row r="4883" spans="1:1">
      <c r="A4883" t="s">
        <v>8093</v>
      </c>
    </row>
    <row r="4884" spans="1:1">
      <c r="A4884" t="s">
        <v>8094</v>
      </c>
    </row>
    <row r="4885" spans="1:1">
      <c r="A4885" t="s">
        <v>8095</v>
      </c>
    </row>
    <row r="4886" spans="1:1">
      <c r="A4886" t="s">
        <v>8096</v>
      </c>
    </row>
    <row r="4887" spans="1:1">
      <c r="A4887" t="s">
        <v>8097</v>
      </c>
    </row>
    <row r="4888" spans="1:1">
      <c r="A4888" t="s">
        <v>8098</v>
      </c>
    </row>
    <row r="4889" spans="1:1">
      <c r="A4889" t="s">
        <v>8099</v>
      </c>
    </row>
    <row r="4890" spans="1:1">
      <c r="A4890" t="s">
        <v>8100</v>
      </c>
    </row>
    <row r="4891" spans="1:1">
      <c r="A4891" t="s">
        <v>8101</v>
      </c>
    </row>
    <row r="4892" spans="1:1">
      <c r="A4892" t="s">
        <v>421</v>
      </c>
    </row>
    <row r="4893" spans="1:1">
      <c r="A4893" t="s">
        <v>8102</v>
      </c>
    </row>
    <row r="4898" spans="1:1">
      <c r="A4898" t="s">
        <v>8103</v>
      </c>
    </row>
    <row r="4899" spans="1:1">
      <c r="A4899" t="s">
        <v>5070</v>
      </c>
    </row>
    <row r="4900" spans="1:1">
      <c r="A4900" t="s">
        <v>8104</v>
      </c>
    </row>
    <row r="4901" spans="1:1">
      <c r="A4901" t="s">
        <v>8105</v>
      </c>
    </row>
    <row r="4902" spans="1:1">
      <c r="A4902" t="s">
        <v>5073</v>
      </c>
    </row>
    <row r="4903" spans="1:1">
      <c r="A4903" t="s">
        <v>8106</v>
      </c>
    </row>
    <row r="4904" spans="1:1">
      <c r="A4904" t="s">
        <v>376</v>
      </c>
    </row>
    <row r="4906" spans="1:1">
      <c r="A4906" t="s">
        <v>5105</v>
      </c>
    </row>
    <row r="4907" spans="1:1">
      <c r="A4907" t="s">
        <v>378</v>
      </c>
    </row>
    <row r="4908" spans="1:1">
      <c r="A4908" t="s">
        <v>8107</v>
      </c>
    </row>
    <row r="4909" spans="1:1">
      <c r="A4909" t="s">
        <v>8108</v>
      </c>
    </row>
    <row r="4910" spans="1:1">
      <c r="A4910" t="s">
        <v>8109</v>
      </c>
    </row>
    <row r="4911" spans="1:1">
      <c r="A4911" t="s">
        <v>8110</v>
      </c>
    </row>
    <row r="4912" spans="1:1">
      <c r="A4912" t="s">
        <v>8111</v>
      </c>
    </row>
    <row r="4913" spans="1:1">
      <c r="A4913" t="s">
        <v>8112</v>
      </c>
    </row>
    <row r="4914" spans="1:1">
      <c r="A4914" t="s">
        <v>8113</v>
      </c>
    </row>
    <row r="4915" spans="1:1">
      <c r="A4915" t="s">
        <v>8114</v>
      </c>
    </row>
    <row r="4918" spans="1:1">
      <c r="A4918" t="s">
        <v>392</v>
      </c>
    </row>
    <row r="4919" spans="1:1">
      <c r="A4919" t="s">
        <v>8115</v>
      </c>
    </row>
    <row r="4920" spans="1:1">
      <c r="A4920" t="s">
        <v>8116</v>
      </c>
    </row>
    <row r="4921" spans="1:1">
      <c r="A4921" t="s">
        <v>8117</v>
      </c>
    </row>
    <row r="4922" spans="1:1">
      <c r="A4922" t="s">
        <v>8118</v>
      </c>
    </row>
    <row r="4923" spans="1:1">
      <c r="A4923" t="s">
        <v>8119</v>
      </c>
    </row>
    <row r="4924" spans="1:1">
      <c r="A4924" t="s">
        <v>8120</v>
      </c>
    </row>
    <row r="4925" spans="1:1">
      <c r="A4925" t="s">
        <v>8121</v>
      </c>
    </row>
    <row r="4926" spans="1:1">
      <c r="A4926" t="s">
        <v>8122</v>
      </c>
    </row>
    <row r="4928" spans="1:1">
      <c r="A4928" t="s">
        <v>406</v>
      </c>
    </row>
    <row r="4929" spans="1:1">
      <c r="A4929" t="s">
        <v>8123</v>
      </c>
    </row>
    <row r="4930" spans="1:1">
      <c r="A4930" t="s">
        <v>8124</v>
      </c>
    </row>
    <row r="4931" spans="1:1">
      <c r="A4931" t="s">
        <v>8125</v>
      </c>
    </row>
    <row r="4932" spans="1:1">
      <c r="A4932" t="s">
        <v>8126</v>
      </c>
    </row>
    <row r="4933" spans="1:1">
      <c r="A4933" t="s">
        <v>8127</v>
      </c>
    </row>
    <row r="4934" spans="1:1">
      <c r="A4934" t="s">
        <v>8128</v>
      </c>
    </row>
    <row r="4935" spans="1:1">
      <c r="A4935" t="s">
        <v>8129</v>
      </c>
    </row>
    <row r="4936" spans="1:1">
      <c r="A4936" t="s">
        <v>8130</v>
      </c>
    </row>
    <row r="4937" spans="1:1">
      <c r="A4937" t="s">
        <v>8131</v>
      </c>
    </row>
    <row r="4938" spans="1:1">
      <c r="A4938" t="s">
        <v>421</v>
      </c>
    </row>
    <row r="4939" spans="1:1">
      <c r="A4939" t="s">
        <v>8132</v>
      </c>
    </row>
    <row r="4944" spans="1:1">
      <c r="A4944" t="s">
        <v>8133</v>
      </c>
    </row>
    <row r="4945" spans="1:1">
      <c r="A4945" t="s">
        <v>5070</v>
      </c>
    </row>
    <row r="4946" spans="1:1">
      <c r="A4946" t="s">
        <v>8134</v>
      </c>
    </row>
    <row r="4947" spans="1:1">
      <c r="A4947" t="s">
        <v>8135</v>
      </c>
    </row>
    <row r="4948" spans="1:1">
      <c r="A4948" t="s">
        <v>5073</v>
      </c>
    </row>
    <row r="4949" spans="1:1">
      <c r="A4949" t="s">
        <v>8136</v>
      </c>
    </row>
    <row r="4950" spans="1:1">
      <c r="A4950" t="s">
        <v>376</v>
      </c>
    </row>
    <row r="4952" spans="1:1">
      <c r="A4952" t="s">
        <v>5285</v>
      </c>
    </row>
    <row r="4953" spans="1:1">
      <c r="A4953" t="s">
        <v>378</v>
      </c>
    </row>
    <row r="4954" spans="1:1">
      <c r="A4954" t="s">
        <v>8137</v>
      </c>
    </row>
    <row r="4955" spans="1:1">
      <c r="A4955" t="s">
        <v>8138</v>
      </c>
    </row>
    <row r="4956" spans="1:1">
      <c r="A4956" t="s">
        <v>8139</v>
      </c>
    </row>
    <row r="4957" spans="1:1">
      <c r="A4957" t="s">
        <v>8140</v>
      </c>
    </row>
    <row r="4958" spans="1:1">
      <c r="A4958" t="s">
        <v>8141</v>
      </c>
    </row>
    <row r="4959" spans="1:1">
      <c r="A4959" t="s">
        <v>8142</v>
      </c>
    </row>
    <row r="4960" spans="1:1">
      <c r="A4960" t="s">
        <v>8143</v>
      </c>
    </row>
    <row r="4961" spans="1:1">
      <c r="A4961" t="s">
        <v>8144</v>
      </c>
    </row>
    <row r="4964" spans="1:1">
      <c r="A4964" t="s">
        <v>392</v>
      </c>
    </row>
    <row r="4965" spans="1:1">
      <c r="A4965" t="s">
        <v>8145</v>
      </c>
    </row>
    <row r="4966" spans="1:1">
      <c r="A4966" t="s">
        <v>8146</v>
      </c>
    </row>
    <row r="4967" spans="1:1">
      <c r="A4967" t="s">
        <v>8147</v>
      </c>
    </row>
    <row r="4968" spans="1:1">
      <c r="A4968" t="s">
        <v>8148</v>
      </c>
    </row>
    <row r="4969" spans="1:1">
      <c r="A4969" t="s">
        <v>8149</v>
      </c>
    </row>
    <row r="4970" spans="1:1">
      <c r="A4970" t="s">
        <v>8150</v>
      </c>
    </row>
    <row r="4971" spans="1:1">
      <c r="A4971" t="s">
        <v>8091</v>
      </c>
    </row>
    <row r="4972" spans="1:1">
      <c r="A4972" t="s">
        <v>8151</v>
      </c>
    </row>
    <row r="4974" spans="1:1">
      <c r="A4974" t="s">
        <v>406</v>
      </c>
    </row>
    <row r="4975" spans="1:1">
      <c r="A4975" t="s">
        <v>8152</v>
      </c>
    </row>
    <row r="4976" spans="1:1">
      <c r="A4976" t="s">
        <v>8153</v>
      </c>
    </row>
    <row r="4977" spans="1:1">
      <c r="A4977" t="s">
        <v>8154</v>
      </c>
    </row>
    <row r="4978" spans="1:1">
      <c r="A4978" t="s">
        <v>8155</v>
      </c>
    </row>
    <row r="4979" spans="1:1">
      <c r="A4979" t="s">
        <v>8156</v>
      </c>
    </row>
    <row r="4980" spans="1:1">
      <c r="A4980" t="s">
        <v>8157</v>
      </c>
    </row>
    <row r="4981" spans="1:1">
      <c r="A4981" t="s">
        <v>8158</v>
      </c>
    </row>
    <row r="4982" spans="1:1">
      <c r="A4982" t="s">
        <v>8159</v>
      </c>
    </row>
    <row r="4983" spans="1:1">
      <c r="A4983" t="s">
        <v>8160</v>
      </c>
    </row>
    <row r="4984" spans="1:1">
      <c r="A4984" t="s">
        <v>421</v>
      </c>
    </row>
    <row r="4985" spans="1:1">
      <c r="A4985" t="s">
        <v>8161</v>
      </c>
    </row>
    <row r="4990" spans="1:1">
      <c r="A4990" t="s">
        <v>8162</v>
      </c>
    </row>
    <row r="4991" spans="1:1">
      <c r="A4991" t="s">
        <v>5070</v>
      </c>
    </row>
    <row r="4992" spans="1:1">
      <c r="A4992" t="s">
        <v>8163</v>
      </c>
    </row>
    <row r="4993" spans="1:1">
      <c r="A4993" t="s">
        <v>8164</v>
      </c>
    </row>
    <row r="4994" spans="1:1">
      <c r="A4994" t="s">
        <v>5073</v>
      </c>
    </row>
    <row r="4995" spans="1:1">
      <c r="A4995" t="s">
        <v>8165</v>
      </c>
    </row>
    <row r="4996" spans="1:1">
      <c r="A4996" t="s">
        <v>376</v>
      </c>
    </row>
    <row r="4998" spans="1:1">
      <c r="A4998" t="s">
        <v>5372</v>
      </c>
    </row>
    <row r="4999" spans="1:1">
      <c r="A4999" t="s">
        <v>378</v>
      </c>
    </row>
    <row r="5000" spans="1:1">
      <c r="A5000" t="s">
        <v>8166</v>
      </c>
    </row>
    <row r="5001" spans="1:1">
      <c r="A5001" t="s">
        <v>8167</v>
      </c>
    </row>
    <row r="5002" spans="1:1">
      <c r="A5002" t="s">
        <v>8168</v>
      </c>
    </row>
    <row r="5003" spans="1:1">
      <c r="A5003" t="s">
        <v>8169</v>
      </c>
    </row>
    <row r="5004" spans="1:1">
      <c r="A5004" t="s">
        <v>8170</v>
      </c>
    </row>
    <row r="5005" spans="1:1">
      <c r="A5005" t="s">
        <v>8171</v>
      </c>
    </row>
    <row r="5006" spans="1:1">
      <c r="A5006" t="s">
        <v>8172</v>
      </c>
    </row>
    <row r="5007" spans="1:1">
      <c r="A5007" t="s">
        <v>8173</v>
      </c>
    </row>
    <row r="5010" spans="1:1">
      <c r="A5010" t="s">
        <v>392</v>
      </c>
    </row>
    <row r="5011" spans="1:1">
      <c r="A5011" t="s">
        <v>8174</v>
      </c>
    </row>
    <row r="5012" spans="1:1">
      <c r="A5012" t="s">
        <v>8175</v>
      </c>
    </row>
    <row r="5013" spans="1:1">
      <c r="A5013" t="s">
        <v>8176</v>
      </c>
    </row>
    <row r="5014" spans="1:1">
      <c r="A5014" t="s">
        <v>8177</v>
      </c>
    </row>
    <row r="5015" spans="1:1">
      <c r="A5015" t="s">
        <v>8178</v>
      </c>
    </row>
    <row r="5016" spans="1:1">
      <c r="A5016" t="s">
        <v>8179</v>
      </c>
    </row>
    <row r="5017" spans="1:1">
      <c r="A5017" t="s">
        <v>8180</v>
      </c>
    </row>
    <row r="5018" spans="1:1">
      <c r="A5018" t="s">
        <v>8181</v>
      </c>
    </row>
    <row r="5020" spans="1:1">
      <c r="A5020" t="s">
        <v>406</v>
      </c>
    </row>
    <row r="5021" spans="1:1">
      <c r="A5021" t="s">
        <v>8182</v>
      </c>
    </row>
    <row r="5022" spans="1:1">
      <c r="A5022" t="s">
        <v>8183</v>
      </c>
    </row>
    <row r="5023" spans="1:1">
      <c r="A5023" t="s">
        <v>8184</v>
      </c>
    </row>
    <row r="5024" spans="1:1">
      <c r="A5024" t="s">
        <v>8185</v>
      </c>
    </row>
    <row r="5025" spans="1:1">
      <c r="A5025" t="s">
        <v>8186</v>
      </c>
    </row>
    <row r="5026" spans="1:1">
      <c r="A5026" t="s">
        <v>8187</v>
      </c>
    </row>
    <row r="5027" spans="1:1">
      <c r="A5027" t="s">
        <v>8188</v>
      </c>
    </row>
    <row r="5028" spans="1:1">
      <c r="A5028" t="s">
        <v>8189</v>
      </c>
    </row>
    <row r="5029" spans="1:1">
      <c r="A5029" t="s">
        <v>8190</v>
      </c>
    </row>
    <row r="5030" spans="1:1">
      <c r="A5030" t="s">
        <v>421</v>
      </c>
    </row>
    <row r="5031" spans="1:1">
      <c r="A5031" t="s">
        <v>8191</v>
      </c>
    </row>
    <row r="5036" spans="1:1">
      <c r="A5036" t="s">
        <v>8192</v>
      </c>
    </row>
    <row r="5037" spans="1:1">
      <c r="A5037" t="s">
        <v>5070</v>
      </c>
    </row>
    <row r="5038" spans="1:1">
      <c r="A5038" t="s">
        <v>8193</v>
      </c>
    </row>
    <row r="5039" spans="1:1">
      <c r="A5039" t="s">
        <v>8194</v>
      </c>
    </row>
    <row r="5040" spans="1:1">
      <c r="A5040" t="s">
        <v>5073</v>
      </c>
    </row>
    <row r="5041" spans="1:1">
      <c r="A5041" t="s">
        <v>8195</v>
      </c>
    </row>
    <row r="5042" spans="1:1">
      <c r="A5042" t="s">
        <v>376</v>
      </c>
    </row>
    <row r="5044" spans="1:1">
      <c r="A5044" t="s">
        <v>5285</v>
      </c>
    </row>
    <row r="5045" spans="1:1">
      <c r="A5045" t="s">
        <v>378</v>
      </c>
    </row>
    <row r="5046" spans="1:1">
      <c r="A5046" t="s">
        <v>8196</v>
      </c>
    </row>
    <row r="5047" spans="1:1">
      <c r="A5047" t="s">
        <v>8197</v>
      </c>
    </row>
    <row r="5048" spans="1:1">
      <c r="A5048" t="s">
        <v>8198</v>
      </c>
    </row>
    <row r="5049" spans="1:1">
      <c r="A5049" t="s">
        <v>8199</v>
      </c>
    </row>
    <row r="5050" spans="1:1">
      <c r="A5050" t="s">
        <v>8200</v>
      </c>
    </row>
    <row r="5051" spans="1:1">
      <c r="A5051" t="s">
        <v>8201</v>
      </c>
    </row>
    <row r="5052" spans="1:1">
      <c r="A5052" t="s">
        <v>8202</v>
      </c>
    </row>
    <row r="5053" spans="1:1">
      <c r="A5053" t="s">
        <v>8203</v>
      </c>
    </row>
    <row r="5056" spans="1:1">
      <c r="A5056" t="s">
        <v>392</v>
      </c>
    </row>
    <row r="5057" spans="1:1">
      <c r="A5057" t="s">
        <v>8204</v>
      </c>
    </row>
    <row r="5058" spans="1:1">
      <c r="A5058" t="s">
        <v>5175</v>
      </c>
    </row>
    <row r="5059" spans="1:1">
      <c r="A5059" t="s">
        <v>8205</v>
      </c>
    </row>
    <row r="5060" spans="1:1">
      <c r="A5060" t="s">
        <v>8206</v>
      </c>
    </row>
    <row r="5061" spans="1:1">
      <c r="A5061" t="s">
        <v>8207</v>
      </c>
    </row>
    <row r="5062" spans="1:1">
      <c r="A5062" t="s">
        <v>6891</v>
      </c>
    </row>
    <row r="5063" spans="1:1">
      <c r="A5063" t="s">
        <v>5180</v>
      </c>
    </row>
    <row r="5064" spans="1:1">
      <c r="A5064" t="s">
        <v>8208</v>
      </c>
    </row>
    <row r="5066" spans="1:1">
      <c r="A5066" t="s">
        <v>406</v>
      </c>
    </row>
    <row r="5067" spans="1:1">
      <c r="A5067" t="s">
        <v>8209</v>
      </c>
    </row>
    <row r="5068" spans="1:1">
      <c r="A5068" t="s">
        <v>8210</v>
      </c>
    </row>
    <row r="5069" spans="1:1">
      <c r="A5069" t="s">
        <v>8211</v>
      </c>
    </row>
    <row r="5070" spans="1:1">
      <c r="A5070" t="s">
        <v>8212</v>
      </c>
    </row>
    <row r="5071" spans="1:1">
      <c r="A5071" t="s">
        <v>8213</v>
      </c>
    </row>
    <row r="5072" spans="1:1">
      <c r="A5072" t="s">
        <v>8214</v>
      </c>
    </row>
    <row r="5073" spans="1:1">
      <c r="A5073" t="s">
        <v>8215</v>
      </c>
    </row>
    <row r="5074" spans="1:1">
      <c r="A5074" t="s">
        <v>8216</v>
      </c>
    </row>
    <row r="5075" spans="1:1">
      <c r="A5075" t="s">
        <v>8217</v>
      </c>
    </row>
    <row r="5076" spans="1:1">
      <c r="A5076" t="s">
        <v>421</v>
      </c>
    </row>
    <row r="5077" spans="1:1">
      <c r="A5077" t="s">
        <v>8218</v>
      </c>
    </row>
    <row r="5082" spans="1:1">
      <c r="A5082" t="s">
        <v>8219</v>
      </c>
    </row>
    <row r="5083" spans="1:1">
      <c r="A5083" t="s">
        <v>5070</v>
      </c>
    </row>
    <row r="5084" spans="1:1">
      <c r="A5084" t="s">
        <v>8220</v>
      </c>
    </row>
    <row r="5085" spans="1:1">
      <c r="A5085" t="s">
        <v>8221</v>
      </c>
    </row>
    <row r="5086" spans="1:1">
      <c r="A5086" t="s">
        <v>5073</v>
      </c>
    </row>
    <row r="5087" spans="1:1">
      <c r="A5087" t="s">
        <v>8222</v>
      </c>
    </row>
    <row r="5088" spans="1:1">
      <c r="A5088" t="s">
        <v>376</v>
      </c>
    </row>
    <row r="5090" spans="1:1">
      <c r="A5090" t="s">
        <v>5285</v>
      </c>
    </row>
    <row r="5091" spans="1:1">
      <c r="A5091" t="s">
        <v>378</v>
      </c>
    </row>
    <row r="5092" spans="1:1">
      <c r="A5092" t="s">
        <v>8223</v>
      </c>
    </row>
    <row r="5093" spans="1:1">
      <c r="A5093" t="s">
        <v>8224</v>
      </c>
    </row>
    <row r="5094" spans="1:1">
      <c r="A5094" t="s">
        <v>8225</v>
      </c>
    </row>
    <row r="5095" spans="1:1">
      <c r="A5095" t="s">
        <v>8226</v>
      </c>
    </row>
    <row r="5096" spans="1:1">
      <c r="A5096" t="s">
        <v>8227</v>
      </c>
    </row>
    <row r="5097" spans="1:1">
      <c r="A5097" t="s">
        <v>8228</v>
      </c>
    </row>
    <row r="5098" spans="1:1">
      <c r="A5098" t="s">
        <v>8229</v>
      </c>
    </row>
    <row r="5099" spans="1:1">
      <c r="A5099" t="s">
        <v>8230</v>
      </c>
    </row>
    <row r="5102" spans="1:1">
      <c r="A5102" t="s">
        <v>392</v>
      </c>
    </row>
    <row r="5103" spans="1:1">
      <c r="A5103" t="s">
        <v>8231</v>
      </c>
    </row>
    <row r="5104" spans="1:1">
      <c r="A5104" t="s">
        <v>6887</v>
      </c>
    </row>
    <row r="5105" spans="1:1">
      <c r="A5105" t="s">
        <v>6888</v>
      </c>
    </row>
    <row r="5106" spans="1:1">
      <c r="A5106" t="s">
        <v>8232</v>
      </c>
    </row>
    <row r="5107" spans="1:1">
      <c r="A5107" t="s">
        <v>8233</v>
      </c>
    </row>
    <row r="5108" spans="1:1">
      <c r="A5108" t="s">
        <v>8234</v>
      </c>
    </row>
    <row r="5109" spans="1:1">
      <c r="A5109" t="s">
        <v>8235</v>
      </c>
    </row>
    <row r="5110" spans="1:1">
      <c r="A5110" t="s">
        <v>8236</v>
      </c>
    </row>
    <row r="5112" spans="1:1">
      <c r="A5112" t="s">
        <v>406</v>
      </c>
    </row>
    <row r="5113" spans="1:1">
      <c r="A5113" t="s">
        <v>8237</v>
      </c>
    </row>
    <row r="5114" spans="1:1">
      <c r="A5114" t="s">
        <v>8238</v>
      </c>
    </row>
    <row r="5115" spans="1:1">
      <c r="A5115" t="s">
        <v>8239</v>
      </c>
    </row>
    <row r="5116" spans="1:1">
      <c r="A5116" t="s">
        <v>8240</v>
      </c>
    </row>
    <row r="5117" spans="1:1">
      <c r="A5117" t="s">
        <v>8241</v>
      </c>
    </row>
    <row r="5118" spans="1:1">
      <c r="A5118" t="s">
        <v>8242</v>
      </c>
    </row>
    <row r="5119" spans="1:1">
      <c r="A5119" t="s">
        <v>8243</v>
      </c>
    </row>
    <row r="5120" spans="1:1">
      <c r="A5120" t="s">
        <v>8244</v>
      </c>
    </row>
    <row r="5121" spans="1:1">
      <c r="A5121" t="s">
        <v>8245</v>
      </c>
    </row>
    <row r="5122" spans="1:1">
      <c r="A5122" t="s">
        <v>421</v>
      </c>
    </row>
    <row r="5123" spans="1:1">
      <c r="A5123" t="s">
        <v>8246</v>
      </c>
    </row>
    <row r="5128" spans="1:1">
      <c r="A5128" t="s">
        <v>8247</v>
      </c>
    </row>
    <row r="5129" spans="1:1">
      <c r="A5129" t="s">
        <v>5070</v>
      </c>
    </row>
    <row r="5130" spans="1:1">
      <c r="A5130" t="s">
        <v>8248</v>
      </c>
    </row>
    <row r="5131" spans="1:1">
      <c r="A5131" t="s">
        <v>8249</v>
      </c>
    </row>
    <row r="5132" spans="1:1">
      <c r="A5132" t="s">
        <v>5073</v>
      </c>
    </row>
    <row r="5133" spans="1:1">
      <c r="A5133" t="s">
        <v>8250</v>
      </c>
    </row>
    <row r="5134" spans="1:1">
      <c r="A5134" t="s">
        <v>376</v>
      </c>
    </row>
    <row r="5136" spans="1:1">
      <c r="A5136" t="s">
        <v>5195</v>
      </c>
    </row>
    <row r="5137" spans="1:1">
      <c r="A5137" t="s">
        <v>378</v>
      </c>
    </row>
    <row r="5138" spans="1:1">
      <c r="A5138" t="s">
        <v>8251</v>
      </c>
    </row>
    <row r="5139" spans="1:1">
      <c r="A5139" t="s">
        <v>8252</v>
      </c>
    </row>
    <row r="5140" spans="1:1">
      <c r="A5140" t="s">
        <v>8253</v>
      </c>
    </row>
    <row r="5141" spans="1:1">
      <c r="A5141" t="s">
        <v>8254</v>
      </c>
    </row>
    <row r="5142" spans="1:1">
      <c r="A5142" t="s">
        <v>8255</v>
      </c>
    </row>
    <row r="5143" spans="1:1">
      <c r="A5143" t="s">
        <v>8256</v>
      </c>
    </row>
    <row r="5144" spans="1:1">
      <c r="A5144" t="s">
        <v>8257</v>
      </c>
    </row>
    <row r="5145" spans="1:1">
      <c r="A5145" t="s">
        <v>8258</v>
      </c>
    </row>
    <row r="5148" spans="1:1">
      <c r="A5148" t="s">
        <v>392</v>
      </c>
    </row>
    <row r="5149" spans="1:1">
      <c r="A5149" t="s">
        <v>8259</v>
      </c>
    </row>
    <row r="5150" spans="1:1">
      <c r="A5150" t="s">
        <v>8260</v>
      </c>
    </row>
    <row r="5151" spans="1:1">
      <c r="A5151" t="s">
        <v>8261</v>
      </c>
    </row>
    <row r="5152" spans="1:1">
      <c r="A5152" t="s">
        <v>8262</v>
      </c>
    </row>
    <row r="5153" spans="1:1">
      <c r="A5153" t="s">
        <v>8263</v>
      </c>
    </row>
    <row r="5154" spans="1:1">
      <c r="A5154" t="s">
        <v>8264</v>
      </c>
    </row>
    <row r="5155" spans="1:1">
      <c r="A5155" t="s">
        <v>8265</v>
      </c>
    </row>
    <row r="5157" spans="1:1">
      <c r="A5157" t="s">
        <v>406</v>
      </c>
    </row>
    <row r="5158" spans="1:1">
      <c r="A5158" t="s">
        <v>8266</v>
      </c>
    </row>
    <row r="5159" spans="1:1">
      <c r="A5159" t="s">
        <v>8267</v>
      </c>
    </row>
    <row r="5160" spans="1:1">
      <c r="A5160" t="s">
        <v>8268</v>
      </c>
    </row>
    <row r="5161" spans="1:1">
      <c r="A5161" t="s">
        <v>8269</v>
      </c>
    </row>
    <row r="5162" spans="1:1">
      <c r="A5162" t="s">
        <v>8270</v>
      </c>
    </row>
    <row r="5163" spans="1:1">
      <c r="A5163" t="s">
        <v>8271</v>
      </c>
    </row>
    <row r="5164" spans="1:1">
      <c r="A5164" t="s">
        <v>8272</v>
      </c>
    </row>
    <row r="5165" spans="1:1">
      <c r="A5165" t="s">
        <v>8273</v>
      </c>
    </row>
    <row r="5166" spans="1:1">
      <c r="A5166" t="s">
        <v>8274</v>
      </c>
    </row>
    <row r="5167" spans="1:1">
      <c r="A5167" t="s">
        <v>421</v>
      </c>
    </row>
    <row r="5168" spans="1:1">
      <c r="A5168" t="s">
        <v>8275</v>
      </c>
    </row>
    <row r="5173" spans="1:1">
      <c r="A5173" t="s">
        <v>8276</v>
      </c>
    </row>
    <row r="5174" spans="1:1">
      <c r="A5174" t="s">
        <v>5070</v>
      </c>
    </row>
    <row r="5175" spans="1:1">
      <c r="A5175" t="s">
        <v>8277</v>
      </c>
    </row>
    <row r="5176" spans="1:1">
      <c r="A5176" t="s">
        <v>8278</v>
      </c>
    </row>
    <row r="5177" spans="1:1">
      <c r="A5177" t="s">
        <v>5073</v>
      </c>
    </row>
    <row r="5178" spans="1:1">
      <c r="A5178" t="s">
        <v>8279</v>
      </c>
    </row>
    <row r="5179" spans="1:1">
      <c r="A5179" t="s">
        <v>376</v>
      </c>
    </row>
    <row r="5181" spans="1:1">
      <c r="A5181" t="s">
        <v>8280</v>
      </c>
    </row>
    <row r="5182" spans="1:1">
      <c r="A5182" t="s">
        <v>378</v>
      </c>
    </row>
    <row r="5183" spans="1:1">
      <c r="A5183" t="s">
        <v>8281</v>
      </c>
    </row>
    <row r="5184" spans="1:1">
      <c r="A5184" t="s">
        <v>8282</v>
      </c>
    </row>
    <row r="5185" spans="1:1">
      <c r="A5185" t="s">
        <v>8283</v>
      </c>
    </row>
    <row r="5186" spans="1:1">
      <c r="A5186" t="s">
        <v>8284</v>
      </c>
    </row>
    <row r="5187" spans="1:1">
      <c r="A5187" t="s">
        <v>8285</v>
      </c>
    </row>
    <row r="5188" spans="1:1">
      <c r="A5188" t="s">
        <v>8286</v>
      </c>
    </row>
    <row r="5189" spans="1:1">
      <c r="A5189" t="s">
        <v>8287</v>
      </c>
    </row>
    <row r="5190" spans="1:1">
      <c r="A5190" t="s">
        <v>8288</v>
      </c>
    </row>
    <row r="5193" spans="1:1">
      <c r="A5193" t="s">
        <v>392</v>
      </c>
    </row>
    <row r="5194" spans="1:1">
      <c r="A5194" t="s">
        <v>8289</v>
      </c>
    </row>
    <row r="5195" spans="1:1">
      <c r="A5195" t="s">
        <v>8290</v>
      </c>
    </row>
    <row r="5196" spans="1:1">
      <c r="A5196" t="s">
        <v>8291</v>
      </c>
    </row>
    <row r="5197" spans="1:1">
      <c r="A5197" t="s">
        <v>8292</v>
      </c>
    </row>
    <row r="5198" spans="1:1">
      <c r="A5198" t="s">
        <v>8293</v>
      </c>
    </row>
    <row r="5199" spans="1:1">
      <c r="A5199" t="s">
        <v>8294</v>
      </c>
    </row>
    <row r="5200" spans="1:1">
      <c r="A5200" t="s">
        <v>8264</v>
      </c>
    </row>
    <row r="5201" spans="1:1">
      <c r="A5201" t="s">
        <v>8295</v>
      </c>
    </row>
    <row r="5203" spans="1:1">
      <c r="A5203" t="s">
        <v>406</v>
      </c>
    </row>
    <row r="5204" spans="1:1">
      <c r="A5204" t="s">
        <v>8296</v>
      </c>
    </row>
    <row r="5205" spans="1:1">
      <c r="A5205" t="s">
        <v>8297</v>
      </c>
    </row>
    <row r="5206" spans="1:1">
      <c r="A5206" t="s">
        <v>8298</v>
      </c>
    </row>
    <row r="5207" spans="1:1">
      <c r="A5207" t="s">
        <v>8299</v>
      </c>
    </row>
    <row r="5208" spans="1:1">
      <c r="A5208" t="s">
        <v>8300</v>
      </c>
    </row>
    <row r="5209" spans="1:1">
      <c r="A5209" t="s">
        <v>8301</v>
      </c>
    </row>
    <row r="5210" spans="1:1">
      <c r="A5210" t="s">
        <v>8302</v>
      </c>
    </row>
    <row r="5211" spans="1:1">
      <c r="A5211" t="s">
        <v>8303</v>
      </c>
    </row>
    <row r="5212" spans="1:1">
      <c r="A5212" t="s">
        <v>8304</v>
      </c>
    </row>
    <row r="5213" spans="1:1">
      <c r="A5213" t="s">
        <v>421</v>
      </c>
    </row>
    <row r="5214" spans="1:1">
      <c r="A5214" t="s">
        <v>7457</v>
      </c>
    </row>
    <row r="5219" spans="1:1">
      <c r="A5219" t="s">
        <v>8305</v>
      </c>
    </row>
    <row r="5220" spans="1:1">
      <c r="A5220" t="s">
        <v>5070</v>
      </c>
    </row>
    <row r="5221" spans="1:1">
      <c r="A5221" t="s">
        <v>8306</v>
      </c>
    </row>
    <row r="5222" spans="1:1">
      <c r="A5222" t="s">
        <v>8307</v>
      </c>
    </row>
    <row r="5223" spans="1:1">
      <c r="A5223" t="s">
        <v>5073</v>
      </c>
    </row>
    <row r="5224" spans="1:1">
      <c r="A5224" t="s">
        <v>8308</v>
      </c>
    </row>
    <row r="5225" spans="1:1">
      <c r="A5225" t="s">
        <v>376</v>
      </c>
    </row>
    <row r="5227" spans="1:1">
      <c r="A5227" t="s">
        <v>5225</v>
      </c>
    </row>
    <row r="5228" spans="1:1">
      <c r="A5228" t="s">
        <v>378</v>
      </c>
    </row>
    <row r="5229" spans="1:1">
      <c r="A5229" t="s">
        <v>8309</v>
      </c>
    </row>
    <row r="5230" spans="1:1">
      <c r="A5230" t="s">
        <v>8310</v>
      </c>
    </row>
    <row r="5231" spans="1:1">
      <c r="A5231" t="s">
        <v>8311</v>
      </c>
    </row>
    <row r="5232" spans="1:1">
      <c r="A5232" t="s">
        <v>8312</v>
      </c>
    </row>
    <row r="5233" spans="1:1">
      <c r="A5233" t="s">
        <v>8313</v>
      </c>
    </row>
    <row r="5234" spans="1:1">
      <c r="A5234" t="s">
        <v>8314</v>
      </c>
    </row>
    <row r="5235" spans="1:1">
      <c r="A5235" t="s">
        <v>8315</v>
      </c>
    </row>
    <row r="5236" spans="1:1">
      <c r="A5236" t="s">
        <v>8316</v>
      </c>
    </row>
    <row r="5239" spans="1:1">
      <c r="A5239" t="s">
        <v>392</v>
      </c>
    </row>
    <row r="5240" spans="1:1">
      <c r="A5240" t="s">
        <v>8317</v>
      </c>
    </row>
    <row r="5241" spans="1:1">
      <c r="A5241" t="s">
        <v>8318</v>
      </c>
    </row>
    <row r="5242" spans="1:1">
      <c r="A5242" t="s">
        <v>8319</v>
      </c>
    </row>
    <row r="5243" spans="1:1">
      <c r="A5243" t="s">
        <v>8320</v>
      </c>
    </row>
    <row r="5244" spans="1:1">
      <c r="A5244" t="s">
        <v>8321</v>
      </c>
    </row>
    <row r="5245" spans="1:1">
      <c r="A5245" t="s">
        <v>8322</v>
      </c>
    </row>
    <row r="5246" spans="1:1">
      <c r="A5246" t="s">
        <v>8323</v>
      </c>
    </row>
    <row r="5248" spans="1:1">
      <c r="A5248" t="s">
        <v>406</v>
      </c>
    </row>
    <row r="5249" spans="1:1">
      <c r="A5249" t="s">
        <v>8324</v>
      </c>
    </row>
    <row r="5250" spans="1:1">
      <c r="A5250" t="s">
        <v>8325</v>
      </c>
    </row>
    <row r="5251" spans="1:1">
      <c r="A5251" t="s">
        <v>8326</v>
      </c>
    </row>
    <row r="5252" spans="1:1">
      <c r="A5252" t="s">
        <v>8327</v>
      </c>
    </row>
    <row r="5253" spans="1:1">
      <c r="A5253" t="s">
        <v>8328</v>
      </c>
    </row>
    <row r="5254" spans="1:1">
      <c r="A5254" t="s">
        <v>8329</v>
      </c>
    </row>
    <row r="5255" spans="1:1">
      <c r="A5255" t="s">
        <v>8330</v>
      </c>
    </row>
    <row r="5256" spans="1:1">
      <c r="A5256" t="s">
        <v>8331</v>
      </c>
    </row>
    <row r="5257" spans="1:1">
      <c r="A5257" t="s">
        <v>8332</v>
      </c>
    </row>
    <row r="5258" spans="1:1">
      <c r="A5258" t="s">
        <v>421</v>
      </c>
    </row>
    <row r="5259" spans="1:1">
      <c r="A5259" t="s">
        <v>8333</v>
      </c>
    </row>
    <row r="5264" spans="1:1">
      <c r="A5264" t="s">
        <v>8334</v>
      </c>
    </row>
    <row r="5265" spans="1:1">
      <c r="A5265" t="s">
        <v>5070</v>
      </c>
    </row>
    <row r="5266" spans="1:1">
      <c r="A5266" t="s">
        <v>8335</v>
      </c>
    </row>
    <row r="5267" spans="1:1">
      <c r="A5267" t="s">
        <v>8336</v>
      </c>
    </row>
    <row r="5268" spans="1:1">
      <c r="A5268" t="s">
        <v>5073</v>
      </c>
    </row>
    <row r="5269" spans="1:1">
      <c r="A5269" t="s">
        <v>8337</v>
      </c>
    </row>
    <row r="5270" spans="1:1">
      <c r="A5270" t="s">
        <v>376</v>
      </c>
    </row>
    <row r="5272" spans="1:1">
      <c r="A5272" t="s">
        <v>5549</v>
      </c>
    </row>
    <row r="5273" spans="1:1">
      <c r="A5273" t="s">
        <v>378</v>
      </c>
    </row>
    <row r="5274" spans="1:1">
      <c r="A5274" t="s">
        <v>8338</v>
      </c>
    </row>
    <row r="5275" spans="1:1">
      <c r="A5275" t="s">
        <v>8339</v>
      </c>
    </row>
    <row r="5276" spans="1:1">
      <c r="A5276" t="s">
        <v>8340</v>
      </c>
    </row>
    <row r="5277" spans="1:1">
      <c r="A5277" t="s">
        <v>8341</v>
      </c>
    </row>
    <row r="5278" spans="1:1">
      <c r="A5278" t="s">
        <v>8342</v>
      </c>
    </row>
    <row r="5279" spans="1:1">
      <c r="A5279" t="s">
        <v>8343</v>
      </c>
    </row>
    <row r="5280" spans="1:1">
      <c r="A5280" t="s">
        <v>8344</v>
      </c>
    </row>
    <row r="5281" spans="1:1">
      <c r="A5281" t="s">
        <v>8345</v>
      </c>
    </row>
    <row r="5284" spans="1:1">
      <c r="A5284" t="s">
        <v>392</v>
      </c>
    </row>
    <row r="5285" spans="1:1">
      <c r="A5285" t="s">
        <v>8346</v>
      </c>
    </row>
    <row r="5286" spans="1:1">
      <c r="A5286" t="s">
        <v>8347</v>
      </c>
    </row>
    <row r="5287" spans="1:1">
      <c r="A5287" t="s">
        <v>8348</v>
      </c>
    </row>
    <row r="5288" spans="1:1">
      <c r="A5288" t="s">
        <v>8349</v>
      </c>
    </row>
    <row r="5289" spans="1:1">
      <c r="A5289" t="s">
        <v>8350</v>
      </c>
    </row>
    <row r="5290" spans="1:1">
      <c r="A5290" t="s">
        <v>8351</v>
      </c>
    </row>
    <row r="5291" spans="1:1">
      <c r="A5291" t="s">
        <v>8352</v>
      </c>
    </row>
    <row r="5293" spans="1:1">
      <c r="A5293" t="s">
        <v>406</v>
      </c>
    </row>
    <row r="5294" spans="1:1">
      <c r="A5294" t="s">
        <v>8353</v>
      </c>
    </row>
    <row r="5295" spans="1:1">
      <c r="A5295" t="s">
        <v>8354</v>
      </c>
    </row>
    <row r="5296" spans="1:1">
      <c r="A5296" t="s">
        <v>8355</v>
      </c>
    </row>
    <row r="5297" spans="1:1">
      <c r="A5297" t="s">
        <v>8356</v>
      </c>
    </row>
    <row r="5298" spans="1:1">
      <c r="A5298" t="s">
        <v>8357</v>
      </c>
    </row>
    <row r="5299" spans="1:1">
      <c r="A5299" t="s">
        <v>8358</v>
      </c>
    </row>
    <row r="5300" spans="1:1">
      <c r="A5300" t="s">
        <v>8359</v>
      </c>
    </row>
    <row r="5301" spans="1:1">
      <c r="A5301" t="s">
        <v>8360</v>
      </c>
    </row>
    <row r="5302" spans="1:1">
      <c r="A5302" t="s">
        <v>8361</v>
      </c>
    </row>
    <row r="5303" spans="1:1">
      <c r="A5303" t="s">
        <v>421</v>
      </c>
    </row>
    <row r="5304" spans="1:1">
      <c r="A5304" t="s">
        <v>8362</v>
      </c>
    </row>
    <row r="5309" spans="1:1">
      <c r="A5309" t="s">
        <v>8363</v>
      </c>
    </row>
    <row r="5310" spans="1:1">
      <c r="A5310" t="s">
        <v>5070</v>
      </c>
    </row>
    <row r="5311" spans="1:1">
      <c r="A5311" t="s">
        <v>8364</v>
      </c>
    </row>
    <row r="5312" spans="1:1">
      <c r="A5312" t="s">
        <v>8365</v>
      </c>
    </row>
    <row r="5313" spans="1:1">
      <c r="A5313" t="s">
        <v>5073</v>
      </c>
    </row>
    <row r="5314" spans="1:1">
      <c r="A5314" t="s">
        <v>8366</v>
      </c>
    </row>
    <row r="5315" spans="1:1">
      <c r="A5315" t="s">
        <v>376</v>
      </c>
    </row>
    <row r="5317" spans="1:1">
      <c r="A5317" t="s">
        <v>5105</v>
      </c>
    </row>
    <row r="5318" spans="1:1">
      <c r="A5318" t="s">
        <v>378</v>
      </c>
    </row>
    <row r="5319" spans="1:1">
      <c r="A5319" t="s">
        <v>8367</v>
      </c>
    </row>
    <row r="5320" spans="1:1">
      <c r="A5320" t="s">
        <v>8368</v>
      </c>
    </row>
    <row r="5321" spans="1:1">
      <c r="A5321" t="s">
        <v>8369</v>
      </c>
    </row>
    <row r="5322" spans="1:1">
      <c r="A5322" t="s">
        <v>8370</v>
      </c>
    </row>
    <row r="5323" spans="1:1">
      <c r="A5323" t="s">
        <v>8371</v>
      </c>
    </row>
    <row r="5324" spans="1:1">
      <c r="A5324" t="s">
        <v>8372</v>
      </c>
    </row>
    <row r="5325" spans="1:1">
      <c r="A5325" t="s">
        <v>8373</v>
      </c>
    </row>
    <row r="5326" spans="1:1">
      <c r="A5326" t="s">
        <v>8374</v>
      </c>
    </row>
    <row r="5329" spans="1:1">
      <c r="A5329" t="s">
        <v>392</v>
      </c>
    </row>
    <row r="5330" spans="1:1">
      <c r="A5330" t="s">
        <v>8375</v>
      </c>
    </row>
    <row r="5331" spans="1:1">
      <c r="A5331" t="s">
        <v>8376</v>
      </c>
    </row>
    <row r="5332" spans="1:1">
      <c r="A5332" t="s">
        <v>8377</v>
      </c>
    </row>
    <row r="5333" spans="1:1">
      <c r="A5333" t="s">
        <v>8378</v>
      </c>
    </row>
    <row r="5334" spans="1:1">
      <c r="A5334" t="s">
        <v>7978</v>
      </c>
    </row>
    <row r="5335" spans="1:1">
      <c r="A5335" t="s">
        <v>8379</v>
      </c>
    </row>
    <row r="5336" spans="1:1">
      <c r="A5336" t="s">
        <v>8380</v>
      </c>
    </row>
    <row r="5338" spans="1:1">
      <c r="A5338" t="s">
        <v>406</v>
      </c>
    </row>
    <row r="5339" spans="1:1">
      <c r="A5339" t="s">
        <v>8381</v>
      </c>
    </row>
    <row r="5340" spans="1:1">
      <c r="A5340" t="s">
        <v>8382</v>
      </c>
    </row>
    <row r="5341" spans="1:1">
      <c r="A5341" t="s">
        <v>8383</v>
      </c>
    </row>
    <row r="5342" spans="1:1">
      <c r="A5342" t="s">
        <v>8384</v>
      </c>
    </row>
    <row r="5343" spans="1:1">
      <c r="A5343" t="s">
        <v>8385</v>
      </c>
    </row>
    <row r="5344" spans="1:1">
      <c r="A5344" t="s">
        <v>6366</v>
      </c>
    </row>
    <row r="5345" spans="1:1">
      <c r="A5345" t="s">
        <v>8386</v>
      </c>
    </row>
    <row r="5346" spans="1:1">
      <c r="A5346" t="s">
        <v>8387</v>
      </c>
    </row>
    <row r="5347" spans="1:1">
      <c r="A5347" t="s">
        <v>8388</v>
      </c>
    </row>
    <row r="5348" spans="1:1">
      <c r="A5348" t="s">
        <v>421</v>
      </c>
    </row>
    <row r="5349" spans="1:1">
      <c r="A5349" t="s">
        <v>8389</v>
      </c>
    </row>
    <row r="5354" spans="1:1">
      <c r="A5354" t="s">
        <v>8390</v>
      </c>
    </row>
    <row r="5355" spans="1:1">
      <c r="A5355" t="s">
        <v>5070</v>
      </c>
    </row>
    <row r="5356" spans="1:1">
      <c r="A5356" t="s">
        <v>8391</v>
      </c>
    </row>
    <row r="5357" spans="1:1">
      <c r="A5357" t="s">
        <v>8392</v>
      </c>
    </row>
    <row r="5358" spans="1:1">
      <c r="A5358" t="s">
        <v>5073</v>
      </c>
    </row>
    <row r="5359" spans="1:1">
      <c r="A5359" t="s">
        <v>8393</v>
      </c>
    </row>
    <row r="5360" spans="1:1">
      <c r="A5360" t="s">
        <v>376</v>
      </c>
    </row>
    <row r="5362" spans="1:1">
      <c r="A5362" t="s">
        <v>5225</v>
      </c>
    </row>
    <row r="5363" spans="1:1">
      <c r="A5363" t="s">
        <v>378</v>
      </c>
    </row>
    <row r="5364" spans="1:1">
      <c r="A5364" t="s">
        <v>8394</v>
      </c>
    </row>
    <row r="5365" spans="1:1">
      <c r="A5365" t="s">
        <v>8395</v>
      </c>
    </row>
    <row r="5366" spans="1:1">
      <c r="A5366" t="s">
        <v>8396</v>
      </c>
    </row>
    <row r="5367" spans="1:1">
      <c r="A5367" t="s">
        <v>8397</v>
      </c>
    </row>
    <row r="5368" spans="1:1">
      <c r="A5368" t="s">
        <v>8398</v>
      </c>
    </row>
    <row r="5369" spans="1:1">
      <c r="A5369" t="s">
        <v>8399</v>
      </c>
    </row>
    <row r="5370" spans="1:1">
      <c r="A5370" t="s">
        <v>8400</v>
      </c>
    </row>
    <row r="5371" spans="1:1">
      <c r="A5371" t="s">
        <v>8401</v>
      </c>
    </row>
    <row r="5374" spans="1:1">
      <c r="A5374" t="s">
        <v>392</v>
      </c>
    </row>
    <row r="5375" spans="1:1">
      <c r="A5375" t="s">
        <v>8402</v>
      </c>
    </row>
    <row r="5376" spans="1:1">
      <c r="A5376" t="s">
        <v>8403</v>
      </c>
    </row>
    <row r="5377" spans="1:1">
      <c r="A5377" t="s">
        <v>8404</v>
      </c>
    </row>
    <row r="5378" spans="1:1">
      <c r="A5378" t="s">
        <v>8405</v>
      </c>
    </row>
    <row r="5379" spans="1:1">
      <c r="A5379" t="s">
        <v>8406</v>
      </c>
    </row>
    <row r="5380" spans="1:1">
      <c r="A5380" t="s">
        <v>8407</v>
      </c>
    </row>
    <row r="5381" spans="1:1">
      <c r="A5381" t="s">
        <v>8408</v>
      </c>
    </row>
    <row r="5383" spans="1:1">
      <c r="A5383" t="s">
        <v>406</v>
      </c>
    </row>
    <row r="5384" spans="1:1">
      <c r="A5384" t="s">
        <v>8409</v>
      </c>
    </row>
    <row r="5385" spans="1:1">
      <c r="A5385" t="s">
        <v>8410</v>
      </c>
    </row>
    <row r="5386" spans="1:1">
      <c r="A5386" t="s">
        <v>8411</v>
      </c>
    </row>
    <row r="5387" spans="1:1">
      <c r="A5387" t="s">
        <v>8412</v>
      </c>
    </row>
    <row r="5388" spans="1:1">
      <c r="A5388" t="s">
        <v>8413</v>
      </c>
    </row>
    <row r="5389" spans="1:1">
      <c r="A5389" t="s">
        <v>6366</v>
      </c>
    </row>
    <row r="5390" spans="1:1">
      <c r="A5390" t="s">
        <v>8414</v>
      </c>
    </row>
    <row r="5391" spans="1:1">
      <c r="A5391" t="s">
        <v>8415</v>
      </c>
    </row>
    <row r="5392" spans="1:1">
      <c r="A5392" t="s">
        <v>8416</v>
      </c>
    </row>
    <row r="5393" spans="1:1">
      <c r="A5393" t="s">
        <v>421</v>
      </c>
    </row>
    <row r="5394" spans="1:1">
      <c r="A5394" t="s">
        <v>8417</v>
      </c>
    </row>
    <row r="5399" spans="1:1">
      <c r="A5399" t="s">
        <v>8418</v>
      </c>
    </row>
    <row r="5400" spans="1:1">
      <c r="A5400" t="s">
        <v>5070</v>
      </c>
    </row>
    <row r="5401" spans="1:1">
      <c r="A5401" t="s">
        <v>8419</v>
      </c>
    </row>
    <row r="5402" spans="1:1">
      <c r="A5402" t="s">
        <v>8420</v>
      </c>
    </row>
    <row r="5403" spans="1:1">
      <c r="A5403" t="s">
        <v>5073</v>
      </c>
    </row>
    <row r="5404" spans="1:1">
      <c r="A5404" t="s">
        <v>8421</v>
      </c>
    </row>
    <row r="5405" spans="1:1">
      <c r="A5405" t="s">
        <v>376</v>
      </c>
    </row>
    <row r="5407" spans="1:1">
      <c r="A5407" t="s">
        <v>5135</v>
      </c>
    </row>
    <row r="5408" spans="1:1">
      <c r="A5408" t="s">
        <v>378</v>
      </c>
    </row>
    <row r="5409" spans="1:1">
      <c r="A5409" t="s">
        <v>8422</v>
      </c>
    </row>
    <row r="5410" spans="1:1">
      <c r="A5410" t="s">
        <v>8423</v>
      </c>
    </row>
    <row r="5411" spans="1:1">
      <c r="A5411" t="s">
        <v>8424</v>
      </c>
    </row>
    <row r="5412" spans="1:1">
      <c r="A5412" t="s">
        <v>8425</v>
      </c>
    </row>
    <row r="5413" spans="1:1">
      <c r="A5413" t="s">
        <v>8426</v>
      </c>
    </row>
    <row r="5414" spans="1:1">
      <c r="A5414" t="s">
        <v>8427</v>
      </c>
    </row>
    <row r="5415" spans="1:1">
      <c r="A5415" t="s">
        <v>8428</v>
      </c>
    </row>
    <row r="5416" spans="1:1">
      <c r="A5416" t="s">
        <v>8429</v>
      </c>
    </row>
    <row r="5419" spans="1:1">
      <c r="A5419" t="s">
        <v>392</v>
      </c>
    </row>
    <row r="5420" spans="1:1">
      <c r="A5420" t="s">
        <v>8430</v>
      </c>
    </row>
    <row r="5421" spans="1:1">
      <c r="A5421" t="s">
        <v>8431</v>
      </c>
    </row>
    <row r="5422" spans="1:1">
      <c r="A5422" t="s">
        <v>8432</v>
      </c>
    </row>
    <row r="5423" spans="1:1">
      <c r="A5423" t="s">
        <v>8433</v>
      </c>
    </row>
    <row r="5424" spans="1:1">
      <c r="A5424" t="s">
        <v>8434</v>
      </c>
    </row>
    <row r="5425" spans="1:1">
      <c r="A5425" t="s">
        <v>8435</v>
      </c>
    </row>
    <row r="5426" spans="1:1">
      <c r="A5426" t="s">
        <v>8436</v>
      </c>
    </row>
    <row r="5428" spans="1:1">
      <c r="A5428" t="s">
        <v>406</v>
      </c>
    </row>
    <row r="5429" spans="1:1">
      <c r="A5429" t="s">
        <v>8437</v>
      </c>
    </row>
    <row r="5430" spans="1:1">
      <c r="A5430" t="s">
        <v>8438</v>
      </c>
    </row>
    <row r="5431" spans="1:1">
      <c r="A5431" t="s">
        <v>8439</v>
      </c>
    </row>
    <row r="5432" spans="1:1">
      <c r="A5432" t="s">
        <v>8440</v>
      </c>
    </row>
    <row r="5433" spans="1:1">
      <c r="A5433" t="s">
        <v>8441</v>
      </c>
    </row>
    <row r="5434" spans="1:1">
      <c r="A5434" t="s">
        <v>8442</v>
      </c>
    </row>
    <row r="5435" spans="1:1">
      <c r="A5435" t="s">
        <v>8443</v>
      </c>
    </row>
    <row r="5436" spans="1:1">
      <c r="A5436" t="s">
        <v>8444</v>
      </c>
    </row>
    <row r="5437" spans="1:1">
      <c r="A5437" t="s">
        <v>8445</v>
      </c>
    </row>
    <row r="5438" spans="1:1">
      <c r="A5438" t="s">
        <v>421</v>
      </c>
    </row>
    <row r="5439" spans="1:1">
      <c r="A5439" t="s">
        <v>8446</v>
      </c>
    </row>
    <row r="5444" spans="1:1">
      <c r="A5444" t="s">
        <v>8447</v>
      </c>
    </row>
    <row r="5445" spans="1:1">
      <c r="A5445" t="s">
        <v>5070</v>
      </c>
    </row>
    <row r="5446" spans="1:1">
      <c r="A5446" t="s">
        <v>8448</v>
      </c>
    </row>
    <row r="5447" spans="1:1">
      <c r="A5447" t="s">
        <v>8449</v>
      </c>
    </row>
    <row r="5448" spans="1:1">
      <c r="A5448" t="s">
        <v>5073</v>
      </c>
    </row>
    <row r="5449" spans="1:1">
      <c r="A5449" t="s">
        <v>8450</v>
      </c>
    </row>
    <row r="5450" spans="1:1">
      <c r="A5450" t="s">
        <v>376</v>
      </c>
    </row>
    <row r="5452" spans="1:1">
      <c r="A5452" t="s">
        <v>5372</v>
      </c>
    </row>
    <row r="5453" spans="1:1">
      <c r="A5453" t="s">
        <v>378</v>
      </c>
    </row>
    <row r="5454" spans="1:1">
      <c r="A5454" t="s">
        <v>8451</v>
      </c>
    </row>
    <row r="5455" spans="1:1">
      <c r="A5455" t="s">
        <v>8452</v>
      </c>
    </row>
    <row r="5456" spans="1:1">
      <c r="A5456" t="s">
        <v>8453</v>
      </c>
    </row>
    <row r="5457" spans="1:1">
      <c r="A5457" t="s">
        <v>8454</v>
      </c>
    </row>
    <row r="5458" spans="1:1">
      <c r="A5458" t="s">
        <v>8455</v>
      </c>
    </row>
    <row r="5459" spans="1:1">
      <c r="A5459" t="s">
        <v>8456</v>
      </c>
    </row>
    <row r="5460" spans="1:1">
      <c r="A5460" t="s">
        <v>8457</v>
      </c>
    </row>
    <row r="5461" spans="1:1">
      <c r="A5461" t="s">
        <v>8458</v>
      </c>
    </row>
    <row r="5464" spans="1:1">
      <c r="A5464" t="s">
        <v>392</v>
      </c>
    </row>
    <row r="5465" spans="1:1">
      <c r="A5465" t="s">
        <v>8459</v>
      </c>
    </row>
    <row r="5466" spans="1:1">
      <c r="A5466" t="s">
        <v>8460</v>
      </c>
    </row>
    <row r="5467" spans="1:1">
      <c r="A5467" t="s">
        <v>8461</v>
      </c>
    </row>
    <row r="5468" spans="1:1">
      <c r="A5468" t="s">
        <v>8462</v>
      </c>
    </row>
    <row r="5469" spans="1:1">
      <c r="A5469" t="s">
        <v>8463</v>
      </c>
    </row>
    <row r="5470" spans="1:1">
      <c r="A5470" t="s">
        <v>8464</v>
      </c>
    </row>
    <row r="5471" spans="1:1">
      <c r="A5471" t="s">
        <v>7868</v>
      </c>
    </row>
    <row r="5472" spans="1:1">
      <c r="A5472" t="s">
        <v>8465</v>
      </c>
    </row>
    <row r="5474" spans="1:1">
      <c r="A5474" t="s">
        <v>406</v>
      </c>
    </row>
    <row r="5475" spans="1:1">
      <c r="A5475" t="s">
        <v>8466</v>
      </c>
    </row>
    <row r="5476" spans="1:1">
      <c r="A5476" t="s">
        <v>8467</v>
      </c>
    </row>
    <row r="5477" spans="1:1">
      <c r="A5477" t="s">
        <v>8468</v>
      </c>
    </row>
    <row r="5478" spans="1:1">
      <c r="A5478" t="s">
        <v>8469</v>
      </c>
    </row>
    <row r="5479" spans="1:1">
      <c r="A5479" t="s">
        <v>8470</v>
      </c>
    </row>
    <row r="5480" spans="1:1">
      <c r="A5480" t="s">
        <v>8471</v>
      </c>
    </row>
    <row r="5481" spans="1:1">
      <c r="A5481" t="s">
        <v>8472</v>
      </c>
    </row>
    <row r="5482" spans="1:1">
      <c r="A5482" t="s">
        <v>8473</v>
      </c>
    </row>
    <row r="5483" spans="1:1">
      <c r="A5483" t="s">
        <v>8474</v>
      </c>
    </row>
    <row r="5484" spans="1:1">
      <c r="A5484" t="s">
        <v>421</v>
      </c>
    </row>
    <row r="5485" spans="1:1">
      <c r="A5485" t="s">
        <v>8475</v>
      </c>
    </row>
    <row r="5490" spans="1:1">
      <c r="A5490" t="s">
        <v>8476</v>
      </c>
    </row>
    <row r="5491" spans="1:1">
      <c r="A5491" t="s">
        <v>5070</v>
      </c>
    </row>
    <row r="5492" spans="1:1">
      <c r="A5492" t="s">
        <v>8477</v>
      </c>
    </row>
    <row r="5493" spans="1:1">
      <c r="A5493" t="s">
        <v>8478</v>
      </c>
    </row>
    <row r="5494" spans="1:1">
      <c r="A5494" t="s">
        <v>5073</v>
      </c>
    </row>
    <row r="5495" spans="1:1">
      <c r="A5495" t="s">
        <v>8479</v>
      </c>
    </row>
    <row r="5496" spans="1:1">
      <c r="A5496" t="s">
        <v>376</v>
      </c>
    </row>
    <row r="5498" spans="1:1">
      <c r="A5498" t="s">
        <v>6431</v>
      </c>
    </row>
    <row r="5499" spans="1:1">
      <c r="A5499" t="s">
        <v>378</v>
      </c>
    </row>
    <row r="5500" spans="1:1">
      <c r="A5500" t="s">
        <v>8480</v>
      </c>
    </row>
    <row r="5501" spans="1:1">
      <c r="A5501" t="s">
        <v>8481</v>
      </c>
    </row>
    <row r="5502" spans="1:1">
      <c r="A5502" t="s">
        <v>8482</v>
      </c>
    </row>
    <row r="5503" spans="1:1">
      <c r="A5503" t="s">
        <v>8483</v>
      </c>
    </row>
    <row r="5504" spans="1:1">
      <c r="A5504" t="s">
        <v>8484</v>
      </c>
    </row>
    <row r="5505" spans="1:1">
      <c r="A5505" t="s">
        <v>8485</v>
      </c>
    </row>
    <row r="5506" spans="1:1">
      <c r="A5506" t="s">
        <v>8486</v>
      </c>
    </row>
    <row r="5507" spans="1:1">
      <c r="A5507" t="s">
        <v>8487</v>
      </c>
    </row>
    <row r="5510" spans="1:1">
      <c r="A5510" t="s">
        <v>392</v>
      </c>
    </row>
    <row r="5511" spans="1:1">
      <c r="A5511" t="s">
        <v>8488</v>
      </c>
    </row>
    <row r="5512" spans="1:1">
      <c r="A5512" t="s">
        <v>8489</v>
      </c>
    </row>
    <row r="5513" spans="1:1">
      <c r="A5513" t="s">
        <v>7836</v>
      </c>
    </row>
    <row r="5514" spans="1:1">
      <c r="A5514" t="s">
        <v>8490</v>
      </c>
    </row>
    <row r="5515" spans="1:1">
      <c r="A5515" t="s">
        <v>8491</v>
      </c>
    </row>
    <row r="5516" spans="1:1">
      <c r="A5516" t="s">
        <v>8492</v>
      </c>
    </row>
    <row r="5517" spans="1:1">
      <c r="A5517" t="s">
        <v>8493</v>
      </c>
    </row>
    <row r="5518" spans="1:1">
      <c r="A5518" t="s">
        <v>8494</v>
      </c>
    </row>
    <row r="5520" spans="1:1">
      <c r="A5520" t="s">
        <v>406</v>
      </c>
    </row>
    <row r="5521" spans="1:1">
      <c r="A5521" t="s">
        <v>8495</v>
      </c>
    </row>
    <row r="5522" spans="1:1">
      <c r="A5522" t="s">
        <v>8496</v>
      </c>
    </row>
    <row r="5523" spans="1:1">
      <c r="A5523" t="s">
        <v>8497</v>
      </c>
    </row>
    <row r="5524" spans="1:1">
      <c r="A5524" t="s">
        <v>8498</v>
      </c>
    </row>
    <row r="5525" spans="1:1">
      <c r="A5525" t="s">
        <v>8499</v>
      </c>
    </row>
    <row r="5526" spans="1:1">
      <c r="A5526" t="s">
        <v>8500</v>
      </c>
    </row>
    <row r="5527" spans="1:1">
      <c r="A5527" t="s">
        <v>8501</v>
      </c>
    </row>
    <row r="5528" spans="1:1">
      <c r="A5528" t="s">
        <v>8502</v>
      </c>
    </row>
    <row r="5529" spans="1:1">
      <c r="A5529" t="s">
        <v>8503</v>
      </c>
    </row>
    <row r="5530" spans="1:1">
      <c r="A5530" t="s">
        <v>421</v>
      </c>
    </row>
    <row r="5531" spans="1:1">
      <c r="A5531" t="s">
        <v>8504</v>
      </c>
    </row>
    <row r="5536" spans="1:1">
      <c r="A5536" t="s">
        <v>8505</v>
      </c>
    </row>
    <row r="5537" spans="1:1">
      <c r="A5537" t="s">
        <v>5070</v>
      </c>
    </row>
    <row r="5538" spans="1:1">
      <c r="A5538" t="s">
        <v>8506</v>
      </c>
    </row>
    <row r="5539" spans="1:1">
      <c r="A5539" t="s">
        <v>8507</v>
      </c>
    </row>
    <row r="5540" spans="1:1">
      <c r="A5540" t="s">
        <v>5073</v>
      </c>
    </row>
    <row r="5541" spans="1:1">
      <c r="A5541" t="s">
        <v>8508</v>
      </c>
    </row>
    <row r="5542" spans="1:1">
      <c r="A5542" t="s">
        <v>376</v>
      </c>
    </row>
    <row r="5544" spans="1:1">
      <c r="A5544" t="s">
        <v>5724</v>
      </c>
    </row>
    <row r="5545" spans="1:1">
      <c r="A5545" t="s">
        <v>378</v>
      </c>
    </row>
    <row r="5546" spans="1:1">
      <c r="A5546" t="s">
        <v>8509</v>
      </c>
    </row>
    <row r="5547" spans="1:1">
      <c r="A5547" t="s">
        <v>8510</v>
      </c>
    </row>
    <row r="5548" spans="1:1">
      <c r="A5548" t="s">
        <v>8511</v>
      </c>
    </row>
    <row r="5549" spans="1:1">
      <c r="A5549" t="s">
        <v>8512</v>
      </c>
    </row>
    <row r="5550" spans="1:1">
      <c r="A5550" t="s">
        <v>8513</v>
      </c>
    </row>
    <row r="5551" spans="1:1">
      <c r="A5551" t="s">
        <v>8514</v>
      </c>
    </row>
    <row r="5552" spans="1:1">
      <c r="A5552" t="s">
        <v>8515</v>
      </c>
    </row>
    <row r="5553" spans="1:1">
      <c r="A5553" t="s">
        <v>8516</v>
      </c>
    </row>
    <row r="5556" spans="1:1">
      <c r="A5556" t="s">
        <v>392</v>
      </c>
    </row>
    <row r="5557" spans="1:1">
      <c r="A5557" t="s">
        <v>8517</v>
      </c>
    </row>
    <row r="5558" spans="1:1">
      <c r="A5558" t="s">
        <v>8518</v>
      </c>
    </row>
    <row r="5559" spans="1:1">
      <c r="A5559" t="s">
        <v>8519</v>
      </c>
    </row>
    <row r="5560" spans="1:1">
      <c r="A5560" t="s">
        <v>8520</v>
      </c>
    </row>
    <row r="5561" spans="1:1">
      <c r="A5561" t="s">
        <v>8521</v>
      </c>
    </row>
    <row r="5562" spans="1:1">
      <c r="A5562" t="s">
        <v>8522</v>
      </c>
    </row>
    <row r="5563" spans="1:1">
      <c r="A5563" t="s">
        <v>7868</v>
      </c>
    </row>
    <row r="5564" spans="1:1">
      <c r="A5564" t="s">
        <v>8523</v>
      </c>
    </row>
    <row r="5566" spans="1:1">
      <c r="A5566" t="s">
        <v>406</v>
      </c>
    </row>
    <row r="5567" spans="1:1">
      <c r="A5567" t="s">
        <v>8524</v>
      </c>
    </row>
    <row r="5568" spans="1:1">
      <c r="A5568" t="s">
        <v>8525</v>
      </c>
    </row>
    <row r="5569" spans="1:1">
      <c r="A5569" t="s">
        <v>8526</v>
      </c>
    </row>
    <row r="5570" spans="1:1">
      <c r="A5570" t="s">
        <v>8527</v>
      </c>
    </row>
    <row r="5571" spans="1:1">
      <c r="A5571" t="s">
        <v>8528</v>
      </c>
    </row>
    <row r="5572" spans="1:1">
      <c r="A5572" t="s">
        <v>8529</v>
      </c>
    </row>
    <row r="5573" spans="1:1">
      <c r="A5573" t="s">
        <v>8530</v>
      </c>
    </row>
    <row r="5574" spans="1:1">
      <c r="A5574" t="s">
        <v>8531</v>
      </c>
    </row>
    <row r="5575" spans="1:1">
      <c r="A5575" t="s">
        <v>8532</v>
      </c>
    </row>
    <row r="5576" spans="1:1">
      <c r="A5576" t="s">
        <v>421</v>
      </c>
    </row>
    <row r="5577" spans="1:1">
      <c r="A5577" t="s">
        <v>8533</v>
      </c>
    </row>
    <row r="5582" spans="1:1">
      <c r="A5582" t="s">
        <v>8534</v>
      </c>
    </row>
    <row r="5583" spans="1:1">
      <c r="A5583" t="s">
        <v>5070</v>
      </c>
    </row>
    <row r="5584" spans="1:1">
      <c r="A5584" t="s">
        <v>8535</v>
      </c>
    </row>
    <row r="5585" spans="1:1">
      <c r="A5585" t="s">
        <v>8536</v>
      </c>
    </row>
    <row r="5586" spans="1:1">
      <c r="A5586" t="s">
        <v>5073</v>
      </c>
    </row>
    <row r="5587" spans="1:1">
      <c r="A5587" t="s">
        <v>8537</v>
      </c>
    </row>
    <row r="5588" spans="1:1">
      <c r="A5588" t="s">
        <v>376</v>
      </c>
    </row>
    <row r="5590" spans="1:1">
      <c r="A5590" t="s">
        <v>5285</v>
      </c>
    </row>
    <row r="5591" spans="1:1">
      <c r="A5591" t="s">
        <v>378</v>
      </c>
    </row>
    <row r="5592" spans="1:1">
      <c r="A5592" t="s">
        <v>8538</v>
      </c>
    </row>
    <row r="5593" spans="1:1">
      <c r="A5593" t="s">
        <v>8539</v>
      </c>
    </row>
    <row r="5594" spans="1:1">
      <c r="A5594" t="s">
        <v>8540</v>
      </c>
    </row>
    <row r="5595" spans="1:1">
      <c r="A5595" t="s">
        <v>8541</v>
      </c>
    </row>
    <row r="5596" spans="1:1">
      <c r="A5596" t="s">
        <v>8542</v>
      </c>
    </row>
    <row r="5597" spans="1:1">
      <c r="A5597" t="s">
        <v>8543</v>
      </c>
    </row>
    <row r="5598" spans="1:1">
      <c r="A5598" t="s">
        <v>8544</v>
      </c>
    </row>
    <row r="5599" spans="1:1">
      <c r="A5599" t="s">
        <v>8545</v>
      </c>
    </row>
    <row r="5602" spans="1:1">
      <c r="A5602" t="s">
        <v>392</v>
      </c>
    </row>
    <row r="5603" spans="1:1">
      <c r="A5603" t="s">
        <v>8546</v>
      </c>
    </row>
    <row r="5604" spans="1:1">
      <c r="A5604" t="s">
        <v>7389</v>
      </c>
    </row>
    <row r="5605" spans="1:1">
      <c r="A5605" t="s">
        <v>7390</v>
      </c>
    </row>
    <row r="5606" spans="1:1">
      <c r="A5606" t="s">
        <v>8547</v>
      </c>
    </row>
    <row r="5607" spans="1:1">
      <c r="A5607" t="s">
        <v>8548</v>
      </c>
    </row>
    <row r="5608" spans="1:1">
      <c r="A5608" t="s">
        <v>8549</v>
      </c>
    </row>
    <row r="5609" spans="1:1">
      <c r="A5609" t="s">
        <v>7393</v>
      </c>
    </row>
    <row r="5610" spans="1:1">
      <c r="A5610" t="s">
        <v>8550</v>
      </c>
    </row>
    <row r="5612" spans="1:1">
      <c r="A5612" t="s">
        <v>406</v>
      </c>
    </row>
    <row r="5613" spans="1:1">
      <c r="A5613" t="s">
        <v>8551</v>
      </c>
    </row>
    <row r="5614" spans="1:1">
      <c r="A5614" t="s">
        <v>8552</v>
      </c>
    </row>
    <row r="5615" spans="1:1">
      <c r="A5615" t="s">
        <v>8553</v>
      </c>
    </row>
    <row r="5616" spans="1:1">
      <c r="A5616" t="s">
        <v>8554</v>
      </c>
    </row>
    <row r="5617" spans="1:1">
      <c r="A5617" t="s">
        <v>8555</v>
      </c>
    </row>
    <row r="5618" spans="1:1">
      <c r="A5618" t="s">
        <v>8556</v>
      </c>
    </row>
    <row r="5619" spans="1:1">
      <c r="A5619" t="s">
        <v>8557</v>
      </c>
    </row>
    <row r="5620" spans="1:1">
      <c r="A5620" t="s">
        <v>8558</v>
      </c>
    </row>
    <row r="5621" spans="1:1">
      <c r="A5621" t="s">
        <v>8559</v>
      </c>
    </row>
    <row r="5622" spans="1:1">
      <c r="A5622" t="s">
        <v>421</v>
      </c>
    </row>
    <row r="5623" spans="1:1">
      <c r="A5623" t="s">
        <v>8560</v>
      </c>
    </row>
    <row r="5628" spans="1:1">
      <c r="A5628" t="s">
        <v>8561</v>
      </c>
    </row>
    <row r="5629" spans="1:1">
      <c r="A5629" t="s">
        <v>5070</v>
      </c>
    </row>
    <row r="5630" spans="1:1">
      <c r="A5630" t="s">
        <v>8562</v>
      </c>
    </row>
    <row r="5631" spans="1:1">
      <c r="A5631" t="s">
        <v>8563</v>
      </c>
    </row>
    <row r="5632" spans="1:1">
      <c r="A5632" t="s">
        <v>5073</v>
      </c>
    </row>
    <row r="5633" spans="1:1">
      <c r="A5633" t="s">
        <v>8564</v>
      </c>
    </row>
    <row r="5634" spans="1:1">
      <c r="A5634" t="s">
        <v>376</v>
      </c>
    </row>
    <row r="5636" spans="1:1">
      <c r="A5636" t="s">
        <v>5135</v>
      </c>
    </row>
    <row r="5637" spans="1:1">
      <c r="A5637" t="s">
        <v>378</v>
      </c>
    </row>
    <row r="5638" spans="1:1">
      <c r="A5638" t="s">
        <v>8565</v>
      </c>
    </row>
    <row r="5639" spans="1:1">
      <c r="A5639" t="s">
        <v>8566</v>
      </c>
    </row>
    <row r="5640" spans="1:1">
      <c r="A5640" t="s">
        <v>8567</v>
      </c>
    </row>
    <row r="5641" spans="1:1">
      <c r="A5641" t="s">
        <v>8568</v>
      </c>
    </row>
    <row r="5642" spans="1:1">
      <c r="A5642" t="s">
        <v>8569</v>
      </c>
    </row>
    <row r="5643" spans="1:1">
      <c r="A5643" t="s">
        <v>8570</v>
      </c>
    </row>
    <row r="5644" spans="1:1">
      <c r="A5644" t="s">
        <v>8571</v>
      </c>
    </row>
    <row r="5645" spans="1:1">
      <c r="A5645" t="s">
        <v>8572</v>
      </c>
    </row>
    <row r="5648" spans="1:1">
      <c r="A5648" t="s">
        <v>392</v>
      </c>
    </row>
    <row r="5649" spans="1:1">
      <c r="A5649" t="s">
        <v>8573</v>
      </c>
    </row>
    <row r="5650" spans="1:1">
      <c r="A5650" t="s">
        <v>8574</v>
      </c>
    </row>
    <row r="5651" spans="1:1">
      <c r="A5651" t="s">
        <v>8575</v>
      </c>
    </row>
    <row r="5652" spans="1:1">
      <c r="A5652" t="s">
        <v>8576</v>
      </c>
    </row>
    <row r="5653" spans="1:1">
      <c r="A5653" t="s">
        <v>8577</v>
      </c>
    </row>
    <row r="5654" spans="1:1">
      <c r="A5654" t="s">
        <v>8578</v>
      </c>
    </row>
    <row r="5655" spans="1:1">
      <c r="A5655" t="s">
        <v>8579</v>
      </c>
    </row>
    <row r="5657" spans="1:1">
      <c r="A5657" t="s">
        <v>406</v>
      </c>
    </row>
    <row r="5658" spans="1:1">
      <c r="A5658" t="s">
        <v>8580</v>
      </c>
    </row>
    <row r="5659" spans="1:1">
      <c r="A5659" t="s">
        <v>8581</v>
      </c>
    </row>
    <row r="5660" spans="1:1">
      <c r="A5660" t="s">
        <v>8582</v>
      </c>
    </row>
    <row r="5661" spans="1:1">
      <c r="A5661" t="s">
        <v>8583</v>
      </c>
    </row>
    <row r="5662" spans="1:1">
      <c r="A5662" t="s">
        <v>8584</v>
      </c>
    </row>
    <row r="5663" spans="1:1">
      <c r="A5663" t="s">
        <v>8585</v>
      </c>
    </row>
    <row r="5664" spans="1:1">
      <c r="A5664" t="s">
        <v>8586</v>
      </c>
    </row>
    <row r="5665" spans="1:1">
      <c r="A5665" t="s">
        <v>8587</v>
      </c>
    </row>
    <row r="5666" spans="1:1">
      <c r="A5666" t="s">
        <v>8588</v>
      </c>
    </row>
    <row r="5667" spans="1:1">
      <c r="A5667" t="s">
        <v>421</v>
      </c>
    </row>
    <row r="5668" spans="1:1">
      <c r="A5668" t="s">
        <v>8589</v>
      </c>
    </row>
    <row r="5673" spans="1:1">
      <c r="A5673" t="s">
        <v>8590</v>
      </c>
    </row>
    <row r="5674" spans="1:1">
      <c r="A5674" t="s">
        <v>5070</v>
      </c>
    </row>
    <row r="5675" spans="1:1">
      <c r="A5675" t="s">
        <v>8591</v>
      </c>
    </row>
    <row r="5676" spans="1:1">
      <c r="A5676" t="s">
        <v>8592</v>
      </c>
    </row>
    <row r="5677" spans="1:1">
      <c r="A5677" t="s">
        <v>5073</v>
      </c>
    </row>
    <row r="5678" spans="1:1">
      <c r="A5678" t="s">
        <v>8593</v>
      </c>
    </row>
    <row r="5679" spans="1:1">
      <c r="A5679" t="s">
        <v>376</v>
      </c>
    </row>
    <row r="5681" spans="1:1">
      <c r="A5681" t="s">
        <v>5135</v>
      </c>
    </row>
    <row r="5682" spans="1:1">
      <c r="A5682" t="s">
        <v>378</v>
      </c>
    </row>
    <row r="5683" spans="1:1">
      <c r="A5683" t="s">
        <v>8594</v>
      </c>
    </row>
    <row r="5684" spans="1:1">
      <c r="A5684" t="s">
        <v>8595</v>
      </c>
    </row>
    <row r="5685" spans="1:1">
      <c r="A5685" t="s">
        <v>8596</v>
      </c>
    </row>
    <row r="5686" spans="1:1">
      <c r="A5686" t="s">
        <v>8597</v>
      </c>
    </row>
    <row r="5687" spans="1:1">
      <c r="A5687" t="s">
        <v>8598</v>
      </c>
    </row>
    <row r="5688" spans="1:1">
      <c r="A5688" t="s">
        <v>8599</v>
      </c>
    </row>
    <row r="5689" spans="1:1">
      <c r="A5689" t="s">
        <v>8600</v>
      </c>
    </row>
    <row r="5690" spans="1:1">
      <c r="A5690" t="s">
        <v>8601</v>
      </c>
    </row>
    <row r="5693" spans="1:1">
      <c r="A5693" t="s">
        <v>392</v>
      </c>
    </row>
    <row r="5694" spans="1:1">
      <c r="A5694" t="s">
        <v>8602</v>
      </c>
    </row>
    <row r="5695" spans="1:1">
      <c r="A5695" t="s">
        <v>8603</v>
      </c>
    </row>
    <row r="5696" spans="1:1">
      <c r="A5696" t="s">
        <v>8604</v>
      </c>
    </row>
    <row r="5697" spans="1:1">
      <c r="A5697" t="s">
        <v>8605</v>
      </c>
    </row>
    <row r="5698" spans="1:1">
      <c r="A5698" t="s">
        <v>8606</v>
      </c>
    </row>
    <row r="5699" spans="1:1">
      <c r="A5699" t="s">
        <v>8607</v>
      </c>
    </row>
    <row r="5700" spans="1:1">
      <c r="A5700" t="s">
        <v>8608</v>
      </c>
    </row>
    <row r="5701" spans="1:1">
      <c r="A5701" t="s">
        <v>8609</v>
      </c>
    </row>
    <row r="5703" spans="1:1">
      <c r="A5703" t="s">
        <v>406</v>
      </c>
    </row>
    <row r="5704" spans="1:1">
      <c r="A5704" t="s">
        <v>8610</v>
      </c>
    </row>
    <row r="5705" spans="1:1">
      <c r="A5705" t="s">
        <v>8611</v>
      </c>
    </row>
    <row r="5706" spans="1:1">
      <c r="A5706" t="s">
        <v>8612</v>
      </c>
    </row>
    <row r="5707" spans="1:1">
      <c r="A5707" t="s">
        <v>8613</v>
      </c>
    </row>
    <row r="5708" spans="1:1">
      <c r="A5708" t="s">
        <v>8614</v>
      </c>
    </row>
    <row r="5709" spans="1:1">
      <c r="A5709" t="s">
        <v>8615</v>
      </c>
    </row>
    <row r="5710" spans="1:1">
      <c r="A5710" t="s">
        <v>8616</v>
      </c>
    </row>
    <row r="5711" spans="1:1">
      <c r="A5711" t="s">
        <v>8617</v>
      </c>
    </row>
    <row r="5712" spans="1:1">
      <c r="A5712" t="s">
        <v>8618</v>
      </c>
    </row>
    <row r="5713" spans="1:1">
      <c r="A5713" t="s">
        <v>421</v>
      </c>
    </row>
    <row r="5714" spans="1:1">
      <c r="A5714" t="s">
        <v>8619</v>
      </c>
    </row>
    <row r="5719" spans="1:1">
      <c r="A5719" t="s">
        <v>8620</v>
      </c>
    </row>
    <row r="5720" spans="1:1">
      <c r="A5720" t="s">
        <v>5070</v>
      </c>
    </row>
    <row r="5721" spans="1:1">
      <c r="A5721" t="s">
        <v>8621</v>
      </c>
    </row>
    <row r="5722" spans="1:1">
      <c r="A5722" t="s">
        <v>8622</v>
      </c>
    </row>
    <row r="5723" spans="1:1">
      <c r="A5723" t="s">
        <v>5073</v>
      </c>
    </row>
    <row r="5724" spans="1:1">
      <c r="A5724" t="s">
        <v>8623</v>
      </c>
    </row>
    <row r="5725" spans="1:1">
      <c r="A5725" t="s">
        <v>376</v>
      </c>
    </row>
    <row r="5727" spans="1:1">
      <c r="A5727" t="s">
        <v>5372</v>
      </c>
    </row>
    <row r="5728" spans="1:1">
      <c r="A5728" t="s">
        <v>378</v>
      </c>
    </row>
    <row r="5729" spans="1:1">
      <c r="A5729" t="s">
        <v>8624</v>
      </c>
    </row>
    <row r="5730" spans="1:1">
      <c r="A5730" t="s">
        <v>8625</v>
      </c>
    </row>
    <row r="5731" spans="1:1">
      <c r="A5731" t="s">
        <v>8626</v>
      </c>
    </row>
    <row r="5732" spans="1:1">
      <c r="A5732" t="s">
        <v>8627</v>
      </c>
    </row>
    <row r="5733" spans="1:1">
      <c r="A5733" t="s">
        <v>8628</v>
      </c>
    </row>
    <row r="5734" spans="1:1">
      <c r="A5734" t="s">
        <v>8629</v>
      </c>
    </row>
    <row r="5735" spans="1:1">
      <c r="A5735" t="s">
        <v>8630</v>
      </c>
    </row>
    <row r="5736" spans="1:1">
      <c r="A5736" t="s">
        <v>8631</v>
      </c>
    </row>
    <row r="5739" spans="1:1">
      <c r="A5739" t="s">
        <v>392</v>
      </c>
    </row>
    <row r="5740" spans="1:1">
      <c r="A5740" t="s">
        <v>8632</v>
      </c>
    </row>
    <row r="5741" spans="1:1">
      <c r="A5741" t="s">
        <v>8633</v>
      </c>
    </row>
    <row r="5742" spans="1:1">
      <c r="A5742" t="s">
        <v>8634</v>
      </c>
    </row>
    <row r="5743" spans="1:1">
      <c r="A5743" t="s">
        <v>8635</v>
      </c>
    </row>
    <row r="5744" spans="1:1">
      <c r="A5744" t="s">
        <v>8636</v>
      </c>
    </row>
    <row r="5745" spans="1:1">
      <c r="A5745" t="s">
        <v>8637</v>
      </c>
    </row>
    <row r="5746" spans="1:1">
      <c r="A5746" t="s">
        <v>8638</v>
      </c>
    </row>
    <row r="5747" spans="1:1">
      <c r="A5747" t="s">
        <v>8639</v>
      </c>
    </row>
    <row r="5749" spans="1:1">
      <c r="A5749" t="s">
        <v>406</v>
      </c>
    </row>
    <row r="5750" spans="1:1">
      <c r="A5750" t="s">
        <v>8640</v>
      </c>
    </row>
    <row r="5751" spans="1:1">
      <c r="A5751" t="s">
        <v>8641</v>
      </c>
    </row>
    <row r="5752" spans="1:1">
      <c r="A5752" t="s">
        <v>8642</v>
      </c>
    </row>
    <row r="5753" spans="1:1">
      <c r="A5753" t="s">
        <v>8643</v>
      </c>
    </row>
    <row r="5754" spans="1:1">
      <c r="A5754" t="s">
        <v>8644</v>
      </c>
    </row>
    <row r="5755" spans="1:1">
      <c r="A5755" t="s">
        <v>8645</v>
      </c>
    </row>
    <row r="5756" spans="1:1">
      <c r="A5756" t="s">
        <v>8646</v>
      </c>
    </row>
    <row r="5757" spans="1:1">
      <c r="A5757" t="s">
        <v>8647</v>
      </c>
    </row>
    <row r="5758" spans="1:1">
      <c r="A5758" t="s">
        <v>8648</v>
      </c>
    </row>
    <row r="5759" spans="1:1">
      <c r="A5759" t="s">
        <v>421</v>
      </c>
    </row>
    <row r="5760" spans="1:1">
      <c r="A5760" t="s">
        <v>8649</v>
      </c>
    </row>
    <row r="5765" spans="1:1">
      <c r="A5765" t="s">
        <v>8650</v>
      </c>
    </row>
    <row r="5766" spans="1:1">
      <c r="A5766" t="s">
        <v>5070</v>
      </c>
    </row>
    <row r="5767" spans="1:1">
      <c r="A5767" t="s">
        <v>8651</v>
      </c>
    </row>
    <row r="5768" spans="1:1">
      <c r="A5768" t="s">
        <v>8652</v>
      </c>
    </row>
    <row r="5769" spans="1:1">
      <c r="A5769" t="s">
        <v>5073</v>
      </c>
    </row>
    <row r="5770" spans="1:1">
      <c r="A5770" t="s">
        <v>8653</v>
      </c>
    </row>
    <row r="5771" spans="1:1">
      <c r="A5771" t="s">
        <v>376</v>
      </c>
    </row>
    <row r="5773" spans="1:1">
      <c r="A5773" t="s">
        <v>5105</v>
      </c>
    </row>
    <row r="5774" spans="1:1">
      <c r="A5774" t="s">
        <v>378</v>
      </c>
    </row>
    <row r="5775" spans="1:1">
      <c r="A5775" t="s">
        <v>8654</v>
      </c>
    </row>
    <row r="5776" spans="1:1">
      <c r="A5776" t="s">
        <v>8655</v>
      </c>
    </row>
    <row r="5777" spans="1:1">
      <c r="A5777" t="s">
        <v>8656</v>
      </c>
    </row>
    <row r="5778" spans="1:1">
      <c r="A5778" t="s">
        <v>8657</v>
      </c>
    </row>
    <row r="5779" spans="1:1">
      <c r="A5779" t="s">
        <v>8658</v>
      </c>
    </row>
    <row r="5780" spans="1:1">
      <c r="A5780" t="s">
        <v>8659</v>
      </c>
    </row>
    <row r="5781" spans="1:1">
      <c r="A5781" t="s">
        <v>8660</v>
      </c>
    </row>
    <row r="5782" spans="1:1">
      <c r="A5782" t="s">
        <v>8661</v>
      </c>
    </row>
    <row r="5785" spans="1:1">
      <c r="A5785" t="s">
        <v>392</v>
      </c>
    </row>
    <row r="5786" spans="1:1">
      <c r="A5786" t="s">
        <v>8662</v>
      </c>
    </row>
    <row r="5787" spans="1:1">
      <c r="A5787" t="s">
        <v>8663</v>
      </c>
    </row>
    <row r="5788" spans="1:1">
      <c r="A5788" t="s">
        <v>8664</v>
      </c>
    </row>
    <row r="5789" spans="1:1">
      <c r="A5789" t="s">
        <v>8665</v>
      </c>
    </row>
    <row r="5790" spans="1:1">
      <c r="A5790" t="s">
        <v>8666</v>
      </c>
    </row>
    <row r="5791" spans="1:1">
      <c r="A5791" t="s">
        <v>8667</v>
      </c>
    </row>
    <row r="5792" spans="1:1">
      <c r="A5792" t="s">
        <v>8668</v>
      </c>
    </row>
    <row r="5793" spans="1:1">
      <c r="A5793" t="s">
        <v>8669</v>
      </c>
    </row>
    <row r="5795" spans="1:1">
      <c r="A5795" t="s">
        <v>406</v>
      </c>
    </row>
    <row r="5796" spans="1:1">
      <c r="A5796" t="s">
        <v>8670</v>
      </c>
    </row>
    <row r="5797" spans="1:1">
      <c r="A5797" t="s">
        <v>8671</v>
      </c>
    </row>
    <row r="5798" spans="1:1">
      <c r="A5798" t="s">
        <v>8672</v>
      </c>
    </row>
    <row r="5799" spans="1:1">
      <c r="A5799" t="s">
        <v>8673</v>
      </c>
    </row>
    <row r="5800" spans="1:1">
      <c r="A5800" t="s">
        <v>8674</v>
      </c>
    </row>
    <row r="5801" spans="1:1">
      <c r="A5801" t="s">
        <v>8675</v>
      </c>
    </row>
    <row r="5802" spans="1:1">
      <c r="A5802" t="s">
        <v>8676</v>
      </c>
    </row>
    <row r="5803" spans="1:1">
      <c r="A5803" t="s">
        <v>8677</v>
      </c>
    </row>
    <row r="5804" spans="1:1">
      <c r="A5804" t="s">
        <v>8678</v>
      </c>
    </row>
    <row r="5805" spans="1:1">
      <c r="A5805" t="s">
        <v>421</v>
      </c>
    </row>
    <row r="5806" spans="1:1">
      <c r="A5806" t="s">
        <v>8679</v>
      </c>
    </row>
    <row r="5811" spans="1:1">
      <c r="A5811" t="s">
        <v>8680</v>
      </c>
    </row>
    <row r="5812" spans="1:1">
      <c r="A5812" t="s">
        <v>5070</v>
      </c>
    </row>
    <row r="5813" spans="1:1">
      <c r="A5813" t="s">
        <v>8681</v>
      </c>
    </row>
    <row r="5814" spans="1:1">
      <c r="A5814" t="s">
        <v>8682</v>
      </c>
    </row>
    <row r="5815" spans="1:1">
      <c r="A5815" t="s">
        <v>5073</v>
      </c>
    </row>
    <row r="5816" spans="1:1">
      <c r="A5816" t="s">
        <v>8683</v>
      </c>
    </row>
    <row r="5817" spans="1:1">
      <c r="A5817" t="s">
        <v>376</v>
      </c>
    </row>
    <row r="5819" spans="1:1">
      <c r="A5819" t="s">
        <v>5833</v>
      </c>
    </row>
    <row r="5820" spans="1:1">
      <c r="A5820" t="s">
        <v>378</v>
      </c>
    </row>
    <row r="5821" spans="1:1">
      <c r="A5821" t="s">
        <v>8684</v>
      </c>
    </row>
    <row r="5822" spans="1:1">
      <c r="A5822" t="s">
        <v>8685</v>
      </c>
    </row>
    <row r="5823" spans="1:1">
      <c r="A5823" t="s">
        <v>8686</v>
      </c>
    </row>
    <row r="5824" spans="1:1">
      <c r="A5824" t="s">
        <v>8687</v>
      </c>
    </row>
    <row r="5825" spans="1:1">
      <c r="A5825" t="s">
        <v>8688</v>
      </c>
    </row>
    <row r="5826" spans="1:1">
      <c r="A5826" t="s">
        <v>8689</v>
      </c>
    </row>
    <row r="5827" spans="1:1">
      <c r="A5827" t="s">
        <v>8690</v>
      </c>
    </row>
    <row r="5828" spans="1:1">
      <c r="A5828" t="s">
        <v>8691</v>
      </c>
    </row>
    <row r="5831" spans="1:1">
      <c r="A5831" t="s">
        <v>392</v>
      </c>
    </row>
    <row r="5832" spans="1:1">
      <c r="A5832" t="s">
        <v>8692</v>
      </c>
    </row>
    <row r="5833" spans="1:1">
      <c r="A5833" t="s">
        <v>8693</v>
      </c>
    </row>
    <row r="5834" spans="1:1">
      <c r="A5834" t="s">
        <v>8694</v>
      </c>
    </row>
    <row r="5835" spans="1:1">
      <c r="A5835" t="s">
        <v>8695</v>
      </c>
    </row>
    <row r="5836" spans="1:1">
      <c r="A5836" t="s">
        <v>8666</v>
      </c>
    </row>
    <row r="5837" spans="1:1">
      <c r="A5837" t="s">
        <v>8696</v>
      </c>
    </row>
    <row r="5838" spans="1:1">
      <c r="A5838" t="s">
        <v>8668</v>
      </c>
    </row>
    <row r="5839" spans="1:1">
      <c r="A5839" t="s">
        <v>8697</v>
      </c>
    </row>
    <row r="5841" spans="1:1">
      <c r="A5841" t="s">
        <v>406</v>
      </c>
    </row>
    <row r="5842" spans="1:1">
      <c r="A5842" t="s">
        <v>8698</v>
      </c>
    </row>
    <row r="5843" spans="1:1">
      <c r="A5843" t="s">
        <v>8699</v>
      </c>
    </row>
    <row r="5844" spans="1:1">
      <c r="A5844" t="s">
        <v>8700</v>
      </c>
    </row>
    <row r="5845" spans="1:1">
      <c r="A5845" t="s">
        <v>8701</v>
      </c>
    </row>
    <row r="5846" spans="1:1">
      <c r="A5846" t="s">
        <v>8702</v>
      </c>
    </row>
    <row r="5847" spans="1:1">
      <c r="A5847" t="s">
        <v>8703</v>
      </c>
    </row>
    <row r="5848" spans="1:1">
      <c r="A5848" t="s">
        <v>8704</v>
      </c>
    </row>
    <row r="5849" spans="1:1">
      <c r="A5849" t="s">
        <v>8705</v>
      </c>
    </row>
    <row r="5850" spans="1:1">
      <c r="A5850" t="s">
        <v>8706</v>
      </c>
    </row>
    <row r="5851" spans="1:1">
      <c r="A5851" t="s">
        <v>421</v>
      </c>
    </row>
    <row r="5852" spans="1:1">
      <c r="A5852" t="s">
        <v>8707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D75B-67CC-F745-AE1A-DE627EBA0B3E}">
  <dimension ref="A1:M111"/>
  <sheetViews>
    <sheetView workbookViewId="0">
      <selection activeCell="L50" sqref="L50"/>
    </sheetView>
  </sheetViews>
  <sheetFormatPr defaultColWidth="10.90625" defaultRowHeight="15"/>
  <sheetData>
    <row r="1" spans="1:12">
      <c r="A1" t="s">
        <v>0</v>
      </c>
    </row>
    <row r="2" spans="1:12">
      <c r="A2" t="s">
        <v>147</v>
      </c>
      <c r="B2" t="s">
        <v>0</v>
      </c>
    </row>
    <row r="3" spans="1:12">
      <c r="A3" t="s">
        <v>148</v>
      </c>
      <c r="B3" t="s">
        <v>149</v>
      </c>
      <c r="C3" t="s">
        <v>148</v>
      </c>
      <c r="D3" t="s">
        <v>0</v>
      </c>
    </row>
    <row r="4" spans="1:12">
      <c r="A4" t="s">
        <v>148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148</v>
      </c>
      <c r="K4" t="s">
        <v>0</v>
      </c>
    </row>
    <row r="5" spans="1:12">
      <c r="A5" t="s">
        <v>148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>
        <v>1993</v>
      </c>
      <c r="K5" t="s">
        <v>148</v>
      </c>
      <c r="L5" t="s">
        <v>0</v>
      </c>
    </row>
    <row r="6" spans="1:12">
      <c r="A6" t="s">
        <v>148</v>
      </c>
      <c r="B6" t="s">
        <v>158</v>
      </c>
      <c r="C6" t="s">
        <v>166</v>
      </c>
      <c r="D6" t="s">
        <v>156</v>
      </c>
      <c r="E6" t="s">
        <v>149</v>
      </c>
      <c r="F6" t="s">
        <v>167</v>
      </c>
      <c r="G6">
        <v>3.5</v>
      </c>
      <c r="H6" t="s">
        <v>148</v>
      </c>
      <c r="I6" t="s">
        <v>0</v>
      </c>
    </row>
    <row r="7" spans="1:12">
      <c r="A7" t="s">
        <v>147</v>
      </c>
      <c r="B7" t="s">
        <v>0</v>
      </c>
    </row>
    <row r="8" spans="1:12">
      <c r="A8" t="s">
        <v>0</v>
      </c>
    </row>
    <row r="9" spans="1:12">
      <c r="A9" t="s">
        <v>0</v>
      </c>
    </row>
    <row r="10" spans="1:12">
      <c r="A10" t="s">
        <v>168</v>
      </c>
      <c r="B10" t="s">
        <v>169</v>
      </c>
      <c r="C10" t="s">
        <v>0</v>
      </c>
    </row>
    <row r="11" spans="1:12">
      <c r="A11" t="s">
        <v>170</v>
      </c>
      <c r="B11" t="s">
        <v>0</v>
      </c>
    </row>
    <row r="12" spans="1:12">
      <c r="A12" t="s">
        <v>171</v>
      </c>
      <c r="B12" t="s">
        <v>172</v>
      </c>
      <c r="C12" t="s">
        <v>173</v>
      </c>
      <c r="D12" t="s">
        <v>174</v>
      </c>
      <c r="E12" t="s">
        <v>175</v>
      </c>
      <c r="F12" t="s">
        <v>176</v>
      </c>
      <c r="G12" t="s">
        <v>177</v>
      </c>
      <c r="H12" t="s">
        <v>178</v>
      </c>
      <c r="I12" t="s">
        <v>179</v>
      </c>
      <c r="J12" t="s">
        <v>180</v>
      </c>
      <c r="K12" t="s">
        <v>181</v>
      </c>
      <c r="L12" t="s">
        <v>0</v>
      </c>
    </row>
    <row r="13" spans="1:12">
      <c r="A13">
        <v>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>
        <v>15</v>
      </c>
      <c r="H13">
        <v>129.476</v>
      </c>
      <c r="I13">
        <v>1.1910099999999999</v>
      </c>
      <c r="J13">
        <v>0</v>
      </c>
      <c r="K13">
        <v>1.1000000000000001</v>
      </c>
      <c r="L13" t="s">
        <v>0</v>
      </c>
    </row>
    <row r="14" spans="1:12">
      <c r="A14">
        <v>2</v>
      </c>
      <c r="B14" t="s">
        <v>187</v>
      </c>
      <c r="C14" t="s">
        <v>183</v>
      </c>
      <c r="D14" t="s">
        <v>188</v>
      </c>
      <c r="E14" t="s">
        <v>185</v>
      </c>
      <c r="F14" t="s">
        <v>189</v>
      </c>
      <c r="G14">
        <v>15</v>
      </c>
      <c r="H14">
        <v>171.94800000000001</v>
      </c>
      <c r="I14">
        <v>0.53722000000000003</v>
      </c>
      <c r="J14">
        <v>2.14</v>
      </c>
      <c r="K14">
        <v>1.5</v>
      </c>
      <c r="L14" t="s">
        <v>0</v>
      </c>
    </row>
    <row r="15" spans="1:12">
      <c r="A15">
        <v>3</v>
      </c>
      <c r="B15" t="s">
        <v>190</v>
      </c>
      <c r="C15" t="s">
        <v>183</v>
      </c>
      <c r="D15" t="s">
        <v>191</v>
      </c>
      <c r="E15" t="s">
        <v>185</v>
      </c>
      <c r="F15" t="s">
        <v>192</v>
      </c>
      <c r="G15">
        <v>15</v>
      </c>
      <c r="H15">
        <v>134.739</v>
      </c>
      <c r="I15">
        <v>0.19359999999999999</v>
      </c>
      <c r="J15">
        <v>3.1</v>
      </c>
      <c r="K15">
        <v>1.5</v>
      </c>
      <c r="L15" t="s">
        <v>0</v>
      </c>
    </row>
    <row r="16" spans="1:12">
      <c r="A16">
        <v>4</v>
      </c>
      <c r="B16" t="s">
        <v>193</v>
      </c>
      <c r="C16" t="s">
        <v>183</v>
      </c>
      <c r="D16" t="s">
        <v>194</v>
      </c>
      <c r="E16" t="s">
        <v>185</v>
      </c>
      <c r="F16" t="s">
        <v>195</v>
      </c>
      <c r="G16">
        <v>15</v>
      </c>
      <c r="H16">
        <v>77.822000000000003</v>
      </c>
      <c r="I16">
        <v>0.71253999999999995</v>
      </c>
      <c r="J16">
        <v>2.4</v>
      </c>
      <c r="K16">
        <v>3.3</v>
      </c>
      <c r="L16" t="s">
        <v>0</v>
      </c>
    </row>
    <row r="17" spans="1:13">
      <c r="A17">
        <v>5</v>
      </c>
      <c r="B17" t="s">
        <v>196</v>
      </c>
      <c r="C17" t="s">
        <v>183</v>
      </c>
      <c r="D17" t="s">
        <v>188</v>
      </c>
      <c r="E17" t="s">
        <v>185</v>
      </c>
      <c r="F17" t="s">
        <v>197</v>
      </c>
      <c r="G17">
        <v>15</v>
      </c>
      <c r="H17">
        <v>151.47800000000001</v>
      </c>
      <c r="I17">
        <v>0.47277999999999998</v>
      </c>
      <c r="J17">
        <v>1.7</v>
      </c>
      <c r="K17">
        <v>1.5</v>
      </c>
      <c r="L17" t="s">
        <v>0</v>
      </c>
    </row>
    <row r="18" spans="1:13">
      <c r="A18">
        <v>6</v>
      </c>
      <c r="B18" t="s">
        <v>198</v>
      </c>
      <c r="C18" t="s">
        <v>183</v>
      </c>
      <c r="D18" t="s">
        <v>184</v>
      </c>
      <c r="E18" t="s">
        <v>185</v>
      </c>
      <c r="F18" t="s">
        <v>186</v>
      </c>
      <c r="G18">
        <v>15</v>
      </c>
      <c r="H18">
        <v>199.12899999999999</v>
      </c>
      <c r="I18">
        <v>1.8320000000000001</v>
      </c>
      <c r="J18">
        <v>2</v>
      </c>
      <c r="K18">
        <v>3.25</v>
      </c>
      <c r="L18" t="s">
        <v>0</v>
      </c>
    </row>
    <row r="19" spans="1:13">
      <c r="A19">
        <v>7</v>
      </c>
      <c r="B19" t="s">
        <v>199</v>
      </c>
      <c r="C19" t="s">
        <v>183</v>
      </c>
      <c r="D19" t="s">
        <v>188</v>
      </c>
      <c r="E19" t="s">
        <v>185</v>
      </c>
      <c r="F19" t="s">
        <v>189</v>
      </c>
      <c r="G19">
        <v>15</v>
      </c>
      <c r="H19">
        <v>119.485</v>
      </c>
      <c r="I19">
        <v>0.37413999999999997</v>
      </c>
      <c r="J19">
        <v>0.94199999999999995</v>
      </c>
      <c r="K19">
        <v>1.238</v>
      </c>
      <c r="L19" t="s">
        <v>0</v>
      </c>
    </row>
    <row r="20" spans="1:13">
      <c r="A20">
        <v>8</v>
      </c>
      <c r="B20" t="s">
        <v>200</v>
      </c>
      <c r="C20" t="s">
        <v>183</v>
      </c>
      <c r="D20" t="s">
        <v>191</v>
      </c>
      <c r="E20" t="s">
        <v>185</v>
      </c>
      <c r="F20" t="s">
        <v>192</v>
      </c>
      <c r="G20">
        <v>15</v>
      </c>
      <c r="H20">
        <v>146.24299999999999</v>
      </c>
      <c r="I20">
        <v>0.21018000000000001</v>
      </c>
      <c r="J20">
        <v>2.2000000000000002</v>
      </c>
      <c r="K20">
        <v>1.7</v>
      </c>
      <c r="L20" t="s">
        <v>0</v>
      </c>
    </row>
    <row r="21" spans="1:13">
      <c r="A21">
        <v>9</v>
      </c>
      <c r="B21" t="s">
        <v>201</v>
      </c>
      <c r="C21" t="s">
        <v>183</v>
      </c>
      <c r="D21" t="s">
        <v>194</v>
      </c>
      <c r="E21" t="s">
        <v>185</v>
      </c>
      <c r="F21" t="s">
        <v>195</v>
      </c>
      <c r="G21">
        <v>15</v>
      </c>
      <c r="H21">
        <v>90.995000000000005</v>
      </c>
      <c r="I21">
        <v>0.83392999999999995</v>
      </c>
      <c r="J21">
        <v>2.64</v>
      </c>
      <c r="K21">
        <v>3.1</v>
      </c>
      <c r="L21" t="s">
        <v>0</v>
      </c>
    </row>
    <row r="22" spans="1:13">
      <c r="A22">
        <v>10</v>
      </c>
      <c r="B22" t="s">
        <v>202</v>
      </c>
      <c r="C22" t="s">
        <v>183</v>
      </c>
      <c r="D22" t="s">
        <v>188</v>
      </c>
      <c r="E22" t="s">
        <v>185</v>
      </c>
      <c r="F22" t="s">
        <v>197</v>
      </c>
      <c r="G22">
        <v>15</v>
      </c>
      <c r="H22">
        <v>197.11799999999999</v>
      </c>
      <c r="I22">
        <v>0.61570000000000003</v>
      </c>
      <c r="J22">
        <v>2</v>
      </c>
      <c r="K22">
        <v>1.2</v>
      </c>
      <c r="L22" t="s">
        <v>0</v>
      </c>
    </row>
    <row r="23" spans="1:13">
      <c r="A23">
        <v>11</v>
      </c>
      <c r="B23" t="s">
        <v>203</v>
      </c>
      <c r="C23" t="s">
        <v>183</v>
      </c>
      <c r="D23" t="s">
        <v>184</v>
      </c>
      <c r="E23" t="s">
        <v>185</v>
      </c>
      <c r="F23" t="s">
        <v>186</v>
      </c>
      <c r="G23">
        <v>15</v>
      </c>
      <c r="H23">
        <v>107.53400000000001</v>
      </c>
      <c r="I23">
        <v>0.98899999999999999</v>
      </c>
      <c r="J23">
        <v>1.7010000000000001</v>
      </c>
      <c r="K23">
        <v>0</v>
      </c>
      <c r="L23" t="s">
        <v>0</v>
      </c>
    </row>
    <row r="24" spans="1:13">
      <c r="A24">
        <v>12</v>
      </c>
      <c r="B24" t="s">
        <v>204</v>
      </c>
      <c r="C24" t="s">
        <v>183</v>
      </c>
      <c r="D24" t="s">
        <v>188</v>
      </c>
      <c r="E24" t="s">
        <v>185</v>
      </c>
      <c r="F24" t="s">
        <v>189</v>
      </c>
      <c r="G24">
        <v>15</v>
      </c>
      <c r="H24">
        <v>107.121</v>
      </c>
      <c r="I24">
        <v>0.33584000000000003</v>
      </c>
      <c r="J24">
        <v>1.8</v>
      </c>
      <c r="K24">
        <v>1.3</v>
      </c>
      <c r="L24" t="s">
        <v>0</v>
      </c>
    </row>
    <row r="25" spans="1:13">
      <c r="A25">
        <v>13</v>
      </c>
      <c r="B25" t="s">
        <v>205</v>
      </c>
      <c r="C25" t="s">
        <v>183</v>
      </c>
      <c r="D25" t="s">
        <v>188</v>
      </c>
      <c r="E25" t="s">
        <v>185</v>
      </c>
      <c r="F25" t="s">
        <v>197</v>
      </c>
      <c r="G25">
        <v>15</v>
      </c>
      <c r="H25">
        <v>88.305000000000007</v>
      </c>
      <c r="I25">
        <v>0.27484999999999998</v>
      </c>
      <c r="J25">
        <v>0</v>
      </c>
      <c r="K25">
        <v>1.3</v>
      </c>
      <c r="L25" t="s">
        <v>0</v>
      </c>
    </row>
    <row r="26" spans="1:13">
      <c r="A26" t="s">
        <v>0</v>
      </c>
    </row>
    <row r="27" spans="1:13">
      <c r="A27" t="s">
        <v>171</v>
      </c>
      <c r="B27" t="s">
        <v>176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0</v>
      </c>
    </row>
    <row r="28" spans="1:13">
      <c r="A28">
        <v>1</v>
      </c>
      <c r="B28" t="s">
        <v>182</v>
      </c>
      <c r="C28">
        <v>10</v>
      </c>
      <c r="D28">
        <v>10</v>
      </c>
      <c r="E28" t="s">
        <v>213</v>
      </c>
      <c r="F28">
        <v>1</v>
      </c>
      <c r="G28">
        <v>32</v>
      </c>
      <c r="H28">
        <v>1732</v>
      </c>
      <c r="I28">
        <v>0.7</v>
      </c>
      <c r="J28">
        <v>0</v>
      </c>
      <c r="K28" t="s">
        <v>214</v>
      </c>
      <c r="L28" t="s">
        <v>215</v>
      </c>
      <c r="M28" t="s">
        <v>0</v>
      </c>
    </row>
    <row r="29" spans="1:13">
      <c r="A29">
        <v>2</v>
      </c>
      <c r="B29" t="s">
        <v>187</v>
      </c>
      <c r="C29">
        <v>30</v>
      </c>
      <c r="D29">
        <v>15</v>
      </c>
      <c r="E29" t="s">
        <v>213</v>
      </c>
      <c r="F29">
        <v>1</v>
      </c>
      <c r="G29">
        <v>128</v>
      </c>
      <c r="H29">
        <v>1708</v>
      </c>
      <c r="I29">
        <v>0.7</v>
      </c>
      <c r="J29">
        <v>0</v>
      </c>
      <c r="K29" t="s">
        <v>214</v>
      </c>
      <c r="L29" t="s">
        <v>215</v>
      </c>
      <c r="M29" t="s">
        <v>0</v>
      </c>
    </row>
    <row r="30" spans="1:13">
      <c r="A30">
        <v>3</v>
      </c>
      <c r="B30" t="s">
        <v>190</v>
      </c>
      <c r="C30">
        <v>20</v>
      </c>
      <c r="D30">
        <v>10</v>
      </c>
      <c r="E30" t="s">
        <v>213</v>
      </c>
      <c r="F30">
        <v>1</v>
      </c>
      <c r="G30">
        <v>32</v>
      </c>
      <c r="H30">
        <v>1728</v>
      </c>
      <c r="I30">
        <v>0.7</v>
      </c>
      <c r="J30">
        <v>0</v>
      </c>
      <c r="K30" t="s">
        <v>214</v>
      </c>
      <c r="L30" t="s">
        <v>215</v>
      </c>
      <c r="M30" t="s">
        <v>0</v>
      </c>
    </row>
    <row r="31" spans="1:13">
      <c r="A31">
        <v>4</v>
      </c>
      <c r="B31" t="s">
        <v>193</v>
      </c>
      <c r="C31">
        <v>20</v>
      </c>
      <c r="D31">
        <v>10</v>
      </c>
      <c r="E31" t="s">
        <v>213</v>
      </c>
      <c r="F31">
        <v>1</v>
      </c>
      <c r="G31">
        <v>32</v>
      </c>
      <c r="H31">
        <v>1680</v>
      </c>
      <c r="I31">
        <v>0.2</v>
      </c>
      <c r="J31">
        <v>0</v>
      </c>
      <c r="K31" t="s">
        <v>214</v>
      </c>
      <c r="L31" t="s">
        <v>215</v>
      </c>
      <c r="M31" t="s">
        <v>0</v>
      </c>
    </row>
    <row r="32" spans="1:13">
      <c r="A32">
        <v>5</v>
      </c>
      <c r="B32" t="s">
        <v>196</v>
      </c>
      <c r="C32">
        <v>30</v>
      </c>
      <c r="D32">
        <v>15</v>
      </c>
      <c r="E32" t="s">
        <v>213</v>
      </c>
      <c r="F32">
        <v>1</v>
      </c>
      <c r="G32">
        <v>64</v>
      </c>
      <c r="H32">
        <v>1714</v>
      </c>
      <c r="I32">
        <v>0.7</v>
      </c>
      <c r="J32">
        <v>0</v>
      </c>
      <c r="K32" t="s">
        <v>214</v>
      </c>
      <c r="L32" t="s">
        <v>215</v>
      </c>
      <c r="M32" t="s">
        <v>0</v>
      </c>
    </row>
    <row r="33" spans="1:13">
      <c r="A33">
        <v>6</v>
      </c>
      <c r="B33" t="s">
        <v>198</v>
      </c>
      <c r="C33">
        <v>30</v>
      </c>
      <c r="D33">
        <v>15</v>
      </c>
      <c r="E33" t="s">
        <v>213</v>
      </c>
      <c r="F33">
        <v>1</v>
      </c>
      <c r="G33">
        <v>32</v>
      </c>
      <c r="H33">
        <v>1748</v>
      </c>
      <c r="I33">
        <v>0.7</v>
      </c>
      <c r="J33">
        <v>0</v>
      </c>
      <c r="K33" t="s">
        <v>214</v>
      </c>
      <c r="L33" t="s">
        <v>215</v>
      </c>
      <c r="M33" t="s">
        <v>0</v>
      </c>
    </row>
    <row r="34" spans="1:13">
      <c r="A34">
        <v>7</v>
      </c>
      <c r="B34" t="s">
        <v>199</v>
      </c>
      <c r="C34">
        <v>30</v>
      </c>
      <c r="D34">
        <v>15</v>
      </c>
      <c r="E34" t="s">
        <v>213</v>
      </c>
      <c r="F34">
        <v>1</v>
      </c>
      <c r="G34">
        <v>64</v>
      </c>
      <c r="H34">
        <v>1738</v>
      </c>
      <c r="I34">
        <v>0.7</v>
      </c>
      <c r="J34">
        <v>0</v>
      </c>
      <c r="K34" t="s">
        <v>214</v>
      </c>
      <c r="L34" t="s">
        <v>215</v>
      </c>
      <c r="M34" t="s">
        <v>0</v>
      </c>
    </row>
    <row r="35" spans="1:13">
      <c r="A35">
        <v>8</v>
      </c>
      <c r="B35" t="s">
        <v>200</v>
      </c>
      <c r="C35">
        <v>30</v>
      </c>
      <c r="D35">
        <v>15</v>
      </c>
      <c r="E35" t="s">
        <v>213</v>
      </c>
      <c r="F35">
        <v>1</v>
      </c>
      <c r="G35">
        <v>32</v>
      </c>
      <c r="H35">
        <v>1734</v>
      </c>
      <c r="I35">
        <v>0.7</v>
      </c>
      <c r="J35">
        <v>0</v>
      </c>
      <c r="K35" t="s">
        <v>214</v>
      </c>
      <c r="L35" t="s">
        <v>215</v>
      </c>
      <c r="M35" t="s">
        <v>0</v>
      </c>
    </row>
    <row r="36" spans="1:13">
      <c r="A36">
        <v>9</v>
      </c>
      <c r="B36" t="s">
        <v>201</v>
      </c>
      <c r="C36">
        <v>20</v>
      </c>
      <c r="D36">
        <v>10</v>
      </c>
      <c r="E36" t="s">
        <v>213</v>
      </c>
      <c r="F36">
        <v>1</v>
      </c>
      <c r="G36">
        <v>32</v>
      </c>
      <c r="H36">
        <v>1694</v>
      </c>
      <c r="I36">
        <v>0.2</v>
      </c>
      <c r="J36">
        <v>0</v>
      </c>
      <c r="K36" t="s">
        <v>214</v>
      </c>
      <c r="L36" t="s">
        <v>215</v>
      </c>
      <c r="M36" t="s">
        <v>0</v>
      </c>
    </row>
    <row r="37" spans="1:13">
      <c r="A37">
        <v>10</v>
      </c>
      <c r="B37" t="s">
        <v>202</v>
      </c>
      <c r="C37">
        <v>20</v>
      </c>
      <c r="D37">
        <v>10</v>
      </c>
      <c r="E37" t="s">
        <v>213</v>
      </c>
      <c r="F37">
        <v>1</v>
      </c>
      <c r="G37">
        <v>64</v>
      </c>
      <c r="H37">
        <v>1746</v>
      </c>
      <c r="I37">
        <v>0.7</v>
      </c>
      <c r="J37">
        <v>0</v>
      </c>
      <c r="K37" t="s">
        <v>214</v>
      </c>
      <c r="L37" t="s">
        <v>215</v>
      </c>
      <c r="M37" t="s">
        <v>0</v>
      </c>
    </row>
    <row r="38" spans="1:13">
      <c r="A38">
        <v>11</v>
      </c>
      <c r="B38" t="s">
        <v>203</v>
      </c>
      <c r="C38">
        <v>20</v>
      </c>
      <c r="D38">
        <v>10</v>
      </c>
      <c r="E38" t="s">
        <v>213</v>
      </c>
      <c r="F38">
        <v>1</v>
      </c>
      <c r="G38">
        <v>32</v>
      </c>
      <c r="H38">
        <v>1710</v>
      </c>
      <c r="I38">
        <v>0.7</v>
      </c>
      <c r="J38">
        <v>0</v>
      </c>
      <c r="K38" t="s">
        <v>214</v>
      </c>
      <c r="L38" t="s">
        <v>215</v>
      </c>
      <c r="M38" t="s">
        <v>0</v>
      </c>
    </row>
    <row r="39" spans="1:13">
      <c r="A39">
        <v>12</v>
      </c>
      <c r="B39" t="s">
        <v>204</v>
      </c>
      <c r="C39">
        <v>20</v>
      </c>
      <c r="D39">
        <v>10</v>
      </c>
      <c r="E39" t="s">
        <v>213</v>
      </c>
      <c r="F39">
        <v>1</v>
      </c>
      <c r="G39">
        <v>64</v>
      </c>
      <c r="H39">
        <v>1734</v>
      </c>
      <c r="I39">
        <v>0.7</v>
      </c>
      <c r="J39">
        <v>0</v>
      </c>
      <c r="K39" t="s">
        <v>214</v>
      </c>
      <c r="L39" t="s">
        <v>215</v>
      </c>
      <c r="M39" t="s">
        <v>0</v>
      </c>
    </row>
    <row r="40" spans="1:13">
      <c r="A40">
        <v>13</v>
      </c>
      <c r="B40" t="s">
        <v>205</v>
      </c>
      <c r="C40">
        <v>20</v>
      </c>
      <c r="D40">
        <v>10</v>
      </c>
      <c r="E40" t="s">
        <v>213</v>
      </c>
      <c r="F40">
        <v>1</v>
      </c>
      <c r="G40">
        <v>64</v>
      </c>
      <c r="H40">
        <v>1676</v>
      </c>
      <c r="I40">
        <v>0.7</v>
      </c>
      <c r="J40">
        <v>0</v>
      </c>
      <c r="K40" t="s">
        <v>214</v>
      </c>
      <c r="L40" t="s">
        <v>215</v>
      </c>
      <c r="M40" t="s">
        <v>0</v>
      </c>
    </row>
    <row r="41" spans="1:13">
      <c r="A41" t="s">
        <v>0</v>
      </c>
    </row>
    <row r="42" spans="1:13">
      <c r="A42" t="s">
        <v>168</v>
      </c>
      <c r="B42" t="s">
        <v>216</v>
      </c>
      <c r="C42" t="s">
        <v>156</v>
      </c>
      <c r="D42" t="s">
        <v>217</v>
      </c>
    </row>
    <row r="43" spans="1:13">
      <c r="A43" t="s">
        <v>216</v>
      </c>
      <c r="B43" t="s">
        <v>218</v>
      </c>
      <c r="C43">
        <v>1</v>
      </c>
      <c r="D43">
        <v>2</v>
      </c>
      <c r="E43">
        <v>3</v>
      </c>
      <c r="F43">
        <v>4</v>
      </c>
      <c r="G43">
        <v>5</v>
      </c>
      <c r="H43" t="s">
        <v>0</v>
      </c>
    </row>
    <row r="44" spans="1:13">
      <c r="A44">
        <v>1</v>
      </c>
      <c r="B44" t="s">
        <v>219</v>
      </c>
      <c r="C44" t="s">
        <v>220</v>
      </c>
      <c r="D44" t="s">
        <v>221</v>
      </c>
      <c r="E44" t="s">
        <v>222</v>
      </c>
      <c r="F44" t="s">
        <v>223</v>
      </c>
      <c r="G44" t="s">
        <v>0</v>
      </c>
    </row>
    <row r="45" spans="1:13">
      <c r="A45">
        <v>2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0</v>
      </c>
    </row>
    <row r="46" spans="1:13">
      <c r="A46">
        <v>3</v>
      </c>
      <c r="B46" t="s">
        <v>229</v>
      </c>
      <c r="C46" t="s">
        <v>230</v>
      </c>
      <c r="D46">
        <v>0</v>
      </c>
      <c r="E46">
        <v>0</v>
      </c>
      <c r="F46" t="s">
        <v>231</v>
      </c>
      <c r="G46" t="s">
        <v>0</v>
      </c>
    </row>
    <row r="47" spans="1:13">
      <c r="A47" t="s">
        <v>0</v>
      </c>
    </row>
    <row r="48" spans="1:13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0</v>
      </c>
    </row>
    <row r="49" spans="1:5">
      <c r="A49" t="s">
        <v>0</v>
      </c>
    </row>
    <row r="50" spans="1:5">
      <c r="A50" t="s">
        <v>237</v>
      </c>
      <c r="B50" t="s">
        <v>0</v>
      </c>
    </row>
    <row r="51" spans="1:5">
      <c r="A51" t="s">
        <v>171</v>
      </c>
      <c r="B51" t="s">
        <v>238</v>
      </c>
      <c r="C51" t="s">
        <v>239</v>
      </c>
      <c r="D51" t="s">
        <v>0</v>
      </c>
    </row>
    <row r="52" spans="1:5">
      <c r="A52">
        <v>1</v>
      </c>
      <c r="B52" t="s">
        <v>240</v>
      </c>
      <c r="C52" t="s">
        <v>241</v>
      </c>
      <c r="D52">
        <v>2.6555</v>
      </c>
      <c r="E52" t="s">
        <v>0</v>
      </c>
    </row>
    <row r="53" spans="1:5">
      <c r="A53">
        <v>2</v>
      </c>
      <c r="B53" t="s">
        <v>242</v>
      </c>
      <c r="C53" t="s">
        <v>243</v>
      </c>
      <c r="D53">
        <v>1.3234999999999999</v>
      </c>
      <c r="E53" t="s">
        <v>0</v>
      </c>
    </row>
    <row r="54" spans="1:5">
      <c r="A54">
        <v>3</v>
      </c>
      <c r="B54" t="s">
        <v>244</v>
      </c>
      <c r="C54" t="s">
        <v>241</v>
      </c>
      <c r="D54">
        <v>13.302199999999999</v>
      </c>
      <c r="E54" t="s">
        <v>0</v>
      </c>
    </row>
    <row r="55" spans="1:5">
      <c r="A55">
        <v>4</v>
      </c>
      <c r="B55" t="s">
        <v>245</v>
      </c>
      <c r="C55" t="s">
        <v>241</v>
      </c>
      <c r="D55">
        <v>50.934199999999997</v>
      </c>
      <c r="E55" t="s">
        <v>0</v>
      </c>
    </row>
    <row r="56" spans="1:5">
      <c r="A56">
        <v>5</v>
      </c>
      <c r="B56" t="s">
        <v>196</v>
      </c>
      <c r="C56" t="s">
        <v>243</v>
      </c>
      <c r="D56">
        <v>1.43</v>
      </c>
      <c r="E56" t="s">
        <v>0</v>
      </c>
    </row>
    <row r="57" spans="1:5">
      <c r="A57">
        <v>6</v>
      </c>
      <c r="B57" t="s">
        <v>198</v>
      </c>
      <c r="C57" t="s">
        <v>246</v>
      </c>
      <c r="D57">
        <v>0.47</v>
      </c>
      <c r="E57" t="s">
        <v>0</v>
      </c>
    </row>
    <row r="58" spans="1:5">
      <c r="A58">
        <v>7</v>
      </c>
      <c r="B58" t="s">
        <v>247</v>
      </c>
      <c r="C58" t="s">
        <v>241</v>
      </c>
      <c r="D58">
        <v>0.81910000000000005</v>
      </c>
      <c r="E58" t="s">
        <v>0</v>
      </c>
    </row>
    <row r="59" spans="1:5">
      <c r="A59">
        <v>8</v>
      </c>
      <c r="B59" t="s">
        <v>248</v>
      </c>
      <c r="C59" t="s">
        <v>249</v>
      </c>
      <c r="D59">
        <v>43.488500000000002</v>
      </c>
      <c r="E59" t="s">
        <v>0</v>
      </c>
    </row>
    <row r="60" spans="1:5">
      <c r="A60">
        <v>9</v>
      </c>
      <c r="B60" t="s">
        <v>250</v>
      </c>
      <c r="C60" t="s">
        <v>241</v>
      </c>
      <c r="D60">
        <v>12.4899</v>
      </c>
      <c r="E60" t="s">
        <v>0</v>
      </c>
    </row>
    <row r="61" spans="1:5">
      <c r="A61">
        <v>10</v>
      </c>
      <c r="B61" t="s">
        <v>251</v>
      </c>
      <c r="C61" t="s">
        <v>241</v>
      </c>
      <c r="D61">
        <v>0.3896</v>
      </c>
      <c r="E61" t="s">
        <v>0</v>
      </c>
    </row>
    <row r="62" spans="1:5">
      <c r="A62">
        <v>11</v>
      </c>
      <c r="B62" t="s">
        <v>252</v>
      </c>
      <c r="C62" t="s">
        <v>241</v>
      </c>
      <c r="D62">
        <v>5.0739999999999998</v>
      </c>
      <c r="E62" t="s">
        <v>0</v>
      </c>
    </row>
    <row r="63" spans="1:5">
      <c r="A63">
        <v>12</v>
      </c>
      <c r="B63" t="s">
        <v>253</v>
      </c>
      <c r="C63" t="s">
        <v>241</v>
      </c>
      <c r="D63">
        <v>9.3047000000000004</v>
      </c>
      <c r="E63" t="s">
        <v>0</v>
      </c>
    </row>
    <row r="64" spans="1:5">
      <c r="A64">
        <v>13</v>
      </c>
      <c r="B64" t="s">
        <v>254</v>
      </c>
      <c r="C64" t="s">
        <v>241</v>
      </c>
      <c r="D64">
        <v>4.0533999999999999</v>
      </c>
      <c r="E64" t="s">
        <v>0</v>
      </c>
    </row>
    <row r="65" spans="1:8">
      <c r="A65" t="s">
        <v>0</v>
      </c>
    </row>
    <row r="66" spans="1:8">
      <c r="A66" t="s">
        <v>255</v>
      </c>
    </row>
    <row r="67" spans="1:8">
      <c r="A67" t="s">
        <v>171</v>
      </c>
      <c r="B67" t="s">
        <v>256</v>
      </c>
      <c r="C67" t="s">
        <v>257</v>
      </c>
      <c r="D67" t="s">
        <v>258</v>
      </c>
      <c r="E67" t="s">
        <v>259</v>
      </c>
      <c r="F67" t="s">
        <v>260</v>
      </c>
      <c r="G67" t="s">
        <v>261</v>
      </c>
      <c r="H67" t="s">
        <v>0</v>
      </c>
    </row>
    <row r="68" spans="1:8">
      <c r="A68">
        <v>1</v>
      </c>
      <c r="B68" t="s">
        <v>182</v>
      </c>
      <c r="C68" s="1">
        <v>1.008E-8</v>
      </c>
      <c r="D68">
        <v>222.6</v>
      </c>
      <c r="E68">
        <v>0</v>
      </c>
      <c r="F68">
        <v>16.8</v>
      </c>
      <c r="G68">
        <v>1.1000000000000001</v>
      </c>
      <c r="H68" s="2">
        <v>45597.556250000001</v>
      </c>
    </row>
    <row r="69" spans="1:8">
      <c r="A69">
        <v>2</v>
      </c>
      <c r="B69" t="s">
        <v>187</v>
      </c>
      <c r="C69" s="1">
        <v>1.007E-8</v>
      </c>
      <c r="D69">
        <v>69.900000000000006</v>
      </c>
      <c r="E69">
        <v>5.4</v>
      </c>
      <c r="F69">
        <v>4.8</v>
      </c>
      <c r="G69">
        <v>1.17</v>
      </c>
      <c r="H69" s="2">
        <v>43800.689583333333</v>
      </c>
    </row>
    <row r="70" spans="1:8">
      <c r="A70">
        <v>3</v>
      </c>
      <c r="B70" t="s">
        <v>190</v>
      </c>
      <c r="C70" s="1">
        <v>1.0190000000000001E-8</v>
      </c>
      <c r="D70">
        <v>186.4</v>
      </c>
      <c r="E70">
        <v>2.8</v>
      </c>
      <c r="F70">
        <v>2.5</v>
      </c>
      <c r="G70">
        <v>0.83</v>
      </c>
      <c r="H70" s="2">
        <v>42614.861805555556</v>
      </c>
    </row>
    <row r="71" spans="1:8">
      <c r="A71">
        <v>4</v>
      </c>
      <c r="B71" t="s">
        <v>193</v>
      </c>
      <c r="C71" s="1">
        <v>1.001E-8</v>
      </c>
      <c r="D71">
        <v>3629.1</v>
      </c>
      <c r="E71">
        <v>30.6</v>
      </c>
      <c r="F71">
        <v>18.399999999999999</v>
      </c>
      <c r="G71">
        <v>0.19</v>
      </c>
      <c r="H71" s="2">
        <v>44166.668055555558</v>
      </c>
    </row>
    <row r="72" spans="1:8">
      <c r="A72">
        <v>5</v>
      </c>
      <c r="B72" t="s">
        <v>196</v>
      </c>
      <c r="C72" s="1">
        <v>1.007E-8</v>
      </c>
      <c r="D72">
        <v>233.1</v>
      </c>
      <c r="E72">
        <v>9.1</v>
      </c>
      <c r="F72">
        <v>7.8</v>
      </c>
      <c r="G72">
        <v>0.62</v>
      </c>
      <c r="H72" s="2">
        <v>43800.689583333333</v>
      </c>
    </row>
    <row r="73" spans="1:8">
      <c r="A73">
        <v>6</v>
      </c>
      <c r="B73" t="s">
        <v>198</v>
      </c>
      <c r="C73" s="1">
        <v>2.9999999999999997E-8</v>
      </c>
      <c r="D73">
        <v>17.899999999999999</v>
      </c>
      <c r="E73">
        <v>13</v>
      </c>
      <c r="F73">
        <v>10.4</v>
      </c>
      <c r="G73">
        <v>2.36</v>
      </c>
      <c r="H73" s="2">
        <v>42309.584027777775</v>
      </c>
    </row>
    <row r="74" spans="1:8">
      <c r="A74">
        <v>7</v>
      </c>
      <c r="B74" t="s">
        <v>199</v>
      </c>
      <c r="C74" s="1">
        <v>1.014E-8</v>
      </c>
      <c r="D74">
        <v>185.3</v>
      </c>
      <c r="E74">
        <v>27.8</v>
      </c>
      <c r="F74">
        <v>21.7</v>
      </c>
      <c r="G74">
        <v>0.76</v>
      </c>
      <c r="H74" s="2">
        <v>43040.525694444441</v>
      </c>
    </row>
    <row r="75" spans="1:8">
      <c r="A75">
        <v>8</v>
      </c>
      <c r="B75" t="s">
        <v>200</v>
      </c>
      <c r="C75" s="1">
        <v>5.0120000000000001E-8</v>
      </c>
      <c r="D75">
        <v>2738.7</v>
      </c>
      <c r="E75">
        <v>14.5</v>
      </c>
      <c r="F75">
        <v>18.8</v>
      </c>
      <c r="G75">
        <v>0.18</v>
      </c>
      <c r="H75" s="2">
        <v>42948.694444444445</v>
      </c>
    </row>
    <row r="76" spans="1:8">
      <c r="A76">
        <v>9</v>
      </c>
      <c r="B76" t="s">
        <v>201</v>
      </c>
      <c r="C76" s="1">
        <v>1.001E-8</v>
      </c>
      <c r="D76">
        <v>876.4</v>
      </c>
      <c r="E76">
        <v>14.4</v>
      </c>
      <c r="F76">
        <v>9.1999999999999993</v>
      </c>
      <c r="G76">
        <v>0.38</v>
      </c>
      <c r="H76" s="2">
        <v>44166.668055555558</v>
      </c>
    </row>
    <row r="77" spans="1:8">
      <c r="A77">
        <v>10</v>
      </c>
      <c r="B77" t="s">
        <v>202</v>
      </c>
      <c r="C77" s="1">
        <v>1.014E-8</v>
      </c>
      <c r="D77">
        <v>13.9</v>
      </c>
      <c r="E77">
        <v>2.6</v>
      </c>
      <c r="F77">
        <v>3</v>
      </c>
      <c r="G77">
        <v>3.58</v>
      </c>
      <c r="H77" s="2">
        <v>43040.525694444441</v>
      </c>
    </row>
    <row r="78" spans="1:8">
      <c r="A78">
        <v>11</v>
      </c>
      <c r="B78" t="s">
        <v>203</v>
      </c>
      <c r="C78" s="1">
        <v>1.014E-8</v>
      </c>
      <c r="D78">
        <v>590.1</v>
      </c>
      <c r="E78">
        <v>40.200000000000003</v>
      </c>
      <c r="F78">
        <v>0</v>
      </c>
      <c r="G78">
        <v>0.48</v>
      </c>
      <c r="H78" s="2">
        <v>43040.525694444441</v>
      </c>
    </row>
    <row r="79" spans="1:8">
      <c r="A79">
        <v>12</v>
      </c>
      <c r="B79" t="s">
        <v>204</v>
      </c>
      <c r="C79" s="1">
        <v>6E-9</v>
      </c>
      <c r="D79">
        <v>1163.5999999999999</v>
      </c>
      <c r="E79">
        <v>20.100000000000001</v>
      </c>
      <c r="F79">
        <v>20.8</v>
      </c>
      <c r="G79">
        <v>0.33</v>
      </c>
      <c r="H79" s="2">
        <v>40452.470138888886</v>
      </c>
    </row>
    <row r="80" spans="1:8">
      <c r="A80">
        <v>13</v>
      </c>
      <c r="B80" t="s">
        <v>205</v>
      </c>
      <c r="C80" s="1">
        <v>1.014E-8</v>
      </c>
      <c r="D80">
        <v>693.4</v>
      </c>
      <c r="E80">
        <v>0</v>
      </c>
      <c r="F80">
        <v>47</v>
      </c>
      <c r="G80">
        <v>0.44</v>
      </c>
      <c r="H80" s="2">
        <v>43040.525694444441</v>
      </c>
    </row>
    <row r="81" spans="1:8">
      <c r="A81" t="s">
        <v>262</v>
      </c>
      <c r="B81" t="s">
        <v>0</v>
      </c>
    </row>
    <row r="82" spans="1:8">
      <c r="A82" t="s">
        <v>171</v>
      </c>
      <c r="B82" t="s">
        <v>263</v>
      </c>
      <c r="C82" t="s">
        <v>264</v>
      </c>
      <c r="D82" t="s">
        <v>265</v>
      </c>
      <c r="E82" t="s">
        <v>266</v>
      </c>
      <c r="F82" t="s">
        <v>267</v>
      </c>
      <c r="G82" t="s">
        <v>268</v>
      </c>
      <c r="H82" t="s">
        <v>0</v>
      </c>
    </row>
    <row r="83" spans="1:8">
      <c r="A83" t="s">
        <v>182</v>
      </c>
      <c r="B83">
        <v>0.3987</v>
      </c>
      <c r="C83">
        <v>4.0000000000000001E-3</v>
      </c>
      <c r="D83">
        <v>0.4758</v>
      </c>
      <c r="E83">
        <v>0.9899</v>
      </c>
      <c r="F83">
        <v>0.98799999999999999</v>
      </c>
      <c r="G83">
        <v>2.1402999999999999</v>
      </c>
      <c r="H83" t="s">
        <v>0</v>
      </c>
    </row>
    <row r="84" spans="1:8">
      <c r="A84" t="s">
        <v>187</v>
      </c>
      <c r="B84">
        <v>0.7712</v>
      </c>
      <c r="C84">
        <v>4.3E-3</v>
      </c>
      <c r="D84">
        <v>0.82340000000000002</v>
      </c>
      <c r="E84">
        <v>0.93959999999999999</v>
      </c>
      <c r="F84">
        <v>1.0334000000000001</v>
      </c>
      <c r="G84">
        <v>1.2454000000000001</v>
      </c>
      <c r="H84" t="s">
        <v>0</v>
      </c>
    </row>
    <row r="85" spans="1:8">
      <c r="A85" t="s">
        <v>190</v>
      </c>
      <c r="B85">
        <v>0.98160000000000003</v>
      </c>
      <c r="C85">
        <v>0</v>
      </c>
      <c r="D85">
        <v>0.99760000000000004</v>
      </c>
      <c r="E85">
        <v>0.80810000000000004</v>
      </c>
      <c r="F85">
        <v>1.0562</v>
      </c>
      <c r="G85">
        <v>1.1744000000000001</v>
      </c>
      <c r="H85" t="s">
        <v>0</v>
      </c>
    </row>
    <row r="86" spans="1:8">
      <c r="A86" t="s">
        <v>193</v>
      </c>
      <c r="B86">
        <v>0.71299999999999997</v>
      </c>
      <c r="C86">
        <v>1E-3</v>
      </c>
      <c r="D86">
        <v>0.78249999999999997</v>
      </c>
      <c r="E86">
        <v>0.98440000000000005</v>
      </c>
      <c r="F86">
        <v>1.0104</v>
      </c>
      <c r="G86">
        <v>1.2836000000000001</v>
      </c>
      <c r="H86" t="s">
        <v>0</v>
      </c>
    </row>
    <row r="87" spans="1:8">
      <c r="A87" t="s">
        <v>196</v>
      </c>
      <c r="B87">
        <v>0.83150000000000002</v>
      </c>
      <c r="C87">
        <v>6.1999999999999998E-3</v>
      </c>
      <c r="D87">
        <v>0.88100000000000001</v>
      </c>
      <c r="E87">
        <v>0.89170000000000005</v>
      </c>
      <c r="F87">
        <v>1.0396000000000001</v>
      </c>
      <c r="G87">
        <v>1.2166999999999999</v>
      </c>
      <c r="H87" t="s">
        <v>0</v>
      </c>
    </row>
    <row r="88" spans="1:8">
      <c r="A88" t="s">
        <v>198</v>
      </c>
      <c r="B88">
        <v>0.1956</v>
      </c>
      <c r="C88">
        <v>1.4E-3</v>
      </c>
      <c r="D88">
        <v>0.25669999999999998</v>
      </c>
      <c r="E88">
        <v>0.998</v>
      </c>
      <c r="F88">
        <v>0.98219999999999996</v>
      </c>
      <c r="G88">
        <v>3.9681999999999999</v>
      </c>
      <c r="H88" t="s">
        <v>0</v>
      </c>
    </row>
    <row r="89" spans="1:8">
      <c r="A89" t="s">
        <v>199</v>
      </c>
      <c r="B89">
        <v>0.9083</v>
      </c>
      <c r="C89">
        <v>1.5800000000000002E-2</v>
      </c>
      <c r="D89">
        <v>0.94710000000000005</v>
      </c>
      <c r="E89">
        <v>0.90129999999999999</v>
      </c>
      <c r="F89">
        <v>1.0422</v>
      </c>
      <c r="G89">
        <v>1.1065</v>
      </c>
      <c r="H89" t="s">
        <v>0</v>
      </c>
    </row>
    <row r="90" spans="1:8">
      <c r="A90" t="s">
        <v>200</v>
      </c>
      <c r="B90">
        <v>0.97989999999999999</v>
      </c>
      <c r="C90">
        <v>0</v>
      </c>
      <c r="D90">
        <v>0.99860000000000004</v>
      </c>
      <c r="E90">
        <v>0.83489999999999998</v>
      </c>
      <c r="F90">
        <v>1.046</v>
      </c>
      <c r="G90">
        <v>1.1466000000000001</v>
      </c>
      <c r="H90" t="s">
        <v>0</v>
      </c>
    </row>
    <row r="91" spans="1:8">
      <c r="A91" t="s">
        <v>201</v>
      </c>
      <c r="B91">
        <v>0.65090000000000003</v>
      </c>
      <c r="C91">
        <v>1.09E-2</v>
      </c>
      <c r="D91">
        <v>0.73</v>
      </c>
      <c r="E91">
        <v>0.9657</v>
      </c>
      <c r="F91">
        <v>1.0027999999999999</v>
      </c>
      <c r="G91">
        <v>1.3993</v>
      </c>
      <c r="H91" t="s">
        <v>0</v>
      </c>
    </row>
    <row r="92" spans="1:8">
      <c r="A92" t="s">
        <v>202</v>
      </c>
      <c r="B92">
        <v>0.68079999999999996</v>
      </c>
      <c r="C92">
        <v>1.6000000000000001E-3</v>
      </c>
      <c r="D92">
        <v>0.73760000000000003</v>
      </c>
      <c r="E92">
        <v>0.94340000000000002</v>
      </c>
      <c r="F92">
        <v>1.0178</v>
      </c>
      <c r="G92">
        <v>1.4096</v>
      </c>
      <c r="H92" t="s">
        <v>0</v>
      </c>
    </row>
    <row r="93" spans="1:8">
      <c r="A93" t="s">
        <v>203</v>
      </c>
      <c r="B93">
        <v>0.54069999999999996</v>
      </c>
      <c r="C93">
        <v>7.1999999999999998E-3</v>
      </c>
      <c r="D93">
        <v>0.61980000000000002</v>
      </c>
      <c r="E93">
        <v>1.0047999999999999</v>
      </c>
      <c r="F93">
        <v>0.99519999999999997</v>
      </c>
      <c r="G93">
        <v>1.6017999999999999</v>
      </c>
      <c r="H93" t="s">
        <v>0</v>
      </c>
    </row>
    <row r="94" spans="1:8">
      <c r="A94" t="s">
        <v>204</v>
      </c>
      <c r="B94">
        <v>0.93059999999999998</v>
      </c>
      <c r="C94">
        <v>7.1999999999999998E-3</v>
      </c>
      <c r="D94">
        <v>0.96389999999999998</v>
      </c>
      <c r="E94">
        <v>0.91559999999999997</v>
      </c>
      <c r="F94">
        <v>1.0466</v>
      </c>
      <c r="G94">
        <v>1.0749</v>
      </c>
      <c r="H94" t="s">
        <v>0</v>
      </c>
    </row>
    <row r="95" spans="1:8">
      <c r="A95" t="s">
        <v>205</v>
      </c>
      <c r="B95">
        <v>0.95130000000000003</v>
      </c>
      <c r="C95">
        <v>1.1299999999999999E-2</v>
      </c>
      <c r="D95">
        <v>0.9788</v>
      </c>
      <c r="E95">
        <v>0.82589999999999997</v>
      </c>
      <c r="F95">
        <v>1.0529999999999999</v>
      </c>
      <c r="G95">
        <v>1.1616</v>
      </c>
      <c r="H95" t="s">
        <v>0</v>
      </c>
    </row>
    <row r="96" spans="1:8">
      <c r="A96" t="s">
        <v>0</v>
      </c>
    </row>
    <row r="98" spans="1:1">
      <c r="A98" t="s">
        <v>269</v>
      </c>
    </row>
    <row r="99" spans="1:1">
      <c r="A99" t="s">
        <v>270</v>
      </c>
    </row>
    <row r="100" spans="1:1">
      <c r="A100" t="s">
        <v>271</v>
      </c>
    </row>
    <row r="101" spans="1:1">
      <c r="A101" t="s">
        <v>272</v>
      </c>
    </row>
    <row r="102" spans="1:1">
      <c r="A102" t="s">
        <v>273</v>
      </c>
    </row>
    <row r="103" spans="1:1">
      <c r="A103" t="s">
        <v>274</v>
      </c>
    </row>
    <row r="104" spans="1:1">
      <c r="A104" t="s">
        <v>275</v>
      </c>
    </row>
    <row r="105" spans="1:1">
      <c r="A105" t="s">
        <v>276</v>
      </c>
    </row>
    <row r="106" spans="1:1">
      <c r="A106" t="s">
        <v>277</v>
      </c>
    </row>
    <row r="107" spans="1:1">
      <c r="A107" t="s">
        <v>278</v>
      </c>
    </row>
    <row r="108" spans="1:1">
      <c r="A108" t="s">
        <v>279</v>
      </c>
    </row>
    <row r="109" spans="1:1">
      <c r="A109" t="s">
        <v>280</v>
      </c>
    </row>
    <row r="110" spans="1:1">
      <c r="A110" t="s">
        <v>281</v>
      </c>
    </row>
    <row r="111" spans="1:1">
      <c r="A111" t="s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9F24-E736-A64F-A1C4-ACA7CBC92E5A}">
  <dimension ref="A1:P115"/>
  <sheetViews>
    <sheetView workbookViewId="0">
      <selection activeCell="L25" sqref="L25"/>
    </sheetView>
  </sheetViews>
  <sheetFormatPr defaultColWidth="10.90625" defaultRowHeight="15"/>
  <sheetData>
    <row r="1" spans="1:16">
      <c r="A1" t="s">
        <v>0</v>
      </c>
    </row>
    <row r="2" spans="1:16">
      <c r="A2" t="s">
        <v>1</v>
      </c>
      <c r="B2" t="s">
        <v>283</v>
      </c>
      <c r="C2" t="s">
        <v>284</v>
      </c>
      <c r="D2" t="s">
        <v>4</v>
      </c>
      <c r="E2">
        <v>1</v>
      </c>
      <c r="F2" t="s">
        <v>0</v>
      </c>
    </row>
    <row r="3" spans="1:16">
      <c r="A3" t="s">
        <v>0</v>
      </c>
    </row>
    <row r="4" spans="1:16">
      <c r="A4" t="s">
        <v>5</v>
      </c>
      <c r="B4" t="s">
        <v>285</v>
      </c>
      <c r="C4" t="s">
        <v>286</v>
      </c>
      <c r="D4" t="s">
        <v>8</v>
      </c>
      <c r="E4" t="s">
        <v>9</v>
      </c>
      <c r="F4" t="s">
        <v>287</v>
      </c>
      <c r="G4" t="s">
        <v>288</v>
      </c>
      <c r="H4" t="s">
        <v>289</v>
      </c>
      <c r="I4" t="s">
        <v>7</v>
      </c>
      <c r="J4" t="s">
        <v>13</v>
      </c>
      <c r="K4" t="s">
        <v>290</v>
      </c>
      <c r="L4" t="s">
        <v>6</v>
      </c>
      <c r="M4" t="s">
        <v>10</v>
      </c>
      <c r="N4" t="s">
        <v>291</v>
      </c>
      <c r="O4" t="s">
        <v>14</v>
      </c>
      <c r="P4" t="s">
        <v>15</v>
      </c>
    </row>
    <row r="5" spans="1:16">
      <c r="A5">
        <v>1</v>
      </c>
      <c r="B5">
        <v>2.8</v>
      </c>
      <c r="C5">
        <v>4.0800000000000003E-2</v>
      </c>
      <c r="D5">
        <v>13.6</v>
      </c>
      <c r="E5">
        <v>51.16</v>
      </c>
      <c r="F5">
        <v>2.3699999999999999E-2</v>
      </c>
      <c r="G5">
        <v>1.26E-2</v>
      </c>
      <c r="H5">
        <v>0.81379999999999997</v>
      </c>
      <c r="I5">
        <v>0.17860000000000001</v>
      </c>
      <c r="J5">
        <v>12.3</v>
      </c>
      <c r="K5">
        <v>0.3881</v>
      </c>
      <c r="L5">
        <v>5.13</v>
      </c>
      <c r="M5">
        <v>9.27</v>
      </c>
      <c r="N5">
        <v>4.08</v>
      </c>
      <c r="O5">
        <v>99.797600000000003</v>
      </c>
      <c r="P5" t="s">
        <v>292</v>
      </c>
    </row>
    <row r="6" spans="1:16">
      <c r="A6">
        <v>2</v>
      </c>
      <c r="B6">
        <v>2.7</v>
      </c>
      <c r="C6">
        <v>2.3199999999999998E-2</v>
      </c>
      <c r="D6">
        <v>13.46</v>
      </c>
      <c r="E6">
        <v>51.24</v>
      </c>
      <c r="F6">
        <v>0.03</v>
      </c>
      <c r="G6">
        <v>7.9100000000000004E-2</v>
      </c>
      <c r="H6">
        <v>0.81420000000000003</v>
      </c>
      <c r="I6">
        <v>0.24679999999999999</v>
      </c>
      <c r="J6">
        <v>12.48</v>
      </c>
      <c r="K6">
        <v>0.3543</v>
      </c>
      <c r="L6">
        <v>5.2</v>
      </c>
      <c r="M6">
        <v>9.3699999999999992</v>
      </c>
      <c r="N6">
        <v>4.0599999999999996</v>
      </c>
      <c r="O6">
        <v>100.0575</v>
      </c>
      <c r="P6" t="s">
        <v>292</v>
      </c>
    </row>
    <row r="7" spans="1:16">
      <c r="A7">
        <v>3</v>
      </c>
      <c r="B7">
        <v>2.69</v>
      </c>
      <c r="C7">
        <v>0.36659999999999998</v>
      </c>
      <c r="D7">
        <v>11.76</v>
      </c>
      <c r="E7">
        <v>51.66</v>
      </c>
      <c r="F7">
        <v>3.3099999999999997E-2</v>
      </c>
      <c r="G7">
        <v>6.93E-2</v>
      </c>
      <c r="H7">
        <v>0.19939999999999999</v>
      </c>
      <c r="I7">
        <v>0.23960000000000001</v>
      </c>
      <c r="J7">
        <v>14.03</v>
      </c>
      <c r="K7">
        <v>0.1729</v>
      </c>
      <c r="L7">
        <v>7.04</v>
      </c>
      <c r="M7">
        <v>11.38</v>
      </c>
      <c r="N7">
        <v>1.82</v>
      </c>
      <c r="O7">
        <v>101.46080000000001</v>
      </c>
      <c r="P7" t="s">
        <v>293</v>
      </c>
    </row>
    <row r="8" spans="1:16">
      <c r="A8">
        <v>4</v>
      </c>
      <c r="B8">
        <v>2.6</v>
      </c>
      <c r="C8">
        <v>0.35909999999999997</v>
      </c>
      <c r="D8">
        <v>12.1</v>
      </c>
      <c r="E8">
        <v>51.6</v>
      </c>
      <c r="F8">
        <v>3.4599999999999999E-2</v>
      </c>
      <c r="G8">
        <v>7.0199999999999999E-2</v>
      </c>
      <c r="H8">
        <v>0.1893</v>
      </c>
      <c r="I8">
        <v>0.24479999999999999</v>
      </c>
      <c r="J8">
        <v>14.04</v>
      </c>
      <c r="K8">
        <v>0.16009999999999999</v>
      </c>
      <c r="L8">
        <v>7.17</v>
      </c>
      <c r="M8">
        <v>11.31</v>
      </c>
      <c r="N8">
        <v>1.85</v>
      </c>
      <c r="O8">
        <v>101.72799999999999</v>
      </c>
      <c r="P8" t="s">
        <v>293</v>
      </c>
    </row>
    <row r="9" spans="1:16">
      <c r="A9">
        <v>5</v>
      </c>
      <c r="B9">
        <v>6.21</v>
      </c>
      <c r="C9">
        <v>2.6100000000000002E-2</v>
      </c>
      <c r="D9">
        <v>7.86</v>
      </c>
      <c r="E9">
        <v>70.77</v>
      </c>
      <c r="F9">
        <v>0.39889999999999998</v>
      </c>
      <c r="G9">
        <v>0.45789999999999997</v>
      </c>
      <c r="H9">
        <v>4.29</v>
      </c>
      <c r="I9">
        <v>0.19159999999999999</v>
      </c>
      <c r="J9">
        <v>8.83</v>
      </c>
      <c r="K9">
        <v>1.61E-2</v>
      </c>
      <c r="L9">
        <v>2.24E-2</v>
      </c>
      <c r="M9">
        <v>0.39600000000000002</v>
      </c>
      <c r="N9">
        <v>0.3392</v>
      </c>
      <c r="O9">
        <v>99.808300000000003</v>
      </c>
      <c r="P9" t="s">
        <v>294</v>
      </c>
    </row>
    <row r="10" spans="1:16">
      <c r="A10">
        <v>6</v>
      </c>
      <c r="B10">
        <v>2.36</v>
      </c>
      <c r="C10">
        <v>3.4799999999999998E-2</v>
      </c>
      <c r="D10">
        <v>8</v>
      </c>
      <c r="E10">
        <v>72.72</v>
      </c>
      <c r="F10">
        <v>0.38479999999999998</v>
      </c>
      <c r="G10">
        <v>0.51470000000000005</v>
      </c>
      <c r="H10">
        <v>4.16</v>
      </c>
      <c r="I10">
        <v>0.29049999999999998</v>
      </c>
      <c r="J10">
        <v>8.85</v>
      </c>
      <c r="K10">
        <v>1.47E-2</v>
      </c>
      <c r="L10">
        <v>4.1700000000000001E-2</v>
      </c>
      <c r="M10">
        <v>0.45850000000000002</v>
      </c>
      <c r="N10">
        <v>0.34029999999999999</v>
      </c>
      <c r="O10">
        <v>98.170100000000005</v>
      </c>
      <c r="P10" t="s">
        <v>294</v>
      </c>
    </row>
    <row r="11" spans="1:16">
      <c r="A11">
        <v>7</v>
      </c>
      <c r="B11">
        <v>5.35</v>
      </c>
      <c r="C11">
        <v>1.3919999999999999</v>
      </c>
      <c r="D11">
        <v>0.1958</v>
      </c>
      <c r="E11">
        <v>51.04</v>
      </c>
      <c r="F11">
        <v>1.45</v>
      </c>
      <c r="G11">
        <v>6.7999999999999996E-3</v>
      </c>
      <c r="H11">
        <v>0.84370000000000001</v>
      </c>
      <c r="I11">
        <v>5.8999999999999999E-3</v>
      </c>
      <c r="J11">
        <v>25.88</v>
      </c>
      <c r="K11">
        <v>2.0299999999999999E-2</v>
      </c>
      <c r="L11">
        <v>0</v>
      </c>
      <c r="M11">
        <v>13.88</v>
      </c>
      <c r="N11">
        <v>2.5000000000000001E-3</v>
      </c>
      <c r="O11">
        <v>100.0669</v>
      </c>
      <c r="P11" t="s">
        <v>295</v>
      </c>
    </row>
    <row r="12" spans="1:16">
      <c r="A12">
        <v>8</v>
      </c>
      <c r="B12">
        <v>5.19</v>
      </c>
      <c r="C12">
        <v>1.3602000000000001</v>
      </c>
      <c r="D12">
        <v>8.5199999999999998E-2</v>
      </c>
      <c r="E12">
        <v>50.95</v>
      </c>
      <c r="F12">
        <v>1.42</v>
      </c>
      <c r="G12">
        <v>0</v>
      </c>
      <c r="H12">
        <v>0.87329999999999997</v>
      </c>
      <c r="I12">
        <v>3.5000000000000003E-2</v>
      </c>
      <c r="J12">
        <v>25.46</v>
      </c>
      <c r="K12">
        <v>1.4E-3</v>
      </c>
      <c r="L12">
        <v>2E-3</v>
      </c>
      <c r="M12">
        <v>14.02</v>
      </c>
      <c r="N12">
        <v>1.29E-2</v>
      </c>
      <c r="O12">
        <v>99.41</v>
      </c>
      <c r="P12" t="s">
        <v>295</v>
      </c>
    </row>
    <row r="13" spans="1:16">
      <c r="A13">
        <v>9</v>
      </c>
      <c r="B13">
        <v>2.65</v>
      </c>
      <c r="C13">
        <v>1.7500000000000002E-2</v>
      </c>
      <c r="D13">
        <v>13.79</v>
      </c>
      <c r="E13">
        <v>46</v>
      </c>
      <c r="F13">
        <v>0.1143</v>
      </c>
      <c r="G13">
        <v>0.11650000000000001</v>
      </c>
      <c r="H13">
        <v>1.75</v>
      </c>
      <c r="I13">
        <v>0.24210000000000001</v>
      </c>
      <c r="J13">
        <v>14.9</v>
      </c>
      <c r="K13">
        <v>0.63539999999999996</v>
      </c>
      <c r="L13">
        <v>5.07</v>
      </c>
      <c r="M13">
        <v>11.22</v>
      </c>
      <c r="N13">
        <v>4</v>
      </c>
      <c r="O13">
        <v>100.50579999999999</v>
      </c>
      <c r="P13" t="s">
        <v>296</v>
      </c>
    </row>
    <row r="14" spans="1:16">
      <c r="A14">
        <v>10</v>
      </c>
      <c r="B14">
        <v>2.59</v>
      </c>
      <c r="C14">
        <v>1.6500000000000001E-2</v>
      </c>
      <c r="D14">
        <v>13.75</v>
      </c>
      <c r="E14">
        <v>45.97</v>
      </c>
      <c r="F14">
        <v>0.1074</v>
      </c>
      <c r="G14">
        <v>0.16</v>
      </c>
      <c r="H14">
        <v>1.77</v>
      </c>
      <c r="I14">
        <v>0.22</v>
      </c>
      <c r="J14">
        <v>14.99</v>
      </c>
      <c r="K14">
        <v>0.62660000000000005</v>
      </c>
      <c r="L14">
        <v>5.08</v>
      </c>
      <c r="M14">
        <v>11.12</v>
      </c>
      <c r="N14">
        <v>3.9</v>
      </c>
      <c r="O14">
        <v>100.3005</v>
      </c>
      <c r="P14" t="s">
        <v>297</v>
      </c>
    </row>
    <row r="15" spans="1:16">
      <c r="A15">
        <v>11</v>
      </c>
      <c r="B15">
        <v>2.9</v>
      </c>
      <c r="C15">
        <v>2.92E-2</v>
      </c>
      <c r="D15">
        <v>13.49</v>
      </c>
      <c r="E15">
        <v>45.63</v>
      </c>
      <c r="F15">
        <v>0.1246</v>
      </c>
      <c r="G15">
        <v>0.1055</v>
      </c>
      <c r="H15">
        <v>1.83</v>
      </c>
      <c r="I15">
        <v>0.22520000000000001</v>
      </c>
      <c r="J15">
        <v>15.01</v>
      </c>
      <c r="K15">
        <v>0.64939999999999998</v>
      </c>
      <c r="L15">
        <v>5.07</v>
      </c>
      <c r="M15">
        <v>11.16</v>
      </c>
      <c r="N15">
        <v>3.9</v>
      </c>
      <c r="O15">
        <v>100.1238</v>
      </c>
      <c r="P15" t="s">
        <v>298</v>
      </c>
    </row>
    <row r="16" spans="1:16">
      <c r="A16">
        <v>12</v>
      </c>
      <c r="B16">
        <v>2.65</v>
      </c>
      <c r="C16">
        <v>4.3499999999999997E-2</v>
      </c>
      <c r="D16">
        <v>13.63</v>
      </c>
      <c r="E16">
        <v>46.2</v>
      </c>
      <c r="F16">
        <v>0.1232</v>
      </c>
      <c r="G16">
        <v>0.1241</v>
      </c>
      <c r="H16">
        <v>1.58</v>
      </c>
      <c r="I16">
        <v>0.22</v>
      </c>
      <c r="J16">
        <v>14.93</v>
      </c>
      <c r="K16">
        <v>0.56459999999999999</v>
      </c>
      <c r="L16">
        <v>5.17</v>
      </c>
      <c r="M16">
        <v>11.22</v>
      </c>
      <c r="N16">
        <v>3.99</v>
      </c>
      <c r="O16">
        <v>100.4453</v>
      </c>
      <c r="P16" t="s">
        <v>299</v>
      </c>
    </row>
    <row r="17" spans="1:16">
      <c r="A17">
        <v>13</v>
      </c>
      <c r="B17">
        <v>2.38</v>
      </c>
      <c r="C17">
        <v>5.4300000000000001E-2</v>
      </c>
      <c r="D17">
        <v>13.98</v>
      </c>
      <c r="E17">
        <v>45.95</v>
      </c>
      <c r="F17">
        <v>0.125</v>
      </c>
      <c r="G17">
        <v>0.12959999999999999</v>
      </c>
      <c r="H17">
        <v>1.69</v>
      </c>
      <c r="I17">
        <v>0.26350000000000001</v>
      </c>
      <c r="J17">
        <v>15.06</v>
      </c>
      <c r="K17">
        <v>0.70340000000000003</v>
      </c>
      <c r="L17">
        <v>5</v>
      </c>
      <c r="M17">
        <v>11.32</v>
      </c>
      <c r="N17">
        <v>3.97</v>
      </c>
      <c r="O17">
        <v>100.62569999999999</v>
      </c>
      <c r="P17" t="s">
        <v>300</v>
      </c>
    </row>
    <row r="18" spans="1:16">
      <c r="A18">
        <v>14</v>
      </c>
      <c r="B18">
        <v>2.75</v>
      </c>
      <c r="C18">
        <v>2.93E-2</v>
      </c>
      <c r="D18">
        <v>13.16</v>
      </c>
      <c r="E18">
        <v>46.19</v>
      </c>
      <c r="F18">
        <v>0.1273</v>
      </c>
      <c r="G18">
        <v>0.18920000000000001</v>
      </c>
      <c r="H18">
        <v>1.8</v>
      </c>
      <c r="I18">
        <v>0.152</v>
      </c>
      <c r="J18">
        <v>15.05</v>
      </c>
      <c r="K18">
        <v>0.74239999999999995</v>
      </c>
      <c r="L18">
        <v>4.95</v>
      </c>
      <c r="M18">
        <v>11.07</v>
      </c>
      <c r="N18">
        <v>3.91</v>
      </c>
      <c r="O18">
        <v>100.1202</v>
      </c>
      <c r="P18" t="s">
        <v>301</v>
      </c>
    </row>
    <row r="19" spans="1:16">
      <c r="A19">
        <v>15</v>
      </c>
      <c r="B19">
        <v>4.8099999999999996</v>
      </c>
      <c r="C19">
        <v>2.7199999999999998E-2</v>
      </c>
      <c r="D19">
        <v>12.66</v>
      </c>
      <c r="E19">
        <v>46.24</v>
      </c>
      <c r="F19">
        <v>0.1203</v>
      </c>
      <c r="G19">
        <v>0.1179</v>
      </c>
      <c r="H19">
        <v>1.78</v>
      </c>
      <c r="I19">
        <v>0.16300000000000001</v>
      </c>
      <c r="J19">
        <v>15.07</v>
      </c>
      <c r="K19">
        <v>0.73240000000000005</v>
      </c>
      <c r="L19">
        <v>4.67</v>
      </c>
      <c r="M19">
        <v>10.47</v>
      </c>
      <c r="N19">
        <v>3.99</v>
      </c>
      <c r="O19">
        <v>100.8507</v>
      </c>
      <c r="P19" t="s">
        <v>302</v>
      </c>
    </row>
    <row r="20" spans="1:16">
      <c r="A20">
        <v>16</v>
      </c>
      <c r="B20">
        <v>4.1100000000000003</v>
      </c>
      <c r="C20">
        <v>7.9000000000000001E-2</v>
      </c>
      <c r="D20">
        <v>13.6</v>
      </c>
      <c r="E20">
        <v>44.87</v>
      </c>
      <c r="F20">
        <v>0.12670000000000001</v>
      </c>
      <c r="G20">
        <v>0.13969999999999999</v>
      </c>
      <c r="H20">
        <v>1.71</v>
      </c>
      <c r="I20">
        <v>0.22020000000000001</v>
      </c>
      <c r="J20">
        <v>14.79</v>
      </c>
      <c r="K20">
        <v>0.69469999999999998</v>
      </c>
      <c r="L20">
        <v>4.9000000000000004</v>
      </c>
      <c r="M20">
        <v>10.83</v>
      </c>
      <c r="N20">
        <v>3.94</v>
      </c>
      <c r="O20">
        <v>100.0103</v>
      </c>
      <c r="P20" t="s">
        <v>303</v>
      </c>
    </row>
    <row r="21" spans="1:16">
      <c r="A21">
        <v>17</v>
      </c>
      <c r="B21">
        <v>4.4400000000000004</v>
      </c>
      <c r="C21">
        <v>3.9800000000000002E-2</v>
      </c>
      <c r="D21">
        <v>13.04</v>
      </c>
      <c r="E21">
        <v>45.4</v>
      </c>
      <c r="F21">
        <v>0.1237</v>
      </c>
      <c r="G21">
        <v>0.11899999999999999</v>
      </c>
      <c r="H21">
        <v>1.67</v>
      </c>
      <c r="I21">
        <v>0.21709999999999999</v>
      </c>
      <c r="J21">
        <v>14.99</v>
      </c>
      <c r="K21">
        <v>0.68640000000000001</v>
      </c>
      <c r="L21">
        <v>4.8099999999999996</v>
      </c>
      <c r="M21">
        <v>10.6</v>
      </c>
      <c r="N21">
        <v>3.87</v>
      </c>
      <c r="O21">
        <v>100.0059</v>
      </c>
      <c r="P21" t="s">
        <v>304</v>
      </c>
    </row>
    <row r="22" spans="1:16">
      <c r="A22">
        <v>18</v>
      </c>
      <c r="B22">
        <v>5.63</v>
      </c>
      <c r="C22">
        <v>2.2200000000000001E-2</v>
      </c>
      <c r="D22">
        <v>13.01</v>
      </c>
      <c r="E22">
        <v>46.14</v>
      </c>
      <c r="F22">
        <v>0.12620000000000001</v>
      </c>
      <c r="G22">
        <v>0.2576</v>
      </c>
      <c r="H22">
        <v>2.19</v>
      </c>
      <c r="I22">
        <v>0.25779999999999997</v>
      </c>
      <c r="J22">
        <v>14.88</v>
      </c>
      <c r="K22">
        <v>0.69650000000000001</v>
      </c>
      <c r="L22">
        <v>4.3</v>
      </c>
      <c r="M22">
        <v>9.39</v>
      </c>
      <c r="N22">
        <v>3.84</v>
      </c>
      <c r="O22">
        <v>100.7402</v>
      </c>
      <c r="P22" t="s">
        <v>305</v>
      </c>
    </row>
    <row r="23" spans="1:16">
      <c r="A23">
        <v>19</v>
      </c>
      <c r="B23">
        <v>4.33</v>
      </c>
      <c r="C23">
        <v>4.5699999999999998E-2</v>
      </c>
      <c r="D23">
        <v>14.12</v>
      </c>
      <c r="E23">
        <v>46.12</v>
      </c>
      <c r="F23">
        <v>0.14549999999999999</v>
      </c>
      <c r="G23">
        <v>0.1595</v>
      </c>
      <c r="H23">
        <v>1.85</v>
      </c>
      <c r="I23">
        <v>0.2145</v>
      </c>
      <c r="J23">
        <v>14.8</v>
      </c>
      <c r="K23">
        <v>0.77359999999999995</v>
      </c>
      <c r="L23">
        <v>4.3600000000000003</v>
      </c>
      <c r="M23">
        <v>9.94</v>
      </c>
      <c r="N23">
        <v>3.92</v>
      </c>
      <c r="O23">
        <v>100.7787</v>
      </c>
      <c r="P23" t="s">
        <v>306</v>
      </c>
    </row>
    <row r="24" spans="1:16">
      <c r="A24">
        <v>20</v>
      </c>
      <c r="B24">
        <v>4.5199999999999996</v>
      </c>
      <c r="C24">
        <v>3.8199999999999998E-2</v>
      </c>
      <c r="D24">
        <v>13.69</v>
      </c>
      <c r="E24">
        <v>45.95</v>
      </c>
      <c r="F24">
        <v>0.1293</v>
      </c>
      <c r="G24">
        <v>0.18779999999999999</v>
      </c>
      <c r="H24">
        <v>2.2000000000000002</v>
      </c>
      <c r="I24">
        <v>0.216</v>
      </c>
      <c r="J24">
        <v>14.8</v>
      </c>
      <c r="K24">
        <v>0.77100000000000002</v>
      </c>
      <c r="L24">
        <v>4.5599999999999996</v>
      </c>
      <c r="M24">
        <v>9.82</v>
      </c>
      <c r="N24">
        <v>3.78</v>
      </c>
      <c r="O24">
        <v>100.6622</v>
      </c>
      <c r="P24" t="s">
        <v>307</v>
      </c>
    </row>
    <row r="25" spans="1:16">
      <c r="A25">
        <v>21</v>
      </c>
      <c r="B25">
        <v>5.18</v>
      </c>
      <c r="C25">
        <v>4.1500000000000002E-2</v>
      </c>
      <c r="D25">
        <v>15.38</v>
      </c>
      <c r="E25">
        <v>46.05</v>
      </c>
      <c r="F25">
        <v>0.16189999999999999</v>
      </c>
      <c r="G25">
        <v>0.18129999999999999</v>
      </c>
      <c r="H25">
        <v>2.23</v>
      </c>
      <c r="I25">
        <v>0.27960000000000002</v>
      </c>
      <c r="J25">
        <v>14.47</v>
      </c>
      <c r="K25">
        <v>0.71550000000000002</v>
      </c>
      <c r="L25">
        <v>4.16</v>
      </c>
      <c r="M25">
        <v>8.82</v>
      </c>
      <c r="N25">
        <v>3.93</v>
      </c>
      <c r="O25">
        <v>101.5998</v>
      </c>
      <c r="P25" t="s">
        <v>308</v>
      </c>
    </row>
    <row r="26" spans="1:16">
      <c r="A26">
        <v>22</v>
      </c>
      <c r="B26">
        <v>4.76</v>
      </c>
      <c r="C26">
        <v>5.2699999999999997E-2</v>
      </c>
      <c r="D26">
        <v>14.4</v>
      </c>
      <c r="E26">
        <v>45.66</v>
      </c>
      <c r="F26">
        <v>0.12720000000000001</v>
      </c>
      <c r="G26">
        <v>0.15190000000000001</v>
      </c>
      <c r="H26">
        <v>1.94</v>
      </c>
      <c r="I26">
        <v>0.28560000000000002</v>
      </c>
      <c r="J26">
        <v>14.55</v>
      </c>
      <c r="K26">
        <v>0.74150000000000005</v>
      </c>
      <c r="L26">
        <v>4.6100000000000003</v>
      </c>
      <c r="M26">
        <v>9.86</v>
      </c>
      <c r="N26">
        <v>3.83</v>
      </c>
      <c r="O26">
        <v>100.9688</v>
      </c>
      <c r="P26" t="s">
        <v>309</v>
      </c>
    </row>
    <row r="27" spans="1:16">
      <c r="A27">
        <v>23</v>
      </c>
      <c r="B27">
        <v>5.09</v>
      </c>
      <c r="C27">
        <v>3.1099999999999999E-2</v>
      </c>
      <c r="D27">
        <v>13.55</v>
      </c>
      <c r="E27">
        <v>46.75</v>
      </c>
      <c r="F27">
        <v>0.13669999999999999</v>
      </c>
      <c r="G27">
        <v>0.19620000000000001</v>
      </c>
      <c r="H27">
        <v>2.0699999999999998</v>
      </c>
      <c r="I27">
        <v>0.23469999999999999</v>
      </c>
      <c r="J27">
        <v>15.36</v>
      </c>
      <c r="K27">
        <v>0.73629999999999995</v>
      </c>
      <c r="L27">
        <v>4.1900000000000004</v>
      </c>
      <c r="M27">
        <v>9.3699999999999992</v>
      </c>
      <c r="N27">
        <v>3.74</v>
      </c>
      <c r="O27">
        <v>101.45489999999999</v>
      </c>
      <c r="P27" t="s">
        <v>310</v>
      </c>
    </row>
    <row r="28" spans="1:16">
      <c r="A28">
        <v>24</v>
      </c>
      <c r="B28">
        <v>5.0599999999999996</v>
      </c>
      <c r="C28">
        <v>2.52E-2</v>
      </c>
      <c r="D28">
        <v>12.34</v>
      </c>
      <c r="E28">
        <v>45.98</v>
      </c>
      <c r="F28">
        <v>0.11459999999999999</v>
      </c>
      <c r="G28">
        <v>0.18540000000000001</v>
      </c>
      <c r="H28">
        <v>2.06</v>
      </c>
      <c r="I28">
        <v>0.2172</v>
      </c>
      <c r="J28">
        <v>14.95</v>
      </c>
      <c r="K28">
        <v>0.73270000000000002</v>
      </c>
      <c r="L28">
        <v>4.54</v>
      </c>
      <c r="M28">
        <v>10.34</v>
      </c>
      <c r="N28">
        <v>3.87</v>
      </c>
      <c r="O28">
        <v>100.41500000000001</v>
      </c>
      <c r="P28" t="s">
        <v>311</v>
      </c>
    </row>
    <row r="29" spans="1:16">
      <c r="A29">
        <v>25</v>
      </c>
      <c r="B29">
        <v>4.49</v>
      </c>
      <c r="C29">
        <v>3.2199999999999999E-2</v>
      </c>
      <c r="D29">
        <v>13.83</v>
      </c>
      <c r="E29">
        <v>45.86</v>
      </c>
      <c r="F29">
        <v>0.12139999999999999</v>
      </c>
      <c r="G29">
        <v>0.15629999999999999</v>
      </c>
      <c r="H29">
        <v>1.99</v>
      </c>
      <c r="I29">
        <v>0.3105</v>
      </c>
      <c r="J29">
        <v>15.09</v>
      </c>
      <c r="K29">
        <v>0.76570000000000005</v>
      </c>
      <c r="L29">
        <v>4.6100000000000003</v>
      </c>
      <c r="M29">
        <v>10.050000000000001</v>
      </c>
      <c r="N29">
        <v>3.74</v>
      </c>
      <c r="O29">
        <v>101.0461</v>
      </c>
      <c r="P29" t="s">
        <v>312</v>
      </c>
    </row>
    <row r="30" spans="1:16">
      <c r="A30">
        <v>26</v>
      </c>
      <c r="B30">
        <v>4.71</v>
      </c>
      <c r="C30">
        <v>3.8399999999999997E-2</v>
      </c>
      <c r="D30">
        <v>14.05</v>
      </c>
      <c r="E30">
        <v>45.43</v>
      </c>
      <c r="F30">
        <v>0.1196</v>
      </c>
      <c r="G30">
        <v>0.25829999999999997</v>
      </c>
      <c r="H30">
        <v>1.96</v>
      </c>
      <c r="I30">
        <v>0.23050000000000001</v>
      </c>
      <c r="J30">
        <v>14.48</v>
      </c>
      <c r="K30">
        <v>0.73119999999999996</v>
      </c>
      <c r="L30">
        <v>4.6399999999999997</v>
      </c>
      <c r="M30">
        <v>9.7100000000000009</v>
      </c>
      <c r="N30">
        <v>3.81</v>
      </c>
      <c r="O30">
        <v>100.1679</v>
      </c>
      <c r="P30" t="s">
        <v>313</v>
      </c>
    </row>
    <row r="31" spans="1:16">
      <c r="A31">
        <v>27</v>
      </c>
      <c r="B31">
        <v>4.82</v>
      </c>
      <c r="C31">
        <v>8.1699999999999995E-2</v>
      </c>
      <c r="D31">
        <v>13.52</v>
      </c>
      <c r="E31">
        <v>44.93</v>
      </c>
      <c r="F31">
        <v>6.7799999999999999E-2</v>
      </c>
      <c r="G31">
        <v>8.3400000000000002E-2</v>
      </c>
      <c r="H31">
        <v>2.13</v>
      </c>
      <c r="I31">
        <v>0.24199999999999999</v>
      </c>
      <c r="J31">
        <v>15.48</v>
      </c>
      <c r="K31">
        <v>1.0618000000000001</v>
      </c>
      <c r="L31">
        <v>4.54</v>
      </c>
      <c r="M31">
        <v>10.56</v>
      </c>
      <c r="N31">
        <v>3.8</v>
      </c>
      <c r="O31">
        <v>101.31659999999999</v>
      </c>
      <c r="P31" t="s">
        <v>314</v>
      </c>
    </row>
    <row r="32" spans="1:16">
      <c r="A32">
        <v>28</v>
      </c>
      <c r="B32">
        <v>4.82</v>
      </c>
      <c r="C32">
        <v>0.1331</v>
      </c>
      <c r="D32">
        <v>12.62</v>
      </c>
      <c r="E32">
        <v>44.55</v>
      </c>
      <c r="F32">
        <v>0.13569999999999999</v>
      </c>
      <c r="G32">
        <v>0.16089999999999999</v>
      </c>
      <c r="H32">
        <v>2.2000000000000002</v>
      </c>
      <c r="I32">
        <v>0.23430000000000001</v>
      </c>
      <c r="J32">
        <v>15.35</v>
      </c>
      <c r="K32">
        <v>1.0044999999999999</v>
      </c>
      <c r="L32">
        <v>4.41</v>
      </c>
      <c r="M32">
        <v>10.52</v>
      </c>
      <c r="N32">
        <v>3.8</v>
      </c>
      <c r="O32">
        <v>99.938599999999994</v>
      </c>
      <c r="P32" t="s">
        <v>315</v>
      </c>
    </row>
    <row r="33" spans="1:16">
      <c r="A33">
        <v>29</v>
      </c>
      <c r="B33">
        <v>4.8499999999999996</v>
      </c>
      <c r="C33">
        <v>0.11020000000000001</v>
      </c>
      <c r="D33">
        <v>12.23</v>
      </c>
      <c r="E33">
        <v>44.92</v>
      </c>
      <c r="F33">
        <v>0.1207</v>
      </c>
      <c r="G33">
        <v>0.113</v>
      </c>
      <c r="H33">
        <v>2.17</v>
      </c>
      <c r="I33">
        <v>0.2203</v>
      </c>
      <c r="J33">
        <v>15.36</v>
      </c>
      <c r="K33">
        <v>0.97470000000000001</v>
      </c>
      <c r="L33">
        <v>4.18</v>
      </c>
      <c r="M33">
        <v>10.48</v>
      </c>
      <c r="N33">
        <v>3.7</v>
      </c>
      <c r="O33">
        <v>99.428899999999999</v>
      </c>
      <c r="P33" t="s">
        <v>316</v>
      </c>
    </row>
    <row r="34" spans="1:16">
      <c r="A34">
        <v>30</v>
      </c>
      <c r="B34">
        <v>4.9000000000000004</v>
      </c>
      <c r="C34">
        <v>0.1004</v>
      </c>
      <c r="D34">
        <v>12.58</v>
      </c>
      <c r="E34">
        <v>44.78</v>
      </c>
      <c r="F34">
        <v>0.13880000000000001</v>
      </c>
      <c r="G34">
        <v>0.19159999999999999</v>
      </c>
      <c r="H34">
        <v>2.2400000000000002</v>
      </c>
      <c r="I34">
        <v>0.24640000000000001</v>
      </c>
      <c r="J34">
        <v>14.59</v>
      </c>
      <c r="K34">
        <v>0.97360000000000002</v>
      </c>
      <c r="L34">
        <v>4.5199999999999996</v>
      </c>
      <c r="M34">
        <v>10.52</v>
      </c>
      <c r="N34">
        <v>3.79</v>
      </c>
      <c r="O34">
        <v>99.570800000000006</v>
      </c>
      <c r="P34" t="s">
        <v>317</v>
      </c>
    </row>
    <row r="35" spans="1:16">
      <c r="A35">
        <v>31</v>
      </c>
      <c r="B35">
        <v>4.75</v>
      </c>
      <c r="C35">
        <v>0.10009999999999999</v>
      </c>
      <c r="D35">
        <v>12.22</v>
      </c>
      <c r="E35">
        <v>44.85</v>
      </c>
      <c r="F35">
        <v>0.1411</v>
      </c>
      <c r="G35">
        <v>0.13469999999999999</v>
      </c>
      <c r="H35">
        <v>2.14</v>
      </c>
      <c r="I35">
        <v>0.23960000000000001</v>
      </c>
      <c r="J35">
        <v>14.77</v>
      </c>
      <c r="K35">
        <v>1.0415000000000001</v>
      </c>
      <c r="L35">
        <v>4.3899999999999997</v>
      </c>
      <c r="M35">
        <v>10.45</v>
      </c>
      <c r="N35">
        <v>3.8</v>
      </c>
      <c r="O35">
        <v>99.027100000000004</v>
      </c>
      <c r="P35" t="s">
        <v>318</v>
      </c>
    </row>
    <row r="36" spans="1:16">
      <c r="A36">
        <v>32</v>
      </c>
      <c r="B36">
        <v>4.7699999999999996</v>
      </c>
      <c r="C36">
        <v>2.1970999999999998</v>
      </c>
      <c r="D36">
        <v>13.77</v>
      </c>
      <c r="E36">
        <v>44.06</v>
      </c>
      <c r="F36">
        <v>0.1293</v>
      </c>
      <c r="G36">
        <v>0.2099</v>
      </c>
      <c r="H36">
        <v>2.14</v>
      </c>
      <c r="I36">
        <v>0.2167</v>
      </c>
      <c r="J36">
        <v>15.32</v>
      </c>
      <c r="K36">
        <v>0.94620000000000004</v>
      </c>
      <c r="L36">
        <v>4.4400000000000004</v>
      </c>
      <c r="M36">
        <v>10.199999999999999</v>
      </c>
      <c r="N36">
        <v>3.78</v>
      </c>
      <c r="O36">
        <v>102.17910000000001</v>
      </c>
      <c r="P36" t="s">
        <v>319</v>
      </c>
    </row>
    <row r="37" spans="1:16">
      <c r="A37">
        <v>33</v>
      </c>
      <c r="B37">
        <v>4.9000000000000004</v>
      </c>
      <c r="C37">
        <v>0.1283</v>
      </c>
      <c r="D37">
        <v>12.74</v>
      </c>
      <c r="E37">
        <v>43.89</v>
      </c>
      <c r="F37">
        <v>0.12690000000000001</v>
      </c>
      <c r="G37">
        <v>0.2127</v>
      </c>
      <c r="H37">
        <v>2.2200000000000002</v>
      </c>
      <c r="I37">
        <v>0.2341</v>
      </c>
      <c r="J37">
        <v>15.36</v>
      </c>
      <c r="K37">
        <v>0.97</v>
      </c>
      <c r="L37">
        <v>4.5</v>
      </c>
      <c r="M37">
        <v>10.41</v>
      </c>
      <c r="N37">
        <v>3.79</v>
      </c>
      <c r="O37">
        <v>99.482100000000003</v>
      </c>
      <c r="P37" t="s">
        <v>320</v>
      </c>
    </row>
    <row r="38" spans="1:16">
      <c r="A38">
        <v>34</v>
      </c>
      <c r="B38">
        <v>4.9000000000000004</v>
      </c>
      <c r="C38">
        <v>0.12670000000000001</v>
      </c>
      <c r="D38">
        <v>12.82</v>
      </c>
      <c r="E38">
        <v>44.87</v>
      </c>
      <c r="F38">
        <v>0.14149999999999999</v>
      </c>
      <c r="G38">
        <v>0.13619999999999999</v>
      </c>
      <c r="H38">
        <v>2.21</v>
      </c>
      <c r="I38">
        <v>0.24690000000000001</v>
      </c>
      <c r="J38">
        <v>15.42</v>
      </c>
      <c r="K38">
        <v>0.97650000000000003</v>
      </c>
      <c r="L38">
        <v>4.4400000000000004</v>
      </c>
      <c r="M38">
        <v>10.46</v>
      </c>
      <c r="N38">
        <v>3.77</v>
      </c>
      <c r="O38">
        <v>100.5177</v>
      </c>
      <c r="P38" t="s">
        <v>321</v>
      </c>
    </row>
    <row r="39" spans="1:16">
      <c r="A39">
        <v>35</v>
      </c>
      <c r="B39">
        <v>4.8099999999999996</v>
      </c>
      <c r="C39">
        <v>0.13389999999999999</v>
      </c>
      <c r="D39">
        <v>11.97</v>
      </c>
      <c r="E39">
        <v>45.25</v>
      </c>
      <c r="F39">
        <v>0.13250000000000001</v>
      </c>
      <c r="G39">
        <v>0.28029999999999999</v>
      </c>
      <c r="H39">
        <v>2.17</v>
      </c>
      <c r="I39">
        <v>0.21659999999999999</v>
      </c>
      <c r="J39">
        <v>15.55</v>
      </c>
      <c r="K39">
        <v>0.96830000000000005</v>
      </c>
      <c r="L39">
        <v>4.29</v>
      </c>
      <c r="M39">
        <v>10.48</v>
      </c>
      <c r="N39">
        <v>3.76</v>
      </c>
      <c r="O39">
        <v>100.0116</v>
      </c>
      <c r="P39" t="s">
        <v>322</v>
      </c>
    </row>
    <row r="40" spans="1:16">
      <c r="A40">
        <v>36</v>
      </c>
      <c r="B40">
        <v>4</v>
      </c>
      <c r="C40">
        <v>2.93E-2</v>
      </c>
      <c r="D40">
        <v>12.08</v>
      </c>
      <c r="E40">
        <v>45.73</v>
      </c>
      <c r="F40">
        <v>8.0799999999999997E-2</v>
      </c>
      <c r="G40">
        <v>0.15429999999999999</v>
      </c>
      <c r="H40">
        <v>1.28</v>
      </c>
      <c r="I40">
        <v>0.1893</v>
      </c>
      <c r="J40">
        <v>14.73</v>
      </c>
      <c r="K40">
        <v>0.54339999999999999</v>
      </c>
      <c r="L40">
        <v>5.64</v>
      </c>
      <c r="M40">
        <v>11.86</v>
      </c>
      <c r="N40">
        <v>3.6</v>
      </c>
      <c r="O40">
        <v>99.917199999999994</v>
      </c>
      <c r="P40" t="s">
        <v>323</v>
      </c>
    </row>
    <row r="41" spans="1:16">
      <c r="A41">
        <v>37</v>
      </c>
      <c r="B41">
        <v>4.03</v>
      </c>
      <c r="C41">
        <v>4.8300000000000003E-2</v>
      </c>
      <c r="D41">
        <v>12.16</v>
      </c>
      <c r="E41">
        <v>46.1</v>
      </c>
      <c r="F41">
        <v>7.6799999999999993E-2</v>
      </c>
      <c r="G41">
        <v>0.15770000000000001</v>
      </c>
      <c r="H41">
        <v>1.29</v>
      </c>
      <c r="I41">
        <v>0.19370000000000001</v>
      </c>
      <c r="J41">
        <v>14.62</v>
      </c>
      <c r="K41">
        <v>0.57979999999999998</v>
      </c>
      <c r="L41">
        <v>5.52</v>
      </c>
      <c r="M41">
        <v>11.65</v>
      </c>
      <c r="N41">
        <v>3.63</v>
      </c>
      <c r="O41">
        <v>100.05629999999999</v>
      </c>
      <c r="P41" t="s">
        <v>324</v>
      </c>
    </row>
    <row r="42" spans="1:16">
      <c r="A42">
        <v>38</v>
      </c>
      <c r="B42">
        <v>4.28</v>
      </c>
      <c r="C42">
        <v>3.1699999999999999E-2</v>
      </c>
      <c r="D42">
        <v>12.21</v>
      </c>
      <c r="E42">
        <v>45.35</v>
      </c>
      <c r="F42">
        <v>6.3500000000000001E-2</v>
      </c>
      <c r="G42">
        <v>9.2399999999999996E-2</v>
      </c>
      <c r="H42">
        <v>1.32</v>
      </c>
      <c r="I42">
        <v>0.20960000000000001</v>
      </c>
      <c r="J42">
        <v>14.54</v>
      </c>
      <c r="K42">
        <v>0.52470000000000006</v>
      </c>
      <c r="L42">
        <v>5.55</v>
      </c>
      <c r="M42">
        <v>11.72</v>
      </c>
      <c r="N42">
        <v>3.52</v>
      </c>
      <c r="O42">
        <v>99.411900000000003</v>
      </c>
      <c r="P42" t="s">
        <v>325</v>
      </c>
    </row>
    <row r="43" spans="1:16">
      <c r="A43">
        <v>39</v>
      </c>
      <c r="B43">
        <v>4.01</v>
      </c>
      <c r="C43">
        <v>4.7300000000000002E-2</v>
      </c>
      <c r="D43">
        <v>12</v>
      </c>
      <c r="E43">
        <v>45.85</v>
      </c>
      <c r="F43">
        <v>7.5499999999999998E-2</v>
      </c>
      <c r="G43">
        <v>0.1532</v>
      </c>
      <c r="H43">
        <v>1.24</v>
      </c>
      <c r="I43">
        <v>0.16120000000000001</v>
      </c>
      <c r="J43">
        <v>14.87</v>
      </c>
      <c r="K43">
        <v>0.54769999999999996</v>
      </c>
      <c r="L43">
        <v>5.52</v>
      </c>
      <c r="M43">
        <v>11.7</v>
      </c>
      <c r="N43">
        <v>3.58</v>
      </c>
      <c r="O43">
        <v>99.754999999999995</v>
      </c>
      <c r="P43" t="s">
        <v>326</v>
      </c>
    </row>
    <row r="44" spans="1:16">
      <c r="A44">
        <v>40</v>
      </c>
      <c r="B44">
        <v>4.07</v>
      </c>
      <c r="C44">
        <v>6.3E-2</v>
      </c>
      <c r="D44">
        <v>11.8</v>
      </c>
      <c r="E44">
        <v>46.72</v>
      </c>
      <c r="F44">
        <v>7.3300000000000004E-2</v>
      </c>
      <c r="G44">
        <v>8.3099999999999993E-2</v>
      </c>
      <c r="H44">
        <v>1.21</v>
      </c>
      <c r="I44">
        <v>0.19109999999999999</v>
      </c>
      <c r="J44">
        <v>14.88</v>
      </c>
      <c r="K44">
        <v>0.50629999999999997</v>
      </c>
      <c r="L44">
        <v>5.62</v>
      </c>
      <c r="M44">
        <v>11.79</v>
      </c>
      <c r="N44">
        <v>3.51</v>
      </c>
      <c r="O44">
        <v>100.5168</v>
      </c>
      <c r="P44" t="s">
        <v>327</v>
      </c>
    </row>
    <row r="45" spans="1:16">
      <c r="A45">
        <v>41</v>
      </c>
      <c r="B45">
        <v>4.1100000000000003</v>
      </c>
      <c r="C45">
        <v>5.4899999999999997E-2</v>
      </c>
      <c r="D45">
        <v>12.23</v>
      </c>
      <c r="E45">
        <v>46.48</v>
      </c>
      <c r="F45">
        <v>7.1599999999999997E-2</v>
      </c>
      <c r="G45">
        <v>0.1101</v>
      </c>
      <c r="H45">
        <v>1.27</v>
      </c>
      <c r="I45">
        <v>0.15629999999999999</v>
      </c>
      <c r="J45">
        <v>14.69</v>
      </c>
      <c r="K45">
        <v>0.5212</v>
      </c>
      <c r="L45">
        <v>5.62</v>
      </c>
      <c r="M45">
        <v>11.88</v>
      </c>
      <c r="N45">
        <v>3.64</v>
      </c>
      <c r="O45">
        <v>100.83410000000001</v>
      </c>
      <c r="P45" t="s">
        <v>328</v>
      </c>
    </row>
    <row r="46" spans="1:16">
      <c r="A46">
        <v>42</v>
      </c>
      <c r="B46">
        <v>3.98</v>
      </c>
      <c r="C46">
        <v>4.4900000000000002E-2</v>
      </c>
      <c r="D46">
        <v>12.27</v>
      </c>
      <c r="E46">
        <v>46.43</v>
      </c>
      <c r="F46">
        <v>9.5000000000000001E-2</v>
      </c>
      <c r="G46">
        <v>0.12870000000000001</v>
      </c>
      <c r="H46">
        <v>1.23</v>
      </c>
      <c r="I46">
        <v>0.24010000000000001</v>
      </c>
      <c r="J46">
        <v>14.88</v>
      </c>
      <c r="K46">
        <v>0.53090000000000004</v>
      </c>
      <c r="L46">
        <v>5.55</v>
      </c>
      <c r="M46">
        <v>11.78</v>
      </c>
      <c r="N46">
        <v>3.55</v>
      </c>
      <c r="O46">
        <v>100.70950000000001</v>
      </c>
      <c r="P46" t="s">
        <v>329</v>
      </c>
    </row>
    <row r="47" spans="1:16">
      <c r="A47">
        <v>43</v>
      </c>
      <c r="B47">
        <v>3.91</v>
      </c>
      <c r="C47">
        <v>3.7900000000000003E-2</v>
      </c>
      <c r="D47">
        <v>12.31</v>
      </c>
      <c r="E47">
        <v>46.89</v>
      </c>
      <c r="F47">
        <v>8.1600000000000006E-2</v>
      </c>
      <c r="G47">
        <v>0.14979999999999999</v>
      </c>
      <c r="H47">
        <v>1.1918</v>
      </c>
      <c r="I47">
        <v>0.19789999999999999</v>
      </c>
      <c r="J47">
        <v>14.68</v>
      </c>
      <c r="K47">
        <v>0.51890000000000003</v>
      </c>
      <c r="L47">
        <v>5.52</v>
      </c>
      <c r="M47">
        <v>11.98</v>
      </c>
      <c r="N47">
        <v>3.6</v>
      </c>
      <c r="O47">
        <v>101.06780000000001</v>
      </c>
      <c r="P47" t="s">
        <v>330</v>
      </c>
    </row>
    <row r="48" spans="1:16">
      <c r="A48">
        <v>44</v>
      </c>
      <c r="B48">
        <v>4.08</v>
      </c>
      <c r="C48">
        <v>2.9399999999999999E-2</v>
      </c>
      <c r="D48">
        <v>12.06</v>
      </c>
      <c r="E48">
        <v>46.55</v>
      </c>
      <c r="F48">
        <v>8.6800000000000002E-2</v>
      </c>
      <c r="G48">
        <v>0.12659999999999999</v>
      </c>
      <c r="H48">
        <v>1.25</v>
      </c>
      <c r="I48">
        <v>0.1726</v>
      </c>
      <c r="J48">
        <v>14.69</v>
      </c>
      <c r="K48">
        <v>0.55559999999999998</v>
      </c>
      <c r="L48">
        <v>5.67</v>
      </c>
      <c r="M48">
        <v>11.77</v>
      </c>
      <c r="N48">
        <v>3.56</v>
      </c>
      <c r="O48">
        <v>100.6009</v>
      </c>
      <c r="P48" t="s">
        <v>331</v>
      </c>
    </row>
    <row r="49" spans="1:16">
      <c r="A49">
        <v>45</v>
      </c>
      <c r="B49">
        <v>3.97</v>
      </c>
      <c r="C49">
        <v>4.2799999999999998E-2</v>
      </c>
      <c r="D49">
        <v>12.91</v>
      </c>
      <c r="E49">
        <v>47.37</v>
      </c>
      <c r="F49">
        <v>7.4099999999999999E-2</v>
      </c>
      <c r="G49">
        <v>6.2700000000000006E-2</v>
      </c>
      <c r="H49">
        <v>1.0876999999999999</v>
      </c>
      <c r="I49">
        <v>0.26269999999999999</v>
      </c>
      <c r="J49">
        <v>15.26</v>
      </c>
      <c r="K49">
        <v>0.52329999999999999</v>
      </c>
      <c r="L49">
        <v>5.43</v>
      </c>
      <c r="M49">
        <v>11.01</v>
      </c>
      <c r="N49">
        <v>3.48</v>
      </c>
      <c r="O49">
        <v>101.4833</v>
      </c>
      <c r="P49" t="s">
        <v>332</v>
      </c>
    </row>
    <row r="50" spans="1:16">
      <c r="A50">
        <v>46</v>
      </c>
      <c r="B50">
        <v>3.4</v>
      </c>
      <c r="C50">
        <v>5.67E-2</v>
      </c>
      <c r="D50">
        <v>12.1</v>
      </c>
      <c r="E50">
        <v>47.41</v>
      </c>
      <c r="F50">
        <v>6.5299999999999997E-2</v>
      </c>
      <c r="G50">
        <v>0.1217</v>
      </c>
      <c r="H50">
        <v>0.91930000000000001</v>
      </c>
      <c r="I50">
        <v>0.1245</v>
      </c>
      <c r="J50">
        <v>15.24</v>
      </c>
      <c r="K50">
        <v>0.54049999999999998</v>
      </c>
      <c r="L50">
        <v>5.59</v>
      </c>
      <c r="M50">
        <v>12.21</v>
      </c>
      <c r="N50">
        <v>3.58</v>
      </c>
      <c r="O50">
        <v>101.3579</v>
      </c>
      <c r="P50" t="s">
        <v>333</v>
      </c>
    </row>
    <row r="51" spans="1:16">
      <c r="A51">
        <v>47</v>
      </c>
      <c r="B51">
        <v>3.49</v>
      </c>
      <c r="C51">
        <v>3.7100000000000001E-2</v>
      </c>
      <c r="D51">
        <v>11.67</v>
      </c>
      <c r="E51">
        <v>47.42</v>
      </c>
      <c r="F51">
        <v>7.6100000000000001E-2</v>
      </c>
      <c r="G51">
        <v>6.8599999999999994E-2</v>
      </c>
      <c r="H51">
        <v>0.33110000000000001</v>
      </c>
      <c r="I51">
        <v>0.21110000000000001</v>
      </c>
      <c r="J51">
        <v>15.53</v>
      </c>
      <c r="K51">
        <v>0.45569999999999999</v>
      </c>
      <c r="L51">
        <v>5.62</v>
      </c>
      <c r="M51">
        <v>12.71</v>
      </c>
      <c r="N51">
        <v>3.49</v>
      </c>
      <c r="O51">
        <v>101.1096</v>
      </c>
      <c r="P51" t="s">
        <v>334</v>
      </c>
    </row>
    <row r="52" spans="1:16">
      <c r="A52">
        <v>48</v>
      </c>
      <c r="B52">
        <v>3.25</v>
      </c>
      <c r="C52">
        <v>6.8099999999999994E-2</v>
      </c>
      <c r="D52">
        <v>11.98</v>
      </c>
      <c r="E52">
        <v>47.27</v>
      </c>
      <c r="F52">
        <v>8.8099999999999998E-2</v>
      </c>
      <c r="G52">
        <v>0.1237</v>
      </c>
      <c r="H52">
        <v>1.1983999999999999</v>
      </c>
      <c r="I52">
        <v>0.20480000000000001</v>
      </c>
      <c r="J52">
        <v>15.24</v>
      </c>
      <c r="K52">
        <v>0.49399999999999999</v>
      </c>
      <c r="L52">
        <v>5.78</v>
      </c>
      <c r="M52">
        <v>12.43</v>
      </c>
      <c r="N52">
        <v>3.5</v>
      </c>
      <c r="O52">
        <v>101.627</v>
      </c>
      <c r="P52" t="s">
        <v>335</v>
      </c>
    </row>
    <row r="53" spans="1:16">
      <c r="A53">
        <v>49</v>
      </c>
      <c r="B53">
        <v>0.40329999999999999</v>
      </c>
      <c r="C53">
        <v>3.2000000000000001E-2</v>
      </c>
      <c r="D53">
        <v>7.38</v>
      </c>
      <c r="E53">
        <v>48.11</v>
      </c>
      <c r="F53">
        <v>2.2000000000000001E-3</v>
      </c>
      <c r="G53">
        <v>5.28E-2</v>
      </c>
      <c r="H53">
        <v>1.1000000000000001E-3</v>
      </c>
      <c r="I53">
        <v>0.15409999999999999</v>
      </c>
      <c r="J53">
        <v>6.4</v>
      </c>
      <c r="K53">
        <v>2.0999999999999999E-3</v>
      </c>
      <c r="L53">
        <v>13.83</v>
      </c>
      <c r="M53">
        <v>23.28</v>
      </c>
      <c r="N53">
        <v>2.34</v>
      </c>
      <c r="O53">
        <v>101.9875</v>
      </c>
      <c r="P53" t="s">
        <v>336</v>
      </c>
    </row>
    <row r="54" spans="1:16">
      <c r="A54">
        <v>50</v>
      </c>
      <c r="B54">
        <v>3.02</v>
      </c>
      <c r="C54">
        <v>2.29E-2</v>
      </c>
      <c r="D54">
        <v>11.96</v>
      </c>
      <c r="E54">
        <v>47.88</v>
      </c>
      <c r="F54">
        <v>6.9199999999999998E-2</v>
      </c>
      <c r="G54">
        <v>7.5899999999999995E-2</v>
      </c>
      <c r="H54">
        <v>1.1657</v>
      </c>
      <c r="I54">
        <v>0.20030000000000001</v>
      </c>
      <c r="J54">
        <v>15.43</v>
      </c>
      <c r="K54">
        <v>0.52610000000000001</v>
      </c>
      <c r="L54">
        <v>5.74</v>
      </c>
      <c r="M54">
        <v>12.69</v>
      </c>
      <c r="N54">
        <v>3.5</v>
      </c>
      <c r="O54">
        <v>102.2801</v>
      </c>
      <c r="P54" t="s">
        <v>337</v>
      </c>
    </row>
    <row r="55" spans="1:16">
      <c r="A55">
        <v>51</v>
      </c>
      <c r="B55">
        <v>3.7</v>
      </c>
      <c r="C55">
        <v>5.4199999999999998E-2</v>
      </c>
      <c r="D55">
        <v>12.03</v>
      </c>
      <c r="E55">
        <v>47.55</v>
      </c>
      <c r="F55">
        <v>8.0199999999999994E-2</v>
      </c>
      <c r="G55">
        <v>0.09</v>
      </c>
      <c r="H55">
        <v>0.90780000000000005</v>
      </c>
      <c r="I55">
        <v>0.19170000000000001</v>
      </c>
      <c r="J55">
        <v>15.29</v>
      </c>
      <c r="K55">
        <v>0.48509999999999998</v>
      </c>
      <c r="L55">
        <v>5.56</v>
      </c>
      <c r="M55">
        <v>11.86</v>
      </c>
      <c r="N55">
        <v>3.5</v>
      </c>
      <c r="O55">
        <v>101.29900000000001</v>
      </c>
      <c r="P55" t="s">
        <v>338</v>
      </c>
    </row>
    <row r="56" spans="1:16">
      <c r="A56">
        <v>52</v>
      </c>
      <c r="B56">
        <v>3.72</v>
      </c>
      <c r="C56">
        <v>3.8699999999999998E-2</v>
      </c>
      <c r="D56">
        <v>11.34</v>
      </c>
      <c r="E56">
        <v>48.06</v>
      </c>
      <c r="F56">
        <v>6.5699999999999995E-2</v>
      </c>
      <c r="G56">
        <v>0.1074</v>
      </c>
      <c r="H56">
        <v>0.73329999999999995</v>
      </c>
      <c r="I56">
        <v>0.14699999999999999</v>
      </c>
      <c r="J56">
        <v>15.46</v>
      </c>
      <c r="K56">
        <v>0.50119999999999998</v>
      </c>
      <c r="L56">
        <v>5.64</v>
      </c>
      <c r="M56">
        <v>12.28</v>
      </c>
      <c r="N56">
        <v>3.56</v>
      </c>
      <c r="O56">
        <v>101.6532</v>
      </c>
      <c r="P56" t="s">
        <v>339</v>
      </c>
    </row>
    <row r="57" spans="1:16">
      <c r="A57">
        <v>53</v>
      </c>
      <c r="B57">
        <v>3.87</v>
      </c>
      <c r="C57">
        <v>5.9900000000000002E-2</v>
      </c>
      <c r="D57">
        <v>10.66</v>
      </c>
      <c r="E57">
        <v>48.1</v>
      </c>
      <c r="F57">
        <v>7.7399999999999997E-2</v>
      </c>
      <c r="G57">
        <v>3.95E-2</v>
      </c>
      <c r="H57">
        <v>1.29</v>
      </c>
      <c r="I57">
        <v>0.1643</v>
      </c>
      <c r="J57">
        <v>15.67</v>
      </c>
      <c r="K57">
        <v>0.5988</v>
      </c>
      <c r="L57">
        <v>5.5</v>
      </c>
      <c r="M57">
        <v>11.63</v>
      </c>
      <c r="N57">
        <v>3.63</v>
      </c>
      <c r="O57">
        <v>101.2898</v>
      </c>
      <c r="P57" t="s">
        <v>340</v>
      </c>
    </row>
    <row r="58" spans="1:16">
      <c r="A58">
        <v>54</v>
      </c>
      <c r="B58">
        <v>2.8</v>
      </c>
      <c r="C58">
        <v>4.6699999999999998E-2</v>
      </c>
      <c r="D58">
        <v>13.65</v>
      </c>
      <c r="E58">
        <v>51.5</v>
      </c>
      <c r="F58">
        <v>2.01E-2</v>
      </c>
      <c r="G58">
        <v>4.5900000000000003E-2</v>
      </c>
      <c r="H58">
        <v>0.81679999999999997</v>
      </c>
      <c r="I58">
        <v>0.20749999999999999</v>
      </c>
      <c r="J58">
        <v>12.46</v>
      </c>
      <c r="K58">
        <v>0.4254</v>
      </c>
      <c r="L58">
        <v>5.25</v>
      </c>
      <c r="M58">
        <v>9.3800000000000008</v>
      </c>
      <c r="N58">
        <v>4.08</v>
      </c>
      <c r="O58">
        <v>100.6824</v>
      </c>
      <c r="P58" t="s">
        <v>292</v>
      </c>
    </row>
    <row r="59" spans="1:16">
      <c r="A59">
        <v>55</v>
      </c>
      <c r="B59">
        <v>2.56</v>
      </c>
      <c r="C59">
        <v>1.5800000000000002E-2</v>
      </c>
      <c r="D59">
        <v>13.44</v>
      </c>
      <c r="E59">
        <v>51.4</v>
      </c>
      <c r="F59">
        <v>1.8100000000000002E-2</v>
      </c>
      <c r="G59">
        <v>7.4899999999999994E-2</v>
      </c>
      <c r="H59">
        <v>0.81499999999999995</v>
      </c>
      <c r="I59">
        <v>0.16289999999999999</v>
      </c>
      <c r="J59">
        <v>12.51</v>
      </c>
      <c r="K59">
        <v>0.38450000000000001</v>
      </c>
      <c r="L59">
        <v>5.18</v>
      </c>
      <c r="M59">
        <v>9.3699999999999992</v>
      </c>
      <c r="N59">
        <v>4.08</v>
      </c>
      <c r="O59">
        <v>100.0112</v>
      </c>
      <c r="P59" t="s">
        <v>292</v>
      </c>
    </row>
    <row r="60" spans="1:16">
      <c r="A60">
        <v>56</v>
      </c>
      <c r="B60">
        <v>2.78</v>
      </c>
      <c r="C60">
        <v>0.36209999999999998</v>
      </c>
      <c r="D60">
        <v>11.82</v>
      </c>
      <c r="E60">
        <v>51.2</v>
      </c>
      <c r="F60">
        <v>3.4500000000000003E-2</v>
      </c>
      <c r="G60">
        <v>1.47E-2</v>
      </c>
      <c r="H60">
        <v>0.19450000000000001</v>
      </c>
      <c r="I60">
        <v>0.19589999999999999</v>
      </c>
      <c r="J60">
        <v>13.96</v>
      </c>
      <c r="K60">
        <v>0.17130000000000001</v>
      </c>
      <c r="L60">
        <v>7.1</v>
      </c>
      <c r="M60">
        <v>11.28</v>
      </c>
      <c r="N60">
        <v>1.86</v>
      </c>
      <c r="O60">
        <v>100.973</v>
      </c>
      <c r="P60" t="s">
        <v>293</v>
      </c>
    </row>
    <row r="61" spans="1:16">
      <c r="A61">
        <v>57</v>
      </c>
      <c r="B61">
        <v>2.79</v>
      </c>
      <c r="C61">
        <v>0.37130000000000002</v>
      </c>
      <c r="D61">
        <v>11.69</v>
      </c>
      <c r="E61">
        <v>51.45</v>
      </c>
      <c r="F61">
        <v>3.0300000000000001E-2</v>
      </c>
      <c r="G61">
        <v>2.4899999999999999E-2</v>
      </c>
      <c r="H61">
        <v>0.19070000000000001</v>
      </c>
      <c r="I61">
        <v>0.25800000000000001</v>
      </c>
      <c r="J61">
        <v>14.07</v>
      </c>
      <c r="K61">
        <v>0.2114</v>
      </c>
      <c r="L61">
        <v>7.21</v>
      </c>
      <c r="M61">
        <v>11.36</v>
      </c>
      <c r="N61">
        <v>1.87</v>
      </c>
      <c r="O61">
        <v>101.5266</v>
      </c>
      <c r="P61" t="s">
        <v>293</v>
      </c>
    </row>
    <row r="62" spans="1:16">
      <c r="A62">
        <v>58</v>
      </c>
      <c r="B62">
        <v>6.3</v>
      </c>
      <c r="C62">
        <v>2.53E-2</v>
      </c>
      <c r="D62">
        <v>7.44</v>
      </c>
      <c r="E62">
        <v>71.150000000000006</v>
      </c>
      <c r="F62">
        <v>0.39250000000000002</v>
      </c>
      <c r="G62">
        <v>0.51419999999999999</v>
      </c>
      <c r="H62">
        <v>4.29</v>
      </c>
      <c r="I62">
        <v>0.20499999999999999</v>
      </c>
      <c r="J62">
        <v>8.82</v>
      </c>
      <c r="K62">
        <v>1.7500000000000002E-2</v>
      </c>
      <c r="L62">
        <v>3.7400000000000003E-2</v>
      </c>
      <c r="M62">
        <v>0.434</v>
      </c>
      <c r="N62">
        <v>0.32969999999999999</v>
      </c>
      <c r="O62">
        <v>99.955699999999993</v>
      </c>
      <c r="P62" t="s">
        <v>294</v>
      </c>
    </row>
    <row r="63" spans="1:16">
      <c r="A63">
        <v>59</v>
      </c>
      <c r="B63">
        <v>6.29</v>
      </c>
      <c r="C63">
        <v>3.3399999999999999E-2</v>
      </c>
      <c r="D63">
        <v>7.67</v>
      </c>
      <c r="E63">
        <v>71.16</v>
      </c>
      <c r="F63">
        <v>0.3861</v>
      </c>
      <c r="G63">
        <v>0.39250000000000002</v>
      </c>
      <c r="H63">
        <v>4.25</v>
      </c>
      <c r="I63">
        <v>0.18909999999999999</v>
      </c>
      <c r="J63">
        <v>8.81</v>
      </c>
      <c r="K63">
        <v>2.01E-2</v>
      </c>
      <c r="L63">
        <v>1.6799999999999999E-2</v>
      </c>
      <c r="M63">
        <v>0.4</v>
      </c>
      <c r="N63">
        <v>0.33050000000000002</v>
      </c>
      <c r="O63">
        <v>99.948599999999999</v>
      </c>
      <c r="P63" t="s">
        <v>294</v>
      </c>
    </row>
    <row r="64" spans="1:16">
      <c r="A64">
        <v>60</v>
      </c>
      <c r="B64">
        <v>5.13</v>
      </c>
      <c r="C64">
        <v>1.397</v>
      </c>
      <c r="D64">
        <v>0.11700000000000001</v>
      </c>
      <c r="E64">
        <v>50.97</v>
      </c>
      <c r="F64">
        <v>1.44</v>
      </c>
      <c r="G64">
        <v>0</v>
      </c>
      <c r="H64">
        <v>0.88580000000000003</v>
      </c>
      <c r="I64">
        <v>1.67E-2</v>
      </c>
      <c r="J64">
        <v>25.81</v>
      </c>
      <c r="K64">
        <v>0</v>
      </c>
      <c r="L64">
        <v>2.3E-2</v>
      </c>
      <c r="M64">
        <v>14.11</v>
      </c>
      <c r="N64">
        <v>0</v>
      </c>
      <c r="O64">
        <v>99.899600000000007</v>
      </c>
      <c r="P64" t="s">
        <v>295</v>
      </c>
    </row>
    <row r="65" spans="1:16">
      <c r="A65">
        <v>61</v>
      </c>
      <c r="B65">
        <v>5.36</v>
      </c>
      <c r="C65">
        <v>1.3286</v>
      </c>
      <c r="D65">
        <v>0.1918</v>
      </c>
      <c r="E65">
        <v>50.92</v>
      </c>
      <c r="F65">
        <v>1.45</v>
      </c>
      <c r="G65">
        <v>1.7399999999999999E-2</v>
      </c>
      <c r="H65">
        <v>0.86050000000000004</v>
      </c>
      <c r="I65">
        <v>4.0099999999999997E-2</v>
      </c>
      <c r="J65">
        <v>25.83</v>
      </c>
      <c r="K65">
        <v>5.7000000000000002E-3</v>
      </c>
      <c r="L65">
        <v>1.3899999999999999E-2</v>
      </c>
      <c r="M65">
        <v>14.09</v>
      </c>
      <c r="N65">
        <v>2.3999999999999998E-3</v>
      </c>
      <c r="O65">
        <v>100.1104</v>
      </c>
      <c r="P65" t="s">
        <v>295</v>
      </c>
    </row>
    <row r="66" spans="1:16">
      <c r="A66">
        <v>62</v>
      </c>
      <c r="B66">
        <v>4.9400000000000004</v>
      </c>
      <c r="C66">
        <v>1.9E-2</v>
      </c>
      <c r="D66">
        <v>9.91</v>
      </c>
      <c r="E66">
        <v>49.92</v>
      </c>
      <c r="F66">
        <v>6.7000000000000004E-2</v>
      </c>
      <c r="G66">
        <v>0.2399</v>
      </c>
      <c r="H66">
        <v>2.36</v>
      </c>
      <c r="I66">
        <v>0.2147</v>
      </c>
      <c r="J66">
        <v>17.8</v>
      </c>
      <c r="K66">
        <v>1.2408999999999999</v>
      </c>
      <c r="L66">
        <v>3.04</v>
      </c>
      <c r="M66">
        <v>8.31</v>
      </c>
      <c r="N66">
        <v>3</v>
      </c>
      <c r="O66">
        <v>101.06140000000001</v>
      </c>
      <c r="P66" t="s">
        <v>341</v>
      </c>
    </row>
    <row r="67" spans="1:16">
      <c r="A67">
        <v>63</v>
      </c>
      <c r="B67">
        <v>6.89</v>
      </c>
      <c r="C67">
        <v>1.6E-2</v>
      </c>
      <c r="D67">
        <v>10.86</v>
      </c>
      <c r="E67">
        <v>44.65</v>
      </c>
      <c r="F67">
        <v>8.0600000000000005E-2</v>
      </c>
      <c r="G67">
        <v>0.2702</v>
      </c>
      <c r="H67">
        <v>2.42</v>
      </c>
      <c r="I67">
        <v>0.15210000000000001</v>
      </c>
      <c r="J67">
        <v>16.09</v>
      </c>
      <c r="K67">
        <v>1.2283999999999999</v>
      </c>
      <c r="L67">
        <v>5.59</v>
      </c>
      <c r="M67">
        <v>10.07</v>
      </c>
      <c r="N67">
        <v>3.23</v>
      </c>
      <c r="O67">
        <v>101.5472</v>
      </c>
      <c r="P67" t="s">
        <v>342</v>
      </c>
    </row>
    <row r="68" spans="1:16">
      <c r="A68">
        <v>64</v>
      </c>
      <c r="B68">
        <v>5.0599999999999996</v>
      </c>
      <c r="C68">
        <v>3.5200000000000002E-2</v>
      </c>
      <c r="D68">
        <v>10.74</v>
      </c>
      <c r="E68">
        <v>49.18</v>
      </c>
      <c r="F68">
        <v>1.77E-2</v>
      </c>
      <c r="G68">
        <v>0.27389999999999998</v>
      </c>
      <c r="H68">
        <v>2.44</v>
      </c>
      <c r="I68">
        <v>0.1363</v>
      </c>
      <c r="J68">
        <v>17.77</v>
      </c>
      <c r="K68">
        <v>1.2903</v>
      </c>
      <c r="L68">
        <v>3.1</v>
      </c>
      <c r="M68">
        <v>8.23</v>
      </c>
      <c r="N68">
        <v>2.99</v>
      </c>
      <c r="O68">
        <v>101.2634</v>
      </c>
      <c r="P68" t="s">
        <v>343</v>
      </c>
    </row>
    <row r="69" spans="1:16">
      <c r="A69">
        <v>65</v>
      </c>
      <c r="B69">
        <v>8.61</v>
      </c>
      <c r="C69">
        <v>4.4499999999999998E-2</v>
      </c>
      <c r="D69">
        <v>9.48</v>
      </c>
      <c r="E69">
        <v>45.59</v>
      </c>
      <c r="F69">
        <v>3.0200000000000001E-2</v>
      </c>
      <c r="G69">
        <v>0.1079</v>
      </c>
      <c r="H69">
        <v>1.32</v>
      </c>
      <c r="I69">
        <v>0.24340000000000001</v>
      </c>
      <c r="J69">
        <v>16.62</v>
      </c>
      <c r="K69">
        <v>1.1394</v>
      </c>
      <c r="L69">
        <v>5.16</v>
      </c>
      <c r="M69">
        <v>10.82</v>
      </c>
      <c r="N69">
        <v>3.31</v>
      </c>
      <c r="O69">
        <v>102.4753</v>
      </c>
      <c r="P69" t="s">
        <v>344</v>
      </c>
    </row>
    <row r="70" spans="1:16">
      <c r="A70">
        <v>66</v>
      </c>
      <c r="B70">
        <v>5.14</v>
      </c>
      <c r="C70">
        <v>0</v>
      </c>
      <c r="D70">
        <v>10.119999999999999</v>
      </c>
      <c r="E70">
        <v>48.43</v>
      </c>
      <c r="F70">
        <v>6.6799999999999998E-2</v>
      </c>
      <c r="G70">
        <v>0.1663</v>
      </c>
      <c r="H70">
        <v>1.99</v>
      </c>
      <c r="I70">
        <v>0.1646</v>
      </c>
      <c r="J70">
        <v>17.649999999999999</v>
      </c>
      <c r="K70">
        <v>1.2816000000000001</v>
      </c>
      <c r="L70">
        <v>3.42</v>
      </c>
      <c r="M70">
        <v>8.74</v>
      </c>
      <c r="N70">
        <v>3.18</v>
      </c>
      <c r="O70">
        <v>100.3492</v>
      </c>
      <c r="P70" t="s">
        <v>345</v>
      </c>
    </row>
    <row r="71" spans="1:16">
      <c r="A71">
        <v>67</v>
      </c>
      <c r="B71">
        <v>5.3</v>
      </c>
      <c r="C71">
        <v>3.8999999999999998E-3</v>
      </c>
      <c r="D71">
        <v>10.76</v>
      </c>
      <c r="E71">
        <v>47.99</v>
      </c>
      <c r="F71">
        <v>0.22270000000000001</v>
      </c>
      <c r="G71">
        <v>0.28170000000000001</v>
      </c>
      <c r="H71">
        <v>2.69</v>
      </c>
      <c r="I71">
        <v>0.17100000000000001</v>
      </c>
      <c r="J71">
        <v>16.940000000000001</v>
      </c>
      <c r="K71">
        <v>1.2234</v>
      </c>
      <c r="L71">
        <v>4.0999999999999996</v>
      </c>
      <c r="M71">
        <v>8</v>
      </c>
      <c r="N71">
        <v>3.24</v>
      </c>
      <c r="O71">
        <v>100.9226</v>
      </c>
      <c r="P71" t="s">
        <v>346</v>
      </c>
    </row>
    <row r="72" spans="1:16">
      <c r="A72">
        <v>68</v>
      </c>
      <c r="B72">
        <v>5.76</v>
      </c>
      <c r="C72">
        <v>1.49E-2</v>
      </c>
      <c r="D72">
        <v>9.93</v>
      </c>
      <c r="E72">
        <v>48.45</v>
      </c>
      <c r="F72">
        <v>4.1300000000000003E-2</v>
      </c>
      <c r="G72">
        <v>0.26919999999999999</v>
      </c>
      <c r="H72">
        <v>2.37</v>
      </c>
      <c r="I72">
        <v>0.18690000000000001</v>
      </c>
      <c r="J72">
        <v>17.850000000000001</v>
      </c>
      <c r="K72">
        <v>1.1543000000000001</v>
      </c>
      <c r="L72">
        <v>3.61</v>
      </c>
      <c r="M72">
        <v>8.7100000000000009</v>
      </c>
      <c r="N72">
        <v>3.02</v>
      </c>
      <c r="O72">
        <v>101.3665</v>
      </c>
      <c r="P72" t="s">
        <v>347</v>
      </c>
    </row>
    <row r="73" spans="1:16">
      <c r="A73">
        <v>69</v>
      </c>
      <c r="B73">
        <v>5.15</v>
      </c>
      <c r="C73">
        <v>2.3599999999999999E-2</v>
      </c>
      <c r="D73">
        <v>10.039999999999999</v>
      </c>
      <c r="E73">
        <v>49.44</v>
      </c>
      <c r="F73">
        <v>1.72E-2</v>
      </c>
      <c r="G73">
        <v>0.28610000000000002</v>
      </c>
      <c r="H73">
        <v>2.4900000000000002</v>
      </c>
      <c r="I73">
        <v>0.151</v>
      </c>
      <c r="J73">
        <v>18.22</v>
      </c>
      <c r="K73">
        <v>1.3786</v>
      </c>
      <c r="L73">
        <v>3.35</v>
      </c>
      <c r="M73">
        <v>8.16</v>
      </c>
      <c r="N73">
        <v>3.1</v>
      </c>
      <c r="O73">
        <v>101.8064</v>
      </c>
      <c r="P73" t="s">
        <v>348</v>
      </c>
    </row>
    <row r="74" spans="1:16">
      <c r="A74">
        <v>70</v>
      </c>
      <c r="B74">
        <v>6.16</v>
      </c>
      <c r="C74">
        <v>2.5600000000000001E-2</v>
      </c>
      <c r="D74">
        <v>9.31</v>
      </c>
      <c r="E74">
        <v>46.65</v>
      </c>
      <c r="F74">
        <v>0.69510000000000005</v>
      </c>
      <c r="G74">
        <v>0.20849999999999999</v>
      </c>
      <c r="H74">
        <v>1.98</v>
      </c>
      <c r="I74">
        <v>0.14630000000000001</v>
      </c>
      <c r="J74">
        <v>16.93</v>
      </c>
      <c r="K74">
        <v>1.1601999999999999</v>
      </c>
      <c r="L74">
        <v>4.6500000000000004</v>
      </c>
      <c r="M74">
        <v>10.38</v>
      </c>
      <c r="N74">
        <v>2.96</v>
      </c>
      <c r="O74">
        <v>101.2556</v>
      </c>
      <c r="P74" t="s">
        <v>349</v>
      </c>
    </row>
    <row r="75" spans="1:16">
      <c r="A75">
        <v>71</v>
      </c>
      <c r="B75">
        <v>3.68</v>
      </c>
      <c r="C75">
        <v>3.2300000000000002E-2</v>
      </c>
      <c r="D75">
        <v>13.16</v>
      </c>
      <c r="E75">
        <v>45.52</v>
      </c>
      <c r="F75">
        <v>0.14749999999999999</v>
      </c>
      <c r="G75">
        <v>0.1139</v>
      </c>
      <c r="H75">
        <v>1.88</v>
      </c>
      <c r="I75">
        <v>0.2351</v>
      </c>
      <c r="J75">
        <v>15.32</v>
      </c>
      <c r="K75">
        <v>0.68659999999999999</v>
      </c>
      <c r="L75">
        <v>5.28</v>
      </c>
      <c r="M75">
        <v>11.83</v>
      </c>
      <c r="N75">
        <v>3.36</v>
      </c>
      <c r="O75">
        <v>101.2453</v>
      </c>
      <c r="P75" t="s">
        <v>350</v>
      </c>
    </row>
    <row r="76" spans="1:16">
      <c r="A76">
        <v>72</v>
      </c>
      <c r="B76">
        <v>3.74</v>
      </c>
      <c r="C76">
        <v>3.9100000000000003E-2</v>
      </c>
      <c r="D76">
        <v>13.39</v>
      </c>
      <c r="E76">
        <v>45.76</v>
      </c>
      <c r="F76">
        <v>0.16450000000000001</v>
      </c>
      <c r="G76">
        <v>0.1163</v>
      </c>
      <c r="H76">
        <v>1.88</v>
      </c>
      <c r="I76">
        <v>0.17130000000000001</v>
      </c>
      <c r="J76">
        <v>15.71</v>
      </c>
      <c r="K76">
        <v>0.67090000000000005</v>
      </c>
      <c r="L76">
        <v>5.18</v>
      </c>
      <c r="M76">
        <v>11.9</v>
      </c>
      <c r="N76">
        <v>3.38</v>
      </c>
      <c r="O76">
        <v>102.102</v>
      </c>
      <c r="P76" t="s">
        <v>351</v>
      </c>
    </row>
    <row r="77" spans="1:16">
      <c r="A77">
        <v>73</v>
      </c>
      <c r="B77">
        <v>4.1100000000000003</v>
      </c>
      <c r="C77">
        <v>2.5999999999999999E-2</v>
      </c>
      <c r="D77">
        <v>13.26</v>
      </c>
      <c r="E77">
        <v>45.35</v>
      </c>
      <c r="F77">
        <v>0.15909999999999999</v>
      </c>
      <c r="G77">
        <v>5.3800000000000001E-2</v>
      </c>
      <c r="H77">
        <v>1.77</v>
      </c>
      <c r="I77">
        <v>0.21060000000000001</v>
      </c>
      <c r="J77">
        <v>15.81</v>
      </c>
      <c r="K77">
        <v>0.76939999999999997</v>
      </c>
      <c r="L77">
        <v>5.08</v>
      </c>
      <c r="M77">
        <v>11.96</v>
      </c>
      <c r="N77">
        <v>3.26</v>
      </c>
      <c r="O77">
        <v>101.8188</v>
      </c>
      <c r="P77" t="s">
        <v>352</v>
      </c>
    </row>
    <row r="78" spans="1:16">
      <c r="A78">
        <v>74</v>
      </c>
      <c r="B78">
        <v>3.63</v>
      </c>
      <c r="C78">
        <v>5.2900000000000003E-2</v>
      </c>
      <c r="D78">
        <v>13.46</v>
      </c>
      <c r="E78">
        <v>45.33</v>
      </c>
      <c r="F78">
        <v>0.1643</v>
      </c>
      <c r="G78">
        <v>8.14E-2</v>
      </c>
      <c r="H78">
        <v>1.76</v>
      </c>
      <c r="I78">
        <v>0.17530000000000001</v>
      </c>
      <c r="J78">
        <v>15.3</v>
      </c>
      <c r="K78">
        <v>0.75749999999999995</v>
      </c>
      <c r="L78">
        <v>5.14</v>
      </c>
      <c r="M78">
        <v>11.49</v>
      </c>
      <c r="N78">
        <v>3.38</v>
      </c>
      <c r="O78">
        <v>100.7213</v>
      </c>
      <c r="P78" t="s">
        <v>353</v>
      </c>
    </row>
    <row r="79" spans="1:16">
      <c r="A79">
        <v>75</v>
      </c>
      <c r="B79">
        <v>3.61</v>
      </c>
      <c r="C79">
        <v>4.5600000000000002E-2</v>
      </c>
      <c r="D79">
        <v>13.03</v>
      </c>
      <c r="E79">
        <v>45.41</v>
      </c>
      <c r="F79">
        <v>0.14799999999999999</v>
      </c>
      <c r="G79">
        <v>7.8399999999999997E-2</v>
      </c>
      <c r="H79">
        <v>1.8</v>
      </c>
      <c r="I79">
        <v>0.17280000000000001</v>
      </c>
      <c r="J79">
        <v>15.42</v>
      </c>
      <c r="K79">
        <v>0.73180000000000001</v>
      </c>
      <c r="L79">
        <v>5.13</v>
      </c>
      <c r="M79">
        <v>11.63</v>
      </c>
      <c r="N79">
        <v>3.34</v>
      </c>
      <c r="O79">
        <v>100.54649999999999</v>
      </c>
      <c r="P79" t="s">
        <v>354</v>
      </c>
    </row>
    <row r="80" spans="1:16">
      <c r="A80">
        <v>76</v>
      </c>
      <c r="B80">
        <v>3.57</v>
      </c>
      <c r="C80">
        <v>4.0599999999999997E-2</v>
      </c>
      <c r="D80">
        <v>12.55</v>
      </c>
      <c r="E80">
        <v>45.17</v>
      </c>
      <c r="F80">
        <v>0.12920000000000001</v>
      </c>
      <c r="G80">
        <v>4.5900000000000003E-2</v>
      </c>
      <c r="H80">
        <v>1.75</v>
      </c>
      <c r="I80">
        <v>0.22520000000000001</v>
      </c>
      <c r="J80">
        <v>15.38</v>
      </c>
      <c r="K80">
        <v>0.80910000000000004</v>
      </c>
      <c r="L80">
        <v>5.09</v>
      </c>
      <c r="M80">
        <v>12.31</v>
      </c>
      <c r="N80">
        <v>3.37</v>
      </c>
      <c r="O80">
        <v>100.43989999999999</v>
      </c>
      <c r="P80" t="s">
        <v>355</v>
      </c>
    </row>
    <row r="81" spans="1:16">
      <c r="A81">
        <v>77</v>
      </c>
      <c r="B81">
        <v>3.5</v>
      </c>
      <c r="C81">
        <v>3.2300000000000002E-2</v>
      </c>
      <c r="D81">
        <v>13.51</v>
      </c>
      <c r="E81">
        <v>45.37</v>
      </c>
      <c r="F81">
        <v>0.1497</v>
      </c>
      <c r="G81">
        <v>4.4400000000000002E-2</v>
      </c>
      <c r="H81">
        <v>1.67</v>
      </c>
      <c r="I81">
        <v>0.23669999999999999</v>
      </c>
      <c r="J81">
        <v>15.46</v>
      </c>
      <c r="K81">
        <v>0.71609999999999996</v>
      </c>
      <c r="L81">
        <v>5.26</v>
      </c>
      <c r="M81">
        <v>11.83</v>
      </c>
      <c r="N81">
        <v>3.41</v>
      </c>
      <c r="O81">
        <v>101.1892</v>
      </c>
      <c r="P81" t="s">
        <v>356</v>
      </c>
    </row>
    <row r="82" spans="1:16">
      <c r="A82">
        <v>78</v>
      </c>
      <c r="B82">
        <v>3.61</v>
      </c>
      <c r="C82">
        <v>2.76E-2</v>
      </c>
      <c r="D82">
        <v>12.97</v>
      </c>
      <c r="E82">
        <v>45.72</v>
      </c>
      <c r="F82">
        <v>0.15890000000000001</v>
      </c>
      <c r="G82">
        <v>6.6600000000000006E-2</v>
      </c>
      <c r="H82">
        <v>1.69</v>
      </c>
      <c r="I82">
        <v>0.21160000000000001</v>
      </c>
      <c r="J82">
        <v>15.61</v>
      </c>
      <c r="K82">
        <v>0.66959999999999997</v>
      </c>
      <c r="L82">
        <v>5.29</v>
      </c>
      <c r="M82">
        <v>12.05</v>
      </c>
      <c r="N82">
        <v>3.29</v>
      </c>
      <c r="O82">
        <v>101.3643</v>
      </c>
      <c r="P82" t="s">
        <v>357</v>
      </c>
    </row>
    <row r="83" spans="1:16">
      <c r="A83">
        <v>79</v>
      </c>
      <c r="B83">
        <v>3.54</v>
      </c>
      <c r="C83">
        <v>3.3000000000000002E-2</v>
      </c>
      <c r="D83">
        <v>14.03</v>
      </c>
      <c r="E83">
        <v>45.26</v>
      </c>
      <c r="F83">
        <v>0.16059999999999999</v>
      </c>
      <c r="G83">
        <v>1.11E-2</v>
      </c>
      <c r="H83">
        <v>1.71</v>
      </c>
      <c r="I83">
        <v>0.26390000000000002</v>
      </c>
      <c r="J83">
        <v>15.35</v>
      </c>
      <c r="K83">
        <v>0.66720000000000002</v>
      </c>
      <c r="L83">
        <v>4.84</v>
      </c>
      <c r="M83">
        <v>11.3</v>
      </c>
      <c r="N83">
        <v>3.35</v>
      </c>
      <c r="O83">
        <v>100.5157</v>
      </c>
      <c r="P83" t="s">
        <v>358</v>
      </c>
    </row>
    <row r="84" spans="1:16">
      <c r="A84">
        <v>80</v>
      </c>
      <c r="B84">
        <v>3.9</v>
      </c>
      <c r="C84">
        <v>4.8500000000000001E-2</v>
      </c>
      <c r="D84">
        <v>13.08</v>
      </c>
      <c r="E84">
        <v>45.34</v>
      </c>
      <c r="F84">
        <v>0.1258</v>
      </c>
      <c r="G84">
        <v>0</v>
      </c>
      <c r="H84">
        <v>1.82</v>
      </c>
      <c r="I84">
        <v>0.22109999999999999</v>
      </c>
      <c r="J84">
        <v>15.38</v>
      </c>
      <c r="K84">
        <v>0.72599999999999998</v>
      </c>
      <c r="L84">
        <v>5.16</v>
      </c>
      <c r="M84">
        <v>11.76</v>
      </c>
      <c r="N84">
        <v>3.32</v>
      </c>
      <c r="O84">
        <v>100.8813</v>
      </c>
      <c r="P84" t="s">
        <v>359</v>
      </c>
    </row>
    <row r="85" spans="1:16">
      <c r="A85">
        <v>81</v>
      </c>
      <c r="B85">
        <v>3.7</v>
      </c>
      <c r="C85">
        <v>4.4299999999999999E-2</v>
      </c>
      <c r="D85">
        <v>13</v>
      </c>
      <c r="E85">
        <v>45.44</v>
      </c>
      <c r="F85">
        <v>0.15359999999999999</v>
      </c>
      <c r="G85">
        <v>2.7699999999999999E-2</v>
      </c>
      <c r="H85">
        <v>1.9</v>
      </c>
      <c r="I85">
        <v>0.2505</v>
      </c>
      <c r="J85">
        <v>15.36</v>
      </c>
      <c r="K85">
        <v>0.68930000000000002</v>
      </c>
      <c r="L85">
        <v>5.0999999999999996</v>
      </c>
      <c r="M85">
        <v>11.43</v>
      </c>
      <c r="N85">
        <v>3.32</v>
      </c>
      <c r="O85">
        <v>100.4153</v>
      </c>
      <c r="P85" t="s">
        <v>360</v>
      </c>
    </row>
    <row r="86" spans="1:16">
      <c r="A86">
        <v>82</v>
      </c>
      <c r="B86">
        <v>3.65</v>
      </c>
      <c r="C86">
        <v>3.0700000000000002E-2</v>
      </c>
      <c r="D86">
        <v>13.18</v>
      </c>
      <c r="E86">
        <v>45.04</v>
      </c>
      <c r="F86">
        <v>4.9500000000000002E-2</v>
      </c>
      <c r="G86">
        <v>7.4499999999999997E-2</v>
      </c>
      <c r="H86">
        <v>1.72</v>
      </c>
      <c r="I86">
        <v>0.18640000000000001</v>
      </c>
      <c r="J86">
        <v>15.23</v>
      </c>
      <c r="K86">
        <v>0.75439999999999996</v>
      </c>
      <c r="L86">
        <v>5.32</v>
      </c>
      <c r="M86">
        <v>12.04</v>
      </c>
      <c r="N86">
        <v>3.22</v>
      </c>
      <c r="O86">
        <v>100.49550000000001</v>
      </c>
      <c r="P86" t="s">
        <v>361</v>
      </c>
    </row>
    <row r="87" spans="1:16">
      <c r="A87">
        <v>83</v>
      </c>
      <c r="B87">
        <v>4.03</v>
      </c>
      <c r="C87">
        <v>4.8399999999999999E-2</v>
      </c>
      <c r="D87">
        <v>13.67</v>
      </c>
      <c r="E87">
        <v>45.05</v>
      </c>
      <c r="F87">
        <v>0.14729999999999999</v>
      </c>
      <c r="G87">
        <v>5.8200000000000002E-2</v>
      </c>
      <c r="H87">
        <v>1.7</v>
      </c>
      <c r="I87">
        <v>0.2172</v>
      </c>
      <c r="J87">
        <v>15.79</v>
      </c>
      <c r="K87">
        <v>0.74460000000000004</v>
      </c>
      <c r="L87">
        <v>4.9400000000000004</v>
      </c>
      <c r="M87">
        <v>11.7</v>
      </c>
      <c r="N87">
        <v>3.31</v>
      </c>
      <c r="O87">
        <v>101.40560000000001</v>
      </c>
      <c r="P87" t="s">
        <v>362</v>
      </c>
    </row>
    <row r="88" spans="1:16">
      <c r="A88">
        <v>84</v>
      </c>
      <c r="B88">
        <v>3.9</v>
      </c>
      <c r="C88">
        <v>4.0899999999999999E-2</v>
      </c>
      <c r="D88">
        <v>13.97</v>
      </c>
      <c r="E88">
        <v>44.73</v>
      </c>
      <c r="F88">
        <v>0.1726</v>
      </c>
      <c r="G88">
        <v>0.153</v>
      </c>
      <c r="H88">
        <v>1.8</v>
      </c>
      <c r="I88">
        <v>0.25180000000000002</v>
      </c>
      <c r="J88">
        <v>15.46</v>
      </c>
      <c r="K88">
        <v>0.7339</v>
      </c>
      <c r="L88">
        <v>5.18</v>
      </c>
      <c r="M88">
        <v>11.33</v>
      </c>
      <c r="N88">
        <v>3.31</v>
      </c>
      <c r="O88">
        <v>101.0322</v>
      </c>
      <c r="P88" t="s">
        <v>363</v>
      </c>
    </row>
    <row r="89" spans="1:16">
      <c r="A89">
        <v>85</v>
      </c>
      <c r="B89">
        <v>3.86</v>
      </c>
      <c r="C89">
        <v>4.24E-2</v>
      </c>
      <c r="D89">
        <v>13.35</v>
      </c>
      <c r="E89">
        <v>45.63</v>
      </c>
      <c r="F89">
        <v>0.16969999999999999</v>
      </c>
      <c r="G89">
        <v>0.1186</v>
      </c>
      <c r="H89">
        <v>1.82</v>
      </c>
      <c r="I89">
        <v>0.2263</v>
      </c>
      <c r="J89">
        <v>15.62</v>
      </c>
      <c r="K89">
        <v>0.79859999999999998</v>
      </c>
      <c r="L89">
        <v>5.09</v>
      </c>
      <c r="M89">
        <v>11.46</v>
      </c>
      <c r="N89">
        <v>3.3</v>
      </c>
      <c r="O89">
        <v>101.4855</v>
      </c>
      <c r="P89" t="s">
        <v>364</v>
      </c>
    </row>
    <row r="90" spans="1:16">
      <c r="A90">
        <v>86</v>
      </c>
      <c r="B90">
        <v>3.71</v>
      </c>
      <c r="C90">
        <v>3.0499999999999999E-2</v>
      </c>
      <c r="D90">
        <v>13.89</v>
      </c>
      <c r="E90">
        <v>46.14</v>
      </c>
      <c r="F90">
        <v>0.15870000000000001</v>
      </c>
      <c r="G90">
        <v>0.18129999999999999</v>
      </c>
      <c r="H90">
        <v>1.85</v>
      </c>
      <c r="I90">
        <v>0.2475</v>
      </c>
      <c r="J90">
        <v>15.44</v>
      </c>
      <c r="K90">
        <v>0.72230000000000005</v>
      </c>
      <c r="L90">
        <v>4.9800000000000004</v>
      </c>
      <c r="M90">
        <v>11.56</v>
      </c>
      <c r="N90">
        <v>3.29</v>
      </c>
      <c r="O90">
        <v>102.2002</v>
      </c>
      <c r="P90" t="s">
        <v>365</v>
      </c>
    </row>
    <row r="91" spans="1:16">
      <c r="A91">
        <v>87</v>
      </c>
      <c r="B91">
        <v>3.86</v>
      </c>
      <c r="C91">
        <v>4.4900000000000002E-2</v>
      </c>
      <c r="D91">
        <v>13.66</v>
      </c>
      <c r="E91">
        <v>45.1</v>
      </c>
      <c r="F91">
        <v>0.17519999999999999</v>
      </c>
      <c r="G91">
        <v>7.8399999999999997E-2</v>
      </c>
      <c r="H91">
        <v>1.8</v>
      </c>
      <c r="I91">
        <v>0.26050000000000001</v>
      </c>
      <c r="J91">
        <v>15.46</v>
      </c>
      <c r="K91">
        <v>0.67090000000000005</v>
      </c>
      <c r="L91">
        <v>4.95</v>
      </c>
      <c r="M91">
        <v>11.59</v>
      </c>
      <c r="N91">
        <v>3.25</v>
      </c>
      <c r="O91">
        <v>100.8998</v>
      </c>
      <c r="P91" t="s">
        <v>366</v>
      </c>
    </row>
    <row r="92" spans="1:16">
      <c r="A92">
        <v>88</v>
      </c>
      <c r="B92">
        <v>3.71</v>
      </c>
      <c r="C92">
        <v>3.0099999999999998E-2</v>
      </c>
      <c r="D92">
        <v>13.43</v>
      </c>
      <c r="E92">
        <v>45.59</v>
      </c>
      <c r="F92">
        <v>0.16020000000000001</v>
      </c>
      <c r="G92">
        <v>0.1042</v>
      </c>
      <c r="H92">
        <v>1.79</v>
      </c>
      <c r="I92">
        <v>0.2762</v>
      </c>
      <c r="J92">
        <v>15.36</v>
      </c>
      <c r="K92">
        <v>0.70899999999999996</v>
      </c>
      <c r="L92">
        <v>5.04</v>
      </c>
      <c r="M92">
        <v>11.78</v>
      </c>
      <c r="N92">
        <v>3.39</v>
      </c>
      <c r="O92">
        <v>101.36960000000001</v>
      </c>
      <c r="P92" t="s">
        <v>367</v>
      </c>
    </row>
    <row r="93" spans="1:16">
      <c r="A93">
        <v>89</v>
      </c>
      <c r="B93">
        <v>3.86</v>
      </c>
      <c r="C93">
        <v>3.0099999999999998E-2</v>
      </c>
      <c r="D93">
        <v>13.63</v>
      </c>
      <c r="E93">
        <v>45.43</v>
      </c>
      <c r="F93">
        <v>0.1489</v>
      </c>
      <c r="G93">
        <v>5.67E-2</v>
      </c>
      <c r="H93">
        <v>1.8</v>
      </c>
      <c r="I93">
        <v>0.33179999999999998</v>
      </c>
      <c r="J93">
        <v>15.44</v>
      </c>
      <c r="K93">
        <v>0.6522</v>
      </c>
      <c r="L93">
        <v>5.15</v>
      </c>
      <c r="M93">
        <v>11.43</v>
      </c>
      <c r="N93">
        <v>3.32</v>
      </c>
      <c r="O93">
        <v>101.27970000000001</v>
      </c>
      <c r="P93" t="s">
        <v>350</v>
      </c>
    </row>
    <row r="94" spans="1:16">
      <c r="A94">
        <v>90</v>
      </c>
      <c r="B94">
        <v>3.56</v>
      </c>
      <c r="C94">
        <v>4.4200000000000003E-2</v>
      </c>
      <c r="D94">
        <v>14.16</v>
      </c>
      <c r="E94">
        <v>45.59</v>
      </c>
      <c r="F94">
        <v>0.1449</v>
      </c>
      <c r="G94">
        <v>0.1222</v>
      </c>
      <c r="H94">
        <v>1.89</v>
      </c>
      <c r="I94">
        <v>0.22270000000000001</v>
      </c>
      <c r="J94">
        <v>15.51</v>
      </c>
      <c r="K94">
        <v>0.71919999999999995</v>
      </c>
      <c r="L94">
        <v>4.9800000000000004</v>
      </c>
      <c r="M94">
        <v>11.26</v>
      </c>
      <c r="N94">
        <v>3.26</v>
      </c>
      <c r="O94">
        <v>101.4632</v>
      </c>
      <c r="P94" t="s">
        <v>351</v>
      </c>
    </row>
    <row r="95" spans="1:16">
      <c r="A95">
        <v>91</v>
      </c>
      <c r="B95">
        <v>3.81</v>
      </c>
      <c r="C95">
        <v>4.1599999999999998E-2</v>
      </c>
      <c r="D95">
        <v>12.77</v>
      </c>
      <c r="E95">
        <v>45.25</v>
      </c>
      <c r="F95">
        <v>0.13700000000000001</v>
      </c>
      <c r="G95">
        <v>0.1067</v>
      </c>
      <c r="H95">
        <v>1.69</v>
      </c>
      <c r="I95">
        <v>0.28949999999999998</v>
      </c>
      <c r="J95">
        <v>15.43</v>
      </c>
      <c r="K95">
        <v>0.80259999999999998</v>
      </c>
      <c r="L95">
        <v>5</v>
      </c>
      <c r="M95">
        <v>12.09</v>
      </c>
      <c r="N95">
        <v>3.28</v>
      </c>
      <c r="O95">
        <v>100.6973</v>
      </c>
      <c r="P95" t="s">
        <v>352</v>
      </c>
    </row>
    <row r="96" spans="1:16">
      <c r="A96">
        <v>92</v>
      </c>
      <c r="B96">
        <v>3.9</v>
      </c>
      <c r="C96">
        <v>2.6499999999999999E-2</v>
      </c>
      <c r="D96">
        <v>13.35</v>
      </c>
      <c r="E96">
        <v>45.04</v>
      </c>
      <c r="F96">
        <v>0.14349999999999999</v>
      </c>
      <c r="G96">
        <v>4.24E-2</v>
      </c>
      <c r="H96">
        <v>1.92</v>
      </c>
      <c r="I96">
        <v>0.2087</v>
      </c>
      <c r="J96">
        <v>15.29</v>
      </c>
      <c r="K96">
        <v>0.70660000000000001</v>
      </c>
      <c r="L96">
        <v>4.93</v>
      </c>
      <c r="M96">
        <v>11.21</v>
      </c>
      <c r="N96">
        <v>3.33</v>
      </c>
      <c r="O96">
        <v>100.0976</v>
      </c>
      <c r="P96" t="s">
        <v>353</v>
      </c>
    </row>
    <row r="97" spans="1:16">
      <c r="A97">
        <v>93</v>
      </c>
      <c r="B97">
        <v>3.92</v>
      </c>
      <c r="C97">
        <v>3.2599999999999997E-2</v>
      </c>
      <c r="D97">
        <v>12.51</v>
      </c>
      <c r="E97">
        <v>45.78</v>
      </c>
      <c r="F97">
        <v>0.1641</v>
      </c>
      <c r="G97">
        <v>6.3399999999999998E-2</v>
      </c>
      <c r="H97">
        <v>1.94</v>
      </c>
      <c r="I97">
        <v>0.24440000000000001</v>
      </c>
      <c r="J97">
        <v>15.25</v>
      </c>
      <c r="K97">
        <v>0.71599999999999997</v>
      </c>
      <c r="L97">
        <v>4.99</v>
      </c>
      <c r="M97">
        <v>11.51</v>
      </c>
      <c r="N97">
        <v>3.35</v>
      </c>
      <c r="O97">
        <v>100.4705</v>
      </c>
      <c r="P97" t="s">
        <v>354</v>
      </c>
    </row>
    <row r="98" spans="1:16">
      <c r="A98">
        <v>94</v>
      </c>
      <c r="B98">
        <v>3.8</v>
      </c>
      <c r="C98">
        <v>6.1800000000000001E-2</v>
      </c>
      <c r="D98">
        <v>13.94</v>
      </c>
      <c r="E98">
        <v>45.46</v>
      </c>
      <c r="F98">
        <v>0.16969999999999999</v>
      </c>
      <c r="G98">
        <v>3.3500000000000002E-2</v>
      </c>
      <c r="H98">
        <v>2.02</v>
      </c>
      <c r="I98">
        <v>0.27579999999999999</v>
      </c>
      <c r="J98">
        <v>15.49</v>
      </c>
      <c r="K98">
        <v>0.81089999999999995</v>
      </c>
      <c r="L98">
        <v>4.78</v>
      </c>
      <c r="M98">
        <v>10.59</v>
      </c>
      <c r="N98">
        <v>3.3</v>
      </c>
      <c r="O98">
        <v>100.7317</v>
      </c>
      <c r="P98" t="s">
        <v>355</v>
      </c>
    </row>
    <row r="99" spans="1:16">
      <c r="A99">
        <v>95</v>
      </c>
      <c r="B99">
        <v>3.56</v>
      </c>
      <c r="C99">
        <v>6.0999999999999999E-2</v>
      </c>
      <c r="D99">
        <v>13.55</v>
      </c>
      <c r="E99">
        <v>45.3</v>
      </c>
      <c r="F99">
        <v>0.1409</v>
      </c>
      <c r="G99">
        <v>3.5400000000000001E-2</v>
      </c>
      <c r="H99">
        <v>1.75</v>
      </c>
      <c r="I99">
        <v>0.29149999999999998</v>
      </c>
      <c r="J99">
        <v>15.37</v>
      </c>
      <c r="K99">
        <v>0.72450000000000003</v>
      </c>
      <c r="L99">
        <v>5.0199999999999996</v>
      </c>
      <c r="M99">
        <v>11.64</v>
      </c>
      <c r="N99">
        <v>3.3</v>
      </c>
      <c r="O99">
        <v>100.7432</v>
      </c>
      <c r="P99" t="s">
        <v>356</v>
      </c>
    </row>
    <row r="100" spans="1:16">
      <c r="A100">
        <v>96</v>
      </c>
      <c r="B100">
        <v>3.74</v>
      </c>
      <c r="C100">
        <v>5.5199999999999999E-2</v>
      </c>
      <c r="D100">
        <v>13.21</v>
      </c>
      <c r="E100">
        <v>44.45</v>
      </c>
      <c r="F100">
        <v>0.183</v>
      </c>
      <c r="G100">
        <v>0</v>
      </c>
      <c r="H100">
        <v>1.83</v>
      </c>
      <c r="I100">
        <v>0.16350000000000001</v>
      </c>
      <c r="J100">
        <v>14.58</v>
      </c>
      <c r="K100">
        <v>0.68879999999999997</v>
      </c>
      <c r="L100">
        <v>5.19</v>
      </c>
      <c r="M100">
        <v>11.23</v>
      </c>
      <c r="N100">
        <v>3.36</v>
      </c>
      <c r="O100">
        <v>98.680499999999995</v>
      </c>
      <c r="P100" t="s">
        <v>357</v>
      </c>
    </row>
    <row r="101" spans="1:16">
      <c r="A101">
        <v>97</v>
      </c>
      <c r="B101">
        <v>3.41</v>
      </c>
      <c r="C101">
        <v>5.8000000000000003E-2</v>
      </c>
      <c r="D101">
        <v>13.54</v>
      </c>
      <c r="E101">
        <v>44.84</v>
      </c>
      <c r="F101">
        <v>0.13669999999999999</v>
      </c>
      <c r="G101">
        <v>4.3799999999999999E-2</v>
      </c>
      <c r="H101">
        <v>1.76</v>
      </c>
      <c r="I101">
        <v>0.1875</v>
      </c>
      <c r="J101">
        <v>14.96</v>
      </c>
      <c r="K101">
        <v>0.68259999999999998</v>
      </c>
      <c r="L101">
        <v>5.17</v>
      </c>
      <c r="M101">
        <v>11.74</v>
      </c>
      <c r="N101">
        <v>3.34</v>
      </c>
      <c r="O101">
        <v>99.868600000000001</v>
      </c>
      <c r="P101" t="s">
        <v>358</v>
      </c>
    </row>
    <row r="102" spans="1:16">
      <c r="A102">
        <v>98</v>
      </c>
      <c r="B102">
        <v>2.72</v>
      </c>
      <c r="C102">
        <v>4.1799999999999997E-2</v>
      </c>
      <c r="D102">
        <v>13.24</v>
      </c>
      <c r="E102">
        <v>50.44</v>
      </c>
      <c r="F102">
        <v>2.12E-2</v>
      </c>
      <c r="G102">
        <v>7.9799999999999996E-2</v>
      </c>
      <c r="H102">
        <v>0.81610000000000005</v>
      </c>
      <c r="I102">
        <v>0.2041</v>
      </c>
      <c r="J102">
        <v>12.04</v>
      </c>
      <c r="K102">
        <v>0.36580000000000001</v>
      </c>
      <c r="L102">
        <v>5.19</v>
      </c>
      <c r="M102">
        <v>9.32</v>
      </c>
      <c r="N102">
        <v>4.04</v>
      </c>
      <c r="O102">
        <v>98.518900000000002</v>
      </c>
      <c r="P102" t="s">
        <v>292</v>
      </c>
    </row>
    <row r="103" spans="1:16">
      <c r="A103">
        <v>99</v>
      </c>
      <c r="B103">
        <v>2.92</v>
      </c>
      <c r="C103">
        <v>1.77E-2</v>
      </c>
      <c r="D103">
        <v>13.2</v>
      </c>
      <c r="E103">
        <v>50.47</v>
      </c>
      <c r="F103">
        <v>3.2300000000000002E-2</v>
      </c>
      <c r="G103">
        <v>0.08</v>
      </c>
      <c r="H103">
        <v>0.81110000000000004</v>
      </c>
      <c r="I103">
        <v>0.19670000000000001</v>
      </c>
      <c r="J103">
        <v>11.94</v>
      </c>
      <c r="K103">
        <v>0.44700000000000001</v>
      </c>
      <c r="L103">
        <v>5.19</v>
      </c>
      <c r="M103">
        <v>9.41</v>
      </c>
      <c r="N103">
        <v>4.1500000000000004</v>
      </c>
      <c r="O103">
        <v>98.864900000000006</v>
      </c>
      <c r="P103" t="s">
        <v>292</v>
      </c>
    </row>
    <row r="104" spans="1:16">
      <c r="A104">
        <v>100</v>
      </c>
      <c r="B104">
        <v>2.87</v>
      </c>
      <c r="C104">
        <v>0.35820000000000002</v>
      </c>
      <c r="D104">
        <v>11.93</v>
      </c>
      <c r="E104">
        <v>50.39</v>
      </c>
      <c r="F104">
        <v>2.18E-2</v>
      </c>
      <c r="G104">
        <v>1.0200000000000001E-2</v>
      </c>
      <c r="H104">
        <v>0.19170000000000001</v>
      </c>
      <c r="I104">
        <v>0.1893</v>
      </c>
      <c r="J104">
        <v>13.55</v>
      </c>
      <c r="K104">
        <v>0.22359999999999999</v>
      </c>
      <c r="L104">
        <v>7.17</v>
      </c>
      <c r="M104">
        <v>11.23</v>
      </c>
      <c r="N104">
        <v>1.87</v>
      </c>
      <c r="O104">
        <v>100.0048</v>
      </c>
      <c r="P104" t="s">
        <v>293</v>
      </c>
    </row>
    <row r="105" spans="1:16">
      <c r="A105">
        <v>101</v>
      </c>
      <c r="B105">
        <v>2.77</v>
      </c>
      <c r="C105">
        <v>0.34410000000000002</v>
      </c>
      <c r="D105">
        <v>11.95</v>
      </c>
      <c r="E105">
        <v>51.17</v>
      </c>
      <c r="F105">
        <v>3.1099999999999999E-2</v>
      </c>
      <c r="G105">
        <v>9.7000000000000003E-2</v>
      </c>
      <c r="H105">
        <v>0.20610000000000001</v>
      </c>
      <c r="I105">
        <v>0.15340000000000001</v>
      </c>
      <c r="J105">
        <v>13.98</v>
      </c>
      <c r="K105">
        <v>0.1933</v>
      </c>
      <c r="L105">
        <v>7.03</v>
      </c>
      <c r="M105">
        <v>11.24</v>
      </c>
      <c r="N105">
        <v>1.88</v>
      </c>
      <c r="O105">
        <v>101.0449</v>
      </c>
      <c r="P105" t="s">
        <v>293</v>
      </c>
    </row>
    <row r="106" spans="1:16">
      <c r="A106">
        <v>102</v>
      </c>
      <c r="B106">
        <v>6.44</v>
      </c>
      <c r="C106">
        <v>4.6300000000000001E-2</v>
      </c>
      <c r="D106">
        <v>7.92</v>
      </c>
      <c r="E106">
        <v>70.599999999999994</v>
      </c>
      <c r="F106">
        <v>0.39279999999999998</v>
      </c>
      <c r="G106">
        <v>0.36680000000000001</v>
      </c>
      <c r="H106">
        <v>4.2699999999999996</v>
      </c>
      <c r="I106">
        <v>0.18959999999999999</v>
      </c>
      <c r="J106">
        <v>8.75</v>
      </c>
      <c r="K106">
        <v>0</v>
      </c>
      <c r="L106">
        <v>2.1000000000000001E-2</v>
      </c>
      <c r="M106">
        <v>0.4249</v>
      </c>
      <c r="N106">
        <v>0.29389999999999999</v>
      </c>
      <c r="O106">
        <v>99.715299999999999</v>
      </c>
      <c r="P106" t="s">
        <v>294</v>
      </c>
    </row>
    <row r="107" spans="1:16">
      <c r="A107">
        <v>103</v>
      </c>
      <c r="B107">
        <v>6.25</v>
      </c>
      <c r="C107">
        <v>4.2500000000000003E-2</v>
      </c>
      <c r="D107">
        <v>7.63</v>
      </c>
      <c r="E107">
        <v>70.37</v>
      </c>
      <c r="F107">
        <v>0.37540000000000001</v>
      </c>
      <c r="G107">
        <v>0.43099999999999999</v>
      </c>
      <c r="H107">
        <v>4.29</v>
      </c>
      <c r="I107">
        <v>0.3291</v>
      </c>
      <c r="J107">
        <v>8.6999999999999993</v>
      </c>
      <c r="K107">
        <v>4.0000000000000002E-4</v>
      </c>
      <c r="L107">
        <v>1.6799999999999999E-2</v>
      </c>
      <c r="M107">
        <v>0.45169999999999999</v>
      </c>
      <c r="N107">
        <v>0.33929999999999999</v>
      </c>
      <c r="O107">
        <v>99.226200000000006</v>
      </c>
      <c r="P107" t="s">
        <v>294</v>
      </c>
    </row>
    <row r="108" spans="1:16">
      <c r="A108">
        <v>104</v>
      </c>
      <c r="B108">
        <v>5.2</v>
      </c>
      <c r="C108">
        <v>1.3888</v>
      </c>
      <c r="D108">
        <v>9.0800000000000006E-2</v>
      </c>
      <c r="E108">
        <v>50.72</v>
      </c>
      <c r="F108">
        <v>1.45</v>
      </c>
      <c r="G108">
        <v>0</v>
      </c>
      <c r="H108">
        <v>0.8669</v>
      </c>
      <c r="I108">
        <v>2.2700000000000001E-2</v>
      </c>
      <c r="J108">
        <v>25.53</v>
      </c>
      <c r="K108">
        <v>4.5699999999999998E-2</v>
      </c>
      <c r="L108">
        <v>0</v>
      </c>
      <c r="M108">
        <v>14.05</v>
      </c>
      <c r="N108">
        <v>2.3999999999999998E-3</v>
      </c>
      <c r="O108">
        <v>99.367400000000004</v>
      </c>
      <c r="P108" t="s">
        <v>295</v>
      </c>
    </row>
    <row r="109" spans="1:16">
      <c r="A109">
        <v>105</v>
      </c>
      <c r="B109">
        <v>5.1100000000000003</v>
      </c>
      <c r="C109">
        <v>1.2950999999999999</v>
      </c>
      <c r="D109">
        <v>0.1009</v>
      </c>
      <c r="E109">
        <v>50.75</v>
      </c>
      <c r="F109">
        <v>1.43</v>
      </c>
      <c r="G109">
        <v>1.52E-2</v>
      </c>
      <c r="H109">
        <v>0.84040000000000004</v>
      </c>
      <c r="I109">
        <v>5.3499999999999999E-2</v>
      </c>
      <c r="J109">
        <v>25.77</v>
      </c>
      <c r="K109">
        <v>1.6299999999999999E-2</v>
      </c>
      <c r="L109">
        <v>9.1000000000000004E-3</v>
      </c>
      <c r="M109">
        <v>14.05</v>
      </c>
      <c r="N109">
        <v>1.5800000000000002E-2</v>
      </c>
      <c r="O109">
        <v>99.456400000000002</v>
      </c>
      <c r="P109" t="s">
        <v>295</v>
      </c>
    </row>
    <row r="110" spans="1:16">
      <c r="A110" t="s">
        <v>0</v>
      </c>
    </row>
    <row r="111" spans="1:16">
      <c r="A111" t="s">
        <v>130</v>
      </c>
      <c r="B111">
        <v>0.40329999999999999</v>
      </c>
      <c r="C111">
        <v>0</v>
      </c>
      <c r="D111">
        <v>8.5199999999999998E-2</v>
      </c>
      <c r="E111">
        <v>43.89</v>
      </c>
      <c r="F111">
        <v>2.2000000000000001E-3</v>
      </c>
      <c r="G111">
        <v>0</v>
      </c>
      <c r="H111">
        <v>1.1000000000000001E-3</v>
      </c>
      <c r="I111">
        <v>5.8999999999999999E-3</v>
      </c>
      <c r="J111">
        <v>6.4</v>
      </c>
      <c r="K111">
        <v>0</v>
      </c>
      <c r="L111">
        <v>0</v>
      </c>
      <c r="M111">
        <v>0.39600000000000002</v>
      </c>
      <c r="N111">
        <v>0</v>
      </c>
      <c r="O111">
        <v>98.17</v>
      </c>
    </row>
    <row r="112" spans="1:16">
      <c r="A112" t="s">
        <v>131</v>
      </c>
      <c r="B112">
        <v>8.61</v>
      </c>
      <c r="C112">
        <v>2.1970999999999998</v>
      </c>
      <c r="D112">
        <v>15.38</v>
      </c>
      <c r="E112">
        <v>72.72</v>
      </c>
      <c r="F112">
        <v>1.45</v>
      </c>
      <c r="G112">
        <v>0.51470000000000005</v>
      </c>
      <c r="H112">
        <v>4.29</v>
      </c>
      <c r="I112">
        <v>0.33179999999999998</v>
      </c>
      <c r="J112">
        <v>25.88</v>
      </c>
      <c r="K112">
        <v>1.3786</v>
      </c>
      <c r="L112">
        <v>13.83</v>
      </c>
      <c r="M112">
        <v>23.28</v>
      </c>
      <c r="N112">
        <v>4.1500000000000004</v>
      </c>
      <c r="O112">
        <v>102.47539999999999</v>
      </c>
    </row>
    <row r="113" spans="1:15">
      <c r="A113" t="s">
        <v>132</v>
      </c>
      <c r="B113">
        <v>4.1326999999999998</v>
      </c>
      <c r="C113">
        <v>0.15790000000000001</v>
      </c>
      <c r="D113">
        <v>11.6441</v>
      </c>
      <c r="E113">
        <v>48.323300000000003</v>
      </c>
      <c r="F113">
        <v>0.20300000000000001</v>
      </c>
      <c r="G113">
        <v>0.13089999999999999</v>
      </c>
      <c r="H113">
        <v>1.6967000000000001</v>
      </c>
      <c r="I113">
        <v>0.20480000000000001</v>
      </c>
      <c r="J113">
        <v>15.271599999999999</v>
      </c>
      <c r="K113">
        <v>0.61770000000000003</v>
      </c>
      <c r="L113">
        <v>4.5776000000000003</v>
      </c>
      <c r="M113">
        <v>10.593999999999999</v>
      </c>
      <c r="N113">
        <v>3.0672000000000001</v>
      </c>
      <c r="O113">
        <v>100.6216</v>
      </c>
    </row>
    <row r="114" spans="1:15">
      <c r="A114" t="s">
        <v>133</v>
      </c>
      <c r="B114">
        <v>1.1731</v>
      </c>
      <c r="C114">
        <v>0.37130000000000002</v>
      </c>
      <c r="D114">
        <v>3.2989000000000002</v>
      </c>
      <c r="E114">
        <v>6.0513000000000003</v>
      </c>
      <c r="F114">
        <v>0.32150000000000001</v>
      </c>
      <c r="G114">
        <v>0.1071</v>
      </c>
      <c r="H114">
        <v>0.87360000000000004</v>
      </c>
      <c r="I114">
        <v>6.0299999999999999E-2</v>
      </c>
      <c r="J114">
        <v>3.2526999999999999</v>
      </c>
      <c r="K114">
        <v>0.33410000000000001</v>
      </c>
      <c r="L114">
        <v>1.9942</v>
      </c>
      <c r="M114">
        <v>3.0562999999999998</v>
      </c>
      <c r="N114">
        <v>1.1578999999999999</v>
      </c>
      <c r="O114">
        <v>0.86229999999999996</v>
      </c>
    </row>
    <row r="115" spans="1:15">
      <c r="A115" t="s">
        <v>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18A-2533-624E-B03E-F3B6A54F29E2}">
  <dimension ref="A2:A6384"/>
  <sheetViews>
    <sheetView topLeftCell="A28" workbookViewId="0">
      <selection sqref="A1:A6388"/>
    </sheetView>
  </sheetViews>
  <sheetFormatPr defaultColWidth="10.90625" defaultRowHeight="15"/>
  <sheetData>
    <row r="2" spans="1:1">
      <c r="A2" t="s">
        <v>369</v>
      </c>
    </row>
    <row r="7" spans="1:1">
      <c r="A7" t="s">
        <v>370</v>
      </c>
    </row>
    <row r="8" spans="1:1">
      <c r="A8" t="s">
        <v>371</v>
      </c>
    </row>
    <row r="9" spans="1:1">
      <c r="A9" t="s">
        <v>372</v>
      </c>
    </row>
    <row r="10" spans="1:1">
      <c r="A10" t="s">
        <v>373</v>
      </c>
    </row>
    <row r="11" spans="1:1">
      <c r="A11" t="s">
        <v>374</v>
      </c>
    </row>
    <row r="12" spans="1:1">
      <c r="A12" t="s">
        <v>375</v>
      </c>
    </row>
    <row r="13" spans="1:1">
      <c r="A13" t="s">
        <v>376</v>
      </c>
    </row>
    <row r="15" spans="1:1">
      <c r="A15" t="s">
        <v>377</v>
      </c>
    </row>
    <row r="16" spans="1:1">
      <c r="A16" t="s">
        <v>378</v>
      </c>
    </row>
    <row r="17" spans="1:1">
      <c r="A17" t="s">
        <v>379</v>
      </c>
    </row>
    <row r="18" spans="1:1">
      <c r="A18" t="s">
        <v>380</v>
      </c>
    </row>
    <row r="19" spans="1:1">
      <c r="A19" t="s">
        <v>381</v>
      </c>
    </row>
    <row r="20" spans="1:1">
      <c r="A20" t="s">
        <v>382</v>
      </c>
    </row>
    <row r="21" spans="1:1">
      <c r="A21" t="s">
        <v>383</v>
      </c>
    </row>
    <row r="22" spans="1:1">
      <c r="A22" t="s">
        <v>384</v>
      </c>
    </row>
    <row r="23" spans="1:1">
      <c r="A23" t="s">
        <v>385</v>
      </c>
    </row>
    <row r="24" spans="1:1">
      <c r="A24" t="s">
        <v>386</v>
      </c>
    </row>
    <row r="25" spans="1:1">
      <c r="A25" t="s">
        <v>387</v>
      </c>
    </row>
    <row r="26" spans="1:1">
      <c r="A26" t="s">
        <v>388</v>
      </c>
    </row>
    <row r="27" spans="1:1">
      <c r="A27" t="s">
        <v>389</v>
      </c>
    </row>
    <row r="28" spans="1:1">
      <c r="A28" t="s">
        <v>390</v>
      </c>
    </row>
    <row r="29" spans="1:1">
      <c r="A29" t="s">
        <v>391</v>
      </c>
    </row>
    <row r="32" spans="1:1">
      <c r="A32" t="s">
        <v>392</v>
      </c>
    </row>
    <row r="33" spans="1:1">
      <c r="A33" t="s">
        <v>393</v>
      </c>
    </row>
    <row r="34" spans="1:1">
      <c r="A34" t="s">
        <v>394</v>
      </c>
    </row>
    <row r="35" spans="1:1">
      <c r="A35" t="s">
        <v>395</v>
      </c>
    </row>
    <row r="36" spans="1:1">
      <c r="A36" t="s">
        <v>396</v>
      </c>
    </row>
    <row r="37" spans="1:1">
      <c r="A37" t="s">
        <v>397</v>
      </c>
    </row>
    <row r="38" spans="1:1">
      <c r="A38" t="s">
        <v>398</v>
      </c>
    </row>
    <row r="39" spans="1:1">
      <c r="A39" t="s">
        <v>399</v>
      </c>
    </row>
    <row r="40" spans="1:1">
      <c r="A40" t="s">
        <v>400</v>
      </c>
    </row>
    <row r="41" spans="1:1">
      <c r="A41" t="s">
        <v>401</v>
      </c>
    </row>
    <row r="42" spans="1:1">
      <c r="A42" t="s">
        <v>402</v>
      </c>
    </row>
    <row r="43" spans="1:1">
      <c r="A43" t="s">
        <v>403</v>
      </c>
    </row>
    <row r="44" spans="1:1">
      <c r="A44" t="s">
        <v>404</v>
      </c>
    </row>
    <row r="45" spans="1:1">
      <c r="A45" t="s">
        <v>405</v>
      </c>
    </row>
    <row r="47" spans="1:1">
      <c r="A47" t="s">
        <v>406</v>
      </c>
    </row>
    <row r="48" spans="1:1">
      <c r="A48" t="s">
        <v>407</v>
      </c>
    </row>
    <row r="49" spans="1:1">
      <c r="A49" t="s">
        <v>408</v>
      </c>
    </row>
    <row r="50" spans="1:1">
      <c r="A50" t="s">
        <v>409</v>
      </c>
    </row>
    <row r="51" spans="1:1">
      <c r="A51" t="s">
        <v>410</v>
      </c>
    </row>
    <row r="52" spans="1:1">
      <c r="A52" t="s">
        <v>411</v>
      </c>
    </row>
    <row r="53" spans="1:1">
      <c r="A53" t="s">
        <v>412</v>
      </c>
    </row>
    <row r="54" spans="1:1">
      <c r="A54" t="s">
        <v>413</v>
      </c>
    </row>
    <row r="55" spans="1:1">
      <c r="A55" t="s">
        <v>414</v>
      </c>
    </row>
    <row r="56" spans="1:1">
      <c r="A56" t="s">
        <v>415</v>
      </c>
    </row>
    <row r="57" spans="1:1">
      <c r="A57" t="s">
        <v>416</v>
      </c>
    </row>
    <row r="58" spans="1:1">
      <c r="A58" t="s">
        <v>417</v>
      </c>
    </row>
    <row r="59" spans="1:1">
      <c r="A59" t="s">
        <v>418</v>
      </c>
    </row>
    <row r="60" spans="1:1">
      <c r="A60" t="s">
        <v>419</v>
      </c>
    </row>
    <row r="61" spans="1:1">
      <c r="A61" t="s">
        <v>420</v>
      </c>
    </row>
    <row r="62" spans="1:1">
      <c r="A62" t="s">
        <v>421</v>
      </c>
    </row>
    <row r="63" spans="1:1">
      <c r="A63" t="s">
        <v>422</v>
      </c>
    </row>
    <row r="68" spans="1:1">
      <c r="A68" t="s">
        <v>423</v>
      </c>
    </row>
    <row r="69" spans="1:1">
      <c r="A69" t="s">
        <v>371</v>
      </c>
    </row>
    <row r="70" spans="1:1">
      <c r="A70" t="s">
        <v>424</v>
      </c>
    </row>
    <row r="71" spans="1:1">
      <c r="A71" t="s">
        <v>425</v>
      </c>
    </row>
    <row r="72" spans="1:1">
      <c r="A72" t="s">
        <v>374</v>
      </c>
    </row>
    <row r="73" spans="1:1">
      <c r="A73" t="s">
        <v>426</v>
      </c>
    </row>
    <row r="74" spans="1:1">
      <c r="A74" t="s">
        <v>376</v>
      </c>
    </row>
    <row r="76" spans="1:1">
      <c r="A76" t="s">
        <v>377</v>
      </c>
    </row>
    <row r="77" spans="1:1">
      <c r="A77" t="s">
        <v>378</v>
      </c>
    </row>
    <row r="78" spans="1:1">
      <c r="A78" t="s">
        <v>427</v>
      </c>
    </row>
    <row r="79" spans="1:1">
      <c r="A79" t="s">
        <v>428</v>
      </c>
    </row>
    <row r="80" spans="1:1">
      <c r="A80" t="s">
        <v>429</v>
      </c>
    </row>
    <row r="81" spans="1:1">
      <c r="A81" t="s">
        <v>430</v>
      </c>
    </row>
    <row r="82" spans="1:1">
      <c r="A82" t="s">
        <v>431</v>
      </c>
    </row>
    <row r="83" spans="1:1">
      <c r="A83" t="s">
        <v>432</v>
      </c>
    </row>
    <row r="84" spans="1:1">
      <c r="A84" t="s">
        <v>433</v>
      </c>
    </row>
    <row r="85" spans="1:1">
      <c r="A85" t="s">
        <v>434</v>
      </c>
    </row>
    <row r="86" spans="1:1">
      <c r="A86" t="s">
        <v>435</v>
      </c>
    </row>
    <row r="87" spans="1:1">
      <c r="A87" t="s">
        <v>436</v>
      </c>
    </row>
    <row r="88" spans="1:1">
      <c r="A88" t="s">
        <v>437</v>
      </c>
    </row>
    <row r="89" spans="1:1">
      <c r="A89" t="s">
        <v>438</v>
      </c>
    </row>
    <row r="90" spans="1:1">
      <c r="A90" t="s">
        <v>439</v>
      </c>
    </row>
    <row r="93" spans="1:1">
      <c r="A93" t="s">
        <v>392</v>
      </c>
    </row>
    <row r="94" spans="1:1">
      <c r="A94" t="s">
        <v>440</v>
      </c>
    </row>
    <row r="95" spans="1:1">
      <c r="A95" t="s">
        <v>441</v>
      </c>
    </row>
    <row r="96" spans="1:1">
      <c r="A96" t="s">
        <v>442</v>
      </c>
    </row>
    <row r="97" spans="1:1">
      <c r="A97" t="s">
        <v>443</v>
      </c>
    </row>
    <row r="98" spans="1:1">
      <c r="A98" t="s">
        <v>444</v>
      </c>
    </row>
    <row r="99" spans="1:1">
      <c r="A99" t="s">
        <v>445</v>
      </c>
    </row>
    <row r="100" spans="1:1">
      <c r="A100" t="s">
        <v>446</v>
      </c>
    </row>
    <row r="101" spans="1:1">
      <c r="A101" t="s">
        <v>447</v>
      </c>
    </row>
    <row r="102" spans="1:1">
      <c r="A102" t="s">
        <v>448</v>
      </c>
    </row>
    <row r="103" spans="1:1">
      <c r="A103" t="s">
        <v>449</v>
      </c>
    </row>
    <row r="104" spans="1:1">
      <c r="A104" t="s">
        <v>450</v>
      </c>
    </row>
    <row r="105" spans="1:1">
      <c r="A105" t="s">
        <v>451</v>
      </c>
    </row>
    <row r="106" spans="1:1">
      <c r="A106" t="s">
        <v>452</v>
      </c>
    </row>
    <row r="108" spans="1:1">
      <c r="A108" t="s">
        <v>406</v>
      </c>
    </row>
    <row r="109" spans="1:1">
      <c r="A109" t="s">
        <v>453</v>
      </c>
    </row>
    <row r="110" spans="1:1">
      <c r="A110" t="s">
        <v>454</v>
      </c>
    </row>
    <row r="111" spans="1:1">
      <c r="A111" t="s">
        <v>455</v>
      </c>
    </row>
    <row r="112" spans="1:1">
      <c r="A112" t="s">
        <v>456</v>
      </c>
    </row>
    <row r="113" spans="1:1">
      <c r="A113" t="s">
        <v>457</v>
      </c>
    </row>
    <row r="114" spans="1:1">
      <c r="A114" t="s">
        <v>458</v>
      </c>
    </row>
    <row r="115" spans="1:1">
      <c r="A115" t="s">
        <v>459</v>
      </c>
    </row>
    <row r="116" spans="1:1">
      <c r="A116" t="s">
        <v>460</v>
      </c>
    </row>
    <row r="117" spans="1:1">
      <c r="A117" t="s">
        <v>461</v>
      </c>
    </row>
    <row r="118" spans="1:1">
      <c r="A118" t="s">
        <v>462</v>
      </c>
    </row>
    <row r="119" spans="1:1">
      <c r="A119" t="s">
        <v>463</v>
      </c>
    </row>
    <row r="120" spans="1:1">
      <c r="A120" t="s">
        <v>464</v>
      </c>
    </row>
    <row r="121" spans="1:1">
      <c r="A121" t="s">
        <v>465</v>
      </c>
    </row>
    <row r="122" spans="1:1">
      <c r="A122" t="s">
        <v>466</v>
      </c>
    </row>
    <row r="123" spans="1:1">
      <c r="A123" t="s">
        <v>421</v>
      </c>
    </row>
    <row r="124" spans="1:1">
      <c r="A124" t="s">
        <v>467</v>
      </c>
    </row>
    <row r="129" spans="1:1">
      <c r="A129" t="s">
        <v>468</v>
      </c>
    </row>
    <row r="130" spans="1:1">
      <c r="A130" t="s">
        <v>371</v>
      </c>
    </row>
    <row r="131" spans="1:1">
      <c r="A131" t="s">
        <v>469</v>
      </c>
    </row>
    <row r="132" spans="1:1">
      <c r="A132" t="s">
        <v>470</v>
      </c>
    </row>
    <row r="133" spans="1:1">
      <c r="A133" t="s">
        <v>374</v>
      </c>
    </row>
    <row r="134" spans="1:1">
      <c r="A134" t="s">
        <v>471</v>
      </c>
    </row>
    <row r="135" spans="1:1">
      <c r="A135" t="s">
        <v>376</v>
      </c>
    </row>
    <row r="137" spans="1:1">
      <c r="A137" t="s">
        <v>472</v>
      </c>
    </row>
    <row r="138" spans="1:1">
      <c r="A138" t="s">
        <v>378</v>
      </c>
    </row>
    <row r="139" spans="1:1">
      <c r="A139" t="s">
        <v>473</v>
      </c>
    </row>
    <row r="140" spans="1:1">
      <c r="A140" t="s">
        <v>474</v>
      </c>
    </row>
    <row r="141" spans="1:1">
      <c r="A141" t="s">
        <v>475</v>
      </c>
    </row>
    <row r="142" spans="1:1">
      <c r="A142" t="s">
        <v>476</v>
      </c>
    </row>
    <row r="143" spans="1:1">
      <c r="A143" t="s">
        <v>477</v>
      </c>
    </row>
    <row r="144" spans="1:1">
      <c r="A144" t="s">
        <v>478</v>
      </c>
    </row>
    <row r="145" spans="1:1">
      <c r="A145" t="s">
        <v>479</v>
      </c>
    </row>
    <row r="146" spans="1:1">
      <c r="A146" t="s">
        <v>480</v>
      </c>
    </row>
    <row r="147" spans="1:1">
      <c r="A147" t="s">
        <v>481</v>
      </c>
    </row>
    <row r="148" spans="1:1">
      <c r="A148" t="s">
        <v>482</v>
      </c>
    </row>
    <row r="149" spans="1:1">
      <c r="A149" t="s">
        <v>483</v>
      </c>
    </row>
    <row r="150" spans="1:1">
      <c r="A150" t="s">
        <v>484</v>
      </c>
    </row>
    <row r="151" spans="1:1">
      <c r="A151" t="s">
        <v>485</v>
      </c>
    </row>
    <row r="154" spans="1:1">
      <c r="A154" t="s">
        <v>392</v>
      </c>
    </row>
    <row r="155" spans="1:1">
      <c r="A155" t="s">
        <v>486</v>
      </c>
    </row>
    <row r="156" spans="1:1">
      <c r="A156" t="s">
        <v>487</v>
      </c>
    </row>
    <row r="157" spans="1:1">
      <c r="A157" t="s">
        <v>488</v>
      </c>
    </row>
    <row r="158" spans="1:1">
      <c r="A158" t="s">
        <v>489</v>
      </c>
    </row>
    <row r="159" spans="1:1">
      <c r="A159" t="s">
        <v>490</v>
      </c>
    </row>
    <row r="160" spans="1:1">
      <c r="A160" t="s">
        <v>491</v>
      </c>
    </row>
    <row r="161" spans="1:1">
      <c r="A161" t="s">
        <v>492</v>
      </c>
    </row>
    <row r="162" spans="1:1">
      <c r="A162" t="s">
        <v>493</v>
      </c>
    </row>
    <row r="163" spans="1:1">
      <c r="A163" t="s">
        <v>494</v>
      </c>
    </row>
    <row r="164" spans="1:1">
      <c r="A164" t="s">
        <v>495</v>
      </c>
    </row>
    <row r="165" spans="1:1">
      <c r="A165" t="s">
        <v>496</v>
      </c>
    </row>
    <row r="166" spans="1:1">
      <c r="A166" t="s">
        <v>497</v>
      </c>
    </row>
    <row r="167" spans="1:1">
      <c r="A167" t="s">
        <v>498</v>
      </c>
    </row>
    <row r="169" spans="1:1">
      <c r="A169" t="s">
        <v>406</v>
      </c>
    </row>
    <row r="170" spans="1:1">
      <c r="A170" t="s">
        <v>499</v>
      </c>
    </row>
    <row r="171" spans="1:1">
      <c r="A171" t="s">
        <v>500</v>
      </c>
    </row>
    <row r="172" spans="1:1">
      <c r="A172" t="s">
        <v>501</v>
      </c>
    </row>
    <row r="173" spans="1:1">
      <c r="A173" t="s">
        <v>502</v>
      </c>
    </row>
    <row r="174" spans="1:1">
      <c r="A174" t="s">
        <v>503</v>
      </c>
    </row>
    <row r="175" spans="1:1">
      <c r="A175" t="s">
        <v>504</v>
      </c>
    </row>
    <row r="176" spans="1:1">
      <c r="A176" t="s">
        <v>505</v>
      </c>
    </row>
    <row r="177" spans="1:1">
      <c r="A177" t="s">
        <v>506</v>
      </c>
    </row>
    <row r="178" spans="1:1">
      <c r="A178" t="s">
        <v>507</v>
      </c>
    </row>
    <row r="179" spans="1:1">
      <c r="A179" t="s">
        <v>508</v>
      </c>
    </row>
    <row r="180" spans="1:1">
      <c r="A180" t="s">
        <v>509</v>
      </c>
    </row>
    <row r="181" spans="1:1">
      <c r="A181" t="s">
        <v>510</v>
      </c>
    </row>
    <row r="182" spans="1:1">
      <c r="A182" t="s">
        <v>511</v>
      </c>
    </row>
    <row r="183" spans="1:1">
      <c r="A183" t="s">
        <v>512</v>
      </c>
    </row>
    <row r="184" spans="1:1">
      <c r="A184" t="s">
        <v>421</v>
      </c>
    </row>
    <row r="185" spans="1:1">
      <c r="A185" t="s">
        <v>513</v>
      </c>
    </row>
    <row r="190" spans="1:1">
      <c r="A190" t="s">
        <v>514</v>
      </c>
    </row>
    <row r="191" spans="1:1">
      <c r="A191" t="s">
        <v>371</v>
      </c>
    </row>
    <row r="192" spans="1:1">
      <c r="A192" t="s">
        <v>515</v>
      </c>
    </row>
    <row r="193" spans="1:1">
      <c r="A193" t="s">
        <v>516</v>
      </c>
    </row>
    <row r="194" spans="1:1">
      <c r="A194" t="s">
        <v>374</v>
      </c>
    </row>
    <row r="195" spans="1:1">
      <c r="A195" t="s">
        <v>517</v>
      </c>
    </row>
    <row r="196" spans="1:1">
      <c r="A196" t="s">
        <v>376</v>
      </c>
    </row>
    <row r="198" spans="1:1">
      <c r="A198" t="s">
        <v>472</v>
      </c>
    </row>
    <row r="199" spans="1:1">
      <c r="A199" t="s">
        <v>378</v>
      </c>
    </row>
    <row r="200" spans="1:1">
      <c r="A200" t="s">
        <v>518</v>
      </c>
    </row>
    <row r="201" spans="1:1">
      <c r="A201" t="s">
        <v>519</v>
      </c>
    </row>
    <row r="202" spans="1:1">
      <c r="A202" t="s">
        <v>520</v>
      </c>
    </row>
    <row r="203" spans="1:1">
      <c r="A203" t="s">
        <v>521</v>
      </c>
    </row>
    <row r="204" spans="1:1">
      <c r="A204" t="s">
        <v>522</v>
      </c>
    </row>
    <row r="205" spans="1:1">
      <c r="A205" t="s">
        <v>523</v>
      </c>
    </row>
    <row r="206" spans="1:1">
      <c r="A206" t="s">
        <v>524</v>
      </c>
    </row>
    <row r="207" spans="1:1">
      <c r="A207" t="s">
        <v>525</v>
      </c>
    </row>
    <row r="208" spans="1:1">
      <c r="A208" t="s">
        <v>526</v>
      </c>
    </row>
    <row r="209" spans="1:1">
      <c r="A209" t="s">
        <v>527</v>
      </c>
    </row>
    <row r="210" spans="1:1">
      <c r="A210" t="s">
        <v>528</v>
      </c>
    </row>
    <row r="211" spans="1:1">
      <c r="A211" t="s">
        <v>529</v>
      </c>
    </row>
    <row r="212" spans="1:1">
      <c r="A212" t="s">
        <v>530</v>
      </c>
    </row>
    <row r="215" spans="1:1">
      <c r="A215" t="s">
        <v>392</v>
      </c>
    </row>
    <row r="216" spans="1:1">
      <c r="A216" t="s">
        <v>531</v>
      </c>
    </row>
    <row r="217" spans="1:1">
      <c r="A217" t="s">
        <v>532</v>
      </c>
    </row>
    <row r="218" spans="1:1">
      <c r="A218" t="s">
        <v>533</v>
      </c>
    </row>
    <row r="219" spans="1:1">
      <c r="A219" t="s">
        <v>534</v>
      </c>
    </row>
    <row r="220" spans="1:1">
      <c r="A220" t="s">
        <v>535</v>
      </c>
    </row>
    <row r="221" spans="1:1">
      <c r="A221" t="s">
        <v>536</v>
      </c>
    </row>
    <row r="222" spans="1:1">
      <c r="A222" t="s">
        <v>537</v>
      </c>
    </row>
    <row r="223" spans="1:1">
      <c r="A223" t="s">
        <v>538</v>
      </c>
    </row>
    <row r="224" spans="1:1">
      <c r="A224" t="s">
        <v>539</v>
      </c>
    </row>
    <row r="225" spans="1:1">
      <c r="A225" t="s">
        <v>540</v>
      </c>
    </row>
    <row r="226" spans="1:1">
      <c r="A226" t="s">
        <v>541</v>
      </c>
    </row>
    <row r="227" spans="1:1">
      <c r="A227" t="s">
        <v>542</v>
      </c>
    </row>
    <row r="228" spans="1:1">
      <c r="A228" t="s">
        <v>543</v>
      </c>
    </row>
    <row r="230" spans="1:1">
      <c r="A230" t="s">
        <v>406</v>
      </c>
    </row>
    <row r="231" spans="1:1">
      <c r="A231" t="s">
        <v>544</v>
      </c>
    </row>
    <row r="232" spans="1:1">
      <c r="A232" t="s">
        <v>545</v>
      </c>
    </row>
    <row r="233" spans="1:1">
      <c r="A233" t="s">
        <v>546</v>
      </c>
    </row>
    <row r="234" spans="1:1">
      <c r="A234" t="s">
        <v>547</v>
      </c>
    </row>
    <row r="235" spans="1:1">
      <c r="A235" t="s">
        <v>548</v>
      </c>
    </row>
    <row r="236" spans="1:1">
      <c r="A236" t="s">
        <v>549</v>
      </c>
    </row>
    <row r="237" spans="1:1">
      <c r="A237" t="s">
        <v>550</v>
      </c>
    </row>
    <row r="238" spans="1:1">
      <c r="A238" t="s">
        <v>551</v>
      </c>
    </row>
    <row r="239" spans="1:1">
      <c r="A239" t="s">
        <v>552</v>
      </c>
    </row>
    <row r="240" spans="1:1">
      <c r="A240" t="s">
        <v>553</v>
      </c>
    </row>
    <row r="241" spans="1:1">
      <c r="A241" t="s">
        <v>554</v>
      </c>
    </row>
    <row r="242" spans="1:1">
      <c r="A242" t="s">
        <v>555</v>
      </c>
    </row>
    <row r="243" spans="1:1">
      <c r="A243" t="s">
        <v>556</v>
      </c>
    </row>
    <row r="244" spans="1:1">
      <c r="A244" t="s">
        <v>557</v>
      </c>
    </row>
    <row r="245" spans="1:1">
      <c r="A245" t="s">
        <v>421</v>
      </c>
    </row>
    <row r="246" spans="1:1">
      <c r="A246" t="s">
        <v>558</v>
      </c>
    </row>
    <row r="251" spans="1:1">
      <c r="A251" t="s">
        <v>559</v>
      </c>
    </row>
    <row r="252" spans="1:1">
      <c r="A252" t="s">
        <v>371</v>
      </c>
    </row>
    <row r="253" spans="1:1">
      <c r="A253" t="s">
        <v>560</v>
      </c>
    </row>
    <row r="254" spans="1:1">
      <c r="A254" t="s">
        <v>561</v>
      </c>
    </row>
    <row r="255" spans="1:1">
      <c r="A255" t="s">
        <v>374</v>
      </c>
    </row>
    <row r="256" spans="1:1">
      <c r="A256" t="s">
        <v>562</v>
      </c>
    </row>
    <row r="257" spans="1:1">
      <c r="A257" t="s">
        <v>376</v>
      </c>
    </row>
    <row r="259" spans="1:1">
      <c r="A259" t="s">
        <v>472</v>
      </c>
    </row>
    <row r="260" spans="1:1">
      <c r="A260" t="s">
        <v>378</v>
      </c>
    </row>
    <row r="261" spans="1:1">
      <c r="A261" t="s">
        <v>563</v>
      </c>
    </row>
    <row r="262" spans="1:1">
      <c r="A262" t="s">
        <v>564</v>
      </c>
    </row>
    <row r="263" spans="1:1">
      <c r="A263" t="s">
        <v>565</v>
      </c>
    </row>
    <row r="264" spans="1:1">
      <c r="A264" t="s">
        <v>566</v>
      </c>
    </row>
    <row r="265" spans="1:1">
      <c r="A265" t="s">
        <v>567</v>
      </c>
    </row>
    <row r="266" spans="1:1">
      <c r="A266" t="s">
        <v>568</v>
      </c>
    </row>
    <row r="267" spans="1:1">
      <c r="A267" t="s">
        <v>569</v>
      </c>
    </row>
    <row r="268" spans="1:1">
      <c r="A268" t="s">
        <v>570</v>
      </c>
    </row>
    <row r="269" spans="1:1">
      <c r="A269" t="s">
        <v>571</v>
      </c>
    </row>
    <row r="270" spans="1:1">
      <c r="A270" t="s">
        <v>572</v>
      </c>
    </row>
    <row r="271" spans="1:1">
      <c r="A271" t="s">
        <v>573</v>
      </c>
    </row>
    <row r="272" spans="1:1">
      <c r="A272" t="s">
        <v>574</v>
      </c>
    </row>
    <row r="273" spans="1:1">
      <c r="A273" t="s">
        <v>575</v>
      </c>
    </row>
    <row r="276" spans="1:1">
      <c r="A276" t="s">
        <v>392</v>
      </c>
    </row>
    <row r="277" spans="1:1">
      <c r="A277" t="s">
        <v>576</v>
      </c>
    </row>
    <row r="278" spans="1:1">
      <c r="A278" t="s">
        <v>577</v>
      </c>
    </row>
    <row r="279" spans="1:1">
      <c r="A279" t="s">
        <v>578</v>
      </c>
    </row>
    <row r="280" spans="1:1">
      <c r="A280" t="s">
        <v>579</v>
      </c>
    </row>
    <row r="281" spans="1:1">
      <c r="A281" t="s">
        <v>580</v>
      </c>
    </row>
    <row r="282" spans="1:1">
      <c r="A282" t="s">
        <v>581</v>
      </c>
    </row>
    <row r="283" spans="1:1">
      <c r="A283" t="s">
        <v>582</v>
      </c>
    </row>
    <row r="284" spans="1:1">
      <c r="A284" t="s">
        <v>583</v>
      </c>
    </row>
    <row r="285" spans="1:1">
      <c r="A285" t="s">
        <v>584</v>
      </c>
    </row>
    <row r="286" spans="1:1">
      <c r="A286" t="s">
        <v>585</v>
      </c>
    </row>
    <row r="287" spans="1:1">
      <c r="A287" t="s">
        <v>586</v>
      </c>
    </row>
    <row r="288" spans="1:1">
      <c r="A288" t="s">
        <v>587</v>
      </c>
    </row>
    <row r="289" spans="1:1">
      <c r="A289" t="s">
        <v>588</v>
      </c>
    </row>
    <row r="291" spans="1:1">
      <c r="A291" t="s">
        <v>406</v>
      </c>
    </row>
    <row r="292" spans="1:1">
      <c r="A292" t="s">
        <v>589</v>
      </c>
    </row>
    <row r="293" spans="1:1">
      <c r="A293" t="s">
        <v>590</v>
      </c>
    </row>
    <row r="294" spans="1:1">
      <c r="A294" t="s">
        <v>591</v>
      </c>
    </row>
    <row r="295" spans="1:1">
      <c r="A295" t="s">
        <v>592</v>
      </c>
    </row>
    <row r="296" spans="1:1">
      <c r="A296" t="s">
        <v>593</v>
      </c>
    </row>
    <row r="297" spans="1:1">
      <c r="A297" t="s">
        <v>594</v>
      </c>
    </row>
    <row r="298" spans="1:1">
      <c r="A298" t="s">
        <v>595</v>
      </c>
    </row>
    <row r="299" spans="1:1">
      <c r="A299" t="s">
        <v>596</v>
      </c>
    </row>
    <row r="300" spans="1:1">
      <c r="A300" t="s">
        <v>597</v>
      </c>
    </row>
    <row r="301" spans="1:1">
      <c r="A301" t="s">
        <v>598</v>
      </c>
    </row>
    <row r="302" spans="1:1">
      <c r="A302" t="s">
        <v>599</v>
      </c>
    </row>
    <row r="303" spans="1:1">
      <c r="A303" t="s">
        <v>600</v>
      </c>
    </row>
    <row r="304" spans="1:1">
      <c r="A304" t="s">
        <v>601</v>
      </c>
    </row>
    <row r="305" spans="1:1">
      <c r="A305" t="s">
        <v>602</v>
      </c>
    </row>
    <row r="306" spans="1:1">
      <c r="A306" t="s">
        <v>421</v>
      </c>
    </row>
    <row r="307" spans="1:1">
      <c r="A307" t="s">
        <v>603</v>
      </c>
    </row>
    <row r="312" spans="1:1">
      <c r="A312" t="s">
        <v>604</v>
      </c>
    </row>
    <row r="313" spans="1:1">
      <c r="A313" t="s">
        <v>371</v>
      </c>
    </row>
    <row r="314" spans="1:1">
      <c r="A314" t="s">
        <v>605</v>
      </c>
    </row>
    <row r="315" spans="1:1">
      <c r="A315" t="s">
        <v>606</v>
      </c>
    </row>
    <row r="316" spans="1:1">
      <c r="A316" t="s">
        <v>374</v>
      </c>
    </row>
    <row r="317" spans="1:1">
      <c r="A317" t="s">
        <v>607</v>
      </c>
    </row>
    <row r="318" spans="1:1">
      <c r="A318" t="s">
        <v>376</v>
      </c>
    </row>
    <row r="320" spans="1:1">
      <c r="A320" t="s">
        <v>472</v>
      </c>
    </row>
    <row r="321" spans="1:1">
      <c r="A321" t="s">
        <v>378</v>
      </c>
    </row>
    <row r="322" spans="1:1">
      <c r="A322" t="s">
        <v>608</v>
      </c>
    </row>
    <row r="323" spans="1:1">
      <c r="A323" t="s">
        <v>609</v>
      </c>
    </row>
    <row r="324" spans="1:1">
      <c r="A324" t="s">
        <v>610</v>
      </c>
    </row>
    <row r="325" spans="1:1">
      <c r="A325" t="s">
        <v>611</v>
      </c>
    </row>
    <row r="326" spans="1:1">
      <c r="A326" t="s">
        <v>612</v>
      </c>
    </row>
    <row r="327" spans="1:1">
      <c r="A327" t="s">
        <v>613</v>
      </c>
    </row>
    <row r="328" spans="1:1">
      <c r="A328" t="s">
        <v>614</v>
      </c>
    </row>
    <row r="329" spans="1:1">
      <c r="A329" t="s">
        <v>615</v>
      </c>
    </row>
    <row r="330" spans="1:1">
      <c r="A330" t="s">
        <v>616</v>
      </c>
    </row>
    <row r="331" spans="1:1">
      <c r="A331" t="s">
        <v>617</v>
      </c>
    </row>
    <row r="332" spans="1:1">
      <c r="A332" t="s">
        <v>618</v>
      </c>
    </row>
    <row r="333" spans="1:1">
      <c r="A333" t="s">
        <v>619</v>
      </c>
    </row>
    <row r="334" spans="1:1">
      <c r="A334" t="s">
        <v>620</v>
      </c>
    </row>
    <row r="337" spans="1:1">
      <c r="A337" t="s">
        <v>392</v>
      </c>
    </row>
    <row r="338" spans="1:1">
      <c r="A338" t="s">
        <v>621</v>
      </c>
    </row>
    <row r="339" spans="1:1">
      <c r="A339" t="s">
        <v>622</v>
      </c>
    </row>
    <row r="340" spans="1:1">
      <c r="A340" t="s">
        <v>623</v>
      </c>
    </row>
    <row r="341" spans="1:1">
      <c r="A341" t="s">
        <v>624</v>
      </c>
    </row>
    <row r="342" spans="1:1">
      <c r="A342" t="s">
        <v>625</v>
      </c>
    </row>
    <row r="343" spans="1:1">
      <c r="A343" t="s">
        <v>626</v>
      </c>
    </row>
    <row r="344" spans="1:1">
      <c r="A344" t="s">
        <v>627</v>
      </c>
    </row>
    <row r="345" spans="1:1">
      <c r="A345" t="s">
        <v>628</v>
      </c>
    </row>
    <row r="346" spans="1:1">
      <c r="A346" t="s">
        <v>629</v>
      </c>
    </row>
    <row r="347" spans="1:1">
      <c r="A347" t="s">
        <v>630</v>
      </c>
    </row>
    <row r="348" spans="1:1">
      <c r="A348" t="s">
        <v>631</v>
      </c>
    </row>
    <row r="349" spans="1:1">
      <c r="A349" t="s">
        <v>632</v>
      </c>
    </row>
    <row r="350" spans="1:1">
      <c r="A350" t="s">
        <v>633</v>
      </c>
    </row>
    <row r="352" spans="1:1">
      <c r="A352" t="s">
        <v>406</v>
      </c>
    </row>
    <row r="353" spans="1:1">
      <c r="A353" t="s">
        <v>634</v>
      </c>
    </row>
    <row r="354" spans="1:1">
      <c r="A354" t="s">
        <v>635</v>
      </c>
    </row>
    <row r="355" spans="1:1">
      <c r="A355" t="s">
        <v>636</v>
      </c>
    </row>
    <row r="356" spans="1:1">
      <c r="A356" t="s">
        <v>637</v>
      </c>
    </row>
    <row r="357" spans="1:1">
      <c r="A357" t="s">
        <v>638</v>
      </c>
    </row>
    <row r="358" spans="1:1">
      <c r="A358" t="s">
        <v>639</v>
      </c>
    </row>
    <row r="359" spans="1:1">
      <c r="A359" t="s">
        <v>640</v>
      </c>
    </row>
    <row r="360" spans="1:1">
      <c r="A360" t="s">
        <v>641</v>
      </c>
    </row>
    <row r="361" spans="1:1">
      <c r="A361" t="s">
        <v>642</v>
      </c>
    </row>
    <row r="362" spans="1:1">
      <c r="A362" t="s">
        <v>643</v>
      </c>
    </row>
    <row r="363" spans="1:1">
      <c r="A363" t="s">
        <v>644</v>
      </c>
    </row>
    <row r="364" spans="1:1">
      <c r="A364" t="s">
        <v>645</v>
      </c>
    </row>
    <row r="365" spans="1:1">
      <c r="A365" t="s">
        <v>646</v>
      </c>
    </row>
    <row r="366" spans="1:1">
      <c r="A366" t="s">
        <v>647</v>
      </c>
    </row>
    <row r="367" spans="1:1">
      <c r="A367" t="s">
        <v>421</v>
      </c>
    </row>
    <row r="368" spans="1:1">
      <c r="A368" t="s">
        <v>648</v>
      </c>
    </row>
    <row r="373" spans="1:1">
      <c r="A373" t="s">
        <v>649</v>
      </c>
    </row>
    <row r="374" spans="1:1">
      <c r="A374" t="s">
        <v>371</v>
      </c>
    </row>
    <row r="375" spans="1:1">
      <c r="A375" t="s">
        <v>650</v>
      </c>
    </row>
    <row r="376" spans="1:1">
      <c r="A376" t="s">
        <v>651</v>
      </c>
    </row>
    <row r="377" spans="1:1">
      <c r="A377" t="s">
        <v>374</v>
      </c>
    </row>
    <row r="378" spans="1:1">
      <c r="A378" t="s">
        <v>652</v>
      </c>
    </row>
    <row r="379" spans="1:1">
      <c r="A379" t="s">
        <v>376</v>
      </c>
    </row>
    <row r="381" spans="1:1">
      <c r="A381" t="s">
        <v>472</v>
      </c>
    </row>
    <row r="382" spans="1:1">
      <c r="A382" t="s">
        <v>378</v>
      </c>
    </row>
    <row r="383" spans="1:1">
      <c r="A383" t="s">
        <v>653</v>
      </c>
    </row>
    <row r="384" spans="1:1">
      <c r="A384" t="s">
        <v>654</v>
      </c>
    </row>
    <row r="385" spans="1:1">
      <c r="A385" t="s">
        <v>655</v>
      </c>
    </row>
    <row r="386" spans="1:1">
      <c r="A386" t="s">
        <v>656</v>
      </c>
    </row>
    <row r="387" spans="1:1">
      <c r="A387" t="s">
        <v>657</v>
      </c>
    </row>
    <row r="388" spans="1:1">
      <c r="A388" t="s">
        <v>658</v>
      </c>
    </row>
    <row r="389" spans="1:1">
      <c r="A389" t="s">
        <v>659</v>
      </c>
    </row>
    <row r="390" spans="1:1">
      <c r="A390" t="s">
        <v>660</v>
      </c>
    </row>
    <row r="391" spans="1:1">
      <c r="A391" t="s">
        <v>661</v>
      </c>
    </row>
    <row r="392" spans="1:1">
      <c r="A392" t="s">
        <v>662</v>
      </c>
    </row>
    <row r="393" spans="1:1">
      <c r="A393" t="s">
        <v>663</v>
      </c>
    </row>
    <row r="394" spans="1:1">
      <c r="A394" t="s">
        <v>664</v>
      </c>
    </row>
    <row r="395" spans="1:1">
      <c r="A395" t="s">
        <v>665</v>
      </c>
    </row>
    <row r="398" spans="1:1">
      <c r="A398" t="s">
        <v>392</v>
      </c>
    </row>
    <row r="399" spans="1:1">
      <c r="A399" t="s">
        <v>666</v>
      </c>
    </row>
    <row r="400" spans="1:1">
      <c r="A400" t="s">
        <v>667</v>
      </c>
    </row>
    <row r="401" spans="1:1">
      <c r="A401" t="s">
        <v>668</v>
      </c>
    </row>
    <row r="402" spans="1:1">
      <c r="A402" t="s">
        <v>669</v>
      </c>
    </row>
    <row r="403" spans="1:1">
      <c r="A403" t="s">
        <v>670</v>
      </c>
    </row>
    <row r="404" spans="1:1">
      <c r="A404" t="s">
        <v>671</v>
      </c>
    </row>
    <row r="405" spans="1:1">
      <c r="A405" t="s">
        <v>672</v>
      </c>
    </row>
    <row r="406" spans="1:1">
      <c r="A406" t="s">
        <v>673</v>
      </c>
    </row>
    <row r="407" spans="1:1">
      <c r="A407" t="s">
        <v>674</v>
      </c>
    </row>
    <row r="408" spans="1:1">
      <c r="A408" t="s">
        <v>675</v>
      </c>
    </row>
    <row r="410" spans="1:1">
      <c r="A410" t="s">
        <v>406</v>
      </c>
    </row>
    <row r="411" spans="1:1">
      <c r="A411" t="s">
        <v>676</v>
      </c>
    </row>
    <row r="412" spans="1:1">
      <c r="A412" t="s">
        <v>677</v>
      </c>
    </row>
    <row r="413" spans="1:1">
      <c r="A413" t="s">
        <v>678</v>
      </c>
    </row>
    <row r="414" spans="1:1">
      <c r="A414" t="s">
        <v>679</v>
      </c>
    </row>
    <row r="415" spans="1:1">
      <c r="A415" t="s">
        <v>680</v>
      </c>
    </row>
    <row r="416" spans="1:1">
      <c r="A416" t="s">
        <v>681</v>
      </c>
    </row>
    <row r="417" spans="1:1">
      <c r="A417" t="s">
        <v>682</v>
      </c>
    </row>
    <row r="418" spans="1:1">
      <c r="A418" t="s">
        <v>683</v>
      </c>
    </row>
    <row r="419" spans="1:1">
      <c r="A419" t="s">
        <v>684</v>
      </c>
    </row>
    <row r="420" spans="1:1">
      <c r="A420" t="s">
        <v>685</v>
      </c>
    </row>
    <row r="421" spans="1:1">
      <c r="A421" t="s">
        <v>686</v>
      </c>
    </row>
    <row r="422" spans="1:1">
      <c r="A422" t="s">
        <v>687</v>
      </c>
    </row>
    <row r="423" spans="1:1">
      <c r="A423" t="s">
        <v>688</v>
      </c>
    </row>
    <row r="424" spans="1:1">
      <c r="A424" t="s">
        <v>689</v>
      </c>
    </row>
    <row r="425" spans="1:1">
      <c r="A425" t="s">
        <v>421</v>
      </c>
    </row>
    <row r="426" spans="1:1">
      <c r="A426" t="s">
        <v>690</v>
      </c>
    </row>
    <row r="431" spans="1:1">
      <c r="A431" t="s">
        <v>691</v>
      </c>
    </row>
    <row r="432" spans="1:1">
      <c r="A432" t="s">
        <v>371</v>
      </c>
    </row>
    <row r="433" spans="1:1">
      <c r="A433" t="s">
        <v>692</v>
      </c>
    </row>
    <row r="434" spans="1:1">
      <c r="A434" t="s">
        <v>693</v>
      </c>
    </row>
    <row r="435" spans="1:1">
      <c r="A435" t="s">
        <v>374</v>
      </c>
    </row>
    <row r="436" spans="1:1">
      <c r="A436" t="s">
        <v>694</v>
      </c>
    </row>
    <row r="437" spans="1:1">
      <c r="A437" t="s">
        <v>376</v>
      </c>
    </row>
    <row r="439" spans="1:1">
      <c r="A439" t="s">
        <v>472</v>
      </c>
    </row>
    <row r="440" spans="1:1">
      <c r="A440" t="s">
        <v>378</v>
      </c>
    </row>
    <row r="441" spans="1:1">
      <c r="A441" t="s">
        <v>695</v>
      </c>
    </row>
    <row r="442" spans="1:1">
      <c r="A442" t="s">
        <v>696</v>
      </c>
    </row>
    <row r="443" spans="1:1">
      <c r="A443" t="s">
        <v>697</v>
      </c>
    </row>
    <row r="444" spans="1:1">
      <c r="A444" t="s">
        <v>698</v>
      </c>
    </row>
    <row r="445" spans="1:1">
      <c r="A445" t="s">
        <v>699</v>
      </c>
    </row>
    <row r="446" spans="1:1">
      <c r="A446" t="s">
        <v>700</v>
      </c>
    </row>
    <row r="447" spans="1:1">
      <c r="A447" t="s">
        <v>701</v>
      </c>
    </row>
    <row r="448" spans="1:1">
      <c r="A448" t="s">
        <v>702</v>
      </c>
    </row>
    <row r="449" spans="1:1">
      <c r="A449" t="s">
        <v>703</v>
      </c>
    </row>
    <row r="450" spans="1:1">
      <c r="A450" t="s">
        <v>704</v>
      </c>
    </row>
    <row r="451" spans="1:1">
      <c r="A451" t="s">
        <v>705</v>
      </c>
    </row>
    <row r="452" spans="1:1">
      <c r="A452" t="s">
        <v>706</v>
      </c>
    </row>
    <row r="453" spans="1:1">
      <c r="A453" t="s">
        <v>707</v>
      </c>
    </row>
    <row r="456" spans="1:1">
      <c r="A456" t="s">
        <v>392</v>
      </c>
    </row>
    <row r="457" spans="1:1">
      <c r="A457" t="s">
        <v>708</v>
      </c>
    </row>
    <row r="458" spans="1:1">
      <c r="A458" t="s">
        <v>709</v>
      </c>
    </row>
    <row r="459" spans="1:1">
      <c r="A459" t="s">
        <v>710</v>
      </c>
    </row>
    <row r="460" spans="1:1">
      <c r="A460" t="s">
        <v>711</v>
      </c>
    </row>
    <row r="461" spans="1:1">
      <c r="A461" t="s">
        <v>712</v>
      </c>
    </row>
    <row r="462" spans="1:1">
      <c r="A462" t="s">
        <v>713</v>
      </c>
    </row>
    <row r="463" spans="1:1">
      <c r="A463" t="s">
        <v>714</v>
      </c>
    </row>
    <row r="464" spans="1:1">
      <c r="A464" t="s">
        <v>715</v>
      </c>
    </row>
    <row r="465" spans="1:1">
      <c r="A465" t="s">
        <v>716</v>
      </c>
    </row>
    <row r="466" spans="1:1">
      <c r="A466" t="s">
        <v>717</v>
      </c>
    </row>
    <row r="468" spans="1:1">
      <c r="A468" t="s">
        <v>406</v>
      </c>
    </row>
    <row r="469" spans="1:1">
      <c r="A469" t="s">
        <v>718</v>
      </c>
    </row>
    <row r="470" spans="1:1">
      <c r="A470" t="s">
        <v>719</v>
      </c>
    </row>
    <row r="471" spans="1:1">
      <c r="A471" t="s">
        <v>720</v>
      </c>
    </row>
    <row r="472" spans="1:1">
      <c r="A472" t="s">
        <v>721</v>
      </c>
    </row>
    <row r="473" spans="1:1">
      <c r="A473" t="s">
        <v>722</v>
      </c>
    </row>
    <row r="474" spans="1:1">
      <c r="A474" t="s">
        <v>723</v>
      </c>
    </row>
    <row r="475" spans="1:1">
      <c r="A475" t="s">
        <v>724</v>
      </c>
    </row>
    <row r="476" spans="1:1">
      <c r="A476" t="s">
        <v>725</v>
      </c>
    </row>
    <row r="477" spans="1:1">
      <c r="A477" t="s">
        <v>726</v>
      </c>
    </row>
    <row r="478" spans="1:1">
      <c r="A478" t="s">
        <v>727</v>
      </c>
    </row>
    <row r="479" spans="1:1">
      <c r="A479" t="s">
        <v>728</v>
      </c>
    </row>
    <row r="480" spans="1:1">
      <c r="A480" t="s">
        <v>729</v>
      </c>
    </row>
    <row r="481" spans="1:1">
      <c r="A481" t="s">
        <v>730</v>
      </c>
    </row>
    <row r="482" spans="1:1">
      <c r="A482" t="s">
        <v>731</v>
      </c>
    </row>
    <row r="483" spans="1:1">
      <c r="A483" t="s">
        <v>421</v>
      </c>
    </row>
    <row r="484" spans="1:1">
      <c r="A484" t="s">
        <v>732</v>
      </c>
    </row>
    <row r="489" spans="1:1">
      <c r="A489" t="s">
        <v>733</v>
      </c>
    </row>
    <row r="490" spans="1:1">
      <c r="A490" t="s">
        <v>371</v>
      </c>
    </row>
    <row r="491" spans="1:1">
      <c r="A491" t="s">
        <v>734</v>
      </c>
    </row>
    <row r="492" spans="1:1">
      <c r="A492" t="s">
        <v>735</v>
      </c>
    </row>
    <row r="493" spans="1:1">
      <c r="A493" t="s">
        <v>374</v>
      </c>
    </row>
    <row r="494" spans="1:1">
      <c r="A494" t="s">
        <v>736</v>
      </c>
    </row>
    <row r="495" spans="1:1">
      <c r="A495" t="s">
        <v>376</v>
      </c>
    </row>
    <row r="497" spans="1:1">
      <c r="A497" t="s">
        <v>472</v>
      </c>
    </row>
    <row r="498" spans="1:1">
      <c r="A498" t="s">
        <v>378</v>
      </c>
    </row>
    <row r="499" spans="1:1">
      <c r="A499" t="s">
        <v>737</v>
      </c>
    </row>
    <row r="500" spans="1:1">
      <c r="A500" t="s">
        <v>738</v>
      </c>
    </row>
    <row r="501" spans="1:1">
      <c r="A501" t="s">
        <v>739</v>
      </c>
    </row>
    <row r="502" spans="1:1">
      <c r="A502" t="s">
        <v>740</v>
      </c>
    </row>
    <row r="503" spans="1:1">
      <c r="A503" t="s">
        <v>741</v>
      </c>
    </row>
    <row r="504" spans="1:1">
      <c r="A504" t="s">
        <v>742</v>
      </c>
    </row>
    <row r="505" spans="1:1">
      <c r="A505" t="s">
        <v>743</v>
      </c>
    </row>
    <row r="506" spans="1:1">
      <c r="A506" t="s">
        <v>744</v>
      </c>
    </row>
    <row r="507" spans="1:1">
      <c r="A507" t="s">
        <v>745</v>
      </c>
    </row>
    <row r="508" spans="1:1">
      <c r="A508" t="s">
        <v>746</v>
      </c>
    </row>
    <row r="509" spans="1:1">
      <c r="A509" t="s">
        <v>747</v>
      </c>
    </row>
    <row r="510" spans="1:1">
      <c r="A510" t="s">
        <v>748</v>
      </c>
    </row>
    <row r="511" spans="1:1">
      <c r="A511" t="s">
        <v>749</v>
      </c>
    </row>
    <row r="514" spans="1:1">
      <c r="A514" t="s">
        <v>392</v>
      </c>
    </row>
    <row r="515" spans="1:1">
      <c r="A515" t="s">
        <v>750</v>
      </c>
    </row>
    <row r="516" spans="1:1">
      <c r="A516" t="s">
        <v>751</v>
      </c>
    </row>
    <row r="517" spans="1:1">
      <c r="A517" t="s">
        <v>752</v>
      </c>
    </row>
    <row r="518" spans="1:1">
      <c r="A518" t="s">
        <v>753</v>
      </c>
    </row>
    <row r="519" spans="1:1">
      <c r="A519" t="s">
        <v>754</v>
      </c>
    </row>
    <row r="520" spans="1:1">
      <c r="A520" t="s">
        <v>755</v>
      </c>
    </row>
    <row r="521" spans="1:1">
      <c r="A521" t="s">
        <v>756</v>
      </c>
    </row>
    <row r="522" spans="1:1">
      <c r="A522" t="s">
        <v>757</v>
      </c>
    </row>
    <row r="523" spans="1:1">
      <c r="A523" t="s">
        <v>758</v>
      </c>
    </row>
    <row r="524" spans="1:1">
      <c r="A524" t="s">
        <v>759</v>
      </c>
    </row>
    <row r="525" spans="1:1">
      <c r="A525" t="s">
        <v>760</v>
      </c>
    </row>
    <row r="526" spans="1:1">
      <c r="A526" t="s">
        <v>761</v>
      </c>
    </row>
    <row r="527" spans="1:1">
      <c r="A527" t="s">
        <v>762</v>
      </c>
    </row>
    <row r="529" spans="1:1">
      <c r="A529" t="s">
        <v>406</v>
      </c>
    </row>
    <row r="530" spans="1:1">
      <c r="A530" t="s">
        <v>763</v>
      </c>
    </row>
    <row r="531" spans="1:1">
      <c r="A531" t="s">
        <v>764</v>
      </c>
    </row>
    <row r="532" spans="1:1">
      <c r="A532" t="s">
        <v>765</v>
      </c>
    </row>
    <row r="533" spans="1:1">
      <c r="A533" t="s">
        <v>766</v>
      </c>
    </row>
    <row r="534" spans="1:1">
      <c r="A534" t="s">
        <v>767</v>
      </c>
    </row>
    <row r="535" spans="1:1">
      <c r="A535" t="s">
        <v>768</v>
      </c>
    </row>
    <row r="536" spans="1:1">
      <c r="A536" t="s">
        <v>769</v>
      </c>
    </row>
    <row r="537" spans="1:1">
      <c r="A537" t="s">
        <v>770</v>
      </c>
    </row>
    <row r="538" spans="1:1">
      <c r="A538" t="s">
        <v>771</v>
      </c>
    </row>
    <row r="539" spans="1:1">
      <c r="A539" t="s">
        <v>772</v>
      </c>
    </row>
    <row r="540" spans="1:1">
      <c r="A540" t="s">
        <v>773</v>
      </c>
    </row>
    <row r="541" spans="1:1">
      <c r="A541" t="s">
        <v>774</v>
      </c>
    </row>
    <row r="542" spans="1:1">
      <c r="A542" t="s">
        <v>775</v>
      </c>
    </row>
    <row r="543" spans="1:1">
      <c r="A543" t="s">
        <v>776</v>
      </c>
    </row>
    <row r="544" spans="1:1">
      <c r="A544" t="s">
        <v>421</v>
      </c>
    </row>
    <row r="545" spans="1:1">
      <c r="A545" t="s">
        <v>777</v>
      </c>
    </row>
    <row r="550" spans="1:1">
      <c r="A550" t="s">
        <v>778</v>
      </c>
    </row>
    <row r="551" spans="1:1">
      <c r="A551" t="s">
        <v>371</v>
      </c>
    </row>
    <row r="552" spans="1:1">
      <c r="A552" t="s">
        <v>779</v>
      </c>
    </row>
    <row r="553" spans="1:1">
      <c r="A553" t="s">
        <v>780</v>
      </c>
    </row>
    <row r="554" spans="1:1">
      <c r="A554" t="s">
        <v>374</v>
      </c>
    </row>
    <row r="555" spans="1:1">
      <c r="A555" t="s">
        <v>781</v>
      </c>
    </row>
    <row r="556" spans="1:1">
      <c r="A556" t="s">
        <v>376</v>
      </c>
    </row>
    <row r="558" spans="1:1">
      <c r="A558" t="s">
        <v>782</v>
      </c>
    </row>
    <row r="559" spans="1:1">
      <c r="A559" t="s">
        <v>378</v>
      </c>
    </row>
    <row r="560" spans="1:1">
      <c r="A560" t="s">
        <v>783</v>
      </c>
    </row>
    <row r="561" spans="1:1">
      <c r="A561" t="s">
        <v>784</v>
      </c>
    </row>
    <row r="562" spans="1:1">
      <c r="A562" t="s">
        <v>785</v>
      </c>
    </row>
    <row r="563" spans="1:1">
      <c r="A563" t="s">
        <v>786</v>
      </c>
    </row>
    <row r="564" spans="1:1">
      <c r="A564" t="s">
        <v>787</v>
      </c>
    </row>
    <row r="565" spans="1:1">
      <c r="A565" t="s">
        <v>788</v>
      </c>
    </row>
    <row r="566" spans="1:1">
      <c r="A566" t="s">
        <v>789</v>
      </c>
    </row>
    <row r="567" spans="1:1">
      <c r="A567" t="s">
        <v>790</v>
      </c>
    </row>
    <row r="568" spans="1:1">
      <c r="A568" t="s">
        <v>791</v>
      </c>
    </row>
    <row r="569" spans="1:1">
      <c r="A569" t="s">
        <v>792</v>
      </c>
    </row>
    <row r="570" spans="1:1">
      <c r="A570" t="s">
        <v>793</v>
      </c>
    </row>
    <row r="571" spans="1:1">
      <c r="A571" t="s">
        <v>794</v>
      </c>
    </row>
    <row r="572" spans="1:1">
      <c r="A572" t="s">
        <v>795</v>
      </c>
    </row>
    <row r="575" spans="1:1">
      <c r="A575" t="s">
        <v>392</v>
      </c>
    </row>
    <row r="576" spans="1:1">
      <c r="A576" t="s">
        <v>796</v>
      </c>
    </row>
    <row r="577" spans="1:1">
      <c r="A577" t="s">
        <v>797</v>
      </c>
    </row>
    <row r="578" spans="1:1">
      <c r="A578" t="s">
        <v>798</v>
      </c>
    </row>
    <row r="579" spans="1:1">
      <c r="A579" t="s">
        <v>799</v>
      </c>
    </row>
    <row r="580" spans="1:1">
      <c r="A580" t="s">
        <v>800</v>
      </c>
    </row>
    <row r="581" spans="1:1">
      <c r="A581" t="s">
        <v>801</v>
      </c>
    </row>
    <row r="582" spans="1:1">
      <c r="A582" t="s">
        <v>802</v>
      </c>
    </row>
    <row r="583" spans="1:1">
      <c r="A583" t="s">
        <v>803</v>
      </c>
    </row>
    <row r="584" spans="1:1">
      <c r="A584" t="s">
        <v>804</v>
      </c>
    </row>
    <row r="585" spans="1:1">
      <c r="A585" t="s">
        <v>805</v>
      </c>
    </row>
    <row r="586" spans="1:1">
      <c r="A586" t="s">
        <v>806</v>
      </c>
    </row>
    <row r="587" spans="1:1">
      <c r="A587" t="s">
        <v>807</v>
      </c>
    </row>
    <row r="588" spans="1:1">
      <c r="A588" t="s">
        <v>808</v>
      </c>
    </row>
    <row r="590" spans="1:1">
      <c r="A590" t="s">
        <v>406</v>
      </c>
    </row>
    <row r="591" spans="1:1">
      <c r="A591" t="s">
        <v>809</v>
      </c>
    </row>
    <row r="592" spans="1:1">
      <c r="A592" t="s">
        <v>810</v>
      </c>
    </row>
    <row r="593" spans="1:1">
      <c r="A593" t="s">
        <v>811</v>
      </c>
    </row>
    <row r="594" spans="1:1">
      <c r="A594" t="s">
        <v>812</v>
      </c>
    </row>
    <row r="595" spans="1:1">
      <c r="A595" t="s">
        <v>813</v>
      </c>
    </row>
    <row r="596" spans="1:1">
      <c r="A596" t="s">
        <v>814</v>
      </c>
    </row>
    <row r="597" spans="1:1">
      <c r="A597" t="s">
        <v>815</v>
      </c>
    </row>
    <row r="598" spans="1:1">
      <c r="A598" t="s">
        <v>816</v>
      </c>
    </row>
    <row r="599" spans="1:1">
      <c r="A599" t="s">
        <v>817</v>
      </c>
    </row>
    <row r="600" spans="1:1">
      <c r="A600" t="s">
        <v>818</v>
      </c>
    </row>
    <row r="601" spans="1:1">
      <c r="A601" t="s">
        <v>819</v>
      </c>
    </row>
    <row r="602" spans="1:1">
      <c r="A602" t="s">
        <v>820</v>
      </c>
    </row>
    <row r="603" spans="1:1">
      <c r="A603" t="s">
        <v>821</v>
      </c>
    </row>
    <row r="604" spans="1:1">
      <c r="A604" t="s">
        <v>822</v>
      </c>
    </row>
    <row r="605" spans="1:1">
      <c r="A605" t="s">
        <v>421</v>
      </c>
    </row>
    <row r="606" spans="1:1">
      <c r="A606" t="s">
        <v>823</v>
      </c>
    </row>
    <row r="611" spans="1:1">
      <c r="A611" t="s">
        <v>824</v>
      </c>
    </row>
    <row r="612" spans="1:1">
      <c r="A612" t="s">
        <v>371</v>
      </c>
    </row>
    <row r="613" spans="1:1">
      <c r="A613" t="s">
        <v>825</v>
      </c>
    </row>
    <row r="614" spans="1:1">
      <c r="A614" t="s">
        <v>826</v>
      </c>
    </row>
    <row r="615" spans="1:1">
      <c r="A615" t="s">
        <v>374</v>
      </c>
    </row>
    <row r="616" spans="1:1">
      <c r="A616" t="s">
        <v>827</v>
      </c>
    </row>
    <row r="617" spans="1:1">
      <c r="A617" t="s">
        <v>376</v>
      </c>
    </row>
    <row r="619" spans="1:1">
      <c r="A619" t="s">
        <v>782</v>
      </c>
    </row>
    <row r="620" spans="1:1">
      <c r="A620" t="s">
        <v>378</v>
      </c>
    </row>
    <row r="621" spans="1:1">
      <c r="A621" t="s">
        <v>828</v>
      </c>
    </row>
    <row r="622" spans="1:1">
      <c r="A622" t="s">
        <v>829</v>
      </c>
    </row>
    <row r="623" spans="1:1">
      <c r="A623" t="s">
        <v>830</v>
      </c>
    </row>
    <row r="624" spans="1:1">
      <c r="A624" t="s">
        <v>831</v>
      </c>
    </row>
    <row r="625" spans="1:1">
      <c r="A625" t="s">
        <v>832</v>
      </c>
    </row>
    <row r="626" spans="1:1">
      <c r="A626" t="s">
        <v>833</v>
      </c>
    </row>
    <row r="627" spans="1:1">
      <c r="A627" t="s">
        <v>834</v>
      </c>
    </row>
    <row r="628" spans="1:1">
      <c r="A628" t="s">
        <v>835</v>
      </c>
    </row>
    <row r="629" spans="1:1">
      <c r="A629" t="s">
        <v>836</v>
      </c>
    </row>
    <row r="630" spans="1:1">
      <c r="A630" t="s">
        <v>837</v>
      </c>
    </row>
    <row r="631" spans="1:1">
      <c r="A631" t="s">
        <v>838</v>
      </c>
    </row>
    <row r="632" spans="1:1">
      <c r="A632" t="s">
        <v>839</v>
      </c>
    </row>
    <row r="633" spans="1:1">
      <c r="A633" t="s">
        <v>840</v>
      </c>
    </row>
    <row r="636" spans="1:1">
      <c r="A636" t="s">
        <v>392</v>
      </c>
    </row>
    <row r="637" spans="1:1">
      <c r="A637" t="s">
        <v>841</v>
      </c>
    </row>
    <row r="638" spans="1:1">
      <c r="A638" t="s">
        <v>842</v>
      </c>
    </row>
    <row r="639" spans="1:1">
      <c r="A639" t="s">
        <v>843</v>
      </c>
    </row>
    <row r="640" spans="1:1">
      <c r="A640" t="s">
        <v>844</v>
      </c>
    </row>
    <row r="641" spans="1:1">
      <c r="A641" t="s">
        <v>845</v>
      </c>
    </row>
    <row r="642" spans="1:1">
      <c r="A642" t="s">
        <v>846</v>
      </c>
    </row>
    <row r="643" spans="1:1">
      <c r="A643" t="s">
        <v>847</v>
      </c>
    </row>
    <row r="644" spans="1:1">
      <c r="A644" t="s">
        <v>848</v>
      </c>
    </row>
    <row r="645" spans="1:1">
      <c r="A645" t="s">
        <v>849</v>
      </c>
    </row>
    <row r="646" spans="1:1">
      <c r="A646" t="s">
        <v>850</v>
      </c>
    </row>
    <row r="647" spans="1:1">
      <c r="A647" t="s">
        <v>851</v>
      </c>
    </row>
    <row r="648" spans="1:1">
      <c r="A648" t="s">
        <v>852</v>
      </c>
    </row>
    <row r="649" spans="1:1">
      <c r="A649" t="s">
        <v>853</v>
      </c>
    </row>
    <row r="651" spans="1:1">
      <c r="A651" t="s">
        <v>406</v>
      </c>
    </row>
    <row r="652" spans="1:1">
      <c r="A652" t="s">
        <v>854</v>
      </c>
    </row>
    <row r="653" spans="1:1">
      <c r="A653" t="s">
        <v>855</v>
      </c>
    </row>
    <row r="654" spans="1:1">
      <c r="A654" t="s">
        <v>856</v>
      </c>
    </row>
    <row r="655" spans="1:1">
      <c r="A655" t="s">
        <v>857</v>
      </c>
    </row>
    <row r="656" spans="1:1">
      <c r="A656" t="s">
        <v>858</v>
      </c>
    </row>
    <row r="657" spans="1:1">
      <c r="A657" t="s">
        <v>859</v>
      </c>
    </row>
    <row r="658" spans="1:1">
      <c r="A658" t="s">
        <v>860</v>
      </c>
    </row>
    <row r="659" spans="1:1">
      <c r="A659" t="s">
        <v>861</v>
      </c>
    </row>
    <row r="660" spans="1:1">
      <c r="A660" t="s">
        <v>862</v>
      </c>
    </row>
    <row r="661" spans="1:1">
      <c r="A661" t="s">
        <v>863</v>
      </c>
    </row>
    <row r="662" spans="1:1">
      <c r="A662" t="s">
        <v>864</v>
      </c>
    </row>
    <row r="663" spans="1:1">
      <c r="A663" t="s">
        <v>865</v>
      </c>
    </row>
    <row r="664" spans="1:1">
      <c r="A664" t="s">
        <v>866</v>
      </c>
    </row>
    <row r="665" spans="1:1">
      <c r="A665" t="s">
        <v>867</v>
      </c>
    </row>
    <row r="666" spans="1:1">
      <c r="A666" t="s">
        <v>421</v>
      </c>
    </row>
    <row r="667" spans="1:1">
      <c r="A667" t="s">
        <v>868</v>
      </c>
    </row>
    <row r="672" spans="1:1">
      <c r="A672" t="s">
        <v>869</v>
      </c>
    </row>
    <row r="673" spans="1:1">
      <c r="A673" t="s">
        <v>371</v>
      </c>
    </row>
    <row r="674" spans="1:1">
      <c r="A674" t="s">
        <v>870</v>
      </c>
    </row>
    <row r="675" spans="1:1">
      <c r="A675" t="s">
        <v>871</v>
      </c>
    </row>
    <row r="676" spans="1:1">
      <c r="A676" t="s">
        <v>374</v>
      </c>
    </row>
    <row r="677" spans="1:1">
      <c r="A677" t="s">
        <v>872</v>
      </c>
    </row>
    <row r="678" spans="1:1">
      <c r="A678" t="s">
        <v>376</v>
      </c>
    </row>
    <row r="680" spans="1:1">
      <c r="A680" t="s">
        <v>782</v>
      </c>
    </row>
    <row r="681" spans="1:1">
      <c r="A681" t="s">
        <v>378</v>
      </c>
    </row>
    <row r="682" spans="1:1">
      <c r="A682" t="s">
        <v>873</v>
      </c>
    </row>
    <row r="683" spans="1:1">
      <c r="A683" t="s">
        <v>874</v>
      </c>
    </row>
    <row r="684" spans="1:1">
      <c r="A684" t="s">
        <v>875</v>
      </c>
    </row>
    <row r="685" spans="1:1">
      <c r="A685" t="s">
        <v>876</v>
      </c>
    </row>
    <row r="686" spans="1:1">
      <c r="A686" t="s">
        <v>877</v>
      </c>
    </row>
    <row r="687" spans="1:1">
      <c r="A687" t="s">
        <v>878</v>
      </c>
    </row>
    <row r="688" spans="1:1">
      <c r="A688" t="s">
        <v>879</v>
      </c>
    </row>
    <row r="689" spans="1:1">
      <c r="A689" t="s">
        <v>880</v>
      </c>
    </row>
    <row r="690" spans="1:1">
      <c r="A690" t="s">
        <v>881</v>
      </c>
    </row>
    <row r="691" spans="1:1">
      <c r="A691" t="s">
        <v>882</v>
      </c>
    </row>
    <row r="692" spans="1:1">
      <c r="A692" t="s">
        <v>883</v>
      </c>
    </row>
    <row r="693" spans="1:1">
      <c r="A693" t="s">
        <v>884</v>
      </c>
    </row>
    <row r="694" spans="1:1">
      <c r="A694" t="s">
        <v>885</v>
      </c>
    </row>
    <row r="697" spans="1:1">
      <c r="A697" t="s">
        <v>392</v>
      </c>
    </row>
    <row r="698" spans="1:1">
      <c r="A698" t="s">
        <v>886</v>
      </c>
    </row>
    <row r="699" spans="1:1">
      <c r="A699" t="s">
        <v>887</v>
      </c>
    </row>
    <row r="700" spans="1:1">
      <c r="A700" t="s">
        <v>888</v>
      </c>
    </row>
    <row r="701" spans="1:1">
      <c r="A701" t="s">
        <v>889</v>
      </c>
    </row>
    <row r="702" spans="1:1">
      <c r="A702" t="s">
        <v>890</v>
      </c>
    </row>
    <row r="703" spans="1:1">
      <c r="A703" t="s">
        <v>891</v>
      </c>
    </row>
    <row r="704" spans="1:1">
      <c r="A704" t="s">
        <v>892</v>
      </c>
    </row>
    <row r="705" spans="1:1">
      <c r="A705" t="s">
        <v>893</v>
      </c>
    </row>
    <row r="706" spans="1:1">
      <c r="A706" t="s">
        <v>894</v>
      </c>
    </row>
    <row r="707" spans="1:1">
      <c r="A707" t="s">
        <v>895</v>
      </c>
    </row>
    <row r="708" spans="1:1">
      <c r="A708" t="s">
        <v>896</v>
      </c>
    </row>
    <row r="709" spans="1:1">
      <c r="A709" t="s">
        <v>897</v>
      </c>
    </row>
    <row r="710" spans="1:1">
      <c r="A710" t="s">
        <v>898</v>
      </c>
    </row>
    <row r="712" spans="1:1">
      <c r="A712" t="s">
        <v>406</v>
      </c>
    </row>
    <row r="713" spans="1:1">
      <c r="A713" t="s">
        <v>899</v>
      </c>
    </row>
    <row r="714" spans="1:1">
      <c r="A714" t="s">
        <v>900</v>
      </c>
    </row>
    <row r="715" spans="1:1">
      <c r="A715" t="s">
        <v>901</v>
      </c>
    </row>
    <row r="716" spans="1:1">
      <c r="A716" t="s">
        <v>902</v>
      </c>
    </row>
    <row r="717" spans="1:1">
      <c r="A717" t="s">
        <v>903</v>
      </c>
    </row>
    <row r="718" spans="1:1">
      <c r="A718" t="s">
        <v>904</v>
      </c>
    </row>
    <row r="719" spans="1:1">
      <c r="A719" t="s">
        <v>905</v>
      </c>
    </row>
    <row r="720" spans="1:1">
      <c r="A720" t="s">
        <v>906</v>
      </c>
    </row>
    <row r="721" spans="1:1">
      <c r="A721" t="s">
        <v>907</v>
      </c>
    </row>
    <row r="722" spans="1:1">
      <c r="A722" t="s">
        <v>908</v>
      </c>
    </row>
    <row r="723" spans="1:1">
      <c r="A723" t="s">
        <v>909</v>
      </c>
    </row>
    <row r="724" spans="1:1">
      <c r="A724" t="s">
        <v>910</v>
      </c>
    </row>
    <row r="725" spans="1:1">
      <c r="A725" t="s">
        <v>911</v>
      </c>
    </row>
    <row r="726" spans="1:1">
      <c r="A726" t="s">
        <v>912</v>
      </c>
    </row>
    <row r="727" spans="1:1">
      <c r="A727" t="s">
        <v>421</v>
      </c>
    </row>
    <row r="728" spans="1:1">
      <c r="A728" t="s">
        <v>913</v>
      </c>
    </row>
    <row r="733" spans="1:1">
      <c r="A733" t="s">
        <v>914</v>
      </c>
    </row>
    <row r="734" spans="1:1">
      <c r="A734" t="s">
        <v>371</v>
      </c>
    </row>
    <row r="735" spans="1:1">
      <c r="A735" t="s">
        <v>915</v>
      </c>
    </row>
    <row r="736" spans="1:1">
      <c r="A736" t="s">
        <v>916</v>
      </c>
    </row>
    <row r="737" spans="1:1">
      <c r="A737" t="s">
        <v>374</v>
      </c>
    </row>
    <row r="738" spans="1:1">
      <c r="A738" t="s">
        <v>917</v>
      </c>
    </row>
    <row r="739" spans="1:1">
      <c r="A739" t="s">
        <v>376</v>
      </c>
    </row>
    <row r="741" spans="1:1">
      <c r="A741" t="s">
        <v>782</v>
      </c>
    </row>
    <row r="742" spans="1:1">
      <c r="A742" t="s">
        <v>378</v>
      </c>
    </row>
    <row r="743" spans="1:1">
      <c r="A743" t="s">
        <v>918</v>
      </c>
    </row>
    <row r="744" spans="1:1">
      <c r="A744" t="s">
        <v>919</v>
      </c>
    </row>
    <row r="745" spans="1:1">
      <c r="A745" t="s">
        <v>920</v>
      </c>
    </row>
    <row r="746" spans="1:1">
      <c r="A746" t="s">
        <v>921</v>
      </c>
    </row>
    <row r="747" spans="1:1">
      <c r="A747" t="s">
        <v>922</v>
      </c>
    </row>
    <row r="748" spans="1:1">
      <c r="A748" t="s">
        <v>923</v>
      </c>
    </row>
    <row r="749" spans="1:1">
      <c r="A749" t="s">
        <v>924</v>
      </c>
    </row>
    <row r="750" spans="1:1">
      <c r="A750" t="s">
        <v>925</v>
      </c>
    </row>
    <row r="751" spans="1:1">
      <c r="A751" t="s">
        <v>926</v>
      </c>
    </row>
    <row r="752" spans="1:1">
      <c r="A752" t="s">
        <v>927</v>
      </c>
    </row>
    <row r="753" spans="1:1">
      <c r="A753" t="s">
        <v>928</v>
      </c>
    </row>
    <row r="754" spans="1:1">
      <c r="A754" t="s">
        <v>929</v>
      </c>
    </row>
    <row r="755" spans="1:1">
      <c r="A755" t="s">
        <v>930</v>
      </c>
    </row>
    <row r="758" spans="1:1">
      <c r="A758" t="s">
        <v>392</v>
      </c>
    </row>
    <row r="759" spans="1:1">
      <c r="A759" t="s">
        <v>931</v>
      </c>
    </row>
    <row r="760" spans="1:1">
      <c r="A760" t="s">
        <v>932</v>
      </c>
    </row>
    <row r="761" spans="1:1">
      <c r="A761" t="s">
        <v>933</v>
      </c>
    </row>
    <row r="762" spans="1:1">
      <c r="A762" t="s">
        <v>934</v>
      </c>
    </row>
    <row r="763" spans="1:1">
      <c r="A763" t="s">
        <v>935</v>
      </c>
    </row>
    <row r="764" spans="1:1">
      <c r="A764" t="s">
        <v>936</v>
      </c>
    </row>
    <row r="765" spans="1:1">
      <c r="A765" t="s">
        <v>937</v>
      </c>
    </row>
    <row r="766" spans="1:1">
      <c r="A766" t="s">
        <v>938</v>
      </c>
    </row>
    <row r="767" spans="1:1">
      <c r="A767" t="s">
        <v>939</v>
      </c>
    </row>
    <row r="768" spans="1:1">
      <c r="A768" t="s">
        <v>940</v>
      </c>
    </row>
    <row r="769" spans="1:1">
      <c r="A769" t="s">
        <v>941</v>
      </c>
    </row>
    <row r="770" spans="1:1">
      <c r="A770" t="s">
        <v>942</v>
      </c>
    </row>
    <row r="771" spans="1:1">
      <c r="A771" t="s">
        <v>943</v>
      </c>
    </row>
    <row r="773" spans="1:1">
      <c r="A773" t="s">
        <v>406</v>
      </c>
    </row>
    <row r="774" spans="1:1">
      <c r="A774" t="s">
        <v>944</v>
      </c>
    </row>
    <row r="775" spans="1:1">
      <c r="A775" t="s">
        <v>945</v>
      </c>
    </row>
    <row r="776" spans="1:1">
      <c r="A776" t="s">
        <v>946</v>
      </c>
    </row>
    <row r="777" spans="1:1">
      <c r="A777" t="s">
        <v>947</v>
      </c>
    </row>
    <row r="778" spans="1:1">
      <c r="A778" t="s">
        <v>948</v>
      </c>
    </row>
    <row r="779" spans="1:1">
      <c r="A779" t="s">
        <v>949</v>
      </c>
    </row>
    <row r="780" spans="1:1">
      <c r="A780" t="s">
        <v>950</v>
      </c>
    </row>
    <row r="781" spans="1:1">
      <c r="A781" t="s">
        <v>951</v>
      </c>
    </row>
    <row r="782" spans="1:1">
      <c r="A782" t="s">
        <v>952</v>
      </c>
    </row>
    <row r="783" spans="1:1">
      <c r="A783" t="s">
        <v>953</v>
      </c>
    </row>
    <row r="784" spans="1:1">
      <c r="A784" t="s">
        <v>954</v>
      </c>
    </row>
    <row r="785" spans="1:1">
      <c r="A785" t="s">
        <v>955</v>
      </c>
    </row>
    <row r="786" spans="1:1">
      <c r="A786" t="s">
        <v>956</v>
      </c>
    </row>
    <row r="787" spans="1:1">
      <c r="A787" t="s">
        <v>957</v>
      </c>
    </row>
    <row r="788" spans="1:1">
      <c r="A788" t="s">
        <v>421</v>
      </c>
    </row>
    <row r="789" spans="1:1">
      <c r="A789" t="s">
        <v>958</v>
      </c>
    </row>
    <row r="794" spans="1:1">
      <c r="A794" t="s">
        <v>959</v>
      </c>
    </row>
    <row r="795" spans="1:1">
      <c r="A795" t="s">
        <v>371</v>
      </c>
    </row>
    <row r="796" spans="1:1">
      <c r="A796" t="s">
        <v>960</v>
      </c>
    </row>
    <row r="797" spans="1:1">
      <c r="A797" t="s">
        <v>961</v>
      </c>
    </row>
    <row r="798" spans="1:1">
      <c r="A798" t="s">
        <v>374</v>
      </c>
    </row>
    <row r="799" spans="1:1">
      <c r="A799" t="s">
        <v>962</v>
      </c>
    </row>
    <row r="800" spans="1:1">
      <c r="A800" t="s">
        <v>376</v>
      </c>
    </row>
    <row r="802" spans="1:1">
      <c r="A802" t="s">
        <v>782</v>
      </c>
    </row>
    <row r="803" spans="1:1">
      <c r="A803" t="s">
        <v>378</v>
      </c>
    </row>
    <row r="804" spans="1:1">
      <c r="A804" t="s">
        <v>963</v>
      </c>
    </row>
    <row r="805" spans="1:1">
      <c r="A805" t="s">
        <v>964</v>
      </c>
    </row>
    <row r="806" spans="1:1">
      <c r="A806" t="s">
        <v>965</v>
      </c>
    </row>
    <row r="807" spans="1:1">
      <c r="A807" t="s">
        <v>966</v>
      </c>
    </row>
    <row r="808" spans="1:1">
      <c r="A808" t="s">
        <v>967</v>
      </c>
    </row>
    <row r="809" spans="1:1">
      <c r="A809" t="s">
        <v>968</v>
      </c>
    </row>
    <row r="810" spans="1:1">
      <c r="A810" t="s">
        <v>969</v>
      </c>
    </row>
    <row r="811" spans="1:1">
      <c r="A811" t="s">
        <v>970</v>
      </c>
    </row>
    <row r="812" spans="1:1">
      <c r="A812" t="s">
        <v>971</v>
      </c>
    </row>
    <row r="813" spans="1:1">
      <c r="A813" t="s">
        <v>972</v>
      </c>
    </row>
    <row r="814" spans="1:1">
      <c r="A814" t="s">
        <v>973</v>
      </c>
    </row>
    <row r="815" spans="1:1">
      <c r="A815" t="s">
        <v>974</v>
      </c>
    </row>
    <row r="816" spans="1:1">
      <c r="A816" t="s">
        <v>975</v>
      </c>
    </row>
    <row r="819" spans="1:1">
      <c r="A819" t="s">
        <v>392</v>
      </c>
    </row>
    <row r="820" spans="1:1">
      <c r="A820" t="s">
        <v>976</v>
      </c>
    </row>
    <row r="821" spans="1:1">
      <c r="A821" t="s">
        <v>977</v>
      </c>
    </row>
    <row r="822" spans="1:1">
      <c r="A822" t="s">
        <v>978</v>
      </c>
    </row>
    <row r="823" spans="1:1">
      <c r="A823" t="s">
        <v>979</v>
      </c>
    </row>
    <row r="824" spans="1:1">
      <c r="A824" t="s">
        <v>980</v>
      </c>
    </row>
    <row r="825" spans="1:1">
      <c r="A825" t="s">
        <v>981</v>
      </c>
    </row>
    <row r="826" spans="1:1">
      <c r="A826" t="s">
        <v>982</v>
      </c>
    </row>
    <row r="827" spans="1:1">
      <c r="A827" t="s">
        <v>983</v>
      </c>
    </row>
    <row r="828" spans="1:1">
      <c r="A828" t="s">
        <v>984</v>
      </c>
    </row>
    <row r="829" spans="1:1">
      <c r="A829" t="s">
        <v>985</v>
      </c>
    </row>
    <row r="830" spans="1:1">
      <c r="A830" t="s">
        <v>986</v>
      </c>
    </row>
    <row r="831" spans="1:1">
      <c r="A831" t="s">
        <v>987</v>
      </c>
    </row>
    <row r="832" spans="1:1">
      <c r="A832" t="s">
        <v>988</v>
      </c>
    </row>
    <row r="834" spans="1:1">
      <c r="A834" t="s">
        <v>406</v>
      </c>
    </row>
    <row r="835" spans="1:1">
      <c r="A835" t="s">
        <v>989</v>
      </c>
    </row>
    <row r="836" spans="1:1">
      <c r="A836" t="s">
        <v>990</v>
      </c>
    </row>
    <row r="837" spans="1:1">
      <c r="A837" t="s">
        <v>991</v>
      </c>
    </row>
    <row r="838" spans="1:1">
      <c r="A838" t="s">
        <v>992</v>
      </c>
    </row>
    <row r="839" spans="1:1">
      <c r="A839" t="s">
        <v>993</v>
      </c>
    </row>
    <row r="840" spans="1:1">
      <c r="A840" t="s">
        <v>994</v>
      </c>
    </row>
    <row r="841" spans="1:1">
      <c r="A841" t="s">
        <v>995</v>
      </c>
    </row>
    <row r="842" spans="1:1">
      <c r="A842" t="s">
        <v>996</v>
      </c>
    </row>
    <row r="843" spans="1:1">
      <c r="A843" t="s">
        <v>997</v>
      </c>
    </row>
    <row r="844" spans="1:1">
      <c r="A844" t="s">
        <v>998</v>
      </c>
    </row>
    <row r="845" spans="1:1">
      <c r="A845" t="s">
        <v>999</v>
      </c>
    </row>
    <row r="846" spans="1:1">
      <c r="A846" t="s">
        <v>1000</v>
      </c>
    </row>
    <row r="847" spans="1:1">
      <c r="A847" t="s">
        <v>1001</v>
      </c>
    </row>
    <row r="848" spans="1:1">
      <c r="A848" t="s">
        <v>1002</v>
      </c>
    </row>
    <row r="849" spans="1:1">
      <c r="A849" t="s">
        <v>421</v>
      </c>
    </row>
    <row r="850" spans="1:1">
      <c r="A850" t="s">
        <v>1003</v>
      </c>
    </row>
    <row r="855" spans="1:1">
      <c r="A855" t="s">
        <v>1004</v>
      </c>
    </row>
    <row r="856" spans="1:1">
      <c r="A856" t="s">
        <v>371</v>
      </c>
    </row>
    <row r="857" spans="1:1">
      <c r="A857" t="s">
        <v>1005</v>
      </c>
    </row>
    <row r="858" spans="1:1">
      <c r="A858" t="s">
        <v>1006</v>
      </c>
    </row>
    <row r="859" spans="1:1">
      <c r="A859" t="s">
        <v>374</v>
      </c>
    </row>
    <row r="860" spans="1:1">
      <c r="A860" t="s">
        <v>1007</v>
      </c>
    </row>
    <row r="861" spans="1:1">
      <c r="A861" t="s">
        <v>376</v>
      </c>
    </row>
    <row r="863" spans="1:1">
      <c r="A863" t="s">
        <v>782</v>
      </c>
    </row>
    <row r="864" spans="1:1">
      <c r="A864" t="s">
        <v>378</v>
      </c>
    </row>
    <row r="865" spans="1:1">
      <c r="A865" t="s">
        <v>1008</v>
      </c>
    </row>
    <row r="866" spans="1:1">
      <c r="A866" t="s">
        <v>1009</v>
      </c>
    </row>
    <row r="867" spans="1:1">
      <c r="A867" t="s">
        <v>1010</v>
      </c>
    </row>
    <row r="868" spans="1:1">
      <c r="A868" t="s">
        <v>1011</v>
      </c>
    </row>
    <row r="869" spans="1:1">
      <c r="A869" t="s">
        <v>1012</v>
      </c>
    </row>
    <row r="870" spans="1:1">
      <c r="A870" t="s">
        <v>1013</v>
      </c>
    </row>
    <row r="871" spans="1:1">
      <c r="A871" t="s">
        <v>1014</v>
      </c>
    </row>
    <row r="872" spans="1:1">
      <c r="A872" t="s">
        <v>1015</v>
      </c>
    </row>
    <row r="873" spans="1:1">
      <c r="A873" t="s">
        <v>1016</v>
      </c>
    </row>
    <row r="874" spans="1:1">
      <c r="A874" t="s">
        <v>1017</v>
      </c>
    </row>
    <row r="875" spans="1:1">
      <c r="A875" t="s">
        <v>1018</v>
      </c>
    </row>
    <row r="876" spans="1:1">
      <c r="A876" t="s">
        <v>1019</v>
      </c>
    </row>
    <row r="877" spans="1:1">
      <c r="A877" t="s">
        <v>1020</v>
      </c>
    </row>
    <row r="880" spans="1:1">
      <c r="A880" t="s">
        <v>392</v>
      </c>
    </row>
    <row r="881" spans="1:1">
      <c r="A881" t="s">
        <v>1021</v>
      </c>
    </row>
    <row r="882" spans="1:1">
      <c r="A882" t="s">
        <v>1022</v>
      </c>
    </row>
    <row r="883" spans="1:1">
      <c r="A883" t="s">
        <v>1023</v>
      </c>
    </row>
    <row r="884" spans="1:1">
      <c r="A884" t="s">
        <v>1024</v>
      </c>
    </row>
    <row r="885" spans="1:1">
      <c r="A885" t="s">
        <v>1025</v>
      </c>
    </row>
    <row r="886" spans="1:1">
      <c r="A886" t="s">
        <v>1026</v>
      </c>
    </row>
    <row r="887" spans="1:1">
      <c r="A887" t="s">
        <v>1027</v>
      </c>
    </row>
    <row r="888" spans="1:1">
      <c r="A888" t="s">
        <v>1028</v>
      </c>
    </row>
    <row r="889" spans="1:1">
      <c r="A889" t="s">
        <v>1029</v>
      </c>
    </row>
    <row r="890" spans="1:1">
      <c r="A890" t="s">
        <v>1030</v>
      </c>
    </row>
    <row r="891" spans="1:1">
      <c r="A891" t="s">
        <v>1031</v>
      </c>
    </row>
    <row r="892" spans="1:1">
      <c r="A892" t="s">
        <v>1032</v>
      </c>
    </row>
    <row r="893" spans="1:1">
      <c r="A893" t="s">
        <v>1033</v>
      </c>
    </row>
    <row r="895" spans="1:1">
      <c r="A895" t="s">
        <v>406</v>
      </c>
    </row>
    <row r="896" spans="1:1">
      <c r="A896" t="s">
        <v>1034</v>
      </c>
    </row>
    <row r="897" spans="1:1">
      <c r="A897" t="s">
        <v>1035</v>
      </c>
    </row>
    <row r="898" spans="1:1">
      <c r="A898" t="s">
        <v>1036</v>
      </c>
    </row>
    <row r="899" spans="1:1">
      <c r="A899" t="s">
        <v>1037</v>
      </c>
    </row>
    <row r="900" spans="1:1">
      <c r="A900" t="s">
        <v>1038</v>
      </c>
    </row>
    <row r="901" spans="1:1">
      <c r="A901" t="s">
        <v>1039</v>
      </c>
    </row>
    <row r="902" spans="1:1">
      <c r="A902" t="s">
        <v>1040</v>
      </c>
    </row>
    <row r="903" spans="1:1">
      <c r="A903" t="s">
        <v>1041</v>
      </c>
    </row>
    <row r="904" spans="1:1">
      <c r="A904" t="s">
        <v>1042</v>
      </c>
    </row>
    <row r="905" spans="1:1">
      <c r="A905" t="s">
        <v>1043</v>
      </c>
    </row>
    <row r="906" spans="1:1">
      <c r="A906" t="s">
        <v>1044</v>
      </c>
    </row>
    <row r="907" spans="1:1">
      <c r="A907" t="s">
        <v>1045</v>
      </c>
    </row>
    <row r="908" spans="1:1">
      <c r="A908" t="s">
        <v>1046</v>
      </c>
    </row>
    <row r="909" spans="1:1">
      <c r="A909" t="s">
        <v>1047</v>
      </c>
    </row>
    <row r="910" spans="1:1">
      <c r="A910" t="s">
        <v>421</v>
      </c>
    </row>
    <row r="911" spans="1:1">
      <c r="A911" t="s">
        <v>1048</v>
      </c>
    </row>
    <row r="916" spans="1:1">
      <c r="A916" t="s">
        <v>1049</v>
      </c>
    </row>
    <row r="917" spans="1:1">
      <c r="A917" t="s">
        <v>371</v>
      </c>
    </row>
    <row r="918" spans="1:1">
      <c r="A918" t="s">
        <v>1050</v>
      </c>
    </row>
    <row r="919" spans="1:1">
      <c r="A919" t="s">
        <v>1051</v>
      </c>
    </row>
    <row r="920" spans="1:1">
      <c r="A920" t="s">
        <v>374</v>
      </c>
    </row>
    <row r="921" spans="1:1">
      <c r="A921" t="s">
        <v>1052</v>
      </c>
    </row>
    <row r="922" spans="1:1">
      <c r="A922" t="s">
        <v>376</v>
      </c>
    </row>
    <row r="924" spans="1:1">
      <c r="A924" t="s">
        <v>782</v>
      </c>
    </row>
    <row r="925" spans="1:1">
      <c r="A925" t="s">
        <v>378</v>
      </c>
    </row>
    <row r="926" spans="1:1">
      <c r="A926" t="s">
        <v>1053</v>
      </c>
    </row>
    <row r="927" spans="1:1">
      <c r="A927" t="s">
        <v>1054</v>
      </c>
    </row>
    <row r="928" spans="1:1">
      <c r="A928" t="s">
        <v>1055</v>
      </c>
    </row>
    <row r="929" spans="1:1">
      <c r="A929" t="s">
        <v>1056</v>
      </c>
    </row>
    <row r="930" spans="1:1">
      <c r="A930" t="s">
        <v>1057</v>
      </c>
    </row>
    <row r="931" spans="1:1">
      <c r="A931" t="s">
        <v>1058</v>
      </c>
    </row>
    <row r="932" spans="1:1">
      <c r="A932" t="s">
        <v>1059</v>
      </c>
    </row>
    <row r="933" spans="1:1">
      <c r="A933" t="s">
        <v>1060</v>
      </c>
    </row>
    <row r="934" spans="1:1">
      <c r="A934" t="s">
        <v>1061</v>
      </c>
    </row>
    <row r="935" spans="1:1">
      <c r="A935" t="s">
        <v>1062</v>
      </c>
    </row>
    <row r="936" spans="1:1">
      <c r="A936" t="s">
        <v>1063</v>
      </c>
    </row>
    <row r="937" spans="1:1">
      <c r="A937" t="s">
        <v>1064</v>
      </c>
    </row>
    <row r="938" spans="1:1">
      <c r="A938" t="s">
        <v>1065</v>
      </c>
    </row>
    <row r="941" spans="1:1">
      <c r="A941" t="s">
        <v>392</v>
      </c>
    </row>
    <row r="942" spans="1:1">
      <c r="A942" t="s">
        <v>1066</v>
      </c>
    </row>
    <row r="943" spans="1:1">
      <c r="A943" t="s">
        <v>1067</v>
      </c>
    </row>
    <row r="944" spans="1:1">
      <c r="A944" t="s">
        <v>1068</v>
      </c>
    </row>
    <row r="945" spans="1:1">
      <c r="A945" t="s">
        <v>1069</v>
      </c>
    </row>
    <row r="946" spans="1:1">
      <c r="A946" t="s">
        <v>1070</v>
      </c>
    </row>
    <row r="947" spans="1:1">
      <c r="A947" t="s">
        <v>1071</v>
      </c>
    </row>
    <row r="948" spans="1:1">
      <c r="A948" t="s">
        <v>1072</v>
      </c>
    </row>
    <row r="949" spans="1:1">
      <c r="A949" t="s">
        <v>1073</v>
      </c>
    </row>
    <row r="950" spans="1:1">
      <c r="A950" t="s">
        <v>1074</v>
      </c>
    </row>
    <row r="951" spans="1:1">
      <c r="A951" t="s">
        <v>1075</v>
      </c>
    </row>
    <row r="952" spans="1:1">
      <c r="A952" t="s">
        <v>1076</v>
      </c>
    </row>
    <row r="953" spans="1:1">
      <c r="A953" t="s">
        <v>1077</v>
      </c>
    </row>
    <row r="954" spans="1:1">
      <c r="A954" t="s">
        <v>1078</v>
      </c>
    </row>
    <row r="956" spans="1:1">
      <c r="A956" t="s">
        <v>406</v>
      </c>
    </row>
    <row r="957" spans="1:1">
      <c r="A957" t="s">
        <v>1079</v>
      </c>
    </row>
    <row r="958" spans="1:1">
      <c r="A958" t="s">
        <v>1080</v>
      </c>
    </row>
    <row r="959" spans="1:1">
      <c r="A959" t="s">
        <v>1081</v>
      </c>
    </row>
    <row r="960" spans="1:1">
      <c r="A960" t="s">
        <v>1082</v>
      </c>
    </row>
    <row r="961" spans="1:1">
      <c r="A961" t="s">
        <v>1083</v>
      </c>
    </row>
    <row r="962" spans="1:1">
      <c r="A962" t="s">
        <v>1084</v>
      </c>
    </row>
    <row r="963" spans="1:1">
      <c r="A963" t="s">
        <v>1085</v>
      </c>
    </row>
    <row r="964" spans="1:1">
      <c r="A964" t="s">
        <v>1086</v>
      </c>
    </row>
    <row r="965" spans="1:1">
      <c r="A965" t="s">
        <v>1087</v>
      </c>
    </row>
    <row r="966" spans="1:1">
      <c r="A966" t="s">
        <v>1088</v>
      </c>
    </row>
    <row r="967" spans="1:1">
      <c r="A967" t="s">
        <v>1089</v>
      </c>
    </row>
    <row r="968" spans="1:1">
      <c r="A968" t="s">
        <v>1090</v>
      </c>
    </row>
    <row r="969" spans="1:1">
      <c r="A969" t="s">
        <v>1091</v>
      </c>
    </row>
    <row r="970" spans="1:1">
      <c r="A970" t="s">
        <v>1092</v>
      </c>
    </row>
    <row r="971" spans="1:1">
      <c r="A971" t="s">
        <v>421</v>
      </c>
    </row>
    <row r="972" spans="1:1">
      <c r="A972" t="s">
        <v>1093</v>
      </c>
    </row>
    <row r="977" spans="1:1">
      <c r="A977" t="s">
        <v>1094</v>
      </c>
    </row>
    <row r="978" spans="1:1">
      <c r="A978" t="s">
        <v>371</v>
      </c>
    </row>
    <row r="979" spans="1:1">
      <c r="A979" t="s">
        <v>1095</v>
      </c>
    </row>
    <row r="980" spans="1:1">
      <c r="A980" t="s">
        <v>1096</v>
      </c>
    </row>
    <row r="981" spans="1:1">
      <c r="A981" t="s">
        <v>374</v>
      </c>
    </row>
    <row r="982" spans="1:1">
      <c r="A982" t="s">
        <v>1097</v>
      </c>
    </row>
    <row r="983" spans="1:1">
      <c r="A983" t="s">
        <v>376</v>
      </c>
    </row>
    <row r="985" spans="1:1">
      <c r="A985" t="s">
        <v>782</v>
      </c>
    </row>
    <row r="986" spans="1:1">
      <c r="A986" t="s">
        <v>378</v>
      </c>
    </row>
    <row r="987" spans="1:1">
      <c r="A987" t="s">
        <v>1098</v>
      </c>
    </row>
    <row r="988" spans="1:1">
      <c r="A988" t="s">
        <v>1099</v>
      </c>
    </row>
    <row r="989" spans="1:1">
      <c r="A989" t="s">
        <v>1100</v>
      </c>
    </row>
    <row r="990" spans="1:1">
      <c r="A990" t="s">
        <v>1101</v>
      </c>
    </row>
    <row r="991" spans="1:1">
      <c r="A991" t="s">
        <v>1102</v>
      </c>
    </row>
    <row r="992" spans="1:1">
      <c r="A992" t="s">
        <v>1103</v>
      </c>
    </row>
    <row r="993" spans="1:1">
      <c r="A993" t="s">
        <v>1104</v>
      </c>
    </row>
    <row r="994" spans="1:1">
      <c r="A994" t="s">
        <v>1105</v>
      </c>
    </row>
    <row r="995" spans="1:1">
      <c r="A995" t="s">
        <v>1106</v>
      </c>
    </row>
    <row r="996" spans="1:1">
      <c r="A996" t="s">
        <v>1107</v>
      </c>
    </row>
    <row r="997" spans="1:1">
      <c r="A997" t="s">
        <v>1108</v>
      </c>
    </row>
    <row r="998" spans="1:1">
      <c r="A998" t="s">
        <v>1109</v>
      </c>
    </row>
    <row r="999" spans="1:1">
      <c r="A999" t="s">
        <v>1110</v>
      </c>
    </row>
    <row r="1002" spans="1:1">
      <c r="A1002" t="s">
        <v>392</v>
      </c>
    </row>
    <row r="1003" spans="1:1">
      <c r="A1003" t="s">
        <v>1111</v>
      </c>
    </row>
    <row r="1004" spans="1:1">
      <c r="A1004" t="s">
        <v>1112</v>
      </c>
    </row>
    <row r="1005" spans="1:1">
      <c r="A1005" t="s">
        <v>1113</v>
      </c>
    </row>
    <row r="1006" spans="1:1">
      <c r="A1006" t="s">
        <v>1114</v>
      </c>
    </row>
    <row r="1007" spans="1:1">
      <c r="A1007" t="s">
        <v>1115</v>
      </c>
    </row>
    <row r="1008" spans="1:1">
      <c r="A1008" t="s">
        <v>1116</v>
      </c>
    </row>
    <row r="1009" spans="1:1">
      <c r="A1009" t="s">
        <v>1117</v>
      </c>
    </row>
    <row r="1010" spans="1:1">
      <c r="A1010" t="s">
        <v>1118</v>
      </c>
    </row>
    <row r="1011" spans="1:1">
      <c r="A1011" t="s">
        <v>1119</v>
      </c>
    </row>
    <row r="1012" spans="1:1">
      <c r="A1012" t="s">
        <v>1120</v>
      </c>
    </row>
    <row r="1013" spans="1:1">
      <c r="A1013" t="s">
        <v>1121</v>
      </c>
    </row>
    <row r="1014" spans="1:1">
      <c r="A1014" t="s">
        <v>1122</v>
      </c>
    </row>
    <row r="1015" spans="1:1">
      <c r="A1015" t="s">
        <v>1123</v>
      </c>
    </row>
    <row r="1017" spans="1:1">
      <c r="A1017" t="s">
        <v>406</v>
      </c>
    </row>
    <row r="1018" spans="1:1">
      <c r="A1018" t="s">
        <v>1124</v>
      </c>
    </row>
    <row r="1019" spans="1:1">
      <c r="A1019" t="s">
        <v>1125</v>
      </c>
    </row>
    <row r="1020" spans="1:1">
      <c r="A1020" t="s">
        <v>1126</v>
      </c>
    </row>
    <row r="1021" spans="1:1">
      <c r="A1021" t="s">
        <v>1127</v>
      </c>
    </row>
    <row r="1022" spans="1:1">
      <c r="A1022" t="s">
        <v>1128</v>
      </c>
    </row>
    <row r="1023" spans="1:1">
      <c r="A1023" t="s">
        <v>1129</v>
      </c>
    </row>
    <row r="1024" spans="1:1">
      <c r="A1024" t="s">
        <v>1130</v>
      </c>
    </row>
    <row r="1025" spans="1:1">
      <c r="A1025" t="s">
        <v>1131</v>
      </c>
    </row>
    <row r="1026" spans="1:1">
      <c r="A1026" t="s">
        <v>1132</v>
      </c>
    </row>
    <row r="1027" spans="1:1">
      <c r="A1027" t="s">
        <v>1133</v>
      </c>
    </row>
    <row r="1028" spans="1:1">
      <c r="A1028" t="s">
        <v>1134</v>
      </c>
    </row>
    <row r="1029" spans="1:1">
      <c r="A1029" t="s">
        <v>1135</v>
      </c>
    </row>
    <row r="1030" spans="1:1">
      <c r="A1030" t="s">
        <v>1136</v>
      </c>
    </row>
    <row r="1031" spans="1:1">
      <c r="A1031" t="s">
        <v>1137</v>
      </c>
    </row>
    <row r="1032" spans="1:1">
      <c r="A1032" t="s">
        <v>421</v>
      </c>
    </row>
    <row r="1033" spans="1:1">
      <c r="A1033" t="s">
        <v>1138</v>
      </c>
    </row>
    <row r="1038" spans="1:1">
      <c r="A1038" t="s">
        <v>1139</v>
      </c>
    </row>
    <row r="1039" spans="1:1">
      <c r="A1039" t="s">
        <v>371</v>
      </c>
    </row>
    <row r="1040" spans="1:1">
      <c r="A1040" t="s">
        <v>1140</v>
      </c>
    </row>
    <row r="1041" spans="1:1">
      <c r="A1041" t="s">
        <v>1141</v>
      </c>
    </row>
    <row r="1042" spans="1:1">
      <c r="A1042" t="s">
        <v>374</v>
      </c>
    </row>
    <row r="1043" spans="1:1">
      <c r="A1043" t="s">
        <v>1142</v>
      </c>
    </row>
    <row r="1044" spans="1:1">
      <c r="A1044" t="s">
        <v>376</v>
      </c>
    </row>
    <row r="1046" spans="1:1">
      <c r="A1046" t="s">
        <v>782</v>
      </c>
    </row>
    <row r="1047" spans="1:1">
      <c r="A1047" t="s">
        <v>378</v>
      </c>
    </row>
    <row r="1048" spans="1:1">
      <c r="A1048" t="s">
        <v>1143</v>
      </c>
    </row>
    <row r="1049" spans="1:1">
      <c r="A1049" t="s">
        <v>1144</v>
      </c>
    </row>
    <row r="1050" spans="1:1">
      <c r="A1050" t="s">
        <v>1145</v>
      </c>
    </row>
    <row r="1051" spans="1:1">
      <c r="A1051" t="s">
        <v>1146</v>
      </c>
    </row>
    <row r="1052" spans="1:1">
      <c r="A1052" t="s">
        <v>1147</v>
      </c>
    </row>
    <row r="1053" spans="1:1">
      <c r="A1053" t="s">
        <v>1148</v>
      </c>
    </row>
    <row r="1054" spans="1:1">
      <c r="A1054" t="s">
        <v>1149</v>
      </c>
    </row>
    <row r="1055" spans="1:1">
      <c r="A1055" t="s">
        <v>1150</v>
      </c>
    </row>
    <row r="1056" spans="1:1">
      <c r="A1056" t="s">
        <v>1151</v>
      </c>
    </row>
    <row r="1057" spans="1:1">
      <c r="A1057" t="s">
        <v>1152</v>
      </c>
    </row>
    <row r="1058" spans="1:1">
      <c r="A1058" t="s">
        <v>1153</v>
      </c>
    </row>
    <row r="1059" spans="1:1">
      <c r="A1059" t="s">
        <v>1154</v>
      </c>
    </row>
    <row r="1060" spans="1:1">
      <c r="A1060" t="s">
        <v>1155</v>
      </c>
    </row>
    <row r="1063" spans="1:1">
      <c r="A1063" t="s">
        <v>392</v>
      </c>
    </row>
    <row r="1064" spans="1:1">
      <c r="A1064" t="s">
        <v>1156</v>
      </c>
    </row>
    <row r="1065" spans="1:1">
      <c r="A1065" t="s">
        <v>1157</v>
      </c>
    </row>
    <row r="1066" spans="1:1">
      <c r="A1066" t="s">
        <v>1158</v>
      </c>
    </row>
    <row r="1067" spans="1:1">
      <c r="A1067" t="s">
        <v>1159</v>
      </c>
    </row>
    <row r="1068" spans="1:1">
      <c r="A1068" t="s">
        <v>1160</v>
      </c>
    </row>
    <row r="1069" spans="1:1">
      <c r="A1069" t="s">
        <v>1161</v>
      </c>
    </row>
    <row r="1070" spans="1:1">
      <c r="A1070" t="s">
        <v>1162</v>
      </c>
    </row>
    <row r="1071" spans="1:1">
      <c r="A1071" t="s">
        <v>1163</v>
      </c>
    </row>
    <row r="1072" spans="1:1">
      <c r="A1072" t="s">
        <v>1164</v>
      </c>
    </row>
    <row r="1073" spans="1:1">
      <c r="A1073" t="s">
        <v>1165</v>
      </c>
    </row>
    <row r="1074" spans="1:1">
      <c r="A1074" t="s">
        <v>1166</v>
      </c>
    </row>
    <row r="1075" spans="1:1">
      <c r="A1075" t="s">
        <v>1167</v>
      </c>
    </row>
    <row r="1076" spans="1:1">
      <c r="A1076" t="s">
        <v>1168</v>
      </c>
    </row>
    <row r="1078" spans="1:1">
      <c r="A1078" t="s">
        <v>406</v>
      </c>
    </row>
    <row r="1079" spans="1:1">
      <c r="A1079" t="s">
        <v>1169</v>
      </c>
    </row>
    <row r="1080" spans="1:1">
      <c r="A1080" t="s">
        <v>1170</v>
      </c>
    </row>
    <row r="1081" spans="1:1">
      <c r="A1081" t="s">
        <v>1171</v>
      </c>
    </row>
    <row r="1082" spans="1:1">
      <c r="A1082" t="s">
        <v>1172</v>
      </c>
    </row>
    <row r="1083" spans="1:1">
      <c r="A1083" t="s">
        <v>1173</v>
      </c>
    </row>
    <row r="1084" spans="1:1">
      <c r="A1084" t="s">
        <v>1174</v>
      </c>
    </row>
    <row r="1085" spans="1:1">
      <c r="A1085" t="s">
        <v>1175</v>
      </c>
    </row>
    <row r="1086" spans="1:1">
      <c r="A1086" t="s">
        <v>1176</v>
      </c>
    </row>
    <row r="1087" spans="1:1">
      <c r="A1087" t="s">
        <v>1177</v>
      </c>
    </row>
    <row r="1088" spans="1:1">
      <c r="A1088" t="s">
        <v>1178</v>
      </c>
    </row>
    <row r="1089" spans="1:1">
      <c r="A1089" t="s">
        <v>1179</v>
      </c>
    </row>
    <row r="1090" spans="1:1">
      <c r="A1090" t="s">
        <v>1180</v>
      </c>
    </row>
    <row r="1091" spans="1:1">
      <c r="A1091" t="s">
        <v>1181</v>
      </c>
    </row>
    <row r="1092" spans="1:1">
      <c r="A1092" t="s">
        <v>1182</v>
      </c>
    </row>
    <row r="1093" spans="1:1">
      <c r="A1093" t="s">
        <v>421</v>
      </c>
    </row>
    <row r="1094" spans="1:1">
      <c r="A1094" t="s">
        <v>1183</v>
      </c>
    </row>
    <row r="1099" spans="1:1">
      <c r="A1099" t="s">
        <v>1184</v>
      </c>
    </row>
    <row r="1100" spans="1:1">
      <c r="A1100" t="s">
        <v>371</v>
      </c>
    </row>
    <row r="1101" spans="1:1">
      <c r="A1101" t="s">
        <v>1185</v>
      </c>
    </row>
    <row r="1102" spans="1:1">
      <c r="A1102" t="s">
        <v>1186</v>
      </c>
    </row>
    <row r="1103" spans="1:1">
      <c r="A1103" t="s">
        <v>374</v>
      </c>
    </row>
    <row r="1104" spans="1:1">
      <c r="A1104" t="s">
        <v>1187</v>
      </c>
    </row>
    <row r="1105" spans="1:1">
      <c r="A1105" t="s">
        <v>376</v>
      </c>
    </row>
    <row r="1107" spans="1:1">
      <c r="A1107" t="s">
        <v>782</v>
      </c>
    </row>
    <row r="1108" spans="1:1">
      <c r="A1108" t="s">
        <v>378</v>
      </c>
    </row>
    <row r="1109" spans="1:1">
      <c r="A1109" t="s">
        <v>1188</v>
      </c>
    </row>
    <row r="1110" spans="1:1">
      <c r="A1110" t="s">
        <v>1189</v>
      </c>
    </row>
    <row r="1111" spans="1:1">
      <c r="A1111" t="s">
        <v>1190</v>
      </c>
    </row>
    <row r="1112" spans="1:1">
      <c r="A1112" t="s">
        <v>1191</v>
      </c>
    </row>
    <row r="1113" spans="1:1">
      <c r="A1113" t="s">
        <v>1192</v>
      </c>
    </row>
    <row r="1114" spans="1:1">
      <c r="A1114" t="s">
        <v>1193</v>
      </c>
    </row>
    <row r="1115" spans="1:1">
      <c r="A1115" t="s">
        <v>1194</v>
      </c>
    </row>
    <row r="1116" spans="1:1">
      <c r="A1116" t="s">
        <v>1195</v>
      </c>
    </row>
    <row r="1117" spans="1:1">
      <c r="A1117" t="s">
        <v>1196</v>
      </c>
    </row>
    <row r="1118" spans="1:1">
      <c r="A1118" t="s">
        <v>1197</v>
      </c>
    </row>
    <row r="1119" spans="1:1">
      <c r="A1119" t="s">
        <v>1198</v>
      </c>
    </row>
    <row r="1120" spans="1:1">
      <c r="A1120" t="s">
        <v>1199</v>
      </c>
    </row>
    <row r="1121" spans="1:1">
      <c r="A1121" t="s">
        <v>1200</v>
      </c>
    </row>
    <row r="1124" spans="1:1">
      <c r="A1124" t="s">
        <v>392</v>
      </c>
    </row>
    <row r="1125" spans="1:1">
      <c r="A1125" t="s">
        <v>1201</v>
      </c>
    </row>
    <row r="1126" spans="1:1">
      <c r="A1126" t="s">
        <v>1202</v>
      </c>
    </row>
    <row r="1127" spans="1:1">
      <c r="A1127" t="s">
        <v>1203</v>
      </c>
    </row>
    <row r="1128" spans="1:1">
      <c r="A1128" t="s">
        <v>1204</v>
      </c>
    </row>
    <row r="1129" spans="1:1">
      <c r="A1129" t="s">
        <v>1205</v>
      </c>
    </row>
    <row r="1130" spans="1:1">
      <c r="A1130" t="s">
        <v>1206</v>
      </c>
    </row>
    <row r="1131" spans="1:1">
      <c r="A1131" t="s">
        <v>1207</v>
      </c>
    </row>
    <row r="1132" spans="1:1">
      <c r="A1132" t="s">
        <v>1208</v>
      </c>
    </row>
    <row r="1133" spans="1:1">
      <c r="A1133" t="s">
        <v>1209</v>
      </c>
    </row>
    <row r="1134" spans="1:1">
      <c r="A1134" t="s">
        <v>1210</v>
      </c>
    </row>
    <row r="1135" spans="1:1">
      <c r="A1135" t="s">
        <v>1211</v>
      </c>
    </row>
    <row r="1136" spans="1:1">
      <c r="A1136" t="s">
        <v>1212</v>
      </c>
    </row>
    <row r="1137" spans="1:1">
      <c r="A1137" t="s">
        <v>1213</v>
      </c>
    </row>
    <row r="1139" spans="1:1">
      <c r="A1139" t="s">
        <v>406</v>
      </c>
    </row>
    <row r="1140" spans="1:1">
      <c r="A1140" t="s">
        <v>1214</v>
      </c>
    </row>
    <row r="1141" spans="1:1">
      <c r="A1141" t="s">
        <v>1215</v>
      </c>
    </row>
    <row r="1142" spans="1:1">
      <c r="A1142" t="s">
        <v>1216</v>
      </c>
    </row>
    <row r="1143" spans="1:1">
      <c r="A1143" t="s">
        <v>1217</v>
      </c>
    </row>
    <row r="1144" spans="1:1">
      <c r="A1144" t="s">
        <v>1218</v>
      </c>
    </row>
    <row r="1145" spans="1:1">
      <c r="A1145" t="s">
        <v>1219</v>
      </c>
    </row>
    <row r="1146" spans="1:1">
      <c r="A1146" t="s">
        <v>1220</v>
      </c>
    </row>
    <row r="1147" spans="1:1">
      <c r="A1147" t="s">
        <v>1221</v>
      </c>
    </row>
    <row r="1148" spans="1:1">
      <c r="A1148" t="s">
        <v>1222</v>
      </c>
    </row>
    <row r="1149" spans="1:1">
      <c r="A1149" t="s">
        <v>1223</v>
      </c>
    </row>
    <row r="1150" spans="1:1">
      <c r="A1150" t="s">
        <v>1224</v>
      </c>
    </row>
    <row r="1151" spans="1:1">
      <c r="A1151" t="s">
        <v>1225</v>
      </c>
    </row>
    <row r="1152" spans="1:1">
      <c r="A1152" t="s">
        <v>1226</v>
      </c>
    </row>
    <row r="1153" spans="1:1">
      <c r="A1153" t="s">
        <v>1227</v>
      </c>
    </row>
    <row r="1154" spans="1:1">
      <c r="A1154" t="s">
        <v>421</v>
      </c>
    </row>
    <row r="1155" spans="1:1">
      <c r="A1155" t="s">
        <v>1228</v>
      </c>
    </row>
    <row r="1160" spans="1:1">
      <c r="A1160" t="s">
        <v>1229</v>
      </c>
    </row>
    <row r="1161" spans="1:1">
      <c r="A1161" t="s">
        <v>371</v>
      </c>
    </row>
    <row r="1162" spans="1:1">
      <c r="A1162" t="s">
        <v>1230</v>
      </c>
    </row>
    <row r="1163" spans="1:1">
      <c r="A1163" t="s">
        <v>1231</v>
      </c>
    </row>
    <row r="1164" spans="1:1">
      <c r="A1164" t="s">
        <v>374</v>
      </c>
    </row>
    <row r="1165" spans="1:1">
      <c r="A1165" t="s">
        <v>1232</v>
      </c>
    </row>
    <row r="1166" spans="1:1">
      <c r="A1166" t="s">
        <v>376</v>
      </c>
    </row>
    <row r="1168" spans="1:1">
      <c r="A1168" t="s">
        <v>782</v>
      </c>
    </row>
    <row r="1169" spans="1:1">
      <c r="A1169" t="s">
        <v>378</v>
      </c>
    </row>
    <row r="1170" spans="1:1">
      <c r="A1170" t="s">
        <v>1233</v>
      </c>
    </row>
    <row r="1171" spans="1:1">
      <c r="A1171" t="s">
        <v>1234</v>
      </c>
    </row>
    <row r="1172" spans="1:1">
      <c r="A1172" t="s">
        <v>1235</v>
      </c>
    </row>
    <row r="1173" spans="1:1">
      <c r="A1173" t="s">
        <v>1236</v>
      </c>
    </row>
    <row r="1174" spans="1:1">
      <c r="A1174" t="s">
        <v>1237</v>
      </c>
    </row>
    <row r="1175" spans="1:1">
      <c r="A1175" t="s">
        <v>1238</v>
      </c>
    </row>
    <row r="1176" spans="1:1">
      <c r="A1176" t="s">
        <v>1239</v>
      </c>
    </row>
    <row r="1177" spans="1:1">
      <c r="A1177" t="s">
        <v>1240</v>
      </c>
    </row>
    <row r="1178" spans="1:1">
      <c r="A1178" t="s">
        <v>1241</v>
      </c>
    </row>
    <row r="1179" spans="1:1">
      <c r="A1179" t="s">
        <v>1242</v>
      </c>
    </row>
    <row r="1180" spans="1:1">
      <c r="A1180" t="s">
        <v>1243</v>
      </c>
    </row>
    <row r="1181" spans="1:1">
      <c r="A1181" t="s">
        <v>1244</v>
      </c>
    </row>
    <row r="1182" spans="1:1">
      <c r="A1182" t="s">
        <v>1245</v>
      </c>
    </row>
    <row r="1185" spans="1:1">
      <c r="A1185" t="s">
        <v>392</v>
      </c>
    </row>
    <row r="1186" spans="1:1">
      <c r="A1186" t="s">
        <v>1246</v>
      </c>
    </row>
    <row r="1187" spans="1:1">
      <c r="A1187" t="s">
        <v>1247</v>
      </c>
    </row>
    <row r="1188" spans="1:1">
      <c r="A1188" t="s">
        <v>1248</v>
      </c>
    </row>
    <row r="1189" spans="1:1">
      <c r="A1189" t="s">
        <v>1249</v>
      </c>
    </row>
    <row r="1190" spans="1:1">
      <c r="A1190" t="s">
        <v>1250</v>
      </c>
    </row>
    <row r="1191" spans="1:1">
      <c r="A1191" t="s">
        <v>1251</v>
      </c>
    </row>
    <row r="1192" spans="1:1">
      <c r="A1192" t="s">
        <v>1252</v>
      </c>
    </row>
    <row r="1193" spans="1:1">
      <c r="A1193" t="s">
        <v>1253</v>
      </c>
    </row>
    <row r="1194" spans="1:1">
      <c r="A1194" t="s">
        <v>1254</v>
      </c>
    </row>
    <row r="1195" spans="1:1">
      <c r="A1195" t="s">
        <v>1255</v>
      </c>
    </row>
    <row r="1196" spans="1:1">
      <c r="A1196" t="s">
        <v>1256</v>
      </c>
    </row>
    <row r="1197" spans="1:1">
      <c r="A1197" t="s">
        <v>1257</v>
      </c>
    </row>
    <row r="1198" spans="1:1">
      <c r="A1198" t="s">
        <v>1258</v>
      </c>
    </row>
    <row r="1200" spans="1:1">
      <c r="A1200" t="s">
        <v>406</v>
      </c>
    </row>
    <row r="1201" spans="1:1">
      <c r="A1201" t="s">
        <v>1259</v>
      </c>
    </row>
    <row r="1202" spans="1:1">
      <c r="A1202" t="s">
        <v>1260</v>
      </c>
    </row>
    <row r="1203" spans="1:1">
      <c r="A1203" t="s">
        <v>1261</v>
      </c>
    </row>
    <row r="1204" spans="1:1">
      <c r="A1204" t="s">
        <v>1262</v>
      </c>
    </row>
    <row r="1205" spans="1:1">
      <c r="A1205" t="s">
        <v>1263</v>
      </c>
    </row>
    <row r="1206" spans="1:1">
      <c r="A1206" t="s">
        <v>1264</v>
      </c>
    </row>
    <row r="1207" spans="1:1">
      <c r="A1207" t="s">
        <v>1265</v>
      </c>
    </row>
    <row r="1208" spans="1:1">
      <c r="A1208" t="s">
        <v>1266</v>
      </c>
    </row>
    <row r="1209" spans="1:1">
      <c r="A1209" t="s">
        <v>1267</v>
      </c>
    </row>
    <row r="1210" spans="1:1">
      <c r="A1210" t="s">
        <v>1268</v>
      </c>
    </row>
    <row r="1211" spans="1:1">
      <c r="A1211" t="s">
        <v>1269</v>
      </c>
    </row>
    <row r="1212" spans="1:1">
      <c r="A1212" t="s">
        <v>1270</v>
      </c>
    </row>
    <row r="1213" spans="1:1">
      <c r="A1213" t="s">
        <v>1271</v>
      </c>
    </row>
    <row r="1214" spans="1:1">
      <c r="A1214" t="s">
        <v>1272</v>
      </c>
    </row>
    <row r="1215" spans="1:1">
      <c r="A1215" t="s">
        <v>421</v>
      </c>
    </row>
    <row r="1216" spans="1:1">
      <c r="A1216" t="s">
        <v>1273</v>
      </c>
    </row>
    <row r="1221" spans="1:1">
      <c r="A1221" t="s">
        <v>1274</v>
      </c>
    </row>
    <row r="1222" spans="1:1">
      <c r="A1222" t="s">
        <v>371</v>
      </c>
    </row>
    <row r="1223" spans="1:1">
      <c r="A1223" t="s">
        <v>1275</v>
      </c>
    </row>
    <row r="1224" spans="1:1">
      <c r="A1224" t="s">
        <v>1276</v>
      </c>
    </row>
    <row r="1225" spans="1:1">
      <c r="A1225" t="s">
        <v>374</v>
      </c>
    </row>
    <row r="1226" spans="1:1">
      <c r="A1226" t="s">
        <v>1277</v>
      </c>
    </row>
    <row r="1227" spans="1:1">
      <c r="A1227" t="s">
        <v>376</v>
      </c>
    </row>
    <row r="1229" spans="1:1">
      <c r="A1229" t="s">
        <v>782</v>
      </c>
    </row>
    <row r="1230" spans="1:1">
      <c r="A1230" t="s">
        <v>378</v>
      </c>
    </row>
    <row r="1231" spans="1:1">
      <c r="A1231" t="s">
        <v>1278</v>
      </c>
    </row>
    <row r="1232" spans="1:1">
      <c r="A1232" t="s">
        <v>1279</v>
      </c>
    </row>
    <row r="1233" spans="1:1">
      <c r="A1233" t="s">
        <v>1280</v>
      </c>
    </row>
    <row r="1234" spans="1:1">
      <c r="A1234" t="s">
        <v>1281</v>
      </c>
    </row>
    <row r="1235" spans="1:1">
      <c r="A1235" t="s">
        <v>1282</v>
      </c>
    </row>
    <row r="1236" spans="1:1">
      <c r="A1236" t="s">
        <v>1283</v>
      </c>
    </row>
    <row r="1237" spans="1:1">
      <c r="A1237" t="s">
        <v>1284</v>
      </c>
    </row>
    <row r="1238" spans="1:1">
      <c r="A1238" t="s">
        <v>1285</v>
      </c>
    </row>
    <row r="1239" spans="1:1">
      <c r="A1239" t="s">
        <v>1286</v>
      </c>
    </row>
    <row r="1240" spans="1:1">
      <c r="A1240" t="s">
        <v>1287</v>
      </c>
    </row>
    <row r="1241" spans="1:1">
      <c r="A1241" t="s">
        <v>1288</v>
      </c>
    </row>
    <row r="1242" spans="1:1">
      <c r="A1242" t="s">
        <v>1289</v>
      </c>
    </row>
    <row r="1243" spans="1:1">
      <c r="A1243" t="s">
        <v>1290</v>
      </c>
    </row>
    <row r="1246" spans="1:1">
      <c r="A1246" t="s">
        <v>392</v>
      </c>
    </row>
    <row r="1247" spans="1:1">
      <c r="A1247" t="s">
        <v>1291</v>
      </c>
    </row>
    <row r="1248" spans="1:1">
      <c r="A1248" t="s">
        <v>1292</v>
      </c>
    </row>
    <row r="1249" spans="1:1">
      <c r="A1249" t="s">
        <v>1293</v>
      </c>
    </row>
    <row r="1250" spans="1:1">
      <c r="A1250" t="s">
        <v>1294</v>
      </c>
    </row>
    <row r="1251" spans="1:1">
      <c r="A1251" t="s">
        <v>1295</v>
      </c>
    </row>
    <row r="1252" spans="1:1">
      <c r="A1252" t="s">
        <v>1296</v>
      </c>
    </row>
    <row r="1253" spans="1:1">
      <c r="A1253" t="s">
        <v>1297</v>
      </c>
    </row>
    <row r="1254" spans="1:1">
      <c r="A1254" t="s">
        <v>1298</v>
      </c>
    </row>
    <row r="1255" spans="1:1">
      <c r="A1255" t="s">
        <v>1299</v>
      </c>
    </row>
    <row r="1256" spans="1:1">
      <c r="A1256" t="s">
        <v>1300</v>
      </c>
    </row>
    <row r="1257" spans="1:1">
      <c r="A1257" t="s">
        <v>1301</v>
      </c>
    </row>
    <row r="1258" spans="1:1">
      <c r="A1258" t="s">
        <v>1302</v>
      </c>
    </row>
    <row r="1259" spans="1:1">
      <c r="A1259" t="s">
        <v>1303</v>
      </c>
    </row>
    <row r="1261" spans="1:1">
      <c r="A1261" t="s">
        <v>406</v>
      </c>
    </row>
    <row r="1262" spans="1:1">
      <c r="A1262" t="s">
        <v>1304</v>
      </c>
    </row>
    <row r="1263" spans="1:1">
      <c r="A1263" t="s">
        <v>1305</v>
      </c>
    </row>
    <row r="1264" spans="1:1">
      <c r="A1264" t="s">
        <v>1306</v>
      </c>
    </row>
    <row r="1265" spans="1:1">
      <c r="A1265" t="s">
        <v>1307</v>
      </c>
    </row>
    <row r="1266" spans="1:1">
      <c r="A1266" t="s">
        <v>1308</v>
      </c>
    </row>
    <row r="1267" spans="1:1">
      <c r="A1267" t="s">
        <v>1309</v>
      </c>
    </row>
    <row r="1268" spans="1:1">
      <c r="A1268" t="s">
        <v>1310</v>
      </c>
    </row>
    <row r="1269" spans="1:1">
      <c r="A1269" t="s">
        <v>1311</v>
      </c>
    </row>
    <row r="1270" spans="1:1">
      <c r="A1270" t="s">
        <v>1312</v>
      </c>
    </row>
    <row r="1271" spans="1:1">
      <c r="A1271" t="s">
        <v>1313</v>
      </c>
    </row>
    <row r="1272" spans="1:1">
      <c r="A1272" t="s">
        <v>1314</v>
      </c>
    </row>
    <row r="1273" spans="1:1">
      <c r="A1273" t="s">
        <v>1315</v>
      </c>
    </row>
    <row r="1274" spans="1:1">
      <c r="A1274" t="s">
        <v>1316</v>
      </c>
    </row>
    <row r="1275" spans="1:1">
      <c r="A1275" t="s">
        <v>1317</v>
      </c>
    </row>
    <row r="1276" spans="1:1">
      <c r="A1276" t="s">
        <v>421</v>
      </c>
    </row>
    <row r="1277" spans="1:1">
      <c r="A1277" t="s">
        <v>1318</v>
      </c>
    </row>
    <row r="1282" spans="1:1">
      <c r="A1282" t="s">
        <v>1319</v>
      </c>
    </row>
    <row r="1283" spans="1:1">
      <c r="A1283" t="s">
        <v>371</v>
      </c>
    </row>
    <row r="1284" spans="1:1">
      <c r="A1284" t="s">
        <v>1320</v>
      </c>
    </row>
    <row r="1285" spans="1:1">
      <c r="A1285" t="s">
        <v>1321</v>
      </c>
    </row>
    <row r="1286" spans="1:1">
      <c r="A1286" t="s">
        <v>374</v>
      </c>
    </row>
    <row r="1287" spans="1:1">
      <c r="A1287" t="s">
        <v>1322</v>
      </c>
    </row>
    <row r="1288" spans="1:1">
      <c r="A1288" t="s">
        <v>376</v>
      </c>
    </row>
    <row r="1290" spans="1:1">
      <c r="A1290" t="s">
        <v>1323</v>
      </c>
    </row>
    <row r="1291" spans="1:1">
      <c r="A1291" t="s">
        <v>378</v>
      </c>
    </row>
    <row r="1292" spans="1:1">
      <c r="A1292" t="s">
        <v>1324</v>
      </c>
    </row>
    <row r="1293" spans="1:1">
      <c r="A1293" t="s">
        <v>1325</v>
      </c>
    </row>
    <row r="1294" spans="1:1">
      <c r="A1294" t="s">
        <v>1326</v>
      </c>
    </row>
    <row r="1295" spans="1:1">
      <c r="A1295" t="s">
        <v>1327</v>
      </c>
    </row>
    <row r="1296" spans="1:1">
      <c r="A1296" t="s">
        <v>1328</v>
      </c>
    </row>
    <row r="1297" spans="1:1">
      <c r="A1297" t="s">
        <v>1329</v>
      </c>
    </row>
    <row r="1298" spans="1:1">
      <c r="A1298" t="s">
        <v>1330</v>
      </c>
    </row>
    <row r="1299" spans="1:1">
      <c r="A1299" t="s">
        <v>1331</v>
      </c>
    </row>
    <row r="1300" spans="1:1">
      <c r="A1300" t="s">
        <v>1332</v>
      </c>
    </row>
    <row r="1301" spans="1:1">
      <c r="A1301" t="s">
        <v>1333</v>
      </c>
    </row>
    <row r="1302" spans="1:1">
      <c r="A1302" t="s">
        <v>1334</v>
      </c>
    </row>
    <row r="1303" spans="1:1">
      <c r="A1303" t="s">
        <v>1335</v>
      </c>
    </row>
    <row r="1304" spans="1:1">
      <c r="A1304" t="s">
        <v>1336</v>
      </c>
    </row>
    <row r="1307" spans="1:1">
      <c r="A1307" t="s">
        <v>392</v>
      </c>
    </row>
    <row r="1308" spans="1:1">
      <c r="A1308" t="s">
        <v>1337</v>
      </c>
    </row>
    <row r="1309" spans="1:1">
      <c r="A1309" t="s">
        <v>1338</v>
      </c>
    </row>
    <row r="1310" spans="1:1">
      <c r="A1310" t="s">
        <v>1339</v>
      </c>
    </row>
    <row r="1311" spans="1:1">
      <c r="A1311" t="s">
        <v>1340</v>
      </c>
    </row>
    <row r="1312" spans="1:1">
      <c r="A1312" t="s">
        <v>1341</v>
      </c>
    </row>
    <row r="1313" spans="1:1">
      <c r="A1313" t="s">
        <v>1342</v>
      </c>
    </row>
    <row r="1314" spans="1:1">
      <c r="A1314" t="s">
        <v>1343</v>
      </c>
    </row>
    <row r="1315" spans="1:1">
      <c r="A1315" t="s">
        <v>1344</v>
      </c>
    </row>
    <row r="1316" spans="1:1">
      <c r="A1316" t="s">
        <v>1345</v>
      </c>
    </row>
    <row r="1317" spans="1:1">
      <c r="A1317" t="s">
        <v>1346</v>
      </c>
    </row>
    <row r="1318" spans="1:1">
      <c r="A1318" t="s">
        <v>1347</v>
      </c>
    </row>
    <row r="1319" spans="1:1">
      <c r="A1319" t="s">
        <v>1348</v>
      </c>
    </row>
    <row r="1320" spans="1:1">
      <c r="A1320" t="s">
        <v>1349</v>
      </c>
    </row>
    <row r="1322" spans="1:1">
      <c r="A1322" t="s">
        <v>406</v>
      </c>
    </row>
    <row r="1323" spans="1:1">
      <c r="A1323" t="s">
        <v>1350</v>
      </c>
    </row>
    <row r="1324" spans="1:1">
      <c r="A1324" t="s">
        <v>1351</v>
      </c>
    </row>
    <row r="1325" spans="1:1">
      <c r="A1325" t="s">
        <v>1352</v>
      </c>
    </row>
    <row r="1326" spans="1:1">
      <c r="A1326" t="s">
        <v>1353</v>
      </c>
    </row>
    <row r="1327" spans="1:1">
      <c r="A1327" t="s">
        <v>1354</v>
      </c>
    </row>
    <row r="1328" spans="1:1">
      <c r="A1328" t="s">
        <v>1355</v>
      </c>
    </row>
    <row r="1329" spans="1:1">
      <c r="A1329" t="s">
        <v>1356</v>
      </c>
    </row>
    <row r="1330" spans="1:1">
      <c r="A1330" t="s">
        <v>1357</v>
      </c>
    </row>
    <row r="1331" spans="1:1">
      <c r="A1331" t="s">
        <v>1358</v>
      </c>
    </row>
    <row r="1332" spans="1:1">
      <c r="A1332" t="s">
        <v>1359</v>
      </c>
    </row>
    <row r="1333" spans="1:1">
      <c r="A1333" t="s">
        <v>1360</v>
      </c>
    </row>
    <row r="1334" spans="1:1">
      <c r="A1334" t="s">
        <v>1361</v>
      </c>
    </row>
    <row r="1335" spans="1:1">
      <c r="A1335" t="s">
        <v>1362</v>
      </c>
    </row>
    <row r="1336" spans="1:1">
      <c r="A1336" t="s">
        <v>1363</v>
      </c>
    </row>
    <row r="1337" spans="1:1">
      <c r="A1337" t="s">
        <v>421</v>
      </c>
    </row>
    <row r="1338" spans="1:1">
      <c r="A1338" t="s">
        <v>1364</v>
      </c>
    </row>
    <row r="1343" spans="1:1">
      <c r="A1343" t="s">
        <v>1365</v>
      </c>
    </row>
    <row r="1344" spans="1:1">
      <c r="A1344" t="s">
        <v>371</v>
      </c>
    </row>
    <row r="1345" spans="1:1">
      <c r="A1345" t="s">
        <v>1366</v>
      </c>
    </row>
    <row r="1346" spans="1:1">
      <c r="A1346" t="s">
        <v>1367</v>
      </c>
    </row>
    <row r="1347" spans="1:1">
      <c r="A1347" t="s">
        <v>374</v>
      </c>
    </row>
    <row r="1348" spans="1:1">
      <c r="A1348" t="s">
        <v>1368</v>
      </c>
    </row>
    <row r="1349" spans="1:1">
      <c r="A1349" t="s">
        <v>376</v>
      </c>
    </row>
    <row r="1351" spans="1:1">
      <c r="A1351" t="s">
        <v>782</v>
      </c>
    </row>
    <row r="1352" spans="1:1">
      <c r="A1352" t="s">
        <v>378</v>
      </c>
    </row>
    <row r="1353" spans="1:1">
      <c r="A1353" t="s">
        <v>1369</v>
      </c>
    </row>
    <row r="1354" spans="1:1">
      <c r="A1354" t="s">
        <v>1370</v>
      </c>
    </row>
    <row r="1355" spans="1:1">
      <c r="A1355" t="s">
        <v>1371</v>
      </c>
    </row>
    <row r="1356" spans="1:1">
      <c r="A1356" t="s">
        <v>1372</v>
      </c>
    </row>
    <row r="1357" spans="1:1">
      <c r="A1357" t="s">
        <v>1373</v>
      </c>
    </row>
    <row r="1358" spans="1:1">
      <c r="A1358" t="s">
        <v>1374</v>
      </c>
    </row>
    <row r="1359" spans="1:1">
      <c r="A1359" t="s">
        <v>1375</v>
      </c>
    </row>
    <row r="1360" spans="1:1">
      <c r="A1360" t="s">
        <v>1376</v>
      </c>
    </row>
    <row r="1361" spans="1:1">
      <c r="A1361" t="s">
        <v>1377</v>
      </c>
    </row>
    <row r="1362" spans="1:1">
      <c r="A1362" t="s">
        <v>1378</v>
      </c>
    </row>
    <row r="1363" spans="1:1">
      <c r="A1363" t="s">
        <v>1379</v>
      </c>
    </row>
    <row r="1364" spans="1:1">
      <c r="A1364" t="s">
        <v>1380</v>
      </c>
    </row>
    <row r="1365" spans="1:1">
      <c r="A1365" t="s">
        <v>1381</v>
      </c>
    </row>
    <row r="1368" spans="1:1">
      <c r="A1368" t="s">
        <v>392</v>
      </c>
    </row>
    <row r="1369" spans="1:1">
      <c r="A1369" t="s">
        <v>1382</v>
      </c>
    </row>
    <row r="1370" spans="1:1">
      <c r="A1370" t="s">
        <v>1383</v>
      </c>
    </row>
    <row r="1371" spans="1:1">
      <c r="A1371" t="s">
        <v>1384</v>
      </c>
    </row>
    <row r="1372" spans="1:1">
      <c r="A1372" t="s">
        <v>1385</v>
      </c>
    </row>
    <row r="1373" spans="1:1">
      <c r="A1373" t="s">
        <v>1386</v>
      </c>
    </row>
    <row r="1374" spans="1:1">
      <c r="A1374" t="s">
        <v>1387</v>
      </c>
    </row>
    <row r="1375" spans="1:1">
      <c r="A1375" t="s">
        <v>1388</v>
      </c>
    </row>
    <row r="1376" spans="1:1">
      <c r="A1376" t="s">
        <v>1389</v>
      </c>
    </row>
    <row r="1377" spans="1:1">
      <c r="A1377" t="s">
        <v>1390</v>
      </c>
    </row>
    <row r="1378" spans="1:1">
      <c r="A1378" t="s">
        <v>1391</v>
      </c>
    </row>
    <row r="1379" spans="1:1">
      <c r="A1379" t="s">
        <v>1392</v>
      </c>
    </row>
    <row r="1380" spans="1:1">
      <c r="A1380" t="s">
        <v>1393</v>
      </c>
    </row>
    <row r="1381" spans="1:1">
      <c r="A1381" t="s">
        <v>1394</v>
      </c>
    </row>
    <row r="1383" spans="1:1">
      <c r="A1383" t="s">
        <v>406</v>
      </c>
    </row>
    <row r="1384" spans="1:1">
      <c r="A1384" t="s">
        <v>1395</v>
      </c>
    </row>
    <row r="1385" spans="1:1">
      <c r="A1385" t="s">
        <v>1396</v>
      </c>
    </row>
    <row r="1386" spans="1:1">
      <c r="A1386" t="s">
        <v>1397</v>
      </c>
    </row>
    <row r="1387" spans="1:1">
      <c r="A1387" t="s">
        <v>1398</v>
      </c>
    </row>
    <row r="1388" spans="1:1">
      <c r="A1388" t="s">
        <v>1399</v>
      </c>
    </row>
    <row r="1389" spans="1:1">
      <c r="A1389" t="s">
        <v>1400</v>
      </c>
    </row>
    <row r="1390" spans="1:1">
      <c r="A1390" t="s">
        <v>1401</v>
      </c>
    </row>
    <row r="1391" spans="1:1">
      <c r="A1391" t="s">
        <v>1402</v>
      </c>
    </row>
    <row r="1392" spans="1:1">
      <c r="A1392" t="s">
        <v>1403</v>
      </c>
    </row>
    <row r="1393" spans="1:1">
      <c r="A1393" t="s">
        <v>1404</v>
      </c>
    </row>
    <row r="1394" spans="1:1">
      <c r="A1394" t="s">
        <v>1405</v>
      </c>
    </row>
    <row r="1395" spans="1:1">
      <c r="A1395" t="s">
        <v>1406</v>
      </c>
    </row>
    <row r="1396" spans="1:1">
      <c r="A1396" t="s">
        <v>1407</v>
      </c>
    </row>
    <row r="1397" spans="1:1">
      <c r="A1397" t="s">
        <v>1408</v>
      </c>
    </row>
    <row r="1398" spans="1:1">
      <c r="A1398" t="s">
        <v>421</v>
      </c>
    </row>
    <row r="1399" spans="1:1">
      <c r="A1399" t="s">
        <v>1409</v>
      </c>
    </row>
    <row r="1404" spans="1:1">
      <c r="A1404" t="s">
        <v>1410</v>
      </c>
    </row>
    <row r="1405" spans="1:1">
      <c r="A1405" t="s">
        <v>371</v>
      </c>
    </row>
    <row r="1406" spans="1:1">
      <c r="A1406" t="s">
        <v>1411</v>
      </c>
    </row>
    <row r="1407" spans="1:1">
      <c r="A1407" t="s">
        <v>1412</v>
      </c>
    </row>
    <row r="1408" spans="1:1">
      <c r="A1408" t="s">
        <v>374</v>
      </c>
    </row>
    <row r="1409" spans="1:1">
      <c r="A1409" t="s">
        <v>1413</v>
      </c>
    </row>
    <row r="1410" spans="1:1">
      <c r="A1410" t="s">
        <v>376</v>
      </c>
    </row>
    <row r="1412" spans="1:1">
      <c r="A1412" t="s">
        <v>1323</v>
      </c>
    </row>
    <row r="1413" spans="1:1">
      <c r="A1413" t="s">
        <v>378</v>
      </c>
    </row>
    <row r="1414" spans="1:1">
      <c r="A1414" t="s">
        <v>1414</v>
      </c>
    </row>
    <row r="1415" spans="1:1">
      <c r="A1415" t="s">
        <v>1415</v>
      </c>
    </row>
    <row r="1416" spans="1:1">
      <c r="A1416" t="s">
        <v>1416</v>
      </c>
    </row>
    <row r="1417" spans="1:1">
      <c r="A1417" t="s">
        <v>1417</v>
      </c>
    </row>
    <row r="1418" spans="1:1">
      <c r="A1418" t="s">
        <v>1418</v>
      </c>
    </row>
    <row r="1419" spans="1:1">
      <c r="A1419" t="s">
        <v>1419</v>
      </c>
    </row>
    <row r="1420" spans="1:1">
      <c r="A1420" t="s">
        <v>1420</v>
      </c>
    </row>
    <row r="1421" spans="1:1">
      <c r="A1421" t="s">
        <v>1421</v>
      </c>
    </row>
    <row r="1422" spans="1:1">
      <c r="A1422" t="s">
        <v>1422</v>
      </c>
    </row>
    <row r="1423" spans="1:1">
      <c r="A1423" t="s">
        <v>1423</v>
      </c>
    </row>
    <row r="1424" spans="1:1">
      <c r="A1424" t="s">
        <v>1424</v>
      </c>
    </row>
    <row r="1425" spans="1:1">
      <c r="A1425" t="s">
        <v>1425</v>
      </c>
    </row>
    <row r="1426" spans="1:1">
      <c r="A1426" t="s">
        <v>1426</v>
      </c>
    </row>
    <row r="1429" spans="1:1">
      <c r="A1429" t="s">
        <v>392</v>
      </c>
    </row>
    <row r="1430" spans="1:1">
      <c r="A1430" t="s">
        <v>1427</v>
      </c>
    </row>
    <row r="1431" spans="1:1">
      <c r="A1431" t="s">
        <v>1428</v>
      </c>
    </row>
    <row r="1432" spans="1:1">
      <c r="A1432" t="s">
        <v>1429</v>
      </c>
    </row>
    <row r="1433" spans="1:1">
      <c r="A1433" t="s">
        <v>1430</v>
      </c>
    </row>
    <row r="1434" spans="1:1">
      <c r="A1434" t="s">
        <v>1431</v>
      </c>
    </row>
    <row r="1435" spans="1:1">
      <c r="A1435" t="s">
        <v>1432</v>
      </c>
    </row>
    <row r="1436" spans="1:1">
      <c r="A1436" t="s">
        <v>1433</v>
      </c>
    </row>
    <row r="1437" spans="1:1">
      <c r="A1437" t="s">
        <v>1434</v>
      </c>
    </row>
    <row r="1438" spans="1:1">
      <c r="A1438" t="s">
        <v>1435</v>
      </c>
    </row>
    <row r="1439" spans="1:1">
      <c r="A1439" t="s">
        <v>1436</v>
      </c>
    </row>
    <row r="1440" spans="1:1">
      <c r="A1440" t="s">
        <v>1437</v>
      </c>
    </row>
    <row r="1441" spans="1:1">
      <c r="A1441" t="s">
        <v>1438</v>
      </c>
    </row>
    <row r="1442" spans="1:1">
      <c r="A1442" t="s">
        <v>1439</v>
      </c>
    </row>
    <row r="1444" spans="1:1">
      <c r="A1444" t="s">
        <v>406</v>
      </c>
    </row>
    <row r="1445" spans="1:1">
      <c r="A1445" t="s">
        <v>1440</v>
      </c>
    </row>
    <row r="1446" spans="1:1">
      <c r="A1446" t="s">
        <v>1441</v>
      </c>
    </row>
    <row r="1447" spans="1:1">
      <c r="A1447" t="s">
        <v>1442</v>
      </c>
    </row>
    <row r="1448" spans="1:1">
      <c r="A1448" t="s">
        <v>1443</v>
      </c>
    </row>
    <row r="1449" spans="1:1">
      <c r="A1449" t="s">
        <v>1444</v>
      </c>
    </row>
    <row r="1450" spans="1:1">
      <c r="A1450" t="s">
        <v>1445</v>
      </c>
    </row>
    <row r="1451" spans="1:1">
      <c r="A1451" t="s">
        <v>1446</v>
      </c>
    </row>
    <row r="1452" spans="1:1">
      <c r="A1452" t="s">
        <v>1447</v>
      </c>
    </row>
    <row r="1453" spans="1:1">
      <c r="A1453" t="s">
        <v>1448</v>
      </c>
    </row>
    <row r="1454" spans="1:1">
      <c r="A1454" t="s">
        <v>1449</v>
      </c>
    </row>
    <row r="1455" spans="1:1">
      <c r="A1455" t="s">
        <v>1450</v>
      </c>
    </row>
    <row r="1456" spans="1:1">
      <c r="A1456" t="s">
        <v>1451</v>
      </c>
    </row>
    <row r="1457" spans="1:1">
      <c r="A1457" t="s">
        <v>1452</v>
      </c>
    </row>
    <row r="1458" spans="1:1">
      <c r="A1458" t="s">
        <v>1453</v>
      </c>
    </row>
    <row r="1459" spans="1:1">
      <c r="A1459" t="s">
        <v>421</v>
      </c>
    </row>
    <row r="1460" spans="1:1">
      <c r="A1460" t="s">
        <v>1454</v>
      </c>
    </row>
    <row r="1465" spans="1:1">
      <c r="A1465" t="s">
        <v>1455</v>
      </c>
    </row>
    <row r="1466" spans="1:1">
      <c r="A1466" t="s">
        <v>371</v>
      </c>
    </row>
    <row r="1467" spans="1:1">
      <c r="A1467" t="s">
        <v>1456</v>
      </c>
    </row>
    <row r="1468" spans="1:1">
      <c r="A1468" t="s">
        <v>1457</v>
      </c>
    </row>
    <row r="1469" spans="1:1">
      <c r="A1469" t="s">
        <v>374</v>
      </c>
    </row>
    <row r="1470" spans="1:1">
      <c r="A1470" t="s">
        <v>1458</v>
      </c>
    </row>
    <row r="1471" spans="1:1">
      <c r="A1471" t="s">
        <v>376</v>
      </c>
    </row>
    <row r="1473" spans="1:1">
      <c r="A1473" t="s">
        <v>1323</v>
      </c>
    </row>
    <row r="1474" spans="1:1">
      <c r="A1474" t="s">
        <v>378</v>
      </c>
    </row>
    <row r="1475" spans="1:1">
      <c r="A1475" t="s">
        <v>1459</v>
      </c>
    </row>
    <row r="1476" spans="1:1">
      <c r="A1476" t="s">
        <v>1460</v>
      </c>
    </row>
    <row r="1477" spans="1:1">
      <c r="A1477" t="s">
        <v>1461</v>
      </c>
    </row>
    <row r="1478" spans="1:1">
      <c r="A1478" t="s">
        <v>1462</v>
      </c>
    </row>
    <row r="1479" spans="1:1">
      <c r="A1479" t="s">
        <v>1463</v>
      </c>
    </row>
    <row r="1480" spans="1:1">
      <c r="A1480" t="s">
        <v>1464</v>
      </c>
    </row>
    <row r="1481" spans="1:1">
      <c r="A1481" t="s">
        <v>1465</v>
      </c>
    </row>
    <row r="1482" spans="1:1">
      <c r="A1482" t="s">
        <v>1466</v>
      </c>
    </row>
    <row r="1483" spans="1:1">
      <c r="A1483" t="s">
        <v>1467</v>
      </c>
    </row>
    <row r="1484" spans="1:1">
      <c r="A1484" t="s">
        <v>1468</v>
      </c>
    </row>
    <row r="1485" spans="1:1">
      <c r="A1485" t="s">
        <v>1469</v>
      </c>
    </row>
    <row r="1486" spans="1:1">
      <c r="A1486" t="s">
        <v>1470</v>
      </c>
    </row>
    <row r="1487" spans="1:1">
      <c r="A1487" t="s">
        <v>1471</v>
      </c>
    </row>
    <row r="1490" spans="1:1">
      <c r="A1490" t="s">
        <v>392</v>
      </c>
    </row>
    <row r="1491" spans="1:1">
      <c r="A1491" t="s">
        <v>1472</v>
      </c>
    </row>
    <row r="1492" spans="1:1">
      <c r="A1492" t="s">
        <v>1473</v>
      </c>
    </row>
    <row r="1493" spans="1:1">
      <c r="A1493" t="s">
        <v>1474</v>
      </c>
    </row>
    <row r="1494" spans="1:1">
      <c r="A1494" t="s">
        <v>1475</v>
      </c>
    </row>
    <row r="1495" spans="1:1">
      <c r="A1495" t="s">
        <v>1476</v>
      </c>
    </row>
    <row r="1496" spans="1:1">
      <c r="A1496" t="s">
        <v>1477</v>
      </c>
    </row>
    <row r="1497" spans="1:1">
      <c r="A1497" t="s">
        <v>1478</v>
      </c>
    </row>
    <row r="1498" spans="1:1">
      <c r="A1498" t="s">
        <v>1479</v>
      </c>
    </row>
    <row r="1499" spans="1:1">
      <c r="A1499" t="s">
        <v>1480</v>
      </c>
    </row>
    <row r="1500" spans="1:1">
      <c r="A1500" t="s">
        <v>1481</v>
      </c>
    </row>
    <row r="1501" spans="1:1">
      <c r="A1501" t="s">
        <v>1482</v>
      </c>
    </row>
    <row r="1502" spans="1:1">
      <c r="A1502" t="s">
        <v>1483</v>
      </c>
    </row>
    <row r="1503" spans="1:1">
      <c r="A1503" t="s">
        <v>1484</v>
      </c>
    </row>
    <row r="1505" spans="1:1">
      <c r="A1505" t="s">
        <v>406</v>
      </c>
    </row>
    <row r="1506" spans="1:1">
      <c r="A1506" t="s">
        <v>1485</v>
      </c>
    </row>
    <row r="1507" spans="1:1">
      <c r="A1507" t="s">
        <v>1486</v>
      </c>
    </row>
    <row r="1508" spans="1:1">
      <c r="A1508" t="s">
        <v>1487</v>
      </c>
    </row>
    <row r="1509" spans="1:1">
      <c r="A1509" t="s">
        <v>1488</v>
      </c>
    </row>
    <row r="1510" spans="1:1">
      <c r="A1510" t="s">
        <v>1489</v>
      </c>
    </row>
    <row r="1511" spans="1:1">
      <c r="A1511" t="s">
        <v>1490</v>
      </c>
    </row>
    <row r="1512" spans="1:1">
      <c r="A1512" t="s">
        <v>1491</v>
      </c>
    </row>
    <row r="1513" spans="1:1">
      <c r="A1513" t="s">
        <v>1492</v>
      </c>
    </row>
    <row r="1514" spans="1:1">
      <c r="A1514" t="s">
        <v>1493</v>
      </c>
    </row>
    <row r="1515" spans="1:1">
      <c r="A1515" t="s">
        <v>1494</v>
      </c>
    </row>
    <row r="1516" spans="1:1">
      <c r="A1516" t="s">
        <v>1495</v>
      </c>
    </row>
    <row r="1517" spans="1:1">
      <c r="A1517" t="s">
        <v>1496</v>
      </c>
    </row>
    <row r="1518" spans="1:1">
      <c r="A1518" t="s">
        <v>1497</v>
      </c>
    </row>
    <row r="1519" spans="1:1">
      <c r="A1519" t="s">
        <v>1498</v>
      </c>
    </row>
    <row r="1520" spans="1:1">
      <c r="A1520" t="s">
        <v>421</v>
      </c>
    </row>
    <row r="1521" spans="1:1">
      <c r="A1521" t="s">
        <v>1499</v>
      </c>
    </row>
    <row r="1526" spans="1:1">
      <c r="A1526" t="s">
        <v>1500</v>
      </c>
    </row>
    <row r="1527" spans="1:1">
      <c r="A1527" t="s">
        <v>371</v>
      </c>
    </row>
    <row r="1528" spans="1:1">
      <c r="A1528" t="s">
        <v>1501</v>
      </c>
    </row>
    <row r="1529" spans="1:1">
      <c r="A1529" t="s">
        <v>1502</v>
      </c>
    </row>
    <row r="1530" spans="1:1">
      <c r="A1530" t="s">
        <v>374</v>
      </c>
    </row>
    <row r="1531" spans="1:1">
      <c r="A1531" t="s">
        <v>1503</v>
      </c>
    </row>
    <row r="1532" spans="1:1">
      <c r="A1532" t="s">
        <v>376</v>
      </c>
    </row>
    <row r="1534" spans="1:1">
      <c r="A1534" t="s">
        <v>1323</v>
      </c>
    </row>
    <row r="1535" spans="1:1">
      <c r="A1535" t="s">
        <v>378</v>
      </c>
    </row>
    <row r="1536" spans="1:1">
      <c r="A1536" t="s">
        <v>1504</v>
      </c>
    </row>
    <row r="1537" spans="1:1">
      <c r="A1537" t="s">
        <v>1505</v>
      </c>
    </row>
    <row r="1538" spans="1:1">
      <c r="A1538" t="s">
        <v>1506</v>
      </c>
    </row>
    <row r="1539" spans="1:1">
      <c r="A1539" t="s">
        <v>1507</v>
      </c>
    </row>
    <row r="1540" spans="1:1">
      <c r="A1540" t="s">
        <v>1508</v>
      </c>
    </row>
    <row r="1541" spans="1:1">
      <c r="A1541" t="s">
        <v>1509</v>
      </c>
    </row>
    <row r="1542" spans="1:1">
      <c r="A1542" t="s">
        <v>1510</v>
      </c>
    </row>
    <row r="1543" spans="1:1">
      <c r="A1543" t="s">
        <v>1511</v>
      </c>
    </row>
    <row r="1544" spans="1:1">
      <c r="A1544" t="s">
        <v>1512</v>
      </c>
    </row>
    <row r="1545" spans="1:1">
      <c r="A1545" t="s">
        <v>1513</v>
      </c>
    </row>
    <row r="1546" spans="1:1">
      <c r="A1546" t="s">
        <v>1514</v>
      </c>
    </row>
    <row r="1547" spans="1:1">
      <c r="A1547" t="s">
        <v>1515</v>
      </c>
    </row>
    <row r="1548" spans="1:1">
      <c r="A1548" t="s">
        <v>1516</v>
      </c>
    </row>
    <row r="1551" spans="1:1">
      <c r="A1551" t="s">
        <v>392</v>
      </c>
    </row>
    <row r="1552" spans="1:1">
      <c r="A1552" t="s">
        <v>1517</v>
      </c>
    </row>
    <row r="1553" spans="1:1">
      <c r="A1553" t="s">
        <v>1518</v>
      </c>
    </row>
    <row r="1554" spans="1:1">
      <c r="A1554" t="s">
        <v>1519</v>
      </c>
    </row>
    <row r="1555" spans="1:1">
      <c r="A1555" t="s">
        <v>1520</v>
      </c>
    </row>
    <row r="1556" spans="1:1">
      <c r="A1556" t="s">
        <v>1521</v>
      </c>
    </row>
    <row r="1557" spans="1:1">
      <c r="A1557" t="s">
        <v>1522</v>
      </c>
    </row>
    <row r="1558" spans="1:1">
      <c r="A1558" t="s">
        <v>1523</v>
      </c>
    </row>
    <row r="1559" spans="1:1">
      <c r="A1559" t="s">
        <v>1524</v>
      </c>
    </row>
    <row r="1560" spans="1:1">
      <c r="A1560" t="s">
        <v>1525</v>
      </c>
    </row>
    <row r="1561" spans="1:1">
      <c r="A1561" t="s">
        <v>1526</v>
      </c>
    </row>
    <row r="1562" spans="1:1">
      <c r="A1562" t="s">
        <v>1527</v>
      </c>
    </row>
    <row r="1563" spans="1:1">
      <c r="A1563" t="s">
        <v>1528</v>
      </c>
    </row>
    <row r="1564" spans="1:1">
      <c r="A1564" t="s">
        <v>1529</v>
      </c>
    </row>
    <row r="1566" spans="1:1">
      <c r="A1566" t="s">
        <v>406</v>
      </c>
    </row>
    <row r="1567" spans="1:1">
      <c r="A1567" t="s">
        <v>1530</v>
      </c>
    </row>
    <row r="1568" spans="1:1">
      <c r="A1568" t="s">
        <v>1531</v>
      </c>
    </row>
    <row r="1569" spans="1:1">
      <c r="A1569" t="s">
        <v>1532</v>
      </c>
    </row>
    <row r="1570" spans="1:1">
      <c r="A1570" t="s">
        <v>1533</v>
      </c>
    </row>
    <row r="1571" spans="1:1">
      <c r="A1571" t="s">
        <v>1534</v>
      </c>
    </row>
    <row r="1572" spans="1:1">
      <c r="A1572" t="s">
        <v>1535</v>
      </c>
    </row>
    <row r="1573" spans="1:1">
      <c r="A1573" t="s">
        <v>1536</v>
      </c>
    </row>
    <row r="1574" spans="1:1">
      <c r="A1574" t="s">
        <v>1537</v>
      </c>
    </row>
    <row r="1575" spans="1:1">
      <c r="A1575" t="s">
        <v>1538</v>
      </c>
    </row>
    <row r="1576" spans="1:1">
      <c r="A1576" t="s">
        <v>1539</v>
      </c>
    </row>
    <row r="1577" spans="1:1">
      <c r="A1577" t="s">
        <v>1540</v>
      </c>
    </row>
    <row r="1578" spans="1:1">
      <c r="A1578" t="s">
        <v>1541</v>
      </c>
    </row>
    <row r="1579" spans="1:1">
      <c r="A1579" t="s">
        <v>1542</v>
      </c>
    </row>
    <row r="1580" spans="1:1">
      <c r="A1580" t="s">
        <v>1543</v>
      </c>
    </row>
    <row r="1581" spans="1:1">
      <c r="A1581" t="s">
        <v>421</v>
      </c>
    </row>
    <row r="1582" spans="1:1">
      <c r="A1582" t="s">
        <v>1544</v>
      </c>
    </row>
    <row r="1587" spans="1:1">
      <c r="A1587" t="s">
        <v>1545</v>
      </c>
    </row>
    <row r="1588" spans="1:1">
      <c r="A1588" t="s">
        <v>371</v>
      </c>
    </row>
    <row r="1589" spans="1:1">
      <c r="A1589" t="s">
        <v>1546</v>
      </c>
    </row>
    <row r="1590" spans="1:1">
      <c r="A1590" t="s">
        <v>1547</v>
      </c>
    </row>
    <row r="1591" spans="1:1">
      <c r="A1591" t="s">
        <v>374</v>
      </c>
    </row>
    <row r="1592" spans="1:1">
      <c r="A1592" t="s">
        <v>1548</v>
      </c>
    </row>
    <row r="1593" spans="1:1">
      <c r="A1593" t="s">
        <v>376</v>
      </c>
    </row>
    <row r="1595" spans="1:1">
      <c r="A1595" t="s">
        <v>1323</v>
      </c>
    </row>
    <row r="1596" spans="1:1">
      <c r="A1596" t="s">
        <v>378</v>
      </c>
    </row>
    <row r="1597" spans="1:1">
      <c r="A1597" t="s">
        <v>1549</v>
      </c>
    </row>
    <row r="1598" spans="1:1">
      <c r="A1598" t="s">
        <v>1550</v>
      </c>
    </row>
    <row r="1599" spans="1:1">
      <c r="A1599" t="s">
        <v>1551</v>
      </c>
    </row>
    <row r="1600" spans="1:1">
      <c r="A1600" t="s">
        <v>1552</v>
      </c>
    </row>
    <row r="1601" spans="1:1">
      <c r="A1601" t="s">
        <v>1553</v>
      </c>
    </row>
    <row r="1602" spans="1:1">
      <c r="A1602" t="s">
        <v>1554</v>
      </c>
    </row>
    <row r="1603" spans="1:1">
      <c r="A1603" t="s">
        <v>1555</v>
      </c>
    </row>
    <row r="1604" spans="1:1">
      <c r="A1604" t="s">
        <v>1556</v>
      </c>
    </row>
    <row r="1605" spans="1:1">
      <c r="A1605" t="s">
        <v>1557</v>
      </c>
    </row>
    <row r="1606" spans="1:1">
      <c r="A1606" t="s">
        <v>1558</v>
      </c>
    </row>
    <row r="1607" spans="1:1">
      <c r="A1607" t="s">
        <v>1559</v>
      </c>
    </row>
    <row r="1608" spans="1:1">
      <c r="A1608" t="s">
        <v>1560</v>
      </c>
    </row>
    <row r="1609" spans="1:1">
      <c r="A1609" t="s">
        <v>1561</v>
      </c>
    </row>
    <row r="1612" spans="1:1">
      <c r="A1612" t="s">
        <v>392</v>
      </c>
    </row>
    <row r="1613" spans="1:1">
      <c r="A1613" t="s">
        <v>1562</v>
      </c>
    </row>
    <row r="1614" spans="1:1">
      <c r="A1614" t="s">
        <v>1563</v>
      </c>
    </row>
    <row r="1615" spans="1:1">
      <c r="A1615" t="s">
        <v>1564</v>
      </c>
    </row>
    <row r="1616" spans="1:1">
      <c r="A1616" t="s">
        <v>1565</v>
      </c>
    </row>
    <row r="1617" spans="1:1">
      <c r="A1617" t="s">
        <v>1566</v>
      </c>
    </row>
    <row r="1618" spans="1:1">
      <c r="A1618" t="s">
        <v>1567</v>
      </c>
    </row>
    <row r="1619" spans="1:1">
      <c r="A1619" t="s">
        <v>1568</v>
      </c>
    </row>
    <row r="1620" spans="1:1">
      <c r="A1620" t="s">
        <v>1569</v>
      </c>
    </row>
    <row r="1621" spans="1:1">
      <c r="A1621" t="s">
        <v>1570</v>
      </c>
    </row>
    <row r="1622" spans="1:1">
      <c r="A1622" t="s">
        <v>1571</v>
      </c>
    </row>
    <row r="1623" spans="1:1">
      <c r="A1623" t="s">
        <v>1572</v>
      </c>
    </row>
    <row r="1624" spans="1:1">
      <c r="A1624" t="s">
        <v>1573</v>
      </c>
    </row>
    <row r="1625" spans="1:1">
      <c r="A1625" t="s">
        <v>1574</v>
      </c>
    </row>
    <row r="1627" spans="1:1">
      <c r="A1627" t="s">
        <v>406</v>
      </c>
    </row>
    <row r="1628" spans="1:1">
      <c r="A1628" t="s">
        <v>1575</v>
      </c>
    </row>
    <row r="1629" spans="1:1">
      <c r="A1629" t="s">
        <v>1576</v>
      </c>
    </row>
    <row r="1630" spans="1:1">
      <c r="A1630" t="s">
        <v>1577</v>
      </c>
    </row>
    <row r="1631" spans="1:1">
      <c r="A1631" t="s">
        <v>1578</v>
      </c>
    </row>
    <row r="1632" spans="1:1">
      <c r="A1632" t="s">
        <v>1579</v>
      </c>
    </row>
    <row r="1633" spans="1:1">
      <c r="A1633" t="s">
        <v>1580</v>
      </c>
    </row>
    <row r="1634" spans="1:1">
      <c r="A1634" t="s">
        <v>1581</v>
      </c>
    </row>
    <row r="1635" spans="1:1">
      <c r="A1635" t="s">
        <v>1582</v>
      </c>
    </row>
    <row r="1636" spans="1:1">
      <c r="A1636" t="s">
        <v>1583</v>
      </c>
    </row>
    <row r="1637" spans="1:1">
      <c r="A1637" t="s">
        <v>1584</v>
      </c>
    </row>
    <row r="1638" spans="1:1">
      <c r="A1638" t="s">
        <v>1585</v>
      </c>
    </row>
    <row r="1639" spans="1:1">
      <c r="A1639" t="s">
        <v>1586</v>
      </c>
    </row>
    <row r="1640" spans="1:1">
      <c r="A1640" t="s">
        <v>1587</v>
      </c>
    </row>
    <row r="1641" spans="1:1">
      <c r="A1641" t="s">
        <v>1588</v>
      </c>
    </row>
    <row r="1642" spans="1:1">
      <c r="A1642" t="s">
        <v>421</v>
      </c>
    </row>
    <row r="1643" spans="1:1">
      <c r="A1643" t="s">
        <v>1589</v>
      </c>
    </row>
    <row r="1648" spans="1:1">
      <c r="A1648" t="s">
        <v>1590</v>
      </c>
    </row>
    <row r="1649" spans="1:1">
      <c r="A1649" t="s">
        <v>371</v>
      </c>
    </row>
    <row r="1650" spans="1:1">
      <c r="A1650" t="s">
        <v>1591</v>
      </c>
    </row>
    <row r="1651" spans="1:1">
      <c r="A1651" t="s">
        <v>1592</v>
      </c>
    </row>
    <row r="1652" spans="1:1">
      <c r="A1652" t="s">
        <v>374</v>
      </c>
    </row>
    <row r="1653" spans="1:1">
      <c r="A1653" t="s">
        <v>1593</v>
      </c>
    </row>
    <row r="1654" spans="1:1">
      <c r="A1654" t="s">
        <v>376</v>
      </c>
    </row>
    <row r="1656" spans="1:1">
      <c r="A1656" t="s">
        <v>1323</v>
      </c>
    </row>
    <row r="1657" spans="1:1">
      <c r="A1657" t="s">
        <v>378</v>
      </c>
    </row>
    <row r="1658" spans="1:1">
      <c r="A1658" t="s">
        <v>1594</v>
      </c>
    </row>
    <row r="1659" spans="1:1">
      <c r="A1659" t="s">
        <v>1595</v>
      </c>
    </row>
    <row r="1660" spans="1:1">
      <c r="A1660" t="s">
        <v>1596</v>
      </c>
    </row>
    <row r="1661" spans="1:1">
      <c r="A1661" t="s">
        <v>1597</v>
      </c>
    </row>
    <row r="1662" spans="1:1">
      <c r="A1662" t="s">
        <v>1598</v>
      </c>
    </row>
    <row r="1663" spans="1:1">
      <c r="A1663" t="s">
        <v>1599</v>
      </c>
    </row>
    <row r="1664" spans="1:1">
      <c r="A1664" t="s">
        <v>1600</v>
      </c>
    </row>
    <row r="1665" spans="1:1">
      <c r="A1665" t="s">
        <v>1601</v>
      </c>
    </row>
    <row r="1666" spans="1:1">
      <c r="A1666" t="s">
        <v>1602</v>
      </c>
    </row>
    <row r="1667" spans="1:1">
      <c r="A1667" t="s">
        <v>1603</v>
      </c>
    </row>
    <row r="1668" spans="1:1">
      <c r="A1668" t="s">
        <v>1604</v>
      </c>
    </row>
    <row r="1669" spans="1:1">
      <c r="A1669" t="s">
        <v>1605</v>
      </c>
    </row>
    <row r="1670" spans="1:1">
      <c r="A1670" t="s">
        <v>1606</v>
      </c>
    </row>
    <row r="1673" spans="1:1">
      <c r="A1673" t="s">
        <v>392</v>
      </c>
    </row>
    <row r="1674" spans="1:1">
      <c r="A1674" t="s">
        <v>1607</v>
      </c>
    </row>
    <row r="1675" spans="1:1">
      <c r="A1675" t="s">
        <v>1608</v>
      </c>
    </row>
    <row r="1676" spans="1:1">
      <c r="A1676" t="s">
        <v>1609</v>
      </c>
    </row>
    <row r="1677" spans="1:1">
      <c r="A1677" t="s">
        <v>1610</v>
      </c>
    </row>
    <row r="1678" spans="1:1">
      <c r="A1678" t="s">
        <v>1611</v>
      </c>
    </row>
    <row r="1679" spans="1:1">
      <c r="A1679" t="s">
        <v>1612</v>
      </c>
    </row>
    <row r="1680" spans="1:1">
      <c r="A1680" t="s">
        <v>1613</v>
      </c>
    </row>
    <row r="1681" spans="1:1">
      <c r="A1681" t="s">
        <v>1614</v>
      </c>
    </row>
    <row r="1682" spans="1:1">
      <c r="A1682" t="s">
        <v>1615</v>
      </c>
    </row>
    <row r="1683" spans="1:1">
      <c r="A1683" t="s">
        <v>1616</v>
      </c>
    </row>
    <row r="1684" spans="1:1">
      <c r="A1684" t="s">
        <v>1617</v>
      </c>
    </row>
    <row r="1685" spans="1:1">
      <c r="A1685" t="s">
        <v>1618</v>
      </c>
    </row>
    <row r="1686" spans="1:1">
      <c r="A1686" t="s">
        <v>1619</v>
      </c>
    </row>
    <row r="1688" spans="1:1">
      <c r="A1688" t="s">
        <v>406</v>
      </c>
    </row>
    <row r="1689" spans="1:1">
      <c r="A1689" t="s">
        <v>1620</v>
      </c>
    </row>
    <row r="1690" spans="1:1">
      <c r="A1690" t="s">
        <v>1621</v>
      </c>
    </row>
    <row r="1691" spans="1:1">
      <c r="A1691" t="s">
        <v>1622</v>
      </c>
    </row>
    <row r="1692" spans="1:1">
      <c r="A1692" t="s">
        <v>1623</v>
      </c>
    </row>
    <row r="1693" spans="1:1">
      <c r="A1693" t="s">
        <v>1624</v>
      </c>
    </row>
    <row r="1694" spans="1:1">
      <c r="A1694" t="s">
        <v>1625</v>
      </c>
    </row>
    <row r="1695" spans="1:1">
      <c r="A1695" t="s">
        <v>1626</v>
      </c>
    </row>
    <row r="1696" spans="1:1">
      <c r="A1696" t="s">
        <v>1627</v>
      </c>
    </row>
    <row r="1697" spans="1:1">
      <c r="A1697" t="s">
        <v>1628</v>
      </c>
    </row>
    <row r="1698" spans="1:1">
      <c r="A1698" t="s">
        <v>1629</v>
      </c>
    </row>
    <row r="1699" spans="1:1">
      <c r="A1699" t="s">
        <v>1630</v>
      </c>
    </row>
    <row r="1700" spans="1:1">
      <c r="A1700" t="s">
        <v>1631</v>
      </c>
    </row>
    <row r="1701" spans="1:1">
      <c r="A1701" t="s">
        <v>1632</v>
      </c>
    </row>
    <row r="1702" spans="1:1">
      <c r="A1702" t="s">
        <v>1633</v>
      </c>
    </row>
    <row r="1703" spans="1:1">
      <c r="A1703" t="s">
        <v>421</v>
      </c>
    </row>
    <row r="1704" spans="1:1">
      <c r="A1704" t="s">
        <v>1634</v>
      </c>
    </row>
    <row r="1709" spans="1:1">
      <c r="A1709" t="s">
        <v>1635</v>
      </c>
    </row>
    <row r="1710" spans="1:1">
      <c r="A1710" t="s">
        <v>371</v>
      </c>
    </row>
    <row r="1711" spans="1:1">
      <c r="A1711" t="s">
        <v>1636</v>
      </c>
    </row>
    <row r="1712" spans="1:1">
      <c r="A1712" t="s">
        <v>1637</v>
      </c>
    </row>
    <row r="1713" spans="1:1">
      <c r="A1713" t="s">
        <v>374</v>
      </c>
    </row>
    <row r="1714" spans="1:1">
      <c r="A1714" t="s">
        <v>1638</v>
      </c>
    </row>
    <row r="1715" spans="1:1">
      <c r="A1715" t="s">
        <v>376</v>
      </c>
    </row>
    <row r="1717" spans="1:1">
      <c r="A1717" t="s">
        <v>1323</v>
      </c>
    </row>
    <row r="1718" spans="1:1">
      <c r="A1718" t="s">
        <v>378</v>
      </c>
    </row>
    <row r="1719" spans="1:1">
      <c r="A1719" t="s">
        <v>1639</v>
      </c>
    </row>
    <row r="1720" spans="1:1">
      <c r="A1720" t="s">
        <v>1640</v>
      </c>
    </row>
    <row r="1721" spans="1:1">
      <c r="A1721" t="s">
        <v>1641</v>
      </c>
    </row>
    <row r="1722" spans="1:1">
      <c r="A1722" t="s">
        <v>1642</v>
      </c>
    </row>
    <row r="1723" spans="1:1">
      <c r="A1723" t="s">
        <v>1643</v>
      </c>
    </row>
    <row r="1724" spans="1:1">
      <c r="A1724" t="s">
        <v>1644</v>
      </c>
    </row>
    <row r="1725" spans="1:1">
      <c r="A1725" t="s">
        <v>1645</v>
      </c>
    </row>
    <row r="1726" spans="1:1">
      <c r="A1726" t="s">
        <v>1646</v>
      </c>
    </row>
    <row r="1727" spans="1:1">
      <c r="A1727" t="s">
        <v>1647</v>
      </c>
    </row>
    <row r="1728" spans="1:1">
      <c r="A1728" t="s">
        <v>1648</v>
      </c>
    </row>
    <row r="1729" spans="1:1">
      <c r="A1729" t="s">
        <v>1649</v>
      </c>
    </row>
    <row r="1730" spans="1:1">
      <c r="A1730" t="s">
        <v>1650</v>
      </c>
    </row>
    <row r="1731" spans="1:1">
      <c r="A1731" t="s">
        <v>1651</v>
      </c>
    </row>
    <row r="1734" spans="1:1">
      <c r="A1734" t="s">
        <v>392</v>
      </c>
    </row>
    <row r="1735" spans="1:1">
      <c r="A1735" t="s">
        <v>1652</v>
      </c>
    </row>
    <row r="1736" spans="1:1">
      <c r="A1736" t="s">
        <v>1653</v>
      </c>
    </row>
    <row r="1737" spans="1:1">
      <c r="A1737" t="s">
        <v>1654</v>
      </c>
    </row>
    <row r="1738" spans="1:1">
      <c r="A1738" t="s">
        <v>1655</v>
      </c>
    </row>
    <row r="1739" spans="1:1">
      <c r="A1739" t="s">
        <v>1656</v>
      </c>
    </row>
    <row r="1740" spans="1:1">
      <c r="A1740" t="s">
        <v>1657</v>
      </c>
    </row>
    <row r="1741" spans="1:1">
      <c r="A1741" t="s">
        <v>1658</v>
      </c>
    </row>
    <row r="1742" spans="1:1">
      <c r="A1742" t="s">
        <v>1659</v>
      </c>
    </row>
    <row r="1743" spans="1:1">
      <c r="A1743" t="s">
        <v>1660</v>
      </c>
    </row>
    <row r="1744" spans="1:1">
      <c r="A1744" t="s">
        <v>1661</v>
      </c>
    </row>
    <row r="1745" spans="1:1">
      <c r="A1745" t="s">
        <v>1662</v>
      </c>
    </row>
    <row r="1746" spans="1:1">
      <c r="A1746" t="s">
        <v>1663</v>
      </c>
    </row>
    <row r="1747" spans="1:1">
      <c r="A1747" t="s">
        <v>1664</v>
      </c>
    </row>
    <row r="1749" spans="1:1">
      <c r="A1749" t="s">
        <v>406</v>
      </c>
    </row>
    <row r="1750" spans="1:1">
      <c r="A1750" t="s">
        <v>1665</v>
      </c>
    </row>
    <row r="1751" spans="1:1">
      <c r="A1751" t="s">
        <v>1666</v>
      </c>
    </row>
    <row r="1752" spans="1:1">
      <c r="A1752" t="s">
        <v>1667</v>
      </c>
    </row>
    <row r="1753" spans="1:1">
      <c r="A1753" t="s">
        <v>1668</v>
      </c>
    </row>
    <row r="1754" spans="1:1">
      <c r="A1754" t="s">
        <v>1669</v>
      </c>
    </row>
    <row r="1755" spans="1:1">
      <c r="A1755" t="s">
        <v>1670</v>
      </c>
    </row>
    <row r="1756" spans="1:1">
      <c r="A1756" t="s">
        <v>1671</v>
      </c>
    </row>
    <row r="1757" spans="1:1">
      <c r="A1757" t="s">
        <v>1672</v>
      </c>
    </row>
    <row r="1758" spans="1:1">
      <c r="A1758" t="s">
        <v>1673</v>
      </c>
    </row>
    <row r="1759" spans="1:1">
      <c r="A1759" t="s">
        <v>1674</v>
      </c>
    </row>
    <row r="1760" spans="1:1">
      <c r="A1760" t="s">
        <v>1675</v>
      </c>
    </row>
    <row r="1761" spans="1:1">
      <c r="A1761" t="s">
        <v>1676</v>
      </c>
    </row>
    <row r="1762" spans="1:1">
      <c r="A1762" t="s">
        <v>1677</v>
      </c>
    </row>
    <row r="1763" spans="1:1">
      <c r="A1763" t="s">
        <v>1678</v>
      </c>
    </row>
    <row r="1764" spans="1:1">
      <c r="A1764" t="s">
        <v>421</v>
      </c>
    </row>
    <row r="1765" spans="1:1">
      <c r="A1765" t="s">
        <v>1679</v>
      </c>
    </row>
    <row r="1770" spans="1:1">
      <c r="A1770" t="s">
        <v>1680</v>
      </c>
    </row>
    <row r="1771" spans="1:1">
      <c r="A1771" t="s">
        <v>371</v>
      </c>
    </row>
    <row r="1772" spans="1:1">
      <c r="A1772" t="s">
        <v>1681</v>
      </c>
    </row>
    <row r="1773" spans="1:1">
      <c r="A1773" t="s">
        <v>1682</v>
      </c>
    </row>
    <row r="1774" spans="1:1">
      <c r="A1774" t="s">
        <v>374</v>
      </c>
    </row>
    <row r="1775" spans="1:1">
      <c r="A1775" t="s">
        <v>1683</v>
      </c>
    </row>
    <row r="1776" spans="1:1">
      <c r="A1776" t="s">
        <v>376</v>
      </c>
    </row>
    <row r="1778" spans="1:1">
      <c r="A1778" t="s">
        <v>1684</v>
      </c>
    </row>
    <row r="1779" spans="1:1">
      <c r="A1779" t="s">
        <v>378</v>
      </c>
    </row>
    <row r="1780" spans="1:1">
      <c r="A1780" t="s">
        <v>1685</v>
      </c>
    </row>
    <row r="1781" spans="1:1">
      <c r="A1781" t="s">
        <v>1686</v>
      </c>
    </row>
    <row r="1782" spans="1:1">
      <c r="A1782" t="s">
        <v>1687</v>
      </c>
    </row>
    <row r="1783" spans="1:1">
      <c r="A1783" t="s">
        <v>1688</v>
      </c>
    </row>
    <row r="1784" spans="1:1">
      <c r="A1784" t="s">
        <v>1689</v>
      </c>
    </row>
    <row r="1785" spans="1:1">
      <c r="A1785" t="s">
        <v>1690</v>
      </c>
    </row>
    <row r="1786" spans="1:1">
      <c r="A1786" t="s">
        <v>1691</v>
      </c>
    </row>
    <row r="1787" spans="1:1">
      <c r="A1787" t="s">
        <v>1692</v>
      </c>
    </row>
    <row r="1788" spans="1:1">
      <c r="A1788" t="s">
        <v>1693</v>
      </c>
    </row>
    <row r="1789" spans="1:1">
      <c r="A1789" t="s">
        <v>1694</v>
      </c>
    </row>
    <row r="1790" spans="1:1">
      <c r="A1790" t="s">
        <v>1695</v>
      </c>
    </row>
    <row r="1791" spans="1:1">
      <c r="A1791" t="s">
        <v>1696</v>
      </c>
    </row>
    <row r="1792" spans="1:1">
      <c r="A1792" t="s">
        <v>1697</v>
      </c>
    </row>
    <row r="1795" spans="1:1">
      <c r="A1795" t="s">
        <v>392</v>
      </c>
    </row>
    <row r="1796" spans="1:1">
      <c r="A1796" t="s">
        <v>1698</v>
      </c>
    </row>
    <row r="1797" spans="1:1">
      <c r="A1797" t="s">
        <v>1699</v>
      </c>
    </row>
    <row r="1798" spans="1:1">
      <c r="A1798" t="s">
        <v>1609</v>
      </c>
    </row>
    <row r="1799" spans="1:1">
      <c r="A1799" t="s">
        <v>1700</v>
      </c>
    </row>
    <row r="1800" spans="1:1">
      <c r="A1800" t="s">
        <v>1701</v>
      </c>
    </row>
    <row r="1801" spans="1:1">
      <c r="A1801" t="s">
        <v>1702</v>
      </c>
    </row>
    <row r="1802" spans="1:1">
      <c r="A1802" t="s">
        <v>1703</v>
      </c>
    </row>
    <row r="1803" spans="1:1">
      <c r="A1803" t="s">
        <v>1704</v>
      </c>
    </row>
    <row r="1804" spans="1:1">
      <c r="A1804" t="s">
        <v>1705</v>
      </c>
    </row>
    <row r="1805" spans="1:1">
      <c r="A1805" t="s">
        <v>1706</v>
      </c>
    </row>
    <row r="1806" spans="1:1">
      <c r="A1806" t="s">
        <v>1707</v>
      </c>
    </row>
    <row r="1807" spans="1:1">
      <c r="A1807" t="s">
        <v>1708</v>
      </c>
    </row>
    <row r="1808" spans="1:1">
      <c r="A1808" t="s">
        <v>1709</v>
      </c>
    </row>
    <row r="1810" spans="1:1">
      <c r="A1810" t="s">
        <v>406</v>
      </c>
    </row>
    <row r="1811" spans="1:1">
      <c r="A1811" t="s">
        <v>1710</v>
      </c>
    </row>
    <row r="1812" spans="1:1">
      <c r="A1812" t="s">
        <v>1711</v>
      </c>
    </row>
    <row r="1813" spans="1:1">
      <c r="A1813" t="s">
        <v>1712</v>
      </c>
    </row>
    <row r="1814" spans="1:1">
      <c r="A1814" t="s">
        <v>1713</v>
      </c>
    </row>
    <row r="1815" spans="1:1">
      <c r="A1815" t="s">
        <v>1714</v>
      </c>
    </row>
    <row r="1816" spans="1:1">
      <c r="A1816" t="s">
        <v>1715</v>
      </c>
    </row>
    <row r="1817" spans="1:1">
      <c r="A1817" t="s">
        <v>1716</v>
      </c>
    </row>
    <row r="1818" spans="1:1">
      <c r="A1818" t="s">
        <v>1717</v>
      </c>
    </row>
    <row r="1819" spans="1:1">
      <c r="A1819" t="s">
        <v>1718</v>
      </c>
    </row>
    <row r="1820" spans="1:1">
      <c r="A1820" t="s">
        <v>1719</v>
      </c>
    </row>
    <row r="1821" spans="1:1">
      <c r="A1821" t="s">
        <v>1720</v>
      </c>
    </row>
    <row r="1822" spans="1:1">
      <c r="A1822" t="s">
        <v>1721</v>
      </c>
    </row>
    <row r="1823" spans="1:1">
      <c r="A1823" t="s">
        <v>1722</v>
      </c>
    </row>
    <row r="1824" spans="1:1">
      <c r="A1824" t="s">
        <v>1723</v>
      </c>
    </row>
    <row r="1825" spans="1:1">
      <c r="A1825" t="s">
        <v>421</v>
      </c>
    </row>
    <row r="1826" spans="1:1">
      <c r="A1826" t="s">
        <v>1724</v>
      </c>
    </row>
    <row r="1831" spans="1:1">
      <c r="A1831" t="s">
        <v>1725</v>
      </c>
    </row>
    <row r="1832" spans="1:1">
      <c r="A1832" t="s">
        <v>371</v>
      </c>
    </row>
    <row r="1833" spans="1:1">
      <c r="A1833" t="s">
        <v>1726</v>
      </c>
    </row>
    <row r="1834" spans="1:1">
      <c r="A1834" t="s">
        <v>1727</v>
      </c>
    </row>
    <row r="1835" spans="1:1">
      <c r="A1835" t="s">
        <v>374</v>
      </c>
    </row>
    <row r="1836" spans="1:1">
      <c r="A1836" t="s">
        <v>1728</v>
      </c>
    </row>
    <row r="1837" spans="1:1">
      <c r="A1837" t="s">
        <v>376</v>
      </c>
    </row>
    <row r="1839" spans="1:1">
      <c r="A1839" t="s">
        <v>1684</v>
      </c>
    </row>
    <row r="1840" spans="1:1">
      <c r="A1840" t="s">
        <v>378</v>
      </c>
    </row>
    <row r="1841" spans="1:1">
      <c r="A1841" t="s">
        <v>1729</v>
      </c>
    </row>
    <row r="1842" spans="1:1">
      <c r="A1842" t="s">
        <v>1730</v>
      </c>
    </row>
    <row r="1843" spans="1:1">
      <c r="A1843" t="s">
        <v>1731</v>
      </c>
    </row>
    <row r="1844" spans="1:1">
      <c r="A1844" t="s">
        <v>1732</v>
      </c>
    </row>
    <row r="1845" spans="1:1">
      <c r="A1845" t="s">
        <v>1733</v>
      </c>
    </row>
    <row r="1846" spans="1:1">
      <c r="A1846" t="s">
        <v>1734</v>
      </c>
    </row>
    <row r="1847" spans="1:1">
      <c r="A1847" t="s">
        <v>1735</v>
      </c>
    </row>
    <row r="1848" spans="1:1">
      <c r="A1848" t="s">
        <v>1736</v>
      </c>
    </row>
    <row r="1849" spans="1:1">
      <c r="A1849" t="s">
        <v>1737</v>
      </c>
    </row>
    <row r="1850" spans="1:1">
      <c r="A1850" t="s">
        <v>1738</v>
      </c>
    </row>
    <row r="1851" spans="1:1">
      <c r="A1851" t="s">
        <v>1739</v>
      </c>
    </row>
    <row r="1852" spans="1:1">
      <c r="A1852" t="s">
        <v>1740</v>
      </c>
    </row>
    <row r="1853" spans="1:1">
      <c r="A1853" t="s">
        <v>1741</v>
      </c>
    </row>
    <row r="1856" spans="1:1">
      <c r="A1856" t="s">
        <v>392</v>
      </c>
    </row>
    <row r="1857" spans="1:1">
      <c r="A1857" t="s">
        <v>1742</v>
      </c>
    </row>
    <row r="1858" spans="1:1">
      <c r="A1858" t="s">
        <v>1743</v>
      </c>
    </row>
    <row r="1859" spans="1:1">
      <c r="A1859" t="s">
        <v>1744</v>
      </c>
    </row>
    <row r="1860" spans="1:1">
      <c r="A1860" t="s">
        <v>1745</v>
      </c>
    </row>
    <row r="1861" spans="1:1">
      <c r="A1861" t="s">
        <v>1746</v>
      </c>
    </row>
    <row r="1862" spans="1:1">
      <c r="A1862" t="s">
        <v>1747</v>
      </c>
    </row>
    <row r="1863" spans="1:1">
      <c r="A1863" t="s">
        <v>1748</v>
      </c>
    </row>
    <row r="1864" spans="1:1">
      <c r="A1864" t="s">
        <v>1749</v>
      </c>
    </row>
    <row r="1865" spans="1:1">
      <c r="A1865" t="s">
        <v>1750</v>
      </c>
    </row>
    <row r="1866" spans="1:1">
      <c r="A1866" t="s">
        <v>1751</v>
      </c>
    </row>
    <row r="1867" spans="1:1">
      <c r="A1867" t="s">
        <v>1752</v>
      </c>
    </row>
    <row r="1868" spans="1:1">
      <c r="A1868" t="s">
        <v>1753</v>
      </c>
    </row>
    <row r="1869" spans="1:1">
      <c r="A1869" t="s">
        <v>1754</v>
      </c>
    </row>
    <row r="1871" spans="1:1">
      <c r="A1871" t="s">
        <v>406</v>
      </c>
    </row>
    <row r="1872" spans="1:1">
      <c r="A1872" t="s">
        <v>1755</v>
      </c>
    </row>
    <row r="1873" spans="1:1">
      <c r="A1873" t="s">
        <v>1756</v>
      </c>
    </row>
    <row r="1874" spans="1:1">
      <c r="A1874" t="s">
        <v>1757</v>
      </c>
    </row>
    <row r="1875" spans="1:1">
      <c r="A1875" t="s">
        <v>1758</v>
      </c>
    </row>
    <row r="1876" spans="1:1">
      <c r="A1876" t="s">
        <v>1759</v>
      </c>
    </row>
    <row r="1877" spans="1:1">
      <c r="A1877" t="s">
        <v>1760</v>
      </c>
    </row>
    <row r="1878" spans="1:1">
      <c r="A1878" t="s">
        <v>1761</v>
      </c>
    </row>
    <row r="1879" spans="1:1">
      <c r="A1879" t="s">
        <v>1762</v>
      </c>
    </row>
    <row r="1880" spans="1:1">
      <c r="A1880" t="s">
        <v>1763</v>
      </c>
    </row>
    <row r="1881" spans="1:1">
      <c r="A1881" t="s">
        <v>1764</v>
      </c>
    </row>
    <row r="1882" spans="1:1">
      <c r="A1882" t="s">
        <v>1765</v>
      </c>
    </row>
    <row r="1883" spans="1:1">
      <c r="A1883" t="s">
        <v>1766</v>
      </c>
    </row>
    <row r="1884" spans="1:1">
      <c r="A1884" t="s">
        <v>1767</v>
      </c>
    </row>
    <row r="1885" spans="1:1">
      <c r="A1885" t="s">
        <v>1768</v>
      </c>
    </row>
    <row r="1886" spans="1:1">
      <c r="A1886" t="s">
        <v>421</v>
      </c>
    </row>
    <row r="1887" spans="1:1">
      <c r="A1887" t="s">
        <v>1769</v>
      </c>
    </row>
    <row r="1892" spans="1:1">
      <c r="A1892" t="s">
        <v>1770</v>
      </c>
    </row>
    <row r="1893" spans="1:1">
      <c r="A1893" t="s">
        <v>371</v>
      </c>
    </row>
    <row r="1894" spans="1:1">
      <c r="A1894" t="s">
        <v>1771</v>
      </c>
    </row>
    <row r="1895" spans="1:1">
      <c r="A1895" t="s">
        <v>1772</v>
      </c>
    </row>
    <row r="1896" spans="1:1">
      <c r="A1896" t="s">
        <v>374</v>
      </c>
    </row>
    <row r="1897" spans="1:1">
      <c r="A1897" t="s">
        <v>1773</v>
      </c>
    </row>
    <row r="1898" spans="1:1">
      <c r="A1898" t="s">
        <v>376</v>
      </c>
    </row>
    <row r="1900" spans="1:1">
      <c r="A1900" t="s">
        <v>1684</v>
      </c>
    </row>
    <row r="1901" spans="1:1">
      <c r="A1901" t="s">
        <v>378</v>
      </c>
    </row>
    <row r="1902" spans="1:1">
      <c r="A1902" t="s">
        <v>1774</v>
      </c>
    </row>
    <row r="1903" spans="1:1">
      <c r="A1903" t="s">
        <v>1775</v>
      </c>
    </row>
    <row r="1904" spans="1:1">
      <c r="A1904" t="s">
        <v>1776</v>
      </c>
    </row>
    <row r="1905" spans="1:1">
      <c r="A1905" t="s">
        <v>1777</v>
      </c>
    </row>
    <row r="1906" spans="1:1">
      <c r="A1906" t="s">
        <v>1778</v>
      </c>
    </row>
    <row r="1907" spans="1:1">
      <c r="A1907" t="s">
        <v>1779</v>
      </c>
    </row>
    <row r="1908" spans="1:1">
      <c r="A1908" t="s">
        <v>1780</v>
      </c>
    </row>
    <row r="1909" spans="1:1">
      <c r="A1909" t="s">
        <v>1781</v>
      </c>
    </row>
    <row r="1910" spans="1:1">
      <c r="A1910" t="s">
        <v>1782</v>
      </c>
    </row>
    <row r="1911" spans="1:1">
      <c r="A1911" t="s">
        <v>1783</v>
      </c>
    </row>
    <row r="1912" spans="1:1">
      <c r="A1912" t="s">
        <v>1784</v>
      </c>
    </row>
    <row r="1913" spans="1:1">
      <c r="A1913" t="s">
        <v>1785</v>
      </c>
    </row>
    <row r="1914" spans="1:1">
      <c r="A1914" t="s">
        <v>1786</v>
      </c>
    </row>
    <row r="1917" spans="1:1">
      <c r="A1917" t="s">
        <v>392</v>
      </c>
    </row>
    <row r="1918" spans="1:1">
      <c r="A1918" t="s">
        <v>1787</v>
      </c>
    </row>
    <row r="1919" spans="1:1">
      <c r="A1919" t="s">
        <v>1788</v>
      </c>
    </row>
    <row r="1920" spans="1:1">
      <c r="A1920" t="s">
        <v>1789</v>
      </c>
    </row>
    <row r="1921" spans="1:1">
      <c r="A1921" t="s">
        <v>1790</v>
      </c>
    </row>
    <row r="1922" spans="1:1">
      <c r="A1922" t="s">
        <v>1791</v>
      </c>
    </row>
    <row r="1923" spans="1:1">
      <c r="A1923" t="s">
        <v>1792</v>
      </c>
    </row>
    <row r="1924" spans="1:1">
      <c r="A1924" t="s">
        <v>1793</v>
      </c>
    </row>
    <row r="1925" spans="1:1">
      <c r="A1925" t="s">
        <v>1794</v>
      </c>
    </row>
    <row r="1926" spans="1:1">
      <c r="A1926" t="s">
        <v>1795</v>
      </c>
    </row>
    <row r="1927" spans="1:1">
      <c r="A1927" t="s">
        <v>1796</v>
      </c>
    </row>
    <row r="1928" spans="1:1">
      <c r="A1928" t="s">
        <v>1797</v>
      </c>
    </row>
    <row r="1929" spans="1:1">
      <c r="A1929" t="s">
        <v>1798</v>
      </c>
    </row>
    <row r="1930" spans="1:1">
      <c r="A1930" t="s">
        <v>1799</v>
      </c>
    </row>
    <row r="1932" spans="1:1">
      <c r="A1932" t="s">
        <v>406</v>
      </c>
    </row>
    <row r="1933" spans="1:1">
      <c r="A1933" t="s">
        <v>1800</v>
      </c>
    </row>
    <row r="1934" spans="1:1">
      <c r="A1934" t="s">
        <v>1801</v>
      </c>
    </row>
    <row r="1935" spans="1:1">
      <c r="A1935" t="s">
        <v>1802</v>
      </c>
    </row>
    <row r="1936" spans="1:1">
      <c r="A1936" t="s">
        <v>1803</v>
      </c>
    </row>
    <row r="1937" spans="1:1">
      <c r="A1937" t="s">
        <v>1804</v>
      </c>
    </row>
    <row r="1938" spans="1:1">
      <c r="A1938" t="s">
        <v>1805</v>
      </c>
    </row>
    <row r="1939" spans="1:1">
      <c r="A1939" t="s">
        <v>1806</v>
      </c>
    </row>
    <row r="1940" spans="1:1">
      <c r="A1940" t="s">
        <v>1807</v>
      </c>
    </row>
    <row r="1941" spans="1:1">
      <c r="A1941" t="s">
        <v>1808</v>
      </c>
    </row>
    <row r="1942" spans="1:1">
      <c r="A1942" t="s">
        <v>1809</v>
      </c>
    </row>
    <row r="1943" spans="1:1">
      <c r="A1943" t="s">
        <v>1810</v>
      </c>
    </row>
    <row r="1944" spans="1:1">
      <c r="A1944" t="s">
        <v>1811</v>
      </c>
    </row>
    <row r="1945" spans="1:1">
      <c r="A1945" t="s">
        <v>1812</v>
      </c>
    </row>
    <row r="1946" spans="1:1">
      <c r="A1946" t="s">
        <v>1813</v>
      </c>
    </row>
    <row r="1947" spans="1:1">
      <c r="A1947" t="s">
        <v>421</v>
      </c>
    </row>
    <row r="1948" spans="1:1">
      <c r="A1948" t="s">
        <v>1814</v>
      </c>
    </row>
    <row r="1953" spans="1:1">
      <c r="A1953" t="s">
        <v>1815</v>
      </c>
    </row>
    <row r="1954" spans="1:1">
      <c r="A1954" t="s">
        <v>371</v>
      </c>
    </row>
    <row r="1955" spans="1:1">
      <c r="A1955" t="s">
        <v>1816</v>
      </c>
    </row>
    <row r="1956" spans="1:1">
      <c r="A1956" t="s">
        <v>1817</v>
      </c>
    </row>
    <row r="1957" spans="1:1">
      <c r="A1957" t="s">
        <v>374</v>
      </c>
    </row>
    <row r="1958" spans="1:1">
      <c r="A1958" t="s">
        <v>1818</v>
      </c>
    </row>
    <row r="1959" spans="1:1">
      <c r="A1959" t="s">
        <v>376</v>
      </c>
    </row>
    <row r="1961" spans="1:1">
      <c r="A1961" t="s">
        <v>1323</v>
      </c>
    </row>
    <row r="1962" spans="1:1">
      <c r="A1962" t="s">
        <v>378</v>
      </c>
    </row>
    <row r="1963" spans="1:1">
      <c r="A1963" t="s">
        <v>1819</v>
      </c>
    </row>
    <row r="1964" spans="1:1">
      <c r="A1964" t="s">
        <v>1820</v>
      </c>
    </row>
    <row r="1965" spans="1:1">
      <c r="A1965" t="s">
        <v>1821</v>
      </c>
    </row>
    <row r="1966" spans="1:1">
      <c r="A1966" t="s">
        <v>1822</v>
      </c>
    </row>
    <row r="1967" spans="1:1">
      <c r="A1967" t="s">
        <v>1823</v>
      </c>
    </row>
    <row r="1968" spans="1:1">
      <c r="A1968" t="s">
        <v>1824</v>
      </c>
    </row>
    <row r="1969" spans="1:1">
      <c r="A1969" t="s">
        <v>1825</v>
      </c>
    </row>
    <row r="1970" spans="1:1">
      <c r="A1970" t="s">
        <v>1826</v>
      </c>
    </row>
    <row r="1971" spans="1:1">
      <c r="A1971" t="s">
        <v>1827</v>
      </c>
    </row>
    <row r="1972" spans="1:1">
      <c r="A1972" t="s">
        <v>1828</v>
      </c>
    </row>
    <row r="1973" spans="1:1">
      <c r="A1973" t="s">
        <v>1829</v>
      </c>
    </row>
    <row r="1974" spans="1:1">
      <c r="A1974" t="s">
        <v>1830</v>
      </c>
    </row>
    <row r="1975" spans="1:1">
      <c r="A1975" t="s">
        <v>1831</v>
      </c>
    </row>
    <row r="1978" spans="1:1">
      <c r="A1978" t="s">
        <v>392</v>
      </c>
    </row>
    <row r="1979" spans="1:1">
      <c r="A1979" t="s">
        <v>1832</v>
      </c>
    </row>
    <row r="1980" spans="1:1">
      <c r="A1980" t="s">
        <v>1833</v>
      </c>
    </row>
    <row r="1981" spans="1:1">
      <c r="A1981" t="s">
        <v>1834</v>
      </c>
    </row>
    <row r="1982" spans="1:1">
      <c r="A1982" t="s">
        <v>1835</v>
      </c>
    </row>
    <row r="1983" spans="1:1">
      <c r="A1983" t="s">
        <v>1836</v>
      </c>
    </row>
    <row r="1984" spans="1:1">
      <c r="A1984" t="s">
        <v>1837</v>
      </c>
    </row>
    <row r="1985" spans="1:1">
      <c r="A1985" t="s">
        <v>1838</v>
      </c>
    </row>
    <row r="1986" spans="1:1">
      <c r="A1986" t="s">
        <v>1839</v>
      </c>
    </row>
    <row r="1987" spans="1:1">
      <c r="A1987" t="s">
        <v>1840</v>
      </c>
    </row>
    <row r="1988" spans="1:1">
      <c r="A1988" t="s">
        <v>1841</v>
      </c>
    </row>
    <row r="1989" spans="1:1">
      <c r="A1989" t="s">
        <v>1842</v>
      </c>
    </row>
    <row r="1990" spans="1:1">
      <c r="A1990" t="s">
        <v>1843</v>
      </c>
    </row>
    <row r="1991" spans="1:1">
      <c r="A1991" t="s">
        <v>1844</v>
      </c>
    </row>
    <row r="1993" spans="1:1">
      <c r="A1993" t="s">
        <v>406</v>
      </c>
    </row>
    <row r="1994" spans="1:1">
      <c r="A1994" t="s">
        <v>1845</v>
      </c>
    </row>
    <row r="1995" spans="1:1">
      <c r="A1995" t="s">
        <v>1846</v>
      </c>
    </row>
    <row r="1996" spans="1:1">
      <c r="A1996" t="s">
        <v>1847</v>
      </c>
    </row>
    <row r="1997" spans="1:1">
      <c r="A1997" t="s">
        <v>1848</v>
      </c>
    </row>
    <row r="1998" spans="1:1">
      <c r="A1998" t="s">
        <v>1849</v>
      </c>
    </row>
    <row r="1999" spans="1:1">
      <c r="A1999" t="s">
        <v>1850</v>
      </c>
    </row>
    <row r="2000" spans="1:1">
      <c r="A2000" t="s">
        <v>1851</v>
      </c>
    </row>
    <row r="2001" spans="1:1">
      <c r="A2001" t="s">
        <v>1852</v>
      </c>
    </row>
    <row r="2002" spans="1:1">
      <c r="A2002" t="s">
        <v>1853</v>
      </c>
    </row>
    <row r="2003" spans="1:1">
      <c r="A2003" t="s">
        <v>1854</v>
      </c>
    </row>
    <row r="2004" spans="1:1">
      <c r="A2004" t="s">
        <v>1855</v>
      </c>
    </row>
    <row r="2005" spans="1:1">
      <c r="A2005" t="s">
        <v>1856</v>
      </c>
    </row>
    <row r="2006" spans="1:1">
      <c r="A2006" t="s">
        <v>1857</v>
      </c>
    </row>
    <row r="2007" spans="1:1">
      <c r="A2007" t="s">
        <v>1858</v>
      </c>
    </row>
    <row r="2008" spans="1:1">
      <c r="A2008" t="s">
        <v>421</v>
      </c>
    </row>
    <row r="2009" spans="1:1">
      <c r="A2009" t="s">
        <v>1859</v>
      </c>
    </row>
    <row r="2014" spans="1:1">
      <c r="A2014" t="s">
        <v>1860</v>
      </c>
    </row>
    <row r="2015" spans="1:1">
      <c r="A2015" t="s">
        <v>371</v>
      </c>
    </row>
    <row r="2016" spans="1:1">
      <c r="A2016" t="s">
        <v>1861</v>
      </c>
    </row>
    <row r="2017" spans="1:1">
      <c r="A2017" t="s">
        <v>1862</v>
      </c>
    </row>
    <row r="2018" spans="1:1">
      <c r="A2018" t="s">
        <v>374</v>
      </c>
    </row>
    <row r="2019" spans="1:1">
      <c r="A2019" t="s">
        <v>1863</v>
      </c>
    </row>
    <row r="2020" spans="1:1">
      <c r="A2020" t="s">
        <v>376</v>
      </c>
    </row>
    <row r="2022" spans="1:1">
      <c r="A2022" t="s">
        <v>1684</v>
      </c>
    </row>
    <row r="2023" spans="1:1">
      <c r="A2023" t="s">
        <v>378</v>
      </c>
    </row>
    <row r="2024" spans="1:1">
      <c r="A2024" t="s">
        <v>1864</v>
      </c>
    </row>
    <row r="2025" spans="1:1">
      <c r="A2025" t="s">
        <v>1865</v>
      </c>
    </row>
    <row r="2026" spans="1:1">
      <c r="A2026" t="s">
        <v>1866</v>
      </c>
    </row>
    <row r="2027" spans="1:1">
      <c r="A2027" t="s">
        <v>1867</v>
      </c>
    </row>
    <row r="2028" spans="1:1">
      <c r="A2028" t="s">
        <v>1868</v>
      </c>
    </row>
    <row r="2029" spans="1:1">
      <c r="A2029" t="s">
        <v>1869</v>
      </c>
    </row>
    <row r="2030" spans="1:1">
      <c r="A2030" t="s">
        <v>1870</v>
      </c>
    </row>
    <row r="2031" spans="1:1">
      <c r="A2031" t="s">
        <v>1871</v>
      </c>
    </row>
    <row r="2032" spans="1:1">
      <c r="A2032" t="s">
        <v>1872</v>
      </c>
    </row>
    <row r="2033" spans="1:1">
      <c r="A2033" t="s">
        <v>1873</v>
      </c>
    </row>
    <row r="2034" spans="1:1">
      <c r="A2034" t="s">
        <v>1874</v>
      </c>
    </row>
    <row r="2035" spans="1:1">
      <c r="A2035" t="s">
        <v>1875</v>
      </c>
    </row>
    <row r="2036" spans="1:1">
      <c r="A2036" t="s">
        <v>1876</v>
      </c>
    </row>
    <row r="2039" spans="1:1">
      <c r="A2039" t="s">
        <v>392</v>
      </c>
    </row>
    <row r="2040" spans="1:1">
      <c r="A2040" t="s">
        <v>1877</v>
      </c>
    </row>
    <row r="2041" spans="1:1">
      <c r="A2041" t="s">
        <v>1878</v>
      </c>
    </row>
    <row r="2042" spans="1:1">
      <c r="A2042" t="s">
        <v>1879</v>
      </c>
    </row>
    <row r="2043" spans="1:1">
      <c r="A2043" t="s">
        <v>1880</v>
      </c>
    </row>
    <row r="2044" spans="1:1">
      <c r="A2044" t="s">
        <v>1881</v>
      </c>
    </row>
    <row r="2045" spans="1:1">
      <c r="A2045" t="s">
        <v>1882</v>
      </c>
    </row>
    <row r="2046" spans="1:1">
      <c r="A2046" t="s">
        <v>1883</v>
      </c>
    </row>
    <row r="2047" spans="1:1">
      <c r="A2047" t="s">
        <v>1884</v>
      </c>
    </row>
    <row r="2048" spans="1:1">
      <c r="A2048" t="s">
        <v>1885</v>
      </c>
    </row>
    <row r="2049" spans="1:1">
      <c r="A2049" t="s">
        <v>1886</v>
      </c>
    </row>
    <row r="2050" spans="1:1">
      <c r="A2050" t="s">
        <v>1887</v>
      </c>
    </row>
    <row r="2051" spans="1:1">
      <c r="A2051" t="s">
        <v>1888</v>
      </c>
    </row>
    <row r="2052" spans="1:1">
      <c r="A2052" t="s">
        <v>1889</v>
      </c>
    </row>
    <row r="2054" spans="1:1">
      <c r="A2054" t="s">
        <v>406</v>
      </c>
    </row>
    <row r="2055" spans="1:1">
      <c r="A2055" t="s">
        <v>1890</v>
      </c>
    </row>
    <row r="2056" spans="1:1">
      <c r="A2056" t="s">
        <v>1891</v>
      </c>
    </row>
    <row r="2057" spans="1:1">
      <c r="A2057" t="s">
        <v>1892</v>
      </c>
    </row>
    <row r="2058" spans="1:1">
      <c r="A2058" t="s">
        <v>1893</v>
      </c>
    </row>
    <row r="2059" spans="1:1">
      <c r="A2059" t="s">
        <v>1894</v>
      </c>
    </row>
    <row r="2060" spans="1:1">
      <c r="A2060" t="s">
        <v>1895</v>
      </c>
    </row>
    <row r="2061" spans="1:1">
      <c r="A2061" t="s">
        <v>1896</v>
      </c>
    </row>
    <row r="2062" spans="1:1">
      <c r="A2062" t="s">
        <v>1897</v>
      </c>
    </row>
    <row r="2063" spans="1:1">
      <c r="A2063" t="s">
        <v>1898</v>
      </c>
    </row>
    <row r="2064" spans="1:1">
      <c r="A2064" t="s">
        <v>1899</v>
      </c>
    </row>
    <row r="2065" spans="1:1">
      <c r="A2065" t="s">
        <v>1900</v>
      </c>
    </row>
    <row r="2066" spans="1:1">
      <c r="A2066" t="s">
        <v>1901</v>
      </c>
    </row>
    <row r="2067" spans="1:1">
      <c r="A2067" t="s">
        <v>1902</v>
      </c>
    </row>
    <row r="2068" spans="1:1">
      <c r="A2068" t="s">
        <v>1903</v>
      </c>
    </row>
    <row r="2069" spans="1:1">
      <c r="A2069" t="s">
        <v>421</v>
      </c>
    </row>
    <row r="2070" spans="1:1">
      <c r="A2070" t="s">
        <v>1904</v>
      </c>
    </row>
    <row r="2075" spans="1:1">
      <c r="A2075" t="s">
        <v>1905</v>
      </c>
    </row>
    <row r="2076" spans="1:1">
      <c r="A2076" t="s">
        <v>371</v>
      </c>
    </row>
    <row r="2077" spans="1:1">
      <c r="A2077" t="s">
        <v>1906</v>
      </c>
    </row>
    <row r="2078" spans="1:1">
      <c r="A2078" t="s">
        <v>1907</v>
      </c>
    </row>
    <row r="2079" spans="1:1">
      <c r="A2079" t="s">
        <v>374</v>
      </c>
    </row>
    <row r="2080" spans="1:1">
      <c r="A2080" t="s">
        <v>1908</v>
      </c>
    </row>
    <row r="2081" spans="1:1">
      <c r="A2081" t="s">
        <v>376</v>
      </c>
    </row>
    <row r="2083" spans="1:1">
      <c r="A2083" t="s">
        <v>1684</v>
      </c>
    </row>
    <row r="2084" spans="1:1">
      <c r="A2084" t="s">
        <v>378</v>
      </c>
    </row>
    <row r="2085" spans="1:1">
      <c r="A2085" t="s">
        <v>1909</v>
      </c>
    </row>
    <row r="2086" spans="1:1">
      <c r="A2086" t="s">
        <v>1910</v>
      </c>
    </row>
    <row r="2087" spans="1:1">
      <c r="A2087" t="s">
        <v>1911</v>
      </c>
    </row>
    <row r="2088" spans="1:1">
      <c r="A2088" t="s">
        <v>1912</v>
      </c>
    </row>
    <row r="2089" spans="1:1">
      <c r="A2089" t="s">
        <v>1913</v>
      </c>
    </row>
    <row r="2090" spans="1:1">
      <c r="A2090" t="s">
        <v>1914</v>
      </c>
    </row>
    <row r="2091" spans="1:1">
      <c r="A2091" t="s">
        <v>1915</v>
      </c>
    </row>
    <row r="2092" spans="1:1">
      <c r="A2092" t="s">
        <v>1916</v>
      </c>
    </row>
    <row r="2093" spans="1:1">
      <c r="A2093" t="s">
        <v>1917</v>
      </c>
    </row>
    <row r="2094" spans="1:1">
      <c r="A2094" t="s">
        <v>1918</v>
      </c>
    </row>
    <row r="2095" spans="1:1">
      <c r="A2095" t="s">
        <v>1919</v>
      </c>
    </row>
    <row r="2096" spans="1:1">
      <c r="A2096" t="s">
        <v>1920</v>
      </c>
    </row>
    <row r="2097" spans="1:1">
      <c r="A2097" t="s">
        <v>1921</v>
      </c>
    </row>
    <row r="2100" spans="1:1">
      <c r="A2100" t="s">
        <v>392</v>
      </c>
    </row>
    <row r="2101" spans="1:1">
      <c r="A2101" t="s">
        <v>1922</v>
      </c>
    </row>
    <row r="2102" spans="1:1">
      <c r="A2102" t="s">
        <v>1923</v>
      </c>
    </row>
    <row r="2103" spans="1:1">
      <c r="A2103" t="s">
        <v>1924</v>
      </c>
    </row>
    <row r="2104" spans="1:1">
      <c r="A2104" t="s">
        <v>1925</v>
      </c>
    </row>
    <row r="2105" spans="1:1">
      <c r="A2105" t="s">
        <v>1926</v>
      </c>
    </row>
    <row r="2106" spans="1:1">
      <c r="A2106" t="s">
        <v>1927</v>
      </c>
    </row>
    <row r="2107" spans="1:1">
      <c r="A2107" t="s">
        <v>1928</v>
      </c>
    </row>
    <row r="2108" spans="1:1">
      <c r="A2108" t="s">
        <v>1929</v>
      </c>
    </row>
    <row r="2109" spans="1:1">
      <c r="A2109" t="s">
        <v>1930</v>
      </c>
    </row>
    <row r="2110" spans="1:1">
      <c r="A2110" t="s">
        <v>1931</v>
      </c>
    </row>
    <row r="2111" spans="1:1">
      <c r="A2111" t="s">
        <v>1932</v>
      </c>
    </row>
    <row r="2112" spans="1:1">
      <c r="A2112" t="s">
        <v>1933</v>
      </c>
    </row>
    <row r="2113" spans="1:1">
      <c r="A2113" t="s">
        <v>1934</v>
      </c>
    </row>
    <row r="2115" spans="1:1">
      <c r="A2115" t="s">
        <v>406</v>
      </c>
    </row>
    <row r="2116" spans="1:1">
      <c r="A2116" t="s">
        <v>1935</v>
      </c>
    </row>
    <row r="2117" spans="1:1">
      <c r="A2117" t="s">
        <v>1936</v>
      </c>
    </row>
    <row r="2118" spans="1:1">
      <c r="A2118" t="s">
        <v>1937</v>
      </c>
    </row>
    <row r="2119" spans="1:1">
      <c r="A2119" t="s">
        <v>1938</v>
      </c>
    </row>
    <row r="2120" spans="1:1">
      <c r="A2120" t="s">
        <v>1939</v>
      </c>
    </row>
    <row r="2121" spans="1:1">
      <c r="A2121" t="s">
        <v>1940</v>
      </c>
    </row>
    <row r="2122" spans="1:1">
      <c r="A2122" t="s">
        <v>1941</v>
      </c>
    </row>
    <row r="2123" spans="1:1">
      <c r="A2123" t="s">
        <v>1942</v>
      </c>
    </row>
    <row r="2124" spans="1:1">
      <c r="A2124" t="s">
        <v>1943</v>
      </c>
    </row>
    <row r="2125" spans="1:1">
      <c r="A2125" t="s">
        <v>1944</v>
      </c>
    </row>
    <row r="2126" spans="1:1">
      <c r="A2126" t="s">
        <v>1945</v>
      </c>
    </row>
    <row r="2127" spans="1:1">
      <c r="A2127" t="s">
        <v>1946</v>
      </c>
    </row>
    <row r="2128" spans="1:1">
      <c r="A2128" t="s">
        <v>1947</v>
      </c>
    </row>
    <row r="2129" spans="1:1">
      <c r="A2129" t="s">
        <v>1948</v>
      </c>
    </row>
    <row r="2130" spans="1:1">
      <c r="A2130" t="s">
        <v>421</v>
      </c>
    </row>
    <row r="2131" spans="1:1">
      <c r="A2131" t="s">
        <v>1949</v>
      </c>
    </row>
    <row r="2136" spans="1:1">
      <c r="A2136" t="s">
        <v>1950</v>
      </c>
    </row>
    <row r="2137" spans="1:1">
      <c r="A2137" t="s">
        <v>371</v>
      </c>
    </row>
    <row r="2138" spans="1:1">
      <c r="A2138" t="s">
        <v>1951</v>
      </c>
    </row>
    <row r="2139" spans="1:1">
      <c r="A2139" t="s">
        <v>1952</v>
      </c>
    </row>
    <row r="2140" spans="1:1">
      <c r="A2140" t="s">
        <v>374</v>
      </c>
    </row>
    <row r="2141" spans="1:1">
      <c r="A2141" t="s">
        <v>1953</v>
      </c>
    </row>
    <row r="2142" spans="1:1">
      <c r="A2142" t="s">
        <v>376</v>
      </c>
    </row>
    <row r="2144" spans="1:1">
      <c r="A2144" t="s">
        <v>1684</v>
      </c>
    </row>
    <row r="2145" spans="1:1">
      <c r="A2145" t="s">
        <v>378</v>
      </c>
    </row>
    <row r="2146" spans="1:1">
      <c r="A2146" t="s">
        <v>1954</v>
      </c>
    </row>
    <row r="2147" spans="1:1">
      <c r="A2147" t="s">
        <v>1955</v>
      </c>
    </row>
    <row r="2148" spans="1:1">
      <c r="A2148" t="s">
        <v>1956</v>
      </c>
    </row>
    <row r="2149" spans="1:1">
      <c r="A2149" t="s">
        <v>1957</v>
      </c>
    </row>
    <row r="2150" spans="1:1">
      <c r="A2150" t="s">
        <v>1958</v>
      </c>
    </row>
    <row r="2151" spans="1:1">
      <c r="A2151" t="s">
        <v>1959</v>
      </c>
    </row>
    <row r="2152" spans="1:1">
      <c r="A2152" t="s">
        <v>1960</v>
      </c>
    </row>
    <row r="2153" spans="1:1">
      <c r="A2153" t="s">
        <v>1961</v>
      </c>
    </row>
    <row r="2154" spans="1:1">
      <c r="A2154" t="s">
        <v>1962</v>
      </c>
    </row>
    <row r="2155" spans="1:1">
      <c r="A2155" t="s">
        <v>1963</v>
      </c>
    </row>
    <row r="2156" spans="1:1">
      <c r="A2156" t="s">
        <v>1964</v>
      </c>
    </row>
    <row r="2157" spans="1:1">
      <c r="A2157" t="s">
        <v>1965</v>
      </c>
    </row>
    <row r="2158" spans="1:1">
      <c r="A2158" t="s">
        <v>1966</v>
      </c>
    </row>
    <row r="2161" spans="1:1">
      <c r="A2161" t="s">
        <v>392</v>
      </c>
    </row>
    <row r="2162" spans="1:1">
      <c r="A2162" t="s">
        <v>1967</v>
      </c>
    </row>
    <row r="2163" spans="1:1">
      <c r="A2163" t="s">
        <v>1968</v>
      </c>
    </row>
    <row r="2164" spans="1:1">
      <c r="A2164" t="s">
        <v>1969</v>
      </c>
    </row>
    <row r="2165" spans="1:1">
      <c r="A2165" t="s">
        <v>1970</v>
      </c>
    </row>
    <row r="2166" spans="1:1">
      <c r="A2166" t="s">
        <v>1971</v>
      </c>
    </row>
    <row r="2167" spans="1:1">
      <c r="A2167" t="s">
        <v>1972</v>
      </c>
    </row>
    <row r="2168" spans="1:1">
      <c r="A2168" t="s">
        <v>1973</v>
      </c>
    </row>
    <row r="2169" spans="1:1">
      <c r="A2169" t="s">
        <v>1974</v>
      </c>
    </row>
    <row r="2170" spans="1:1">
      <c r="A2170" t="s">
        <v>1975</v>
      </c>
    </row>
    <row r="2171" spans="1:1">
      <c r="A2171" t="s">
        <v>1976</v>
      </c>
    </row>
    <row r="2172" spans="1:1">
      <c r="A2172" t="s">
        <v>1977</v>
      </c>
    </row>
    <row r="2173" spans="1:1">
      <c r="A2173" t="s">
        <v>1978</v>
      </c>
    </row>
    <row r="2174" spans="1:1">
      <c r="A2174" t="s">
        <v>1979</v>
      </c>
    </row>
    <row r="2176" spans="1:1">
      <c r="A2176" t="s">
        <v>406</v>
      </c>
    </row>
    <row r="2177" spans="1:1">
      <c r="A2177" t="s">
        <v>1980</v>
      </c>
    </row>
    <row r="2178" spans="1:1">
      <c r="A2178" t="s">
        <v>1981</v>
      </c>
    </row>
    <row r="2179" spans="1:1">
      <c r="A2179" t="s">
        <v>1982</v>
      </c>
    </row>
    <row r="2180" spans="1:1">
      <c r="A2180" t="s">
        <v>1983</v>
      </c>
    </row>
    <row r="2181" spans="1:1">
      <c r="A2181" t="s">
        <v>1984</v>
      </c>
    </row>
    <row r="2182" spans="1:1">
      <c r="A2182" t="s">
        <v>1985</v>
      </c>
    </row>
    <row r="2183" spans="1:1">
      <c r="A2183" t="s">
        <v>1986</v>
      </c>
    </row>
    <row r="2184" spans="1:1">
      <c r="A2184" t="s">
        <v>1987</v>
      </c>
    </row>
    <row r="2185" spans="1:1">
      <c r="A2185" t="s">
        <v>1988</v>
      </c>
    </row>
    <row r="2186" spans="1:1">
      <c r="A2186" t="s">
        <v>1989</v>
      </c>
    </row>
    <row r="2187" spans="1:1">
      <c r="A2187" t="s">
        <v>1990</v>
      </c>
    </row>
    <row r="2188" spans="1:1">
      <c r="A2188" t="s">
        <v>1991</v>
      </c>
    </row>
    <row r="2189" spans="1:1">
      <c r="A2189" t="s">
        <v>1992</v>
      </c>
    </row>
    <row r="2190" spans="1:1">
      <c r="A2190" t="s">
        <v>1993</v>
      </c>
    </row>
    <row r="2191" spans="1:1">
      <c r="A2191" t="s">
        <v>421</v>
      </c>
    </row>
    <row r="2192" spans="1:1">
      <c r="A2192" t="s">
        <v>1994</v>
      </c>
    </row>
    <row r="2197" spans="1:1">
      <c r="A2197" t="s">
        <v>1995</v>
      </c>
    </row>
    <row r="2198" spans="1:1">
      <c r="A2198" t="s">
        <v>371</v>
      </c>
    </row>
    <row r="2199" spans="1:1">
      <c r="A2199" t="s">
        <v>1996</v>
      </c>
    </row>
    <row r="2200" spans="1:1">
      <c r="A2200" t="s">
        <v>1997</v>
      </c>
    </row>
    <row r="2201" spans="1:1">
      <c r="A2201" t="s">
        <v>374</v>
      </c>
    </row>
    <row r="2202" spans="1:1">
      <c r="A2202" t="s">
        <v>1998</v>
      </c>
    </row>
    <row r="2203" spans="1:1">
      <c r="A2203" t="s">
        <v>376</v>
      </c>
    </row>
    <row r="2205" spans="1:1">
      <c r="A2205" t="s">
        <v>1684</v>
      </c>
    </row>
    <row r="2206" spans="1:1">
      <c r="A2206" t="s">
        <v>378</v>
      </c>
    </row>
    <row r="2207" spans="1:1">
      <c r="A2207" t="s">
        <v>1999</v>
      </c>
    </row>
    <row r="2208" spans="1:1">
      <c r="A2208" t="s">
        <v>2000</v>
      </c>
    </row>
    <row r="2209" spans="1:1">
      <c r="A2209" t="s">
        <v>2001</v>
      </c>
    </row>
    <row r="2210" spans="1:1">
      <c r="A2210" t="s">
        <v>2002</v>
      </c>
    </row>
    <row r="2211" spans="1:1">
      <c r="A2211" t="s">
        <v>2003</v>
      </c>
    </row>
    <row r="2212" spans="1:1">
      <c r="A2212" t="s">
        <v>2004</v>
      </c>
    </row>
    <row r="2213" spans="1:1">
      <c r="A2213" t="s">
        <v>2005</v>
      </c>
    </row>
    <row r="2214" spans="1:1">
      <c r="A2214" t="s">
        <v>2006</v>
      </c>
    </row>
    <row r="2215" spans="1:1">
      <c r="A2215" t="s">
        <v>2007</v>
      </c>
    </row>
    <row r="2216" spans="1:1">
      <c r="A2216" t="s">
        <v>2008</v>
      </c>
    </row>
    <row r="2217" spans="1:1">
      <c r="A2217" t="s">
        <v>2009</v>
      </c>
    </row>
    <row r="2218" spans="1:1">
      <c r="A2218" t="s">
        <v>2010</v>
      </c>
    </row>
    <row r="2219" spans="1:1">
      <c r="A2219" t="s">
        <v>2011</v>
      </c>
    </row>
    <row r="2222" spans="1:1">
      <c r="A2222" t="s">
        <v>392</v>
      </c>
    </row>
    <row r="2223" spans="1:1">
      <c r="A2223" t="s">
        <v>2012</v>
      </c>
    </row>
    <row r="2224" spans="1:1">
      <c r="A2224" t="s">
        <v>2013</v>
      </c>
    </row>
    <row r="2225" spans="1:1">
      <c r="A2225" t="s">
        <v>2014</v>
      </c>
    </row>
    <row r="2226" spans="1:1">
      <c r="A2226" t="s">
        <v>2015</v>
      </c>
    </row>
    <row r="2227" spans="1:1">
      <c r="A2227" t="s">
        <v>2016</v>
      </c>
    </row>
    <row r="2228" spans="1:1">
      <c r="A2228" t="s">
        <v>2017</v>
      </c>
    </row>
    <row r="2229" spans="1:1">
      <c r="A2229" t="s">
        <v>2018</v>
      </c>
    </row>
    <row r="2230" spans="1:1">
      <c r="A2230" t="s">
        <v>2019</v>
      </c>
    </row>
    <row r="2231" spans="1:1">
      <c r="A2231" t="s">
        <v>2020</v>
      </c>
    </row>
    <row r="2232" spans="1:1">
      <c r="A2232" t="s">
        <v>2021</v>
      </c>
    </row>
    <row r="2233" spans="1:1">
      <c r="A2233" t="s">
        <v>2022</v>
      </c>
    </row>
    <row r="2234" spans="1:1">
      <c r="A2234" t="s">
        <v>2023</v>
      </c>
    </row>
    <row r="2235" spans="1:1">
      <c r="A2235" t="s">
        <v>2024</v>
      </c>
    </row>
    <row r="2237" spans="1:1">
      <c r="A2237" t="s">
        <v>406</v>
      </c>
    </row>
    <row r="2238" spans="1:1">
      <c r="A2238" t="s">
        <v>2025</v>
      </c>
    </row>
    <row r="2239" spans="1:1">
      <c r="A2239" t="s">
        <v>2026</v>
      </c>
    </row>
    <row r="2240" spans="1:1">
      <c r="A2240" t="s">
        <v>2027</v>
      </c>
    </row>
    <row r="2241" spans="1:1">
      <c r="A2241" t="s">
        <v>2028</v>
      </c>
    </row>
    <row r="2242" spans="1:1">
      <c r="A2242" t="s">
        <v>2029</v>
      </c>
    </row>
    <row r="2243" spans="1:1">
      <c r="A2243" t="s">
        <v>2030</v>
      </c>
    </row>
    <row r="2244" spans="1:1">
      <c r="A2244" t="s">
        <v>2031</v>
      </c>
    </row>
    <row r="2245" spans="1:1">
      <c r="A2245" t="s">
        <v>2032</v>
      </c>
    </row>
    <row r="2246" spans="1:1">
      <c r="A2246" t="s">
        <v>2033</v>
      </c>
    </row>
    <row r="2247" spans="1:1">
      <c r="A2247" t="s">
        <v>2034</v>
      </c>
    </row>
    <row r="2248" spans="1:1">
      <c r="A2248" t="s">
        <v>2035</v>
      </c>
    </row>
    <row r="2249" spans="1:1">
      <c r="A2249" t="s">
        <v>2036</v>
      </c>
    </row>
    <row r="2250" spans="1:1">
      <c r="A2250" t="s">
        <v>2037</v>
      </c>
    </row>
    <row r="2251" spans="1:1">
      <c r="A2251" t="s">
        <v>2038</v>
      </c>
    </row>
    <row r="2252" spans="1:1">
      <c r="A2252" t="s">
        <v>421</v>
      </c>
    </row>
    <row r="2253" spans="1:1">
      <c r="A2253" t="s">
        <v>2039</v>
      </c>
    </row>
    <row r="2258" spans="1:1">
      <c r="A2258" t="s">
        <v>2040</v>
      </c>
    </row>
    <row r="2259" spans="1:1">
      <c r="A2259" t="s">
        <v>371</v>
      </c>
    </row>
    <row r="2260" spans="1:1">
      <c r="A2260" t="s">
        <v>2041</v>
      </c>
    </row>
    <row r="2261" spans="1:1">
      <c r="A2261" t="s">
        <v>2042</v>
      </c>
    </row>
    <row r="2262" spans="1:1">
      <c r="A2262" t="s">
        <v>374</v>
      </c>
    </row>
    <row r="2263" spans="1:1">
      <c r="A2263" t="s">
        <v>2043</v>
      </c>
    </row>
    <row r="2264" spans="1:1">
      <c r="A2264" t="s">
        <v>376</v>
      </c>
    </row>
    <row r="2266" spans="1:1">
      <c r="A2266" t="s">
        <v>1684</v>
      </c>
    </row>
    <row r="2267" spans="1:1">
      <c r="A2267" t="s">
        <v>378</v>
      </c>
    </row>
    <row r="2268" spans="1:1">
      <c r="A2268" t="s">
        <v>2044</v>
      </c>
    </row>
    <row r="2269" spans="1:1">
      <c r="A2269" t="s">
        <v>2045</v>
      </c>
    </row>
    <row r="2270" spans="1:1">
      <c r="A2270" t="s">
        <v>2046</v>
      </c>
    </row>
    <row r="2271" spans="1:1">
      <c r="A2271" t="s">
        <v>2047</v>
      </c>
    </row>
    <row r="2272" spans="1:1">
      <c r="A2272" t="s">
        <v>2048</v>
      </c>
    </row>
    <row r="2273" spans="1:1">
      <c r="A2273" t="s">
        <v>2049</v>
      </c>
    </row>
    <row r="2274" spans="1:1">
      <c r="A2274" t="s">
        <v>2050</v>
      </c>
    </row>
    <row r="2275" spans="1:1">
      <c r="A2275" t="s">
        <v>2051</v>
      </c>
    </row>
    <row r="2276" spans="1:1">
      <c r="A2276" t="s">
        <v>2052</v>
      </c>
    </row>
    <row r="2277" spans="1:1">
      <c r="A2277" t="s">
        <v>2053</v>
      </c>
    </row>
    <row r="2278" spans="1:1">
      <c r="A2278" t="s">
        <v>2054</v>
      </c>
    </row>
    <row r="2279" spans="1:1">
      <c r="A2279" t="s">
        <v>2055</v>
      </c>
    </row>
    <row r="2280" spans="1:1">
      <c r="A2280" t="s">
        <v>2056</v>
      </c>
    </row>
    <row r="2283" spans="1:1">
      <c r="A2283" t="s">
        <v>392</v>
      </c>
    </row>
    <row r="2284" spans="1:1">
      <c r="A2284" t="s">
        <v>2057</v>
      </c>
    </row>
    <row r="2285" spans="1:1">
      <c r="A2285" t="s">
        <v>2058</v>
      </c>
    </row>
    <row r="2286" spans="1:1">
      <c r="A2286" t="s">
        <v>2059</v>
      </c>
    </row>
    <row r="2287" spans="1:1">
      <c r="A2287" t="s">
        <v>2060</v>
      </c>
    </row>
    <row r="2288" spans="1:1">
      <c r="A2288" t="s">
        <v>2061</v>
      </c>
    </row>
    <row r="2289" spans="1:1">
      <c r="A2289" t="s">
        <v>2062</v>
      </c>
    </row>
    <row r="2290" spans="1:1">
      <c r="A2290" t="s">
        <v>2063</v>
      </c>
    </row>
    <row r="2291" spans="1:1">
      <c r="A2291" t="s">
        <v>2064</v>
      </c>
    </row>
    <row r="2292" spans="1:1">
      <c r="A2292" t="s">
        <v>2065</v>
      </c>
    </row>
    <row r="2293" spans="1:1">
      <c r="A2293" t="s">
        <v>2066</v>
      </c>
    </row>
    <row r="2294" spans="1:1">
      <c r="A2294" t="s">
        <v>2067</v>
      </c>
    </row>
    <row r="2295" spans="1:1">
      <c r="A2295" t="s">
        <v>2068</v>
      </c>
    </row>
    <row r="2296" spans="1:1">
      <c r="A2296" t="s">
        <v>2069</v>
      </c>
    </row>
    <row r="2298" spans="1:1">
      <c r="A2298" t="s">
        <v>406</v>
      </c>
    </row>
    <row r="2299" spans="1:1">
      <c r="A2299" t="s">
        <v>2070</v>
      </c>
    </row>
    <row r="2300" spans="1:1">
      <c r="A2300" t="s">
        <v>2071</v>
      </c>
    </row>
    <row r="2301" spans="1:1">
      <c r="A2301" t="s">
        <v>2072</v>
      </c>
    </row>
    <row r="2302" spans="1:1">
      <c r="A2302" t="s">
        <v>2073</v>
      </c>
    </row>
    <row r="2303" spans="1:1">
      <c r="A2303" t="s">
        <v>2074</v>
      </c>
    </row>
    <row r="2304" spans="1:1">
      <c r="A2304" t="s">
        <v>2075</v>
      </c>
    </row>
    <row r="2305" spans="1:1">
      <c r="A2305" t="s">
        <v>2076</v>
      </c>
    </row>
    <row r="2306" spans="1:1">
      <c r="A2306" t="s">
        <v>2077</v>
      </c>
    </row>
    <row r="2307" spans="1:1">
      <c r="A2307" t="s">
        <v>2078</v>
      </c>
    </row>
    <row r="2308" spans="1:1">
      <c r="A2308" t="s">
        <v>2079</v>
      </c>
    </row>
    <row r="2309" spans="1:1">
      <c r="A2309" t="s">
        <v>2080</v>
      </c>
    </row>
    <row r="2310" spans="1:1">
      <c r="A2310" t="s">
        <v>2081</v>
      </c>
    </row>
    <row r="2311" spans="1:1">
      <c r="A2311" t="s">
        <v>2082</v>
      </c>
    </row>
    <row r="2312" spans="1:1">
      <c r="A2312" t="s">
        <v>2083</v>
      </c>
    </row>
    <row r="2313" spans="1:1">
      <c r="A2313" t="s">
        <v>421</v>
      </c>
    </row>
    <row r="2314" spans="1:1">
      <c r="A2314" t="s">
        <v>2084</v>
      </c>
    </row>
    <row r="2319" spans="1:1">
      <c r="A2319" t="s">
        <v>2085</v>
      </c>
    </row>
    <row r="2320" spans="1:1">
      <c r="A2320" t="s">
        <v>371</v>
      </c>
    </row>
    <row r="2321" spans="1:1">
      <c r="A2321" t="s">
        <v>2086</v>
      </c>
    </row>
    <row r="2322" spans="1:1">
      <c r="A2322" t="s">
        <v>2087</v>
      </c>
    </row>
    <row r="2323" spans="1:1">
      <c r="A2323" t="s">
        <v>374</v>
      </c>
    </row>
    <row r="2324" spans="1:1">
      <c r="A2324" t="s">
        <v>2088</v>
      </c>
    </row>
    <row r="2325" spans="1:1">
      <c r="A2325" t="s">
        <v>376</v>
      </c>
    </row>
    <row r="2327" spans="1:1">
      <c r="A2327" t="s">
        <v>1684</v>
      </c>
    </row>
    <row r="2328" spans="1:1">
      <c r="A2328" t="s">
        <v>378</v>
      </c>
    </row>
    <row r="2329" spans="1:1">
      <c r="A2329" t="s">
        <v>2089</v>
      </c>
    </row>
    <row r="2330" spans="1:1">
      <c r="A2330" t="s">
        <v>2090</v>
      </c>
    </row>
    <row r="2331" spans="1:1">
      <c r="A2331" t="s">
        <v>2091</v>
      </c>
    </row>
    <row r="2332" spans="1:1">
      <c r="A2332" t="s">
        <v>2092</v>
      </c>
    </row>
    <row r="2333" spans="1:1">
      <c r="A2333" t="s">
        <v>2093</v>
      </c>
    </row>
    <row r="2334" spans="1:1">
      <c r="A2334" t="s">
        <v>2094</v>
      </c>
    </row>
    <row r="2335" spans="1:1">
      <c r="A2335" t="s">
        <v>2095</v>
      </c>
    </row>
    <row r="2336" spans="1:1">
      <c r="A2336" t="s">
        <v>2096</v>
      </c>
    </row>
    <row r="2337" spans="1:1">
      <c r="A2337" t="s">
        <v>2097</v>
      </c>
    </row>
    <row r="2338" spans="1:1">
      <c r="A2338" t="s">
        <v>2098</v>
      </c>
    </row>
    <row r="2339" spans="1:1">
      <c r="A2339" t="s">
        <v>2099</v>
      </c>
    </row>
    <row r="2340" spans="1:1">
      <c r="A2340" t="s">
        <v>2100</v>
      </c>
    </row>
    <row r="2341" spans="1:1">
      <c r="A2341" t="s">
        <v>2101</v>
      </c>
    </row>
    <row r="2344" spans="1:1">
      <c r="A2344" t="s">
        <v>392</v>
      </c>
    </row>
    <row r="2345" spans="1:1">
      <c r="A2345" t="s">
        <v>2102</v>
      </c>
    </row>
    <row r="2346" spans="1:1">
      <c r="A2346" t="s">
        <v>2103</v>
      </c>
    </row>
    <row r="2347" spans="1:1">
      <c r="A2347" t="s">
        <v>2104</v>
      </c>
    </row>
    <row r="2348" spans="1:1">
      <c r="A2348" t="s">
        <v>2105</v>
      </c>
    </row>
    <row r="2349" spans="1:1">
      <c r="A2349" t="s">
        <v>2106</v>
      </c>
    </row>
    <row r="2350" spans="1:1">
      <c r="A2350" t="s">
        <v>2107</v>
      </c>
    </row>
    <row r="2351" spans="1:1">
      <c r="A2351" t="s">
        <v>2108</v>
      </c>
    </row>
    <row r="2352" spans="1:1">
      <c r="A2352" t="s">
        <v>2109</v>
      </c>
    </row>
    <row r="2353" spans="1:1">
      <c r="A2353" t="s">
        <v>2110</v>
      </c>
    </row>
    <row r="2354" spans="1:1">
      <c r="A2354" t="s">
        <v>2111</v>
      </c>
    </row>
    <row r="2355" spans="1:1">
      <c r="A2355" t="s">
        <v>2112</v>
      </c>
    </row>
    <row r="2356" spans="1:1">
      <c r="A2356" t="s">
        <v>2113</v>
      </c>
    </row>
    <row r="2357" spans="1:1">
      <c r="A2357" t="s">
        <v>2114</v>
      </c>
    </row>
    <row r="2359" spans="1:1">
      <c r="A2359" t="s">
        <v>406</v>
      </c>
    </row>
    <row r="2360" spans="1:1">
      <c r="A2360" t="s">
        <v>2115</v>
      </c>
    </row>
    <row r="2361" spans="1:1">
      <c r="A2361" t="s">
        <v>2116</v>
      </c>
    </row>
    <row r="2362" spans="1:1">
      <c r="A2362" t="s">
        <v>2117</v>
      </c>
    </row>
    <row r="2363" spans="1:1">
      <c r="A2363" t="s">
        <v>2118</v>
      </c>
    </row>
    <row r="2364" spans="1:1">
      <c r="A2364" t="s">
        <v>2119</v>
      </c>
    </row>
    <row r="2365" spans="1:1">
      <c r="A2365" t="s">
        <v>2120</v>
      </c>
    </row>
    <row r="2366" spans="1:1">
      <c r="A2366" t="s">
        <v>2121</v>
      </c>
    </row>
    <row r="2367" spans="1:1">
      <c r="A2367" t="s">
        <v>2122</v>
      </c>
    </row>
    <row r="2368" spans="1:1">
      <c r="A2368" t="s">
        <v>2123</v>
      </c>
    </row>
    <row r="2369" spans="1:1">
      <c r="A2369" t="s">
        <v>2124</v>
      </c>
    </row>
    <row r="2370" spans="1:1">
      <c r="A2370" t="s">
        <v>2125</v>
      </c>
    </row>
    <row r="2371" spans="1:1">
      <c r="A2371" t="s">
        <v>2126</v>
      </c>
    </row>
    <row r="2372" spans="1:1">
      <c r="A2372" t="s">
        <v>2127</v>
      </c>
    </row>
    <row r="2373" spans="1:1">
      <c r="A2373" t="s">
        <v>2128</v>
      </c>
    </row>
    <row r="2374" spans="1:1">
      <c r="A2374" t="s">
        <v>421</v>
      </c>
    </row>
    <row r="2375" spans="1:1">
      <c r="A2375" t="s">
        <v>2129</v>
      </c>
    </row>
    <row r="2380" spans="1:1">
      <c r="A2380" t="s">
        <v>2130</v>
      </c>
    </row>
    <row r="2381" spans="1:1">
      <c r="A2381" t="s">
        <v>371</v>
      </c>
    </row>
    <row r="2382" spans="1:1">
      <c r="A2382" t="s">
        <v>2131</v>
      </c>
    </row>
    <row r="2383" spans="1:1">
      <c r="A2383" t="s">
        <v>2132</v>
      </c>
    </row>
    <row r="2384" spans="1:1">
      <c r="A2384" t="s">
        <v>374</v>
      </c>
    </row>
    <row r="2385" spans="1:1">
      <c r="A2385" t="s">
        <v>2133</v>
      </c>
    </row>
    <row r="2386" spans="1:1">
      <c r="A2386" t="s">
        <v>376</v>
      </c>
    </row>
    <row r="2388" spans="1:1">
      <c r="A2388" t="s">
        <v>1684</v>
      </c>
    </row>
    <row r="2389" spans="1:1">
      <c r="A2389" t="s">
        <v>378</v>
      </c>
    </row>
    <row r="2390" spans="1:1">
      <c r="A2390" t="s">
        <v>2134</v>
      </c>
    </row>
    <row r="2391" spans="1:1">
      <c r="A2391" t="s">
        <v>2135</v>
      </c>
    </row>
    <row r="2392" spans="1:1">
      <c r="A2392" t="s">
        <v>2136</v>
      </c>
    </row>
    <row r="2393" spans="1:1">
      <c r="A2393" t="s">
        <v>2137</v>
      </c>
    </row>
    <row r="2394" spans="1:1">
      <c r="A2394" t="s">
        <v>2138</v>
      </c>
    </row>
    <row r="2395" spans="1:1">
      <c r="A2395" t="s">
        <v>2139</v>
      </c>
    </row>
    <row r="2396" spans="1:1">
      <c r="A2396" t="s">
        <v>2140</v>
      </c>
    </row>
    <row r="2397" spans="1:1">
      <c r="A2397" t="s">
        <v>2141</v>
      </c>
    </row>
    <row r="2398" spans="1:1">
      <c r="A2398" t="s">
        <v>2142</v>
      </c>
    </row>
    <row r="2399" spans="1:1">
      <c r="A2399" t="s">
        <v>2143</v>
      </c>
    </row>
    <row r="2400" spans="1:1">
      <c r="A2400" t="s">
        <v>2144</v>
      </c>
    </row>
    <row r="2401" spans="1:1">
      <c r="A2401" t="s">
        <v>2145</v>
      </c>
    </row>
    <row r="2402" spans="1:1">
      <c r="A2402" t="s">
        <v>2146</v>
      </c>
    </row>
    <row r="2405" spans="1:1">
      <c r="A2405" t="s">
        <v>392</v>
      </c>
    </row>
    <row r="2406" spans="1:1">
      <c r="A2406" t="s">
        <v>2147</v>
      </c>
    </row>
    <row r="2407" spans="1:1">
      <c r="A2407" t="s">
        <v>2148</v>
      </c>
    </row>
    <row r="2408" spans="1:1">
      <c r="A2408" t="s">
        <v>2149</v>
      </c>
    </row>
    <row r="2409" spans="1:1">
      <c r="A2409" t="s">
        <v>2150</v>
      </c>
    </row>
    <row r="2410" spans="1:1">
      <c r="A2410" t="s">
        <v>2151</v>
      </c>
    </row>
    <row r="2411" spans="1:1">
      <c r="A2411" t="s">
        <v>2152</v>
      </c>
    </row>
    <row r="2412" spans="1:1">
      <c r="A2412" t="s">
        <v>2153</v>
      </c>
    </row>
    <row r="2413" spans="1:1">
      <c r="A2413" t="s">
        <v>2154</v>
      </c>
    </row>
    <row r="2414" spans="1:1">
      <c r="A2414" t="s">
        <v>2155</v>
      </c>
    </row>
    <row r="2415" spans="1:1">
      <c r="A2415" t="s">
        <v>2156</v>
      </c>
    </row>
    <row r="2416" spans="1:1">
      <c r="A2416" t="s">
        <v>2157</v>
      </c>
    </row>
    <row r="2417" spans="1:1">
      <c r="A2417" t="s">
        <v>2158</v>
      </c>
    </row>
    <row r="2418" spans="1:1">
      <c r="A2418" t="s">
        <v>2159</v>
      </c>
    </row>
    <row r="2420" spans="1:1">
      <c r="A2420" t="s">
        <v>406</v>
      </c>
    </row>
    <row r="2421" spans="1:1">
      <c r="A2421" t="s">
        <v>2160</v>
      </c>
    </row>
    <row r="2422" spans="1:1">
      <c r="A2422" t="s">
        <v>2161</v>
      </c>
    </row>
    <row r="2423" spans="1:1">
      <c r="A2423" t="s">
        <v>2162</v>
      </c>
    </row>
    <row r="2424" spans="1:1">
      <c r="A2424" t="s">
        <v>2163</v>
      </c>
    </row>
    <row r="2425" spans="1:1">
      <c r="A2425" t="s">
        <v>2164</v>
      </c>
    </row>
    <row r="2426" spans="1:1">
      <c r="A2426" t="s">
        <v>2165</v>
      </c>
    </row>
    <row r="2427" spans="1:1">
      <c r="A2427" t="s">
        <v>2166</v>
      </c>
    </row>
    <row r="2428" spans="1:1">
      <c r="A2428" t="s">
        <v>2167</v>
      </c>
    </row>
    <row r="2429" spans="1:1">
      <c r="A2429" t="s">
        <v>2168</v>
      </c>
    </row>
    <row r="2430" spans="1:1">
      <c r="A2430" t="s">
        <v>2169</v>
      </c>
    </row>
    <row r="2431" spans="1:1">
      <c r="A2431" t="s">
        <v>2170</v>
      </c>
    </row>
    <row r="2432" spans="1:1">
      <c r="A2432" t="s">
        <v>2171</v>
      </c>
    </row>
    <row r="2433" spans="1:1">
      <c r="A2433" t="s">
        <v>2172</v>
      </c>
    </row>
    <row r="2434" spans="1:1">
      <c r="A2434" t="s">
        <v>2173</v>
      </c>
    </row>
    <row r="2435" spans="1:1">
      <c r="A2435" t="s">
        <v>421</v>
      </c>
    </row>
    <row r="2436" spans="1:1">
      <c r="A2436" t="s">
        <v>2174</v>
      </c>
    </row>
    <row r="2441" spans="1:1">
      <c r="A2441" t="s">
        <v>2175</v>
      </c>
    </row>
    <row r="2442" spans="1:1">
      <c r="A2442" t="s">
        <v>371</v>
      </c>
    </row>
    <row r="2443" spans="1:1">
      <c r="A2443" t="s">
        <v>2176</v>
      </c>
    </row>
    <row r="2444" spans="1:1">
      <c r="A2444" t="s">
        <v>2177</v>
      </c>
    </row>
    <row r="2445" spans="1:1">
      <c r="A2445" t="s">
        <v>374</v>
      </c>
    </row>
    <row r="2446" spans="1:1">
      <c r="A2446" t="s">
        <v>2178</v>
      </c>
    </row>
    <row r="2447" spans="1:1">
      <c r="A2447" t="s">
        <v>376</v>
      </c>
    </row>
    <row r="2449" spans="1:1">
      <c r="A2449" t="s">
        <v>1684</v>
      </c>
    </row>
    <row r="2450" spans="1:1">
      <c r="A2450" t="s">
        <v>378</v>
      </c>
    </row>
    <row r="2451" spans="1:1">
      <c r="A2451" t="s">
        <v>2179</v>
      </c>
    </row>
    <row r="2452" spans="1:1">
      <c r="A2452" t="s">
        <v>2180</v>
      </c>
    </row>
    <row r="2453" spans="1:1">
      <c r="A2453" t="s">
        <v>2181</v>
      </c>
    </row>
    <row r="2454" spans="1:1">
      <c r="A2454" t="s">
        <v>2182</v>
      </c>
    </row>
    <row r="2455" spans="1:1">
      <c r="A2455" t="s">
        <v>2183</v>
      </c>
    </row>
    <row r="2456" spans="1:1">
      <c r="A2456" t="s">
        <v>2184</v>
      </c>
    </row>
    <row r="2457" spans="1:1">
      <c r="A2457" t="s">
        <v>2185</v>
      </c>
    </row>
    <row r="2458" spans="1:1">
      <c r="A2458" t="s">
        <v>2186</v>
      </c>
    </row>
    <row r="2459" spans="1:1">
      <c r="A2459" t="s">
        <v>2187</v>
      </c>
    </row>
    <row r="2460" spans="1:1">
      <c r="A2460" t="s">
        <v>2188</v>
      </c>
    </row>
    <row r="2461" spans="1:1">
      <c r="A2461" t="s">
        <v>2189</v>
      </c>
    </row>
    <row r="2462" spans="1:1">
      <c r="A2462" t="s">
        <v>2190</v>
      </c>
    </row>
    <row r="2463" spans="1:1">
      <c r="A2463" t="s">
        <v>2191</v>
      </c>
    </row>
    <row r="2466" spans="1:1">
      <c r="A2466" t="s">
        <v>392</v>
      </c>
    </row>
    <row r="2467" spans="1:1">
      <c r="A2467" t="s">
        <v>2192</v>
      </c>
    </row>
    <row r="2468" spans="1:1">
      <c r="A2468" t="s">
        <v>2193</v>
      </c>
    </row>
    <row r="2469" spans="1:1">
      <c r="A2469" t="s">
        <v>2194</v>
      </c>
    </row>
    <row r="2470" spans="1:1">
      <c r="A2470" t="s">
        <v>2195</v>
      </c>
    </row>
    <row r="2471" spans="1:1">
      <c r="A2471" t="s">
        <v>2196</v>
      </c>
    </row>
    <row r="2472" spans="1:1">
      <c r="A2472" t="s">
        <v>2197</v>
      </c>
    </row>
    <row r="2473" spans="1:1">
      <c r="A2473" t="s">
        <v>2198</v>
      </c>
    </row>
    <row r="2474" spans="1:1">
      <c r="A2474" t="s">
        <v>2199</v>
      </c>
    </row>
    <row r="2475" spans="1:1">
      <c r="A2475" t="s">
        <v>2200</v>
      </c>
    </row>
    <row r="2476" spans="1:1">
      <c r="A2476" t="s">
        <v>2201</v>
      </c>
    </row>
    <row r="2477" spans="1:1">
      <c r="A2477" t="s">
        <v>2202</v>
      </c>
    </row>
    <row r="2478" spans="1:1">
      <c r="A2478" t="s">
        <v>2203</v>
      </c>
    </row>
    <row r="2479" spans="1:1">
      <c r="A2479" t="s">
        <v>2204</v>
      </c>
    </row>
    <row r="2481" spans="1:1">
      <c r="A2481" t="s">
        <v>406</v>
      </c>
    </row>
    <row r="2482" spans="1:1">
      <c r="A2482" t="s">
        <v>2205</v>
      </c>
    </row>
    <row r="2483" spans="1:1">
      <c r="A2483" t="s">
        <v>2206</v>
      </c>
    </row>
    <row r="2484" spans="1:1">
      <c r="A2484" t="s">
        <v>2207</v>
      </c>
    </row>
    <row r="2485" spans="1:1">
      <c r="A2485" t="s">
        <v>2208</v>
      </c>
    </row>
    <row r="2486" spans="1:1">
      <c r="A2486" t="s">
        <v>2209</v>
      </c>
    </row>
    <row r="2487" spans="1:1">
      <c r="A2487" t="s">
        <v>2210</v>
      </c>
    </row>
    <row r="2488" spans="1:1">
      <c r="A2488" t="s">
        <v>2211</v>
      </c>
    </row>
    <row r="2489" spans="1:1">
      <c r="A2489" t="s">
        <v>2212</v>
      </c>
    </row>
    <row r="2490" spans="1:1">
      <c r="A2490" t="s">
        <v>2213</v>
      </c>
    </row>
    <row r="2491" spans="1:1">
      <c r="A2491" t="s">
        <v>2214</v>
      </c>
    </row>
    <row r="2492" spans="1:1">
      <c r="A2492" t="s">
        <v>2215</v>
      </c>
    </row>
    <row r="2493" spans="1:1">
      <c r="A2493" t="s">
        <v>2216</v>
      </c>
    </row>
    <row r="2494" spans="1:1">
      <c r="A2494" t="s">
        <v>2217</v>
      </c>
    </row>
    <row r="2495" spans="1:1">
      <c r="A2495" t="s">
        <v>2218</v>
      </c>
    </row>
    <row r="2496" spans="1:1">
      <c r="A2496" t="s">
        <v>421</v>
      </c>
    </row>
    <row r="2497" spans="1:1">
      <c r="A2497" t="s">
        <v>2219</v>
      </c>
    </row>
    <row r="2502" spans="1:1">
      <c r="A2502" t="s">
        <v>2220</v>
      </c>
    </row>
    <row r="2503" spans="1:1">
      <c r="A2503" t="s">
        <v>371</v>
      </c>
    </row>
    <row r="2504" spans="1:1">
      <c r="A2504" t="s">
        <v>2221</v>
      </c>
    </row>
    <row r="2505" spans="1:1">
      <c r="A2505" t="s">
        <v>2222</v>
      </c>
    </row>
    <row r="2506" spans="1:1">
      <c r="A2506" t="s">
        <v>374</v>
      </c>
    </row>
    <row r="2507" spans="1:1">
      <c r="A2507" t="s">
        <v>2223</v>
      </c>
    </row>
    <row r="2508" spans="1:1">
      <c r="A2508" t="s">
        <v>376</v>
      </c>
    </row>
    <row r="2510" spans="1:1">
      <c r="A2510" t="s">
        <v>1684</v>
      </c>
    </row>
    <row r="2511" spans="1:1">
      <c r="A2511" t="s">
        <v>378</v>
      </c>
    </row>
    <row r="2512" spans="1:1">
      <c r="A2512" t="s">
        <v>2224</v>
      </c>
    </row>
    <row r="2513" spans="1:1">
      <c r="A2513" t="s">
        <v>2225</v>
      </c>
    </row>
    <row r="2514" spans="1:1">
      <c r="A2514" t="s">
        <v>2226</v>
      </c>
    </row>
    <row r="2515" spans="1:1">
      <c r="A2515" t="s">
        <v>2227</v>
      </c>
    </row>
    <row r="2516" spans="1:1">
      <c r="A2516" t="s">
        <v>2228</v>
      </c>
    </row>
    <row r="2517" spans="1:1">
      <c r="A2517" t="s">
        <v>2229</v>
      </c>
    </row>
    <row r="2518" spans="1:1">
      <c r="A2518" t="s">
        <v>2230</v>
      </c>
    </row>
    <row r="2519" spans="1:1">
      <c r="A2519" t="s">
        <v>2231</v>
      </c>
    </row>
    <row r="2520" spans="1:1">
      <c r="A2520" t="s">
        <v>2232</v>
      </c>
    </row>
    <row r="2521" spans="1:1">
      <c r="A2521" t="s">
        <v>2233</v>
      </c>
    </row>
    <row r="2522" spans="1:1">
      <c r="A2522" t="s">
        <v>2234</v>
      </c>
    </row>
    <row r="2523" spans="1:1">
      <c r="A2523" t="s">
        <v>2235</v>
      </c>
    </row>
    <row r="2524" spans="1:1">
      <c r="A2524" t="s">
        <v>2236</v>
      </c>
    </row>
    <row r="2527" spans="1:1">
      <c r="A2527" t="s">
        <v>392</v>
      </c>
    </row>
    <row r="2528" spans="1:1">
      <c r="A2528" t="s">
        <v>2237</v>
      </c>
    </row>
    <row r="2529" spans="1:1">
      <c r="A2529" t="s">
        <v>2238</v>
      </c>
    </row>
    <row r="2530" spans="1:1">
      <c r="A2530" t="s">
        <v>2239</v>
      </c>
    </row>
    <row r="2531" spans="1:1">
      <c r="A2531" t="s">
        <v>2240</v>
      </c>
    </row>
    <row r="2532" spans="1:1">
      <c r="A2532" t="s">
        <v>2241</v>
      </c>
    </row>
    <row r="2533" spans="1:1">
      <c r="A2533" t="s">
        <v>2242</v>
      </c>
    </row>
    <row r="2534" spans="1:1">
      <c r="A2534" t="s">
        <v>2243</v>
      </c>
    </row>
    <row r="2535" spans="1:1">
      <c r="A2535" t="s">
        <v>2244</v>
      </c>
    </row>
    <row r="2536" spans="1:1">
      <c r="A2536" t="s">
        <v>2245</v>
      </c>
    </row>
    <row r="2537" spans="1:1">
      <c r="A2537" t="s">
        <v>2246</v>
      </c>
    </row>
    <row r="2538" spans="1:1">
      <c r="A2538" t="s">
        <v>2247</v>
      </c>
    </row>
    <row r="2539" spans="1:1">
      <c r="A2539" t="s">
        <v>2248</v>
      </c>
    </row>
    <row r="2540" spans="1:1">
      <c r="A2540" t="s">
        <v>2249</v>
      </c>
    </row>
    <row r="2542" spans="1:1">
      <c r="A2542" t="s">
        <v>406</v>
      </c>
    </row>
    <row r="2543" spans="1:1">
      <c r="A2543" t="s">
        <v>2250</v>
      </c>
    </row>
    <row r="2544" spans="1:1">
      <c r="A2544" t="s">
        <v>2251</v>
      </c>
    </row>
    <row r="2545" spans="1:1">
      <c r="A2545" t="s">
        <v>2252</v>
      </c>
    </row>
    <row r="2546" spans="1:1">
      <c r="A2546" t="s">
        <v>2253</v>
      </c>
    </row>
    <row r="2547" spans="1:1">
      <c r="A2547" t="s">
        <v>2254</v>
      </c>
    </row>
    <row r="2548" spans="1:1">
      <c r="A2548" t="s">
        <v>2255</v>
      </c>
    </row>
    <row r="2549" spans="1:1">
      <c r="A2549" t="s">
        <v>2256</v>
      </c>
    </row>
    <row r="2550" spans="1:1">
      <c r="A2550" t="s">
        <v>2257</v>
      </c>
    </row>
    <row r="2551" spans="1:1">
      <c r="A2551" t="s">
        <v>2258</v>
      </c>
    </row>
    <row r="2552" spans="1:1">
      <c r="A2552" t="s">
        <v>2259</v>
      </c>
    </row>
    <row r="2553" spans="1:1">
      <c r="A2553" t="s">
        <v>2260</v>
      </c>
    </row>
    <row r="2554" spans="1:1">
      <c r="A2554" t="s">
        <v>2261</v>
      </c>
    </row>
    <row r="2555" spans="1:1">
      <c r="A2555" t="s">
        <v>2262</v>
      </c>
    </row>
    <row r="2556" spans="1:1">
      <c r="A2556" t="s">
        <v>2263</v>
      </c>
    </row>
    <row r="2557" spans="1:1">
      <c r="A2557" t="s">
        <v>421</v>
      </c>
    </row>
    <row r="2558" spans="1:1">
      <c r="A2558" t="s">
        <v>2264</v>
      </c>
    </row>
    <row r="2563" spans="1:1">
      <c r="A2563" t="s">
        <v>2265</v>
      </c>
    </row>
    <row r="2564" spans="1:1">
      <c r="A2564" t="s">
        <v>371</v>
      </c>
    </row>
    <row r="2565" spans="1:1">
      <c r="A2565" t="s">
        <v>2266</v>
      </c>
    </row>
    <row r="2566" spans="1:1">
      <c r="A2566" t="s">
        <v>2267</v>
      </c>
    </row>
    <row r="2567" spans="1:1">
      <c r="A2567" t="s">
        <v>374</v>
      </c>
    </row>
    <row r="2568" spans="1:1">
      <c r="A2568" t="s">
        <v>2268</v>
      </c>
    </row>
    <row r="2569" spans="1:1">
      <c r="A2569" t="s">
        <v>376</v>
      </c>
    </row>
    <row r="2571" spans="1:1">
      <c r="A2571" t="s">
        <v>1684</v>
      </c>
    </row>
    <row r="2572" spans="1:1">
      <c r="A2572" t="s">
        <v>378</v>
      </c>
    </row>
    <row r="2573" spans="1:1">
      <c r="A2573" t="s">
        <v>2269</v>
      </c>
    </row>
    <row r="2574" spans="1:1">
      <c r="A2574" t="s">
        <v>2270</v>
      </c>
    </row>
    <row r="2575" spans="1:1">
      <c r="A2575" t="s">
        <v>2271</v>
      </c>
    </row>
    <row r="2576" spans="1:1">
      <c r="A2576" t="s">
        <v>2272</v>
      </c>
    </row>
    <row r="2577" spans="1:1">
      <c r="A2577" t="s">
        <v>2273</v>
      </c>
    </row>
    <row r="2578" spans="1:1">
      <c r="A2578" t="s">
        <v>2274</v>
      </c>
    </row>
    <row r="2579" spans="1:1">
      <c r="A2579" t="s">
        <v>2275</v>
      </c>
    </row>
    <row r="2580" spans="1:1">
      <c r="A2580" t="s">
        <v>2276</v>
      </c>
    </row>
    <row r="2581" spans="1:1">
      <c r="A2581" t="s">
        <v>2277</v>
      </c>
    </row>
    <row r="2582" spans="1:1">
      <c r="A2582" t="s">
        <v>2278</v>
      </c>
    </row>
    <row r="2583" spans="1:1">
      <c r="A2583" t="s">
        <v>2279</v>
      </c>
    </row>
    <row r="2584" spans="1:1">
      <c r="A2584" t="s">
        <v>2280</v>
      </c>
    </row>
    <row r="2585" spans="1:1">
      <c r="A2585" t="s">
        <v>2281</v>
      </c>
    </row>
    <row r="2588" spans="1:1">
      <c r="A2588" t="s">
        <v>392</v>
      </c>
    </row>
    <row r="2589" spans="1:1">
      <c r="A2589" t="s">
        <v>2282</v>
      </c>
    </row>
    <row r="2590" spans="1:1">
      <c r="A2590" t="s">
        <v>2283</v>
      </c>
    </row>
    <row r="2591" spans="1:1">
      <c r="A2591" t="s">
        <v>2284</v>
      </c>
    </row>
    <row r="2592" spans="1:1">
      <c r="A2592" t="s">
        <v>2285</v>
      </c>
    </row>
    <row r="2593" spans="1:1">
      <c r="A2593" t="s">
        <v>2286</v>
      </c>
    </row>
    <row r="2594" spans="1:1">
      <c r="A2594" t="s">
        <v>2287</v>
      </c>
    </row>
    <row r="2595" spans="1:1">
      <c r="A2595" t="s">
        <v>2288</v>
      </c>
    </row>
    <row r="2596" spans="1:1">
      <c r="A2596" t="s">
        <v>2289</v>
      </c>
    </row>
    <row r="2597" spans="1:1">
      <c r="A2597" t="s">
        <v>2290</v>
      </c>
    </row>
    <row r="2598" spans="1:1">
      <c r="A2598" t="s">
        <v>2291</v>
      </c>
    </row>
    <row r="2599" spans="1:1">
      <c r="A2599" t="s">
        <v>2292</v>
      </c>
    </row>
    <row r="2600" spans="1:1">
      <c r="A2600" t="s">
        <v>2293</v>
      </c>
    </row>
    <row r="2601" spans="1:1">
      <c r="A2601" t="s">
        <v>2294</v>
      </c>
    </row>
    <row r="2603" spans="1:1">
      <c r="A2603" t="s">
        <v>406</v>
      </c>
    </row>
    <row r="2604" spans="1:1">
      <c r="A2604" t="s">
        <v>2295</v>
      </c>
    </row>
    <row r="2605" spans="1:1">
      <c r="A2605" t="s">
        <v>2296</v>
      </c>
    </row>
    <row r="2606" spans="1:1">
      <c r="A2606" t="s">
        <v>2297</v>
      </c>
    </row>
    <row r="2607" spans="1:1">
      <c r="A2607" t="s">
        <v>2298</v>
      </c>
    </row>
    <row r="2608" spans="1:1">
      <c r="A2608" t="s">
        <v>2299</v>
      </c>
    </row>
    <row r="2609" spans="1:1">
      <c r="A2609" t="s">
        <v>2300</v>
      </c>
    </row>
    <row r="2610" spans="1:1">
      <c r="A2610" t="s">
        <v>2301</v>
      </c>
    </row>
    <row r="2611" spans="1:1">
      <c r="A2611" t="s">
        <v>2302</v>
      </c>
    </row>
    <row r="2612" spans="1:1">
      <c r="A2612" t="s">
        <v>2303</v>
      </c>
    </row>
    <row r="2613" spans="1:1">
      <c r="A2613" t="s">
        <v>2304</v>
      </c>
    </row>
    <row r="2614" spans="1:1">
      <c r="A2614" t="s">
        <v>2305</v>
      </c>
    </row>
    <row r="2615" spans="1:1">
      <c r="A2615" t="s">
        <v>2306</v>
      </c>
    </row>
    <row r="2616" spans="1:1">
      <c r="A2616" t="s">
        <v>2307</v>
      </c>
    </row>
    <row r="2617" spans="1:1">
      <c r="A2617" t="s">
        <v>2308</v>
      </c>
    </row>
    <row r="2618" spans="1:1">
      <c r="A2618" t="s">
        <v>421</v>
      </c>
    </row>
    <row r="2619" spans="1:1">
      <c r="A2619" t="s">
        <v>2309</v>
      </c>
    </row>
    <row r="2624" spans="1:1">
      <c r="A2624" t="s">
        <v>2310</v>
      </c>
    </row>
    <row r="2625" spans="1:1">
      <c r="A2625" t="s">
        <v>371</v>
      </c>
    </row>
    <row r="2626" spans="1:1">
      <c r="A2626" t="s">
        <v>2311</v>
      </c>
    </row>
    <row r="2627" spans="1:1">
      <c r="A2627" t="s">
        <v>2312</v>
      </c>
    </row>
    <row r="2628" spans="1:1">
      <c r="A2628" t="s">
        <v>374</v>
      </c>
    </row>
    <row r="2629" spans="1:1">
      <c r="A2629" t="s">
        <v>2313</v>
      </c>
    </row>
    <row r="2630" spans="1:1">
      <c r="A2630" t="s">
        <v>376</v>
      </c>
    </row>
    <row r="2632" spans="1:1">
      <c r="A2632" t="s">
        <v>1684</v>
      </c>
    </row>
    <row r="2633" spans="1:1">
      <c r="A2633" t="s">
        <v>378</v>
      </c>
    </row>
    <row r="2634" spans="1:1">
      <c r="A2634" t="s">
        <v>2314</v>
      </c>
    </row>
    <row r="2635" spans="1:1">
      <c r="A2635" t="s">
        <v>2315</v>
      </c>
    </row>
    <row r="2636" spans="1:1">
      <c r="A2636" t="s">
        <v>2316</v>
      </c>
    </row>
    <row r="2637" spans="1:1">
      <c r="A2637" t="s">
        <v>2317</v>
      </c>
    </row>
    <row r="2638" spans="1:1">
      <c r="A2638" t="s">
        <v>2318</v>
      </c>
    </row>
    <row r="2639" spans="1:1">
      <c r="A2639" t="s">
        <v>2319</v>
      </c>
    </row>
    <row r="2640" spans="1:1">
      <c r="A2640" t="s">
        <v>2320</v>
      </c>
    </row>
    <row r="2641" spans="1:1">
      <c r="A2641" t="s">
        <v>2321</v>
      </c>
    </row>
    <row r="2642" spans="1:1">
      <c r="A2642" t="s">
        <v>2322</v>
      </c>
    </row>
    <row r="2643" spans="1:1">
      <c r="A2643" t="s">
        <v>2323</v>
      </c>
    </row>
    <row r="2644" spans="1:1">
      <c r="A2644" t="s">
        <v>2324</v>
      </c>
    </row>
    <row r="2645" spans="1:1">
      <c r="A2645" t="s">
        <v>2325</v>
      </c>
    </row>
    <row r="2646" spans="1:1">
      <c r="A2646" t="s">
        <v>2326</v>
      </c>
    </row>
    <row r="2649" spans="1:1">
      <c r="A2649" t="s">
        <v>392</v>
      </c>
    </row>
    <row r="2650" spans="1:1">
      <c r="A2650" t="s">
        <v>2327</v>
      </c>
    </row>
    <row r="2651" spans="1:1">
      <c r="A2651" t="s">
        <v>2328</v>
      </c>
    </row>
    <row r="2652" spans="1:1">
      <c r="A2652" t="s">
        <v>2329</v>
      </c>
    </row>
    <row r="2653" spans="1:1">
      <c r="A2653" t="s">
        <v>2330</v>
      </c>
    </row>
    <row r="2654" spans="1:1">
      <c r="A2654" t="s">
        <v>2331</v>
      </c>
    </row>
    <row r="2655" spans="1:1">
      <c r="A2655" t="s">
        <v>2332</v>
      </c>
    </row>
    <row r="2656" spans="1:1">
      <c r="A2656" t="s">
        <v>2333</v>
      </c>
    </row>
    <row r="2657" spans="1:1">
      <c r="A2657" t="s">
        <v>2334</v>
      </c>
    </row>
    <row r="2658" spans="1:1">
      <c r="A2658" t="s">
        <v>2335</v>
      </c>
    </row>
    <row r="2659" spans="1:1">
      <c r="A2659" t="s">
        <v>2336</v>
      </c>
    </row>
    <row r="2660" spans="1:1">
      <c r="A2660" t="s">
        <v>2337</v>
      </c>
    </row>
    <row r="2661" spans="1:1">
      <c r="A2661" t="s">
        <v>2338</v>
      </c>
    </row>
    <row r="2662" spans="1:1">
      <c r="A2662" t="s">
        <v>2339</v>
      </c>
    </row>
    <row r="2664" spans="1:1">
      <c r="A2664" t="s">
        <v>406</v>
      </c>
    </row>
    <row r="2665" spans="1:1">
      <c r="A2665" t="s">
        <v>2340</v>
      </c>
    </row>
    <row r="2666" spans="1:1">
      <c r="A2666" t="s">
        <v>2341</v>
      </c>
    </row>
    <row r="2667" spans="1:1">
      <c r="A2667" t="s">
        <v>2342</v>
      </c>
    </row>
    <row r="2668" spans="1:1">
      <c r="A2668" t="s">
        <v>2343</v>
      </c>
    </row>
    <row r="2669" spans="1:1">
      <c r="A2669" t="s">
        <v>2344</v>
      </c>
    </row>
    <row r="2670" spans="1:1">
      <c r="A2670" t="s">
        <v>2345</v>
      </c>
    </row>
    <row r="2671" spans="1:1">
      <c r="A2671" t="s">
        <v>2346</v>
      </c>
    </row>
    <row r="2672" spans="1:1">
      <c r="A2672" t="s">
        <v>2347</v>
      </c>
    </row>
    <row r="2673" spans="1:1">
      <c r="A2673" t="s">
        <v>2348</v>
      </c>
    </row>
    <row r="2674" spans="1:1">
      <c r="A2674" t="s">
        <v>2349</v>
      </c>
    </row>
    <row r="2675" spans="1:1">
      <c r="A2675" t="s">
        <v>2350</v>
      </c>
    </row>
    <row r="2676" spans="1:1">
      <c r="A2676" t="s">
        <v>2351</v>
      </c>
    </row>
    <row r="2677" spans="1:1">
      <c r="A2677" t="s">
        <v>2352</v>
      </c>
    </row>
    <row r="2678" spans="1:1">
      <c r="A2678" t="s">
        <v>2353</v>
      </c>
    </row>
    <row r="2679" spans="1:1">
      <c r="A2679" t="s">
        <v>421</v>
      </c>
    </row>
    <row r="2680" spans="1:1">
      <c r="A2680" t="s">
        <v>2354</v>
      </c>
    </row>
    <row r="2685" spans="1:1">
      <c r="A2685" t="s">
        <v>2355</v>
      </c>
    </row>
    <row r="2686" spans="1:1">
      <c r="A2686" t="s">
        <v>371</v>
      </c>
    </row>
    <row r="2687" spans="1:1">
      <c r="A2687" t="s">
        <v>2356</v>
      </c>
    </row>
    <row r="2688" spans="1:1">
      <c r="A2688" t="s">
        <v>2357</v>
      </c>
    </row>
    <row r="2689" spans="1:1">
      <c r="A2689" t="s">
        <v>374</v>
      </c>
    </row>
    <row r="2690" spans="1:1">
      <c r="A2690" t="s">
        <v>2358</v>
      </c>
    </row>
    <row r="2691" spans="1:1">
      <c r="A2691" t="s">
        <v>376</v>
      </c>
    </row>
    <row r="2693" spans="1:1">
      <c r="A2693" t="s">
        <v>2359</v>
      </c>
    </row>
    <row r="2694" spans="1:1">
      <c r="A2694" t="s">
        <v>378</v>
      </c>
    </row>
    <row r="2695" spans="1:1">
      <c r="A2695" t="s">
        <v>2360</v>
      </c>
    </row>
    <row r="2696" spans="1:1">
      <c r="A2696" t="s">
        <v>2361</v>
      </c>
    </row>
    <row r="2697" spans="1:1">
      <c r="A2697" t="s">
        <v>2362</v>
      </c>
    </row>
    <row r="2698" spans="1:1">
      <c r="A2698" t="s">
        <v>2363</v>
      </c>
    </row>
    <row r="2699" spans="1:1">
      <c r="A2699" t="s">
        <v>2364</v>
      </c>
    </row>
    <row r="2700" spans="1:1">
      <c r="A2700" t="s">
        <v>2365</v>
      </c>
    </row>
    <row r="2701" spans="1:1">
      <c r="A2701" t="s">
        <v>2366</v>
      </c>
    </row>
    <row r="2702" spans="1:1">
      <c r="A2702" t="s">
        <v>2367</v>
      </c>
    </row>
    <row r="2703" spans="1:1">
      <c r="A2703" t="s">
        <v>2368</v>
      </c>
    </row>
    <row r="2704" spans="1:1">
      <c r="A2704" t="s">
        <v>2369</v>
      </c>
    </row>
    <row r="2705" spans="1:1">
      <c r="A2705" t="s">
        <v>2370</v>
      </c>
    </row>
    <row r="2706" spans="1:1">
      <c r="A2706" t="s">
        <v>2371</v>
      </c>
    </row>
    <row r="2707" spans="1:1">
      <c r="A2707" t="s">
        <v>2372</v>
      </c>
    </row>
    <row r="2710" spans="1:1">
      <c r="A2710" t="s">
        <v>392</v>
      </c>
    </row>
    <row r="2711" spans="1:1">
      <c r="A2711" t="s">
        <v>2373</v>
      </c>
    </row>
    <row r="2712" spans="1:1">
      <c r="A2712" t="s">
        <v>2374</v>
      </c>
    </row>
    <row r="2713" spans="1:1">
      <c r="A2713" t="s">
        <v>2375</v>
      </c>
    </row>
    <row r="2714" spans="1:1">
      <c r="A2714" t="s">
        <v>2376</v>
      </c>
    </row>
    <row r="2715" spans="1:1">
      <c r="A2715" t="s">
        <v>2377</v>
      </c>
    </row>
    <row r="2716" spans="1:1">
      <c r="A2716" t="s">
        <v>2378</v>
      </c>
    </row>
    <row r="2717" spans="1:1">
      <c r="A2717" t="s">
        <v>2379</v>
      </c>
    </row>
    <row r="2718" spans="1:1">
      <c r="A2718" t="s">
        <v>2380</v>
      </c>
    </row>
    <row r="2719" spans="1:1">
      <c r="A2719" t="s">
        <v>2381</v>
      </c>
    </row>
    <row r="2720" spans="1:1">
      <c r="A2720" t="s">
        <v>2382</v>
      </c>
    </row>
    <row r="2721" spans="1:1">
      <c r="A2721" t="s">
        <v>2383</v>
      </c>
    </row>
    <row r="2722" spans="1:1">
      <c r="A2722" t="s">
        <v>2384</v>
      </c>
    </row>
    <row r="2723" spans="1:1">
      <c r="A2723" t="s">
        <v>2385</v>
      </c>
    </row>
    <row r="2725" spans="1:1">
      <c r="A2725" t="s">
        <v>406</v>
      </c>
    </row>
    <row r="2726" spans="1:1">
      <c r="A2726" t="s">
        <v>2386</v>
      </c>
    </row>
    <row r="2727" spans="1:1">
      <c r="A2727" t="s">
        <v>2387</v>
      </c>
    </row>
    <row r="2728" spans="1:1">
      <c r="A2728" t="s">
        <v>2388</v>
      </c>
    </row>
    <row r="2729" spans="1:1">
      <c r="A2729" t="s">
        <v>2389</v>
      </c>
    </row>
    <row r="2730" spans="1:1">
      <c r="A2730" t="s">
        <v>2390</v>
      </c>
    </row>
    <row r="2731" spans="1:1">
      <c r="A2731" t="s">
        <v>2391</v>
      </c>
    </row>
    <row r="2732" spans="1:1">
      <c r="A2732" t="s">
        <v>2392</v>
      </c>
    </row>
    <row r="2733" spans="1:1">
      <c r="A2733" t="s">
        <v>2393</v>
      </c>
    </row>
    <row r="2734" spans="1:1">
      <c r="A2734" t="s">
        <v>2394</v>
      </c>
    </row>
    <row r="2735" spans="1:1">
      <c r="A2735" t="s">
        <v>2395</v>
      </c>
    </row>
    <row r="2736" spans="1:1">
      <c r="A2736" t="s">
        <v>2396</v>
      </c>
    </row>
    <row r="2737" spans="1:1">
      <c r="A2737" t="s">
        <v>2397</v>
      </c>
    </row>
    <row r="2738" spans="1:1">
      <c r="A2738" t="s">
        <v>2398</v>
      </c>
    </row>
    <row r="2739" spans="1:1">
      <c r="A2739" t="s">
        <v>2399</v>
      </c>
    </row>
    <row r="2740" spans="1:1">
      <c r="A2740" t="s">
        <v>421</v>
      </c>
    </row>
    <row r="2741" spans="1:1">
      <c r="A2741" t="s">
        <v>2400</v>
      </c>
    </row>
    <row r="2746" spans="1:1">
      <c r="A2746" t="s">
        <v>2401</v>
      </c>
    </row>
    <row r="2747" spans="1:1">
      <c r="A2747" t="s">
        <v>371</v>
      </c>
    </row>
    <row r="2748" spans="1:1">
      <c r="A2748" t="s">
        <v>2402</v>
      </c>
    </row>
    <row r="2749" spans="1:1">
      <c r="A2749" t="s">
        <v>2403</v>
      </c>
    </row>
    <row r="2750" spans="1:1">
      <c r="A2750" t="s">
        <v>374</v>
      </c>
    </row>
    <row r="2751" spans="1:1">
      <c r="A2751" t="s">
        <v>2404</v>
      </c>
    </row>
    <row r="2752" spans="1:1">
      <c r="A2752" t="s">
        <v>376</v>
      </c>
    </row>
    <row r="2754" spans="1:1">
      <c r="A2754" t="s">
        <v>2359</v>
      </c>
    </row>
    <row r="2755" spans="1:1">
      <c r="A2755" t="s">
        <v>378</v>
      </c>
    </row>
    <row r="2756" spans="1:1">
      <c r="A2756" t="s">
        <v>2405</v>
      </c>
    </row>
    <row r="2757" spans="1:1">
      <c r="A2757" t="s">
        <v>2406</v>
      </c>
    </row>
    <row r="2758" spans="1:1">
      <c r="A2758" t="s">
        <v>2407</v>
      </c>
    </row>
    <row r="2759" spans="1:1">
      <c r="A2759" t="s">
        <v>2408</v>
      </c>
    </row>
    <row r="2760" spans="1:1">
      <c r="A2760" t="s">
        <v>2409</v>
      </c>
    </row>
    <row r="2761" spans="1:1">
      <c r="A2761" t="s">
        <v>2410</v>
      </c>
    </row>
    <row r="2762" spans="1:1">
      <c r="A2762" t="s">
        <v>2411</v>
      </c>
    </row>
    <row r="2763" spans="1:1">
      <c r="A2763" t="s">
        <v>2412</v>
      </c>
    </row>
    <row r="2764" spans="1:1">
      <c r="A2764" t="s">
        <v>2413</v>
      </c>
    </row>
    <row r="2765" spans="1:1">
      <c r="A2765" t="s">
        <v>2414</v>
      </c>
    </row>
    <row r="2766" spans="1:1">
      <c r="A2766" t="s">
        <v>2415</v>
      </c>
    </row>
    <row r="2767" spans="1:1">
      <c r="A2767" t="s">
        <v>2416</v>
      </c>
    </row>
    <row r="2768" spans="1:1">
      <c r="A2768" t="s">
        <v>2417</v>
      </c>
    </row>
    <row r="2771" spans="1:1">
      <c r="A2771" t="s">
        <v>392</v>
      </c>
    </row>
    <row r="2772" spans="1:1">
      <c r="A2772" t="s">
        <v>2418</v>
      </c>
    </row>
    <row r="2773" spans="1:1">
      <c r="A2773" t="s">
        <v>2419</v>
      </c>
    </row>
    <row r="2774" spans="1:1">
      <c r="A2774" t="s">
        <v>2420</v>
      </c>
    </row>
    <row r="2775" spans="1:1">
      <c r="A2775" t="s">
        <v>2421</v>
      </c>
    </row>
    <row r="2776" spans="1:1">
      <c r="A2776" t="s">
        <v>2422</v>
      </c>
    </row>
    <row r="2777" spans="1:1">
      <c r="A2777" t="s">
        <v>2423</v>
      </c>
    </row>
    <row r="2778" spans="1:1">
      <c r="A2778" t="s">
        <v>2424</v>
      </c>
    </row>
    <row r="2779" spans="1:1">
      <c r="A2779" t="s">
        <v>2425</v>
      </c>
    </row>
    <row r="2780" spans="1:1">
      <c r="A2780" t="s">
        <v>2426</v>
      </c>
    </row>
    <row r="2781" spans="1:1">
      <c r="A2781" t="s">
        <v>2427</v>
      </c>
    </row>
    <row r="2782" spans="1:1">
      <c r="A2782" t="s">
        <v>2428</v>
      </c>
    </row>
    <row r="2783" spans="1:1">
      <c r="A2783" t="s">
        <v>2429</v>
      </c>
    </row>
    <row r="2784" spans="1:1">
      <c r="A2784" t="s">
        <v>2430</v>
      </c>
    </row>
    <row r="2786" spans="1:1">
      <c r="A2786" t="s">
        <v>406</v>
      </c>
    </row>
    <row r="2787" spans="1:1">
      <c r="A2787" t="s">
        <v>2431</v>
      </c>
    </row>
    <row r="2788" spans="1:1">
      <c r="A2788" t="s">
        <v>2432</v>
      </c>
    </row>
    <row r="2789" spans="1:1">
      <c r="A2789" t="s">
        <v>2433</v>
      </c>
    </row>
    <row r="2790" spans="1:1">
      <c r="A2790" t="s">
        <v>2434</v>
      </c>
    </row>
    <row r="2791" spans="1:1">
      <c r="A2791" t="s">
        <v>2435</v>
      </c>
    </row>
    <row r="2792" spans="1:1">
      <c r="A2792" t="s">
        <v>2436</v>
      </c>
    </row>
    <row r="2793" spans="1:1">
      <c r="A2793" t="s">
        <v>2437</v>
      </c>
    </row>
    <row r="2794" spans="1:1">
      <c r="A2794" t="s">
        <v>2438</v>
      </c>
    </row>
    <row r="2795" spans="1:1">
      <c r="A2795" t="s">
        <v>2439</v>
      </c>
    </row>
    <row r="2796" spans="1:1">
      <c r="A2796" t="s">
        <v>2440</v>
      </c>
    </row>
    <row r="2797" spans="1:1">
      <c r="A2797" t="s">
        <v>2441</v>
      </c>
    </row>
    <row r="2798" spans="1:1">
      <c r="A2798" t="s">
        <v>2442</v>
      </c>
    </row>
    <row r="2799" spans="1:1">
      <c r="A2799" t="s">
        <v>2443</v>
      </c>
    </row>
    <row r="2800" spans="1:1">
      <c r="A2800" t="s">
        <v>2444</v>
      </c>
    </row>
    <row r="2801" spans="1:1">
      <c r="A2801" t="s">
        <v>421</v>
      </c>
    </row>
    <row r="2802" spans="1:1">
      <c r="A2802" t="s">
        <v>2445</v>
      </c>
    </row>
    <row r="2807" spans="1:1">
      <c r="A2807" t="s">
        <v>2446</v>
      </c>
    </row>
    <row r="2808" spans="1:1">
      <c r="A2808" t="s">
        <v>371</v>
      </c>
    </row>
    <row r="2809" spans="1:1">
      <c r="A2809" t="s">
        <v>2447</v>
      </c>
    </row>
    <row r="2810" spans="1:1">
      <c r="A2810" t="s">
        <v>2448</v>
      </c>
    </row>
    <row r="2811" spans="1:1">
      <c r="A2811" t="s">
        <v>374</v>
      </c>
    </row>
    <row r="2812" spans="1:1">
      <c r="A2812" t="s">
        <v>2449</v>
      </c>
    </row>
    <row r="2813" spans="1:1">
      <c r="A2813" t="s">
        <v>376</v>
      </c>
    </row>
    <row r="2815" spans="1:1">
      <c r="A2815" t="s">
        <v>1684</v>
      </c>
    </row>
    <row r="2816" spans="1:1">
      <c r="A2816" t="s">
        <v>378</v>
      </c>
    </row>
    <row r="2817" spans="1:1">
      <c r="A2817" t="s">
        <v>2450</v>
      </c>
    </row>
    <row r="2818" spans="1:1">
      <c r="A2818" t="s">
        <v>2451</v>
      </c>
    </row>
    <row r="2819" spans="1:1">
      <c r="A2819" t="s">
        <v>2452</v>
      </c>
    </row>
    <row r="2820" spans="1:1">
      <c r="A2820" t="s">
        <v>2453</v>
      </c>
    </row>
    <row r="2821" spans="1:1">
      <c r="A2821" t="s">
        <v>2454</v>
      </c>
    </row>
    <row r="2822" spans="1:1">
      <c r="A2822" t="s">
        <v>2455</v>
      </c>
    </row>
    <row r="2823" spans="1:1">
      <c r="A2823" t="s">
        <v>2456</v>
      </c>
    </row>
    <row r="2824" spans="1:1">
      <c r="A2824" t="s">
        <v>2457</v>
      </c>
    </row>
    <row r="2825" spans="1:1">
      <c r="A2825" t="s">
        <v>2458</v>
      </c>
    </row>
    <row r="2826" spans="1:1">
      <c r="A2826" t="s">
        <v>2459</v>
      </c>
    </row>
    <row r="2827" spans="1:1">
      <c r="A2827" t="s">
        <v>2460</v>
      </c>
    </row>
    <row r="2828" spans="1:1">
      <c r="A2828" t="s">
        <v>2461</v>
      </c>
    </row>
    <row r="2829" spans="1:1">
      <c r="A2829" t="s">
        <v>2462</v>
      </c>
    </row>
    <row r="2832" spans="1:1">
      <c r="A2832" t="s">
        <v>392</v>
      </c>
    </row>
    <row r="2833" spans="1:1">
      <c r="A2833" t="s">
        <v>2463</v>
      </c>
    </row>
    <row r="2834" spans="1:1">
      <c r="A2834" t="s">
        <v>2464</v>
      </c>
    </row>
    <row r="2835" spans="1:1">
      <c r="A2835" t="s">
        <v>2465</v>
      </c>
    </row>
    <row r="2836" spans="1:1">
      <c r="A2836" t="s">
        <v>2466</v>
      </c>
    </row>
    <row r="2837" spans="1:1">
      <c r="A2837" t="s">
        <v>2467</v>
      </c>
    </row>
    <row r="2838" spans="1:1">
      <c r="A2838" t="s">
        <v>2468</v>
      </c>
    </row>
    <row r="2839" spans="1:1">
      <c r="A2839" t="s">
        <v>2469</v>
      </c>
    </row>
    <row r="2840" spans="1:1">
      <c r="A2840" t="s">
        <v>2470</v>
      </c>
    </row>
    <row r="2841" spans="1:1">
      <c r="A2841" t="s">
        <v>2471</v>
      </c>
    </row>
    <row r="2842" spans="1:1">
      <c r="A2842" t="s">
        <v>2472</v>
      </c>
    </row>
    <row r="2843" spans="1:1">
      <c r="A2843" t="s">
        <v>2473</v>
      </c>
    </row>
    <row r="2844" spans="1:1">
      <c r="A2844" t="s">
        <v>2474</v>
      </c>
    </row>
    <row r="2845" spans="1:1">
      <c r="A2845" t="s">
        <v>2475</v>
      </c>
    </row>
    <row r="2847" spans="1:1">
      <c r="A2847" t="s">
        <v>406</v>
      </c>
    </row>
    <row r="2848" spans="1:1">
      <c r="A2848" t="s">
        <v>2476</v>
      </c>
    </row>
    <row r="2849" spans="1:1">
      <c r="A2849" t="s">
        <v>2477</v>
      </c>
    </row>
    <row r="2850" spans="1:1">
      <c r="A2850" t="s">
        <v>2478</v>
      </c>
    </row>
    <row r="2851" spans="1:1">
      <c r="A2851" t="s">
        <v>2479</v>
      </c>
    </row>
    <row r="2852" spans="1:1">
      <c r="A2852" t="s">
        <v>2480</v>
      </c>
    </row>
    <row r="2853" spans="1:1">
      <c r="A2853" t="s">
        <v>2481</v>
      </c>
    </row>
    <row r="2854" spans="1:1">
      <c r="A2854" t="s">
        <v>2482</v>
      </c>
    </row>
    <row r="2855" spans="1:1">
      <c r="A2855" t="s">
        <v>2483</v>
      </c>
    </row>
    <row r="2856" spans="1:1">
      <c r="A2856" t="s">
        <v>2484</v>
      </c>
    </row>
    <row r="2857" spans="1:1">
      <c r="A2857" t="s">
        <v>2485</v>
      </c>
    </row>
    <row r="2858" spans="1:1">
      <c r="A2858" t="s">
        <v>2486</v>
      </c>
    </row>
    <row r="2859" spans="1:1">
      <c r="A2859" t="s">
        <v>2487</v>
      </c>
    </row>
    <row r="2860" spans="1:1">
      <c r="A2860" t="s">
        <v>2488</v>
      </c>
    </row>
    <row r="2861" spans="1:1">
      <c r="A2861" t="s">
        <v>2489</v>
      </c>
    </row>
    <row r="2862" spans="1:1">
      <c r="A2862" t="s">
        <v>421</v>
      </c>
    </row>
    <row r="2863" spans="1:1">
      <c r="A2863" t="s">
        <v>2490</v>
      </c>
    </row>
    <row r="2868" spans="1:1">
      <c r="A2868" t="s">
        <v>2491</v>
      </c>
    </row>
    <row r="2869" spans="1:1">
      <c r="A2869" t="s">
        <v>371</v>
      </c>
    </row>
    <row r="2870" spans="1:1">
      <c r="A2870" t="s">
        <v>2492</v>
      </c>
    </row>
    <row r="2871" spans="1:1">
      <c r="A2871" t="s">
        <v>2493</v>
      </c>
    </row>
    <row r="2872" spans="1:1">
      <c r="A2872" t="s">
        <v>374</v>
      </c>
    </row>
    <row r="2873" spans="1:1">
      <c r="A2873" t="s">
        <v>2494</v>
      </c>
    </row>
    <row r="2874" spans="1:1">
      <c r="A2874" t="s">
        <v>376</v>
      </c>
    </row>
    <row r="2876" spans="1:1">
      <c r="A2876" t="s">
        <v>2359</v>
      </c>
    </row>
    <row r="2877" spans="1:1">
      <c r="A2877" t="s">
        <v>378</v>
      </c>
    </row>
    <row r="2878" spans="1:1">
      <c r="A2878" t="s">
        <v>2495</v>
      </c>
    </row>
    <row r="2879" spans="1:1">
      <c r="A2879" t="s">
        <v>2496</v>
      </c>
    </row>
    <row r="2880" spans="1:1">
      <c r="A2880" t="s">
        <v>2497</v>
      </c>
    </row>
    <row r="2881" spans="1:1">
      <c r="A2881" t="s">
        <v>2498</v>
      </c>
    </row>
    <row r="2882" spans="1:1">
      <c r="A2882" t="s">
        <v>2499</v>
      </c>
    </row>
    <row r="2883" spans="1:1">
      <c r="A2883" t="s">
        <v>2500</v>
      </c>
    </row>
    <row r="2884" spans="1:1">
      <c r="A2884" t="s">
        <v>2501</v>
      </c>
    </row>
    <row r="2885" spans="1:1">
      <c r="A2885" t="s">
        <v>2502</v>
      </c>
    </row>
    <row r="2886" spans="1:1">
      <c r="A2886" t="s">
        <v>2503</v>
      </c>
    </row>
    <row r="2887" spans="1:1">
      <c r="A2887" t="s">
        <v>2504</v>
      </c>
    </row>
    <row r="2888" spans="1:1">
      <c r="A2888" t="s">
        <v>2505</v>
      </c>
    </row>
    <row r="2889" spans="1:1">
      <c r="A2889" t="s">
        <v>2506</v>
      </c>
    </row>
    <row r="2890" spans="1:1">
      <c r="A2890" t="s">
        <v>2507</v>
      </c>
    </row>
    <row r="2893" spans="1:1">
      <c r="A2893" t="s">
        <v>392</v>
      </c>
    </row>
    <row r="2894" spans="1:1">
      <c r="A2894" t="s">
        <v>2508</v>
      </c>
    </row>
    <row r="2895" spans="1:1">
      <c r="A2895" t="s">
        <v>2509</v>
      </c>
    </row>
    <row r="2896" spans="1:1">
      <c r="A2896" t="s">
        <v>2510</v>
      </c>
    </row>
    <row r="2897" spans="1:1">
      <c r="A2897" t="s">
        <v>2511</v>
      </c>
    </row>
    <row r="2898" spans="1:1">
      <c r="A2898" t="s">
        <v>2512</v>
      </c>
    </row>
    <row r="2899" spans="1:1">
      <c r="A2899" t="s">
        <v>2513</v>
      </c>
    </row>
    <row r="2900" spans="1:1">
      <c r="A2900" t="s">
        <v>2514</v>
      </c>
    </row>
    <row r="2901" spans="1:1">
      <c r="A2901" t="s">
        <v>2515</v>
      </c>
    </row>
    <row r="2902" spans="1:1">
      <c r="A2902" t="s">
        <v>2516</v>
      </c>
    </row>
    <row r="2903" spans="1:1">
      <c r="A2903" t="s">
        <v>2517</v>
      </c>
    </row>
    <row r="2904" spans="1:1">
      <c r="A2904" t="s">
        <v>2518</v>
      </c>
    </row>
    <row r="2905" spans="1:1">
      <c r="A2905" t="s">
        <v>2519</v>
      </c>
    </row>
    <row r="2906" spans="1:1">
      <c r="A2906" t="s">
        <v>2520</v>
      </c>
    </row>
    <row r="2908" spans="1:1">
      <c r="A2908" t="s">
        <v>406</v>
      </c>
    </row>
    <row r="2909" spans="1:1">
      <c r="A2909" t="s">
        <v>2521</v>
      </c>
    </row>
    <row r="2910" spans="1:1">
      <c r="A2910" t="s">
        <v>2522</v>
      </c>
    </row>
    <row r="2911" spans="1:1">
      <c r="A2911" t="s">
        <v>2523</v>
      </c>
    </row>
    <row r="2912" spans="1:1">
      <c r="A2912" t="s">
        <v>2524</v>
      </c>
    </row>
    <row r="2913" spans="1:1">
      <c r="A2913" t="s">
        <v>2525</v>
      </c>
    </row>
    <row r="2914" spans="1:1">
      <c r="A2914" t="s">
        <v>2526</v>
      </c>
    </row>
    <row r="2915" spans="1:1">
      <c r="A2915" t="s">
        <v>2527</v>
      </c>
    </row>
    <row r="2916" spans="1:1">
      <c r="A2916" t="s">
        <v>2528</v>
      </c>
    </row>
    <row r="2917" spans="1:1">
      <c r="A2917" t="s">
        <v>2529</v>
      </c>
    </row>
    <row r="2918" spans="1:1">
      <c r="A2918" t="s">
        <v>2530</v>
      </c>
    </row>
    <row r="2919" spans="1:1">
      <c r="A2919" t="s">
        <v>2531</v>
      </c>
    </row>
    <row r="2920" spans="1:1">
      <c r="A2920" t="s">
        <v>2532</v>
      </c>
    </row>
    <row r="2921" spans="1:1">
      <c r="A2921" t="s">
        <v>2533</v>
      </c>
    </row>
    <row r="2922" spans="1:1">
      <c r="A2922" t="s">
        <v>2534</v>
      </c>
    </row>
    <row r="2923" spans="1:1">
      <c r="A2923" t="s">
        <v>421</v>
      </c>
    </row>
    <row r="2924" spans="1:1">
      <c r="A2924" t="s">
        <v>2535</v>
      </c>
    </row>
    <row r="2929" spans="1:1">
      <c r="A2929" t="s">
        <v>2536</v>
      </c>
    </row>
    <row r="2930" spans="1:1">
      <c r="A2930" t="s">
        <v>371</v>
      </c>
    </row>
    <row r="2931" spans="1:1">
      <c r="A2931" t="s">
        <v>2537</v>
      </c>
    </row>
    <row r="2932" spans="1:1">
      <c r="A2932" t="s">
        <v>2538</v>
      </c>
    </row>
    <row r="2933" spans="1:1">
      <c r="A2933" t="s">
        <v>374</v>
      </c>
    </row>
    <row r="2934" spans="1:1">
      <c r="A2934" t="s">
        <v>2539</v>
      </c>
    </row>
    <row r="2935" spans="1:1">
      <c r="A2935" t="s">
        <v>376</v>
      </c>
    </row>
    <row r="2937" spans="1:1">
      <c r="A2937" t="s">
        <v>2359</v>
      </c>
    </row>
    <row r="2938" spans="1:1">
      <c r="A2938" t="s">
        <v>378</v>
      </c>
    </row>
    <row r="2939" spans="1:1">
      <c r="A2939" t="s">
        <v>2540</v>
      </c>
    </row>
    <row r="2940" spans="1:1">
      <c r="A2940" t="s">
        <v>2541</v>
      </c>
    </row>
    <row r="2941" spans="1:1">
      <c r="A2941" t="s">
        <v>2542</v>
      </c>
    </row>
    <row r="2942" spans="1:1">
      <c r="A2942" t="s">
        <v>2543</v>
      </c>
    </row>
    <row r="2943" spans="1:1">
      <c r="A2943" t="s">
        <v>2544</v>
      </c>
    </row>
    <row r="2944" spans="1:1">
      <c r="A2944" t="s">
        <v>2545</v>
      </c>
    </row>
    <row r="2945" spans="1:1">
      <c r="A2945" t="s">
        <v>2546</v>
      </c>
    </row>
    <row r="2946" spans="1:1">
      <c r="A2946" t="s">
        <v>2547</v>
      </c>
    </row>
    <row r="2947" spans="1:1">
      <c r="A2947" t="s">
        <v>2548</v>
      </c>
    </row>
    <row r="2948" spans="1:1">
      <c r="A2948" t="s">
        <v>2549</v>
      </c>
    </row>
    <row r="2949" spans="1:1">
      <c r="A2949" t="s">
        <v>2550</v>
      </c>
    </row>
    <row r="2950" spans="1:1">
      <c r="A2950" t="s">
        <v>2551</v>
      </c>
    </row>
    <row r="2951" spans="1:1">
      <c r="A2951" t="s">
        <v>2552</v>
      </c>
    </row>
    <row r="2954" spans="1:1">
      <c r="A2954" t="s">
        <v>392</v>
      </c>
    </row>
    <row r="2955" spans="1:1">
      <c r="A2955" t="s">
        <v>2553</v>
      </c>
    </row>
    <row r="2956" spans="1:1">
      <c r="A2956" t="s">
        <v>2554</v>
      </c>
    </row>
    <row r="2957" spans="1:1">
      <c r="A2957" t="s">
        <v>2555</v>
      </c>
    </row>
    <row r="2958" spans="1:1">
      <c r="A2958" t="s">
        <v>2556</v>
      </c>
    </row>
    <row r="2959" spans="1:1">
      <c r="A2959" t="s">
        <v>2557</v>
      </c>
    </row>
    <row r="2960" spans="1:1">
      <c r="A2960" t="s">
        <v>2558</v>
      </c>
    </row>
    <row r="2961" spans="1:1">
      <c r="A2961" t="s">
        <v>2559</v>
      </c>
    </row>
    <row r="2962" spans="1:1">
      <c r="A2962" t="s">
        <v>2560</v>
      </c>
    </row>
    <row r="2963" spans="1:1">
      <c r="A2963" t="s">
        <v>2561</v>
      </c>
    </row>
    <row r="2964" spans="1:1">
      <c r="A2964" t="s">
        <v>2562</v>
      </c>
    </row>
    <row r="2966" spans="1:1">
      <c r="A2966" t="s">
        <v>406</v>
      </c>
    </row>
    <row r="2967" spans="1:1">
      <c r="A2967" t="s">
        <v>2563</v>
      </c>
    </row>
    <row r="2968" spans="1:1">
      <c r="A2968" t="s">
        <v>2564</v>
      </c>
    </row>
    <row r="2969" spans="1:1">
      <c r="A2969" t="s">
        <v>2565</v>
      </c>
    </row>
    <row r="2970" spans="1:1">
      <c r="A2970" t="s">
        <v>2566</v>
      </c>
    </row>
    <row r="2971" spans="1:1">
      <c r="A2971" t="s">
        <v>2567</v>
      </c>
    </row>
    <row r="2972" spans="1:1">
      <c r="A2972" t="s">
        <v>2568</v>
      </c>
    </row>
    <row r="2973" spans="1:1">
      <c r="A2973" t="s">
        <v>2569</v>
      </c>
    </row>
    <row r="2974" spans="1:1">
      <c r="A2974" t="s">
        <v>2570</v>
      </c>
    </row>
    <row r="2975" spans="1:1">
      <c r="A2975" t="s">
        <v>2571</v>
      </c>
    </row>
    <row r="2976" spans="1:1">
      <c r="A2976" t="s">
        <v>2572</v>
      </c>
    </row>
    <row r="2977" spans="1:1">
      <c r="A2977" t="s">
        <v>2573</v>
      </c>
    </row>
    <row r="2978" spans="1:1">
      <c r="A2978" t="s">
        <v>2574</v>
      </c>
    </row>
    <row r="2979" spans="1:1">
      <c r="A2979" t="s">
        <v>2575</v>
      </c>
    </row>
    <row r="2980" spans="1:1">
      <c r="A2980" t="s">
        <v>2576</v>
      </c>
    </row>
    <row r="2981" spans="1:1">
      <c r="A2981" t="s">
        <v>421</v>
      </c>
    </row>
    <row r="2982" spans="1:1">
      <c r="A2982" t="s">
        <v>2577</v>
      </c>
    </row>
    <row r="2987" spans="1:1">
      <c r="A2987" t="s">
        <v>2578</v>
      </c>
    </row>
    <row r="2988" spans="1:1">
      <c r="A2988" t="s">
        <v>371</v>
      </c>
    </row>
    <row r="2989" spans="1:1">
      <c r="A2989" t="s">
        <v>2579</v>
      </c>
    </row>
    <row r="2990" spans="1:1">
      <c r="A2990" t="s">
        <v>2580</v>
      </c>
    </row>
    <row r="2991" spans="1:1">
      <c r="A2991" t="s">
        <v>374</v>
      </c>
    </row>
    <row r="2992" spans="1:1">
      <c r="A2992" t="s">
        <v>2581</v>
      </c>
    </row>
    <row r="2993" spans="1:1">
      <c r="A2993" t="s">
        <v>376</v>
      </c>
    </row>
    <row r="2995" spans="1:1">
      <c r="A2995" t="s">
        <v>2359</v>
      </c>
    </row>
    <row r="2996" spans="1:1">
      <c r="A2996" t="s">
        <v>378</v>
      </c>
    </row>
    <row r="2997" spans="1:1">
      <c r="A2997" t="s">
        <v>2582</v>
      </c>
    </row>
    <row r="2998" spans="1:1">
      <c r="A2998" t="s">
        <v>2583</v>
      </c>
    </row>
    <row r="2999" spans="1:1">
      <c r="A2999" t="s">
        <v>2584</v>
      </c>
    </row>
    <row r="3000" spans="1:1">
      <c r="A3000" t="s">
        <v>2585</v>
      </c>
    </row>
    <row r="3001" spans="1:1">
      <c r="A3001" t="s">
        <v>2586</v>
      </c>
    </row>
    <row r="3002" spans="1:1">
      <c r="A3002" t="s">
        <v>2587</v>
      </c>
    </row>
    <row r="3003" spans="1:1">
      <c r="A3003" t="s">
        <v>2588</v>
      </c>
    </row>
    <row r="3004" spans="1:1">
      <c r="A3004" t="s">
        <v>2589</v>
      </c>
    </row>
    <row r="3005" spans="1:1">
      <c r="A3005" t="s">
        <v>2590</v>
      </c>
    </row>
    <row r="3006" spans="1:1">
      <c r="A3006" t="s">
        <v>2591</v>
      </c>
    </row>
    <row r="3007" spans="1:1">
      <c r="A3007" t="s">
        <v>2592</v>
      </c>
    </row>
    <row r="3008" spans="1:1">
      <c r="A3008" t="s">
        <v>2593</v>
      </c>
    </row>
    <row r="3009" spans="1:1">
      <c r="A3009" t="s">
        <v>2594</v>
      </c>
    </row>
    <row r="3012" spans="1:1">
      <c r="A3012" t="s">
        <v>392</v>
      </c>
    </row>
    <row r="3013" spans="1:1">
      <c r="A3013" t="s">
        <v>2595</v>
      </c>
    </row>
    <row r="3014" spans="1:1">
      <c r="A3014" t="s">
        <v>2596</v>
      </c>
    </row>
    <row r="3015" spans="1:1">
      <c r="A3015" t="s">
        <v>2597</v>
      </c>
    </row>
    <row r="3016" spans="1:1">
      <c r="A3016" t="s">
        <v>2598</v>
      </c>
    </row>
    <row r="3017" spans="1:1">
      <c r="A3017" t="s">
        <v>2599</v>
      </c>
    </row>
    <row r="3018" spans="1:1">
      <c r="A3018" t="s">
        <v>2600</v>
      </c>
    </row>
    <row r="3019" spans="1:1">
      <c r="A3019" t="s">
        <v>2601</v>
      </c>
    </row>
    <row r="3020" spans="1:1">
      <c r="A3020" t="s">
        <v>2602</v>
      </c>
    </row>
    <row r="3021" spans="1:1">
      <c r="A3021" t="s">
        <v>2603</v>
      </c>
    </row>
    <row r="3022" spans="1:1">
      <c r="A3022" t="s">
        <v>2604</v>
      </c>
    </row>
    <row r="3023" spans="1:1">
      <c r="A3023" t="s">
        <v>2605</v>
      </c>
    </row>
    <row r="3024" spans="1:1">
      <c r="A3024" t="s">
        <v>2606</v>
      </c>
    </row>
    <row r="3025" spans="1:1">
      <c r="A3025" t="s">
        <v>2607</v>
      </c>
    </row>
    <row r="3027" spans="1:1">
      <c r="A3027" t="s">
        <v>406</v>
      </c>
    </row>
    <row r="3028" spans="1:1">
      <c r="A3028" t="s">
        <v>2608</v>
      </c>
    </row>
    <row r="3029" spans="1:1">
      <c r="A3029" t="s">
        <v>2609</v>
      </c>
    </row>
    <row r="3030" spans="1:1">
      <c r="A3030" t="s">
        <v>2610</v>
      </c>
    </row>
    <row r="3031" spans="1:1">
      <c r="A3031" t="s">
        <v>2611</v>
      </c>
    </row>
    <row r="3032" spans="1:1">
      <c r="A3032" t="s">
        <v>2612</v>
      </c>
    </row>
    <row r="3033" spans="1:1">
      <c r="A3033" t="s">
        <v>2613</v>
      </c>
    </row>
    <row r="3034" spans="1:1">
      <c r="A3034" t="s">
        <v>2614</v>
      </c>
    </row>
    <row r="3035" spans="1:1">
      <c r="A3035" t="s">
        <v>2615</v>
      </c>
    </row>
    <row r="3036" spans="1:1">
      <c r="A3036" t="s">
        <v>2616</v>
      </c>
    </row>
    <row r="3037" spans="1:1">
      <c r="A3037" t="s">
        <v>2617</v>
      </c>
    </row>
    <row r="3038" spans="1:1">
      <c r="A3038" t="s">
        <v>2618</v>
      </c>
    </row>
    <row r="3039" spans="1:1">
      <c r="A3039" t="s">
        <v>2619</v>
      </c>
    </row>
    <row r="3040" spans="1:1">
      <c r="A3040" t="s">
        <v>2620</v>
      </c>
    </row>
    <row r="3041" spans="1:1">
      <c r="A3041" t="s">
        <v>2621</v>
      </c>
    </row>
    <row r="3042" spans="1:1">
      <c r="A3042" t="s">
        <v>421</v>
      </c>
    </row>
    <row r="3043" spans="1:1">
      <c r="A3043" t="s">
        <v>2622</v>
      </c>
    </row>
    <row r="3048" spans="1:1">
      <c r="A3048" t="s">
        <v>2623</v>
      </c>
    </row>
    <row r="3049" spans="1:1">
      <c r="A3049" t="s">
        <v>371</v>
      </c>
    </row>
    <row r="3050" spans="1:1">
      <c r="A3050" t="s">
        <v>2624</v>
      </c>
    </row>
    <row r="3051" spans="1:1">
      <c r="A3051" t="s">
        <v>2625</v>
      </c>
    </row>
    <row r="3052" spans="1:1">
      <c r="A3052" t="s">
        <v>374</v>
      </c>
    </row>
    <row r="3053" spans="1:1">
      <c r="A3053" t="s">
        <v>2626</v>
      </c>
    </row>
    <row r="3054" spans="1:1">
      <c r="A3054" t="s">
        <v>376</v>
      </c>
    </row>
    <row r="3056" spans="1:1">
      <c r="A3056" t="s">
        <v>2359</v>
      </c>
    </row>
    <row r="3057" spans="1:1">
      <c r="A3057" t="s">
        <v>378</v>
      </c>
    </row>
    <row r="3058" spans="1:1">
      <c r="A3058" t="s">
        <v>2627</v>
      </c>
    </row>
    <row r="3059" spans="1:1">
      <c r="A3059" t="s">
        <v>2628</v>
      </c>
    </row>
    <row r="3060" spans="1:1">
      <c r="A3060" t="s">
        <v>2629</v>
      </c>
    </row>
    <row r="3061" spans="1:1">
      <c r="A3061" t="s">
        <v>2630</v>
      </c>
    </row>
    <row r="3062" spans="1:1">
      <c r="A3062" t="s">
        <v>2631</v>
      </c>
    </row>
    <row r="3063" spans="1:1">
      <c r="A3063" t="s">
        <v>2632</v>
      </c>
    </row>
    <row r="3064" spans="1:1">
      <c r="A3064" t="s">
        <v>2633</v>
      </c>
    </row>
    <row r="3065" spans="1:1">
      <c r="A3065" t="s">
        <v>2634</v>
      </c>
    </row>
    <row r="3066" spans="1:1">
      <c r="A3066" t="s">
        <v>2635</v>
      </c>
    </row>
    <row r="3067" spans="1:1">
      <c r="A3067" t="s">
        <v>2636</v>
      </c>
    </row>
    <row r="3068" spans="1:1">
      <c r="A3068" t="s">
        <v>2637</v>
      </c>
    </row>
    <row r="3069" spans="1:1">
      <c r="A3069" t="s">
        <v>2638</v>
      </c>
    </row>
    <row r="3070" spans="1:1">
      <c r="A3070" t="s">
        <v>2639</v>
      </c>
    </row>
    <row r="3073" spans="1:1">
      <c r="A3073" t="s">
        <v>392</v>
      </c>
    </row>
    <row r="3074" spans="1:1">
      <c r="A3074" t="s">
        <v>2640</v>
      </c>
    </row>
    <row r="3075" spans="1:1">
      <c r="A3075" t="s">
        <v>2641</v>
      </c>
    </row>
    <row r="3076" spans="1:1">
      <c r="A3076" t="s">
        <v>2642</v>
      </c>
    </row>
    <row r="3077" spans="1:1">
      <c r="A3077" t="s">
        <v>2643</v>
      </c>
    </row>
    <row r="3078" spans="1:1">
      <c r="A3078" t="s">
        <v>2644</v>
      </c>
    </row>
    <row r="3079" spans="1:1">
      <c r="A3079" t="s">
        <v>2645</v>
      </c>
    </row>
    <row r="3080" spans="1:1">
      <c r="A3080" t="s">
        <v>2646</v>
      </c>
    </row>
    <row r="3081" spans="1:1">
      <c r="A3081" t="s">
        <v>2647</v>
      </c>
    </row>
    <row r="3082" spans="1:1">
      <c r="A3082" t="s">
        <v>2648</v>
      </c>
    </row>
    <row r="3083" spans="1:1">
      <c r="A3083" t="s">
        <v>2649</v>
      </c>
    </row>
    <row r="3084" spans="1:1">
      <c r="A3084" t="s">
        <v>2650</v>
      </c>
    </row>
    <row r="3085" spans="1:1">
      <c r="A3085" t="s">
        <v>2651</v>
      </c>
    </row>
    <row r="3086" spans="1:1">
      <c r="A3086" t="s">
        <v>2652</v>
      </c>
    </row>
    <row r="3088" spans="1:1">
      <c r="A3088" t="s">
        <v>406</v>
      </c>
    </row>
    <row r="3089" spans="1:1">
      <c r="A3089" t="s">
        <v>2653</v>
      </c>
    </row>
    <row r="3090" spans="1:1">
      <c r="A3090" t="s">
        <v>2654</v>
      </c>
    </row>
    <row r="3091" spans="1:1">
      <c r="A3091" t="s">
        <v>2655</v>
      </c>
    </row>
    <row r="3092" spans="1:1">
      <c r="A3092" t="s">
        <v>2656</v>
      </c>
    </row>
    <row r="3093" spans="1:1">
      <c r="A3093" t="s">
        <v>2657</v>
      </c>
    </row>
    <row r="3094" spans="1:1">
      <c r="A3094" t="s">
        <v>2658</v>
      </c>
    </row>
    <row r="3095" spans="1:1">
      <c r="A3095" t="s">
        <v>2659</v>
      </c>
    </row>
    <row r="3096" spans="1:1">
      <c r="A3096" t="s">
        <v>2660</v>
      </c>
    </row>
    <row r="3097" spans="1:1">
      <c r="A3097" t="s">
        <v>2661</v>
      </c>
    </row>
    <row r="3098" spans="1:1">
      <c r="A3098" t="s">
        <v>2662</v>
      </c>
    </row>
    <row r="3099" spans="1:1">
      <c r="A3099" t="s">
        <v>2663</v>
      </c>
    </row>
    <row r="3100" spans="1:1">
      <c r="A3100" t="s">
        <v>2664</v>
      </c>
    </row>
    <row r="3101" spans="1:1">
      <c r="A3101" t="s">
        <v>2665</v>
      </c>
    </row>
    <row r="3102" spans="1:1">
      <c r="A3102" t="s">
        <v>2666</v>
      </c>
    </row>
    <row r="3103" spans="1:1">
      <c r="A3103" t="s">
        <v>421</v>
      </c>
    </row>
    <row r="3104" spans="1:1">
      <c r="A3104" t="s">
        <v>2667</v>
      </c>
    </row>
    <row r="3109" spans="1:1">
      <c r="A3109" t="s">
        <v>2668</v>
      </c>
    </row>
    <row r="3110" spans="1:1">
      <c r="A3110" t="s">
        <v>371</v>
      </c>
    </row>
    <row r="3111" spans="1:1">
      <c r="A3111" t="s">
        <v>2669</v>
      </c>
    </row>
    <row r="3112" spans="1:1">
      <c r="A3112" t="s">
        <v>2670</v>
      </c>
    </row>
    <row r="3113" spans="1:1">
      <c r="A3113" t="s">
        <v>374</v>
      </c>
    </row>
    <row r="3114" spans="1:1">
      <c r="A3114" t="s">
        <v>2671</v>
      </c>
    </row>
    <row r="3115" spans="1:1">
      <c r="A3115" t="s">
        <v>376</v>
      </c>
    </row>
    <row r="3117" spans="1:1">
      <c r="A3117" t="s">
        <v>2359</v>
      </c>
    </row>
    <row r="3118" spans="1:1">
      <c r="A3118" t="s">
        <v>378</v>
      </c>
    </row>
    <row r="3119" spans="1:1">
      <c r="A3119" t="s">
        <v>2672</v>
      </c>
    </row>
    <row r="3120" spans="1:1">
      <c r="A3120" t="s">
        <v>2673</v>
      </c>
    </row>
    <row r="3121" spans="1:1">
      <c r="A3121" t="s">
        <v>2674</v>
      </c>
    </row>
    <row r="3122" spans="1:1">
      <c r="A3122" t="s">
        <v>2675</v>
      </c>
    </row>
    <row r="3123" spans="1:1">
      <c r="A3123" t="s">
        <v>2676</v>
      </c>
    </row>
    <row r="3124" spans="1:1">
      <c r="A3124" t="s">
        <v>2677</v>
      </c>
    </row>
    <row r="3125" spans="1:1">
      <c r="A3125" t="s">
        <v>2678</v>
      </c>
    </row>
    <row r="3126" spans="1:1">
      <c r="A3126" t="s">
        <v>2679</v>
      </c>
    </row>
    <row r="3127" spans="1:1">
      <c r="A3127" t="s">
        <v>2680</v>
      </c>
    </row>
    <row r="3128" spans="1:1">
      <c r="A3128" t="s">
        <v>2681</v>
      </c>
    </row>
    <row r="3129" spans="1:1">
      <c r="A3129" t="s">
        <v>2682</v>
      </c>
    </row>
    <row r="3130" spans="1:1">
      <c r="A3130" t="s">
        <v>2683</v>
      </c>
    </row>
    <row r="3131" spans="1:1">
      <c r="A3131" t="s">
        <v>2684</v>
      </c>
    </row>
    <row r="3134" spans="1:1">
      <c r="A3134" t="s">
        <v>392</v>
      </c>
    </row>
    <row r="3135" spans="1:1">
      <c r="A3135" t="s">
        <v>2685</v>
      </c>
    </row>
    <row r="3136" spans="1:1">
      <c r="A3136" t="s">
        <v>2686</v>
      </c>
    </row>
    <row r="3137" spans="1:1">
      <c r="A3137" t="s">
        <v>2687</v>
      </c>
    </row>
    <row r="3138" spans="1:1">
      <c r="A3138" t="s">
        <v>2688</v>
      </c>
    </row>
    <row r="3139" spans="1:1">
      <c r="A3139" t="s">
        <v>2689</v>
      </c>
    </row>
    <row r="3140" spans="1:1">
      <c r="A3140" t="s">
        <v>2690</v>
      </c>
    </row>
    <row r="3141" spans="1:1">
      <c r="A3141" t="s">
        <v>2691</v>
      </c>
    </row>
    <row r="3142" spans="1:1">
      <c r="A3142" t="s">
        <v>2692</v>
      </c>
    </row>
    <row r="3143" spans="1:1">
      <c r="A3143" t="s">
        <v>2693</v>
      </c>
    </row>
    <row r="3144" spans="1:1">
      <c r="A3144" t="s">
        <v>2694</v>
      </c>
    </row>
    <row r="3145" spans="1:1">
      <c r="A3145" t="s">
        <v>2695</v>
      </c>
    </row>
    <row r="3146" spans="1:1">
      <c r="A3146" t="s">
        <v>2696</v>
      </c>
    </row>
    <row r="3147" spans="1:1">
      <c r="A3147" t="s">
        <v>2697</v>
      </c>
    </row>
    <row r="3149" spans="1:1">
      <c r="A3149" t="s">
        <v>406</v>
      </c>
    </row>
    <row r="3150" spans="1:1">
      <c r="A3150" t="s">
        <v>2698</v>
      </c>
    </row>
    <row r="3151" spans="1:1">
      <c r="A3151" t="s">
        <v>2699</v>
      </c>
    </row>
    <row r="3152" spans="1:1">
      <c r="A3152" t="s">
        <v>2700</v>
      </c>
    </row>
    <row r="3153" spans="1:1">
      <c r="A3153" t="s">
        <v>2701</v>
      </c>
    </row>
    <row r="3154" spans="1:1">
      <c r="A3154" t="s">
        <v>2702</v>
      </c>
    </row>
    <row r="3155" spans="1:1">
      <c r="A3155" t="s">
        <v>2703</v>
      </c>
    </row>
    <row r="3156" spans="1:1">
      <c r="A3156" t="s">
        <v>2704</v>
      </c>
    </row>
    <row r="3157" spans="1:1">
      <c r="A3157" t="s">
        <v>2705</v>
      </c>
    </row>
    <row r="3158" spans="1:1">
      <c r="A3158" t="s">
        <v>2706</v>
      </c>
    </row>
    <row r="3159" spans="1:1">
      <c r="A3159" t="s">
        <v>2707</v>
      </c>
    </row>
    <row r="3160" spans="1:1">
      <c r="A3160" t="s">
        <v>2708</v>
      </c>
    </row>
    <row r="3161" spans="1:1">
      <c r="A3161" t="s">
        <v>2709</v>
      </c>
    </row>
    <row r="3162" spans="1:1">
      <c r="A3162" t="s">
        <v>2710</v>
      </c>
    </row>
    <row r="3163" spans="1:1">
      <c r="A3163" t="s">
        <v>2711</v>
      </c>
    </row>
    <row r="3164" spans="1:1">
      <c r="A3164" t="s">
        <v>421</v>
      </c>
    </row>
    <row r="3165" spans="1:1">
      <c r="A3165" t="s">
        <v>2712</v>
      </c>
    </row>
    <row r="3170" spans="1:1">
      <c r="A3170" t="s">
        <v>2713</v>
      </c>
    </row>
    <row r="3171" spans="1:1">
      <c r="A3171" t="s">
        <v>371</v>
      </c>
    </row>
    <row r="3172" spans="1:1">
      <c r="A3172" t="s">
        <v>2714</v>
      </c>
    </row>
    <row r="3173" spans="1:1">
      <c r="A3173" t="s">
        <v>2715</v>
      </c>
    </row>
    <row r="3174" spans="1:1">
      <c r="A3174" t="s">
        <v>374</v>
      </c>
    </row>
    <row r="3175" spans="1:1">
      <c r="A3175" t="s">
        <v>2716</v>
      </c>
    </row>
    <row r="3176" spans="1:1">
      <c r="A3176" t="s">
        <v>376</v>
      </c>
    </row>
    <row r="3178" spans="1:1">
      <c r="A3178" t="s">
        <v>2359</v>
      </c>
    </row>
    <row r="3179" spans="1:1">
      <c r="A3179" t="s">
        <v>378</v>
      </c>
    </row>
    <row r="3180" spans="1:1">
      <c r="A3180" t="s">
        <v>2717</v>
      </c>
    </row>
    <row r="3181" spans="1:1">
      <c r="A3181" t="s">
        <v>2718</v>
      </c>
    </row>
    <row r="3182" spans="1:1">
      <c r="A3182" t="s">
        <v>2719</v>
      </c>
    </row>
    <row r="3183" spans="1:1">
      <c r="A3183" t="s">
        <v>2720</v>
      </c>
    </row>
    <row r="3184" spans="1:1">
      <c r="A3184" t="s">
        <v>2721</v>
      </c>
    </row>
    <row r="3185" spans="1:1">
      <c r="A3185" t="s">
        <v>2722</v>
      </c>
    </row>
    <row r="3186" spans="1:1">
      <c r="A3186" t="s">
        <v>2723</v>
      </c>
    </row>
    <row r="3187" spans="1:1">
      <c r="A3187" t="s">
        <v>2724</v>
      </c>
    </row>
    <row r="3188" spans="1:1">
      <c r="A3188" t="s">
        <v>2725</v>
      </c>
    </row>
    <row r="3189" spans="1:1">
      <c r="A3189" t="s">
        <v>2726</v>
      </c>
    </row>
    <row r="3190" spans="1:1">
      <c r="A3190" t="s">
        <v>2727</v>
      </c>
    </row>
    <row r="3191" spans="1:1">
      <c r="A3191" t="s">
        <v>2728</v>
      </c>
    </row>
    <row r="3192" spans="1:1">
      <c r="A3192" t="s">
        <v>2729</v>
      </c>
    </row>
    <row r="3195" spans="1:1">
      <c r="A3195" t="s">
        <v>392</v>
      </c>
    </row>
    <row r="3196" spans="1:1">
      <c r="A3196" t="s">
        <v>2730</v>
      </c>
    </row>
    <row r="3197" spans="1:1">
      <c r="A3197" t="s">
        <v>2731</v>
      </c>
    </row>
    <row r="3198" spans="1:1">
      <c r="A3198" t="s">
        <v>2732</v>
      </c>
    </row>
    <row r="3199" spans="1:1">
      <c r="A3199" t="s">
        <v>2733</v>
      </c>
    </row>
    <row r="3200" spans="1:1">
      <c r="A3200" t="s">
        <v>2734</v>
      </c>
    </row>
    <row r="3201" spans="1:1">
      <c r="A3201" t="s">
        <v>2735</v>
      </c>
    </row>
    <row r="3202" spans="1:1">
      <c r="A3202" t="s">
        <v>2736</v>
      </c>
    </row>
    <row r="3203" spans="1:1">
      <c r="A3203" t="s">
        <v>2737</v>
      </c>
    </row>
    <row r="3204" spans="1:1">
      <c r="A3204" t="s">
        <v>2738</v>
      </c>
    </row>
    <row r="3205" spans="1:1">
      <c r="A3205" t="s">
        <v>2739</v>
      </c>
    </row>
    <row r="3206" spans="1:1">
      <c r="A3206" t="s">
        <v>2740</v>
      </c>
    </row>
    <row r="3207" spans="1:1">
      <c r="A3207" t="s">
        <v>2741</v>
      </c>
    </row>
    <row r="3208" spans="1:1">
      <c r="A3208" t="s">
        <v>2742</v>
      </c>
    </row>
    <row r="3210" spans="1:1">
      <c r="A3210" t="s">
        <v>406</v>
      </c>
    </row>
    <row r="3211" spans="1:1">
      <c r="A3211" t="s">
        <v>2743</v>
      </c>
    </row>
    <row r="3212" spans="1:1">
      <c r="A3212" t="s">
        <v>2744</v>
      </c>
    </row>
    <row r="3213" spans="1:1">
      <c r="A3213" t="s">
        <v>2745</v>
      </c>
    </row>
    <row r="3214" spans="1:1">
      <c r="A3214" t="s">
        <v>2746</v>
      </c>
    </row>
    <row r="3215" spans="1:1">
      <c r="A3215" t="s">
        <v>2747</v>
      </c>
    </row>
    <row r="3216" spans="1:1">
      <c r="A3216" t="s">
        <v>2748</v>
      </c>
    </row>
    <row r="3217" spans="1:1">
      <c r="A3217" t="s">
        <v>2749</v>
      </c>
    </row>
    <row r="3218" spans="1:1">
      <c r="A3218" t="s">
        <v>2750</v>
      </c>
    </row>
    <row r="3219" spans="1:1">
      <c r="A3219" t="s">
        <v>2751</v>
      </c>
    </row>
    <row r="3220" spans="1:1">
      <c r="A3220" t="s">
        <v>2752</v>
      </c>
    </row>
    <row r="3221" spans="1:1">
      <c r="A3221" t="s">
        <v>2753</v>
      </c>
    </row>
    <row r="3222" spans="1:1">
      <c r="A3222" t="s">
        <v>2754</v>
      </c>
    </row>
    <row r="3223" spans="1:1">
      <c r="A3223" t="s">
        <v>2755</v>
      </c>
    </row>
    <row r="3224" spans="1:1">
      <c r="A3224" t="s">
        <v>2756</v>
      </c>
    </row>
    <row r="3225" spans="1:1">
      <c r="A3225" t="s">
        <v>421</v>
      </c>
    </row>
    <row r="3226" spans="1:1">
      <c r="A3226" t="s">
        <v>2757</v>
      </c>
    </row>
    <row r="3231" spans="1:1">
      <c r="A3231" t="s">
        <v>2758</v>
      </c>
    </row>
    <row r="3232" spans="1:1">
      <c r="A3232" t="s">
        <v>371</v>
      </c>
    </row>
    <row r="3233" spans="1:1">
      <c r="A3233" t="s">
        <v>2759</v>
      </c>
    </row>
    <row r="3234" spans="1:1">
      <c r="A3234" t="s">
        <v>2760</v>
      </c>
    </row>
    <row r="3235" spans="1:1">
      <c r="A3235" t="s">
        <v>374</v>
      </c>
    </row>
    <row r="3236" spans="1:1">
      <c r="A3236" t="s">
        <v>2761</v>
      </c>
    </row>
    <row r="3237" spans="1:1">
      <c r="A3237" t="s">
        <v>376</v>
      </c>
    </row>
    <row r="3239" spans="1:1">
      <c r="A3239" t="s">
        <v>2359</v>
      </c>
    </row>
    <row r="3240" spans="1:1">
      <c r="A3240" t="s">
        <v>378</v>
      </c>
    </row>
    <row r="3241" spans="1:1">
      <c r="A3241" t="s">
        <v>2762</v>
      </c>
    </row>
    <row r="3242" spans="1:1">
      <c r="A3242" t="s">
        <v>2763</v>
      </c>
    </row>
    <row r="3243" spans="1:1">
      <c r="A3243" t="s">
        <v>2764</v>
      </c>
    </row>
    <row r="3244" spans="1:1">
      <c r="A3244" t="s">
        <v>2765</v>
      </c>
    </row>
    <row r="3245" spans="1:1">
      <c r="A3245" t="s">
        <v>2766</v>
      </c>
    </row>
    <row r="3246" spans="1:1">
      <c r="A3246" t="s">
        <v>2767</v>
      </c>
    </row>
    <row r="3247" spans="1:1">
      <c r="A3247" t="s">
        <v>2768</v>
      </c>
    </row>
    <row r="3248" spans="1:1">
      <c r="A3248" t="s">
        <v>2769</v>
      </c>
    </row>
    <row r="3249" spans="1:1">
      <c r="A3249" t="s">
        <v>2770</v>
      </c>
    </row>
    <row r="3250" spans="1:1">
      <c r="A3250" t="s">
        <v>2771</v>
      </c>
    </row>
    <row r="3251" spans="1:1">
      <c r="A3251" t="s">
        <v>2772</v>
      </c>
    </row>
    <row r="3252" spans="1:1">
      <c r="A3252" t="s">
        <v>2773</v>
      </c>
    </row>
    <row r="3253" spans="1:1">
      <c r="A3253" t="s">
        <v>2774</v>
      </c>
    </row>
    <row r="3256" spans="1:1">
      <c r="A3256" t="s">
        <v>392</v>
      </c>
    </row>
    <row r="3257" spans="1:1">
      <c r="A3257" t="s">
        <v>2775</v>
      </c>
    </row>
    <row r="3258" spans="1:1">
      <c r="A3258" t="s">
        <v>2776</v>
      </c>
    </row>
    <row r="3259" spans="1:1">
      <c r="A3259" t="s">
        <v>2777</v>
      </c>
    </row>
    <row r="3260" spans="1:1">
      <c r="A3260" t="s">
        <v>2778</v>
      </c>
    </row>
    <row r="3261" spans="1:1">
      <c r="A3261" t="s">
        <v>2779</v>
      </c>
    </row>
    <row r="3262" spans="1:1">
      <c r="A3262" t="s">
        <v>2780</v>
      </c>
    </row>
    <row r="3263" spans="1:1">
      <c r="A3263" t="s">
        <v>2781</v>
      </c>
    </row>
    <row r="3264" spans="1:1">
      <c r="A3264" t="s">
        <v>2782</v>
      </c>
    </row>
    <row r="3265" spans="1:1">
      <c r="A3265" t="s">
        <v>2783</v>
      </c>
    </row>
    <row r="3266" spans="1:1">
      <c r="A3266" t="s">
        <v>2784</v>
      </c>
    </row>
    <row r="3267" spans="1:1">
      <c r="A3267" t="s">
        <v>2785</v>
      </c>
    </row>
    <row r="3268" spans="1:1">
      <c r="A3268" t="s">
        <v>2786</v>
      </c>
    </row>
    <row r="3269" spans="1:1">
      <c r="A3269" t="s">
        <v>2787</v>
      </c>
    </row>
    <row r="3271" spans="1:1">
      <c r="A3271" t="s">
        <v>406</v>
      </c>
    </row>
    <row r="3272" spans="1:1">
      <c r="A3272" t="s">
        <v>2788</v>
      </c>
    </row>
    <row r="3273" spans="1:1">
      <c r="A3273" t="s">
        <v>2789</v>
      </c>
    </row>
    <row r="3274" spans="1:1">
      <c r="A3274" t="s">
        <v>2790</v>
      </c>
    </row>
    <row r="3275" spans="1:1">
      <c r="A3275" t="s">
        <v>2791</v>
      </c>
    </row>
    <row r="3276" spans="1:1">
      <c r="A3276" t="s">
        <v>2792</v>
      </c>
    </row>
    <row r="3277" spans="1:1">
      <c r="A3277" t="s">
        <v>2793</v>
      </c>
    </row>
    <row r="3278" spans="1:1">
      <c r="A3278" t="s">
        <v>2794</v>
      </c>
    </row>
    <row r="3279" spans="1:1">
      <c r="A3279" t="s">
        <v>2795</v>
      </c>
    </row>
    <row r="3280" spans="1:1">
      <c r="A3280" t="s">
        <v>2796</v>
      </c>
    </row>
    <row r="3281" spans="1:1">
      <c r="A3281" t="s">
        <v>2797</v>
      </c>
    </row>
    <row r="3282" spans="1:1">
      <c r="A3282" t="s">
        <v>2798</v>
      </c>
    </row>
    <row r="3283" spans="1:1">
      <c r="A3283" t="s">
        <v>2799</v>
      </c>
    </row>
    <row r="3284" spans="1:1">
      <c r="A3284" t="s">
        <v>2800</v>
      </c>
    </row>
    <row r="3285" spans="1:1">
      <c r="A3285" t="s">
        <v>2801</v>
      </c>
    </row>
    <row r="3286" spans="1:1">
      <c r="A3286" t="s">
        <v>421</v>
      </c>
    </row>
    <row r="3287" spans="1:1">
      <c r="A3287" t="s">
        <v>2802</v>
      </c>
    </row>
    <row r="3292" spans="1:1">
      <c r="A3292" t="s">
        <v>2803</v>
      </c>
    </row>
    <row r="3293" spans="1:1">
      <c r="A3293" t="s">
        <v>371</v>
      </c>
    </row>
    <row r="3294" spans="1:1">
      <c r="A3294" t="s">
        <v>2804</v>
      </c>
    </row>
    <row r="3295" spans="1:1">
      <c r="A3295" t="s">
        <v>2805</v>
      </c>
    </row>
    <row r="3296" spans="1:1">
      <c r="A3296" t="s">
        <v>374</v>
      </c>
    </row>
    <row r="3297" spans="1:1">
      <c r="A3297" t="s">
        <v>2806</v>
      </c>
    </row>
    <row r="3298" spans="1:1">
      <c r="A3298" t="s">
        <v>376</v>
      </c>
    </row>
    <row r="3300" spans="1:1">
      <c r="A3300" t="s">
        <v>2807</v>
      </c>
    </row>
    <row r="3301" spans="1:1">
      <c r="A3301" t="s">
        <v>378</v>
      </c>
    </row>
    <row r="3302" spans="1:1">
      <c r="A3302" t="s">
        <v>2808</v>
      </c>
    </row>
    <row r="3303" spans="1:1">
      <c r="A3303" t="s">
        <v>2809</v>
      </c>
    </row>
    <row r="3304" spans="1:1">
      <c r="A3304" t="s">
        <v>2810</v>
      </c>
    </row>
    <row r="3305" spans="1:1">
      <c r="A3305" t="s">
        <v>2811</v>
      </c>
    </row>
    <row r="3306" spans="1:1">
      <c r="A3306" t="s">
        <v>2812</v>
      </c>
    </row>
    <row r="3307" spans="1:1">
      <c r="A3307" t="s">
        <v>2813</v>
      </c>
    </row>
    <row r="3308" spans="1:1">
      <c r="A3308" t="s">
        <v>2814</v>
      </c>
    </row>
    <row r="3309" spans="1:1">
      <c r="A3309" t="s">
        <v>2815</v>
      </c>
    </row>
    <row r="3310" spans="1:1">
      <c r="A3310" t="s">
        <v>2816</v>
      </c>
    </row>
    <row r="3311" spans="1:1">
      <c r="A3311" t="s">
        <v>2817</v>
      </c>
    </row>
    <row r="3312" spans="1:1">
      <c r="A3312" t="s">
        <v>2818</v>
      </c>
    </row>
    <row r="3313" spans="1:1">
      <c r="A3313" t="s">
        <v>2819</v>
      </c>
    </row>
    <row r="3314" spans="1:1">
      <c r="A3314" t="s">
        <v>2820</v>
      </c>
    </row>
    <row r="3317" spans="1:1">
      <c r="A3317" t="s">
        <v>392</v>
      </c>
    </row>
    <row r="3318" spans="1:1">
      <c r="A3318" t="s">
        <v>2821</v>
      </c>
    </row>
    <row r="3319" spans="1:1">
      <c r="A3319" t="s">
        <v>2822</v>
      </c>
    </row>
    <row r="3320" spans="1:1">
      <c r="A3320" t="s">
        <v>2823</v>
      </c>
    </row>
    <row r="3321" spans="1:1">
      <c r="A3321" t="s">
        <v>2824</v>
      </c>
    </row>
    <row r="3322" spans="1:1">
      <c r="A3322" t="s">
        <v>2825</v>
      </c>
    </row>
    <row r="3323" spans="1:1">
      <c r="A3323" t="s">
        <v>2826</v>
      </c>
    </row>
    <row r="3324" spans="1:1">
      <c r="A3324" t="s">
        <v>2827</v>
      </c>
    </row>
    <row r="3325" spans="1:1">
      <c r="A3325" t="s">
        <v>2828</v>
      </c>
    </row>
    <row r="3326" spans="1:1">
      <c r="A3326" t="s">
        <v>2829</v>
      </c>
    </row>
    <row r="3327" spans="1:1">
      <c r="A3327" t="s">
        <v>2830</v>
      </c>
    </row>
    <row r="3328" spans="1:1">
      <c r="A3328" t="s">
        <v>2831</v>
      </c>
    </row>
    <row r="3329" spans="1:1">
      <c r="A3329" t="s">
        <v>2832</v>
      </c>
    </row>
    <row r="3330" spans="1:1">
      <c r="A3330" t="s">
        <v>2833</v>
      </c>
    </row>
    <row r="3332" spans="1:1">
      <c r="A3332" t="s">
        <v>406</v>
      </c>
    </row>
    <row r="3333" spans="1:1">
      <c r="A3333" t="s">
        <v>2834</v>
      </c>
    </row>
    <row r="3334" spans="1:1">
      <c r="A3334" t="s">
        <v>2835</v>
      </c>
    </row>
    <row r="3335" spans="1:1">
      <c r="A3335" t="s">
        <v>2836</v>
      </c>
    </row>
    <row r="3336" spans="1:1">
      <c r="A3336" t="s">
        <v>2837</v>
      </c>
    </row>
    <row r="3337" spans="1:1">
      <c r="A3337" t="s">
        <v>2838</v>
      </c>
    </row>
    <row r="3338" spans="1:1">
      <c r="A3338" t="s">
        <v>2839</v>
      </c>
    </row>
    <row r="3339" spans="1:1">
      <c r="A3339" t="s">
        <v>2840</v>
      </c>
    </row>
    <row r="3340" spans="1:1">
      <c r="A3340" t="s">
        <v>2841</v>
      </c>
    </row>
    <row r="3341" spans="1:1">
      <c r="A3341" t="s">
        <v>2842</v>
      </c>
    </row>
    <row r="3342" spans="1:1">
      <c r="A3342" t="s">
        <v>2843</v>
      </c>
    </row>
    <row r="3343" spans="1:1">
      <c r="A3343" t="s">
        <v>2844</v>
      </c>
    </row>
    <row r="3344" spans="1:1">
      <c r="A3344" t="s">
        <v>2845</v>
      </c>
    </row>
    <row r="3345" spans="1:1">
      <c r="A3345" t="s">
        <v>2846</v>
      </c>
    </row>
    <row r="3346" spans="1:1">
      <c r="A3346" t="s">
        <v>2847</v>
      </c>
    </row>
    <row r="3347" spans="1:1">
      <c r="A3347" t="s">
        <v>421</v>
      </c>
    </row>
    <row r="3348" spans="1:1">
      <c r="A3348" t="s">
        <v>2848</v>
      </c>
    </row>
    <row r="3353" spans="1:1">
      <c r="A3353" t="s">
        <v>2849</v>
      </c>
    </row>
    <row r="3354" spans="1:1">
      <c r="A3354" t="s">
        <v>371</v>
      </c>
    </row>
    <row r="3355" spans="1:1">
      <c r="A3355" t="s">
        <v>2850</v>
      </c>
    </row>
    <row r="3356" spans="1:1">
      <c r="A3356" t="s">
        <v>2851</v>
      </c>
    </row>
    <row r="3357" spans="1:1">
      <c r="A3357" t="s">
        <v>374</v>
      </c>
    </row>
    <row r="3358" spans="1:1">
      <c r="A3358" t="s">
        <v>2852</v>
      </c>
    </row>
    <row r="3359" spans="1:1">
      <c r="A3359" t="s">
        <v>376</v>
      </c>
    </row>
    <row r="3361" spans="1:1">
      <c r="A3361" t="s">
        <v>2807</v>
      </c>
    </row>
    <row r="3362" spans="1:1">
      <c r="A3362" t="s">
        <v>378</v>
      </c>
    </row>
    <row r="3363" spans="1:1">
      <c r="A3363" t="s">
        <v>2853</v>
      </c>
    </row>
    <row r="3364" spans="1:1">
      <c r="A3364" t="s">
        <v>2854</v>
      </c>
    </row>
    <row r="3365" spans="1:1">
      <c r="A3365" t="s">
        <v>2855</v>
      </c>
    </row>
    <row r="3366" spans="1:1">
      <c r="A3366" t="s">
        <v>2856</v>
      </c>
    </row>
    <row r="3367" spans="1:1">
      <c r="A3367" t="s">
        <v>2857</v>
      </c>
    </row>
    <row r="3368" spans="1:1">
      <c r="A3368" t="s">
        <v>2858</v>
      </c>
    </row>
    <row r="3369" spans="1:1">
      <c r="A3369" t="s">
        <v>2859</v>
      </c>
    </row>
    <row r="3370" spans="1:1">
      <c r="A3370" t="s">
        <v>2860</v>
      </c>
    </row>
    <row r="3371" spans="1:1">
      <c r="A3371" t="s">
        <v>2861</v>
      </c>
    </row>
    <row r="3372" spans="1:1">
      <c r="A3372" t="s">
        <v>2862</v>
      </c>
    </row>
    <row r="3373" spans="1:1">
      <c r="A3373" t="s">
        <v>2863</v>
      </c>
    </row>
    <row r="3374" spans="1:1">
      <c r="A3374" t="s">
        <v>2864</v>
      </c>
    </row>
    <row r="3375" spans="1:1">
      <c r="A3375" t="s">
        <v>2865</v>
      </c>
    </row>
    <row r="3378" spans="1:1">
      <c r="A3378" t="s">
        <v>392</v>
      </c>
    </row>
    <row r="3379" spans="1:1">
      <c r="A3379" t="s">
        <v>2866</v>
      </c>
    </row>
    <row r="3380" spans="1:1">
      <c r="A3380" t="s">
        <v>2867</v>
      </c>
    </row>
    <row r="3381" spans="1:1">
      <c r="A3381" t="s">
        <v>2868</v>
      </c>
    </row>
    <row r="3382" spans="1:1">
      <c r="A3382" t="s">
        <v>2869</v>
      </c>
    </row>
    <row r="3383" spans="1:1">
      <c r="A3383" t="s">
        <v>2870</v>
      </c>
    </row>
    <row r="3384" spans="1:1">
      <c r="A3384" t="s">
        <v>2871</v>
      </c>
    </row>
    <row r="3385" spans="1:1">
      <c r="A3385" t="s">
        <v>2872</v>
      </c>
    </row>
    <row r="3386" spans="1:1">
      <c r="A3386" t="s">
        <v>2873</v>
      </c>
    </row>
    <row r="3387" spans="1:1">
      <c r="A3387" t="s">
        <v>2874</v>
      </c>
    </row>
    <row r="3388" spans="1:1">
      <c r="A3388" t="s">
        <v>2875</v>
      </c>
    </row>
    <row r="3389" spans="1:1">
      <c r="A3389" t="s">
        <v>2876</v>
      </c>
    </row>
    <row r="3390" spans="1:1">
      <c r="A3390" t="s">
        <v>2877</v>
      </c>
    </row>
    <row r="3391" spans="1:1">
      <c r="A3391" t="s">
        <v>2878</v>
      </c>
    </row>
    <row r="3393" spans="1:1">
      <c r="A3393" t="s">
        <v>406</v>
      </c>
    </row>
    <row r="3394" spans="1:1">
      <c r="A3394" t="s">
        <v>2879</v>
      </c>
    </row>
    <row r="3395" spans="1:1">
      <c r="A3395" t="s">
        <v>2880</v>
      </c>
    </row>
    <row r="3396" spans="1:1">
      <c r="A3396" t="s">
        <v>2881</v>
      </c>
    </row>
    <row r="3397" spans="1:1">
      <c r="A3397" t="s">
        <v>2882</v>
      </c>
    </row>
    <row r="3398" spans="1:1">
      <c r="A3398" t="s">
        <v>2883</v>
      </c>
    </row>
    <row r="3399" spans="1:1">
      <c r="A3399" t="s">
        <v>2884</v>
      </c>
    </row>
    <row r="3400" spans="1:1">
      <c r="A3400" t="s">
        <v>2885</v>
      </c>
    </row>
    <row r="3401" spans="1:1">
      <c r="A3401" t="s">
        <v>2886</v>
      </c>
    </row>
    <row r="3402" spans="1:1">
      <c r="A3402" t="s">
        <v>2887</v>
      </c>
    </row>
    <row r="3403" spans="1:1">
      <c r="A3403" t="s">
        <v>2888</v>
      </c>
    </row>
    <row r="3404" spans="1:1">
      <c r="A3404" t="s">
        <v>2889</v>
      </c>
    </row>
    <row r="3405" spans="1:1">
      <c r="A3405" t="s">
        <v>2890</v>
      </c>
    </row>
    <row r="3406" spans="1:1">
      <c r="A3406" t="s">
        <v>2891</v>
      </c>
    </row>
    <row r="3407" spans="1:1">
      <c r="A3407" t="s">
        <v>2892</v>
      </c>
    </row>
    <row r="3408" spans="1:1">
      <c r="A3408" t="s">
        <v>421</v>
      </c>
    </row>
    <row r="3409" spans="1:1">
      <c r="A3409" t="s">
        <v>2893</v>
      </c>
    </row>
    <row r="3414" spans="1:1">
      <c r="A3414" t="s">
        <v>2894</v>
      </c>
    </row>
    <row r="3415" spans="1:1">
      <c r="A3415" t="s">
        <v>371</v>
      </c>
    </row>
    <row r="3416" spans="1:1">
      <c r="A3416" t="s">
        <v>2895</v>
      </c>
    </row>
    <row r="3417" spans="1:1">
      <c r="A3417" t="s">
        <v>2896</v>
      </c>
    </row>
    <row r="3418" spans="1:1">
      <c r="A3418" t="s">
        <v>374</v>
      </c>
    </row>
    <row r="3419" spans="1:1">
      <c r="A3419" t="s">
        <v>2897</v>
      </c>
    </row>
    <row r="3420" spans="1:1">
      <c r="A3420" t="s">
        <v>376</v>
      </c>
    </row>
    <row r="3422" spans="1:1">
      <c r="A3422" t="s">
        <v>2807</v>
      </c>
    </row>
    <row r="3423" spans="1:1">
      <c r="A3423" t="s">
        <v>378</v>
      </c>
    </row>
    <row r="3424" spans="1:1">
      <c r="A3424" t="s">
        <v>2898</v>
      </c>
    </row>
    <row r="3425" spans="1:1">
      <c r="A3425" t="s">
        <v>2899</v>
      </c>
    </row>
    <row r="3426" spans="1:1">
      <c r="A3426" t="s">
        <v>2900</v>
      </c>
    </row>
    <row r="3427" spans="1:1">
      <c r="A3427" t="s">
        <v>2901</v>
      </c>
    </row>
    <row r="3428" spans="1:1">
      <c r="A3428" t="s">
        <v>2902</v>
      </c>
    </row>
    <row r="3429" spans="1:1">
      <c r="A3429" t="s">
        <v>2903</v>
      </c>
    </row>
    <row r="3430" spans="1:1">
      <c r="A3430" t="s">
        <v>2904</v>
      </c>
    </row>
    <row r="3431" spans="1:1">
      <c r="A3431" t="s">
        <v>2905</v>
      </c>
    </row>
    <row r="3432" spans="1:1">
      <c r="A3432" t="s">
        <v>2906</v>
      </c>
    </row>
    <row r="3433" spans="1:1">
      <c r="A3433" t="s">
        <v>2907</v>
      </c>
    </row>
    <row r="3434" spans="1:1">
      <c r="A3434" t="s">
        <v>2908</v>
      </c>
    </row>
    <row r="3435" spans="1:1">
      <c r="A3435" t="s">
        <v>2909</v>
      </c>
    </row>
    <row r="3436" spans="1:1">
      <c r="A3436" t="s">
        <v>2910</v>
      </c>
    </row>
    <row r="3439" spans="1:1">
      <c r="A3439" t="s">
        <v>392</v>
      </c>
    </row>
    <row r="3440" spans="1:1">
      <c r="A3440" t="s">
        <v>2911</v>
      </c>
    </row>
    <row r="3441" spans="1:1">
      <c r="A3441" t="s">
        <v>2912</v>
      </c>
    </row>
    <row r="3442" spans="1:1">
      <c r="A3442" t="s">
        <v>2913</v>
      </c>
    </row>
    <row r="3443" spans="1:1">
      <c r="A3443" t="s">
        <v>2914</v>
      </c>
    </row>
    <row r="3444" spans="1:1">
      <c r="A3444" t="s">
        <v>2915</v>
      </c>
    </row>
    <row r="3445" spans="1:1">
      <c r="A3445" t="s">
        <v>2916</v>
      </c>
    </row>
    <row r="3446" spans="1:1">
      <c r="A3446" t="s">
        <v>2917</v>
      </c>
    </row>
    <row r="3447" spans="1:1">
      <c r="A3447" t="s">
        <v>2918</v>
      </c>
    </row>
    <row r="3448" spans="1:1">
      <c r="A3448" t="s">
        <v>2919</v>
      </c>
    </row>
    <row r="3449" spans="1:1">
      <c r="A3449" t="s">
        <v>2920</v>
      </c>
    </row>
    <row r="3450" spans="1:1">
      <c r="A3450" t="s">
        <v>2921</v>
      </c>
    </row>
    <row r="3451" spans="1:1">
      <c r="A3451" t="s">
        <v>2922</v>
      </c>
    </row>
    <row r="3452" spans="1:1">
      <c r="A3452" t="s">
        <v>2923</v>
      </c>
    </row>
    <row r="3454" spans="1:1">
      <c r="A3454" t="s">
        <v>406</v>
      </c>
    </row>
    <row r="3455" spans="1:1">
      <c r="A3455" t="s">
        <v>2924</v>
      </c>
    </row>
    <row r="3456" spans="1:1">
      <c r="A3456" t="s">
        <v>2925</v>
      </c>
    </row>
    <row r="3457" spans="1:1">
      <c r="A3457" t="s">
        <v>2926</v>
      </c>
    </row>
    <row r="3458" spans="1:1">
      <c r="A3458" t="s">
        <v>2927</v>
      </c>
    </row>
    <row r="3459" spans="1:1">
      <c r="A3459" t="s">
        <v>2928</v>
      </c>
    </row>
    <row r="3460" spans="1:1">
      <c r="A3460" t="s">
        <v>2929</v>
      </c>
    </row>
    <row r="3461" spans="1:1">
      <c r="A3461" t="s">
        <v>2930</v>
      </c>
    </row>
    <row r="3462" spans="1:1">
      <c r="A3462" t="s">
        <v>2931</v>
      </c>
    </row>
    <row r="3463" spans="1:1">
      <c r="A3463" t="s">
        <v>2932</v>
      </c>
    </row>
    <row r="3464" spans="1:1">
      <c r="A3464" t="s">
        <v>2933</v>
      </c>
    </row>
    <row r="3465" spans="1:1">
      <c r="A3465" t="s">
        <v>2934</v>
      </c>
    </row>
    <row r="3466" spans="1:1">
      <c r="A3466" t="s">
        <v>2935</v>
      </c>
    </row>
    <row r="3467" spans="1:1">
      <c r="A3467" t="s">
        <v>2936</v>
      </c>
    </row>
    <row r="3468" spans="1:1">
      <c r="A3468" t="s">
        <v>2937</v>
      </c>
    </row>
    <row r="3469" spans="1:1">
      <c r="A3469" t="s">
        <v>421</v>
      </c>
    </row>
    <row r="3470" spans="1:1">
      <c r="A3470" t="s">
        <v>2938</v>
      </c>
    </row>
    <row r="3475" spans="1:1">
      <c r="A3475" t="s">
        <v>2939</v>
      </c>
    </row>
    <row r="3476" spans="1:1">
      <c r="A3476" t="s">
        <v>371</v>
      </c>
    </row>
    <row r="3477" spans="1:1">
      <c r="A3477" t="s">
        <v>2940</v>
      </c>
    </row>
    <row r="3478" spans="1:1">
      <c r="A3478" t="s">
        <v>2941</v>
      </c>
    </row>
    <row r="3479" spans="1:1">
      <c r="A3479" t="s">
        <v>374</v>
      </c>
    </row>
    <row r="3480" spans="1:1">
      <c r="A3480" t="s">
        <v>2942</v>
      </c>
    </row>
    <row r="3481" spans="1:1">
      <c r="A3481" t="s">
        <v>376</v>
      </c>
    </row>
    <row r="3483" spans="1:1">
      <c r="A3483" t="s">
        <v>2807</v>
      </c>
    </row>
    <row r="3484" spans="1:1">
      <c r="A3484" t="s">
        <v>378</v>
      </c>
    </row>
    <row r="3485" spans="1:1">
      <c r="A3485" t="s">
        <v>2943</v>
      </c>
    </row>
    <row r="3486" spans="1:1">
      <c r="A3486" t="s">
        <v>2944</v>
      </c>
    </row>
    <row r="3487" spans="1:1">
      <c r="A3487" t="s">
        <v>2945</v>
      </c>
    </row>
    <row r="3488" spans="1:1">
      <c r="A3488" t="s">
        <v>2946</v>
      </c>
    </row>
    <row r="3489" spans="1:1">
      <c r="A3489" t="s">
        <v>2947</v>
      </c>
    </row>
    <row r="3490" spans="1:1">
      <c r="A3490" t="s">
        <v>2948</v>
      </c>
    </row>
    <row r="3491" spans="1:1">
      <c r="A3491" t="s">
        <v>2949</v>
      </c>
    </row>
    <row r="3492" spans="1:1">
      <c r="A3492" t="s">
        <v>2950</v>
      </c>
    </row>
    <row r="3493" spans="1:1">
      <c r="A3493" t="s">
        <v>2951</v>
      </c>
    </row>
    <row r="3494" spans="1:1">
      <c r="A3494" t="s">
        <v>2952</v>
      </c>
    </row>
    <row r="3495" spans="1:1">
      <c r="A3495" t="s">
        <v>2953</v>
      </c>
    </row>
    <row r="3496" spans="1:1">
      <c r="A3496" t="s">
        <v>2954</v>
      </c>
    </row>
    <row r="3497" spans="1:1">
      <c r="A3497" t="s">
        <v>2955</v>
      </c>
    </row>
    <row r="3500" spans="1:1">
      <c r="A3500" t="s">
        <v>392</v>
      </c>
    </row>
    <row r="3501" spans="1:1">
      <c r="A3501" t="s">
        <v>2956</v>
      </c>
    </row>
    <row r="3502" spans="1:1">
      <c r="A3502" t="s">
        <v>2957</v>
      </c>
    </row>
    <row r="3503" spans="1:1">
      <c r="A3503" t="s">
        <v>2958</v>
      </c>
    </row>
    <row r="3504" spans="1:1">
      <c r="A3504" t="s">
        <v>2959</v>
      </c>
    </row>
    <row r="3505" spans="1:1">
      <c r="A3505" t="s">
        <v>2960</v>
      </c>
    </row>
    <row r="3506" spans="1:1">
      <c r="A3506" t="s">
        <v>2961</v>
      </c>
    </row>
    <row r="3507" spans="1:1">
      <c r="A3507" t="s">
        <v>2962</v>
      </c>
    </row>
    <row r="3508" spans="1:1">
      <c r="A3508" t="s">
        <v>2963</v>
      </c>
    </row>
    <row r="3509" spans="1:1">
      <c r="A3509" t="s">
        <v>2964</v>
      </c>
    </row>
    <row r="3510" spans="1:1">
      <c r="A3510" t="s">
        <v>2965</v>
      </c>
    </row>
    <row r="3511" spans="1:1">
      <c r="A3511" t="s">
        <v>2966</v>
      </c>
    </row>
    <row r="3512" spans="1:1">
      <c r="A3512" t="s">
        <v>2967</v>
      </c>
    </row>
    <row r="3513" spans="1:1">
      <c r="A3513" t="s">
        <v>2968</v>
      </c>
    </row>
    <row r="3515" spans="1:1">
      <c r="A3515" t="s">
        <v>406</v>
      </c>
    </row>
    <row r="3516" spans="1:1">
      <c r="A3516" t="s">
        <v>2969</v>
      </c>
    </row>
    <row r="3517" spans="1:1">
      <c r="A3517" t="s">
        <v>2970</v>
      </c>
    </row>
    <row r="3518" spans="1:1">
      <c r="A3518" t="s">
        <v>2971</v>
      </c>
    </row>
    <row r="3519" spans="1:1">
      <c r="A3519" t="s">
        <v>2972</v>
      </c>
    </row>
    <row r="3520" spans="1:1">
      <c r="A3520" t="s">
        <v>2973</v>
      </c>
    </row>
    <row r="3521" spans="1:1">
      <c r="A3521" t="s">
        <v>2974</v>
      </c>
    </row>
    <row r="3522" spans="1:1">
      <c r="A3522" t="s">
        <v>2975</v>
      </c>
    </row>
    <row r="3523" spans="1:1">
      <c r="A3523" t="s">
        <v>2976</v>
      </c>
    </row>
    <row r="3524" spans="1:1">
      <c r="A3524" t="s">
        <v>2977</v>
      </c>
    </row>
    <row r="3525" spans="1:1">
      <c r="A3525" t="s">
        <v>2978</v>
      </c>
    </row>
    <row r="3526" spans="1:1">
      <c r="A3526" t="s">
        <v>2979</v>
      </c>
    </row>
    <row r="3527" spans="1:1">
      <c r="A3527" t="s">
        <v>2980</v>
      </c>
    </row>
    <row r="3528" spans="1:1">
      <c r="A3528" t="s">
        <v>2981</v>
      </c>
    </row>
    <row r="3529" spans="1:1">
      <c r="A3529" t="s">
        <v>2982</v>
      </c>
    </row>
    <row r="3530" spans="1:1">
      <c r="A3530" t="s">
        <v>421</v>
      </c>
    </row>
    <row r="3531" spans="1:1">
      <c r="A3531" t="s">
        <v>2983</v>
      </c>
    </row>
    <row r="3536" spans="1:1">
      <c r="A3536" t="s">
        <v>2984</v>
      </c>
    </row>
    <row r="3537" spans="1:1">
      <c r="A3537" t="s">
        <v>371</v>
      </c>
    </row>
    <row r="3538" spans="1:1">
      <c r="A3538" t="s">
        <v>2985</v>
      </c>
    </row>
    <row r="3539" spans="1:1">
      <c r="A3539" t="s">
        <v>2986</v>
      </c>
    </row>
    <row r="3540" spans="1:1">
      <c r="A3540" t="s">
        <v>374</v>
      </c>
    </row>
    <row r="3541" spans="1:1">
      <c r="A3541" t="s">
        <v>2987</v>
      </c>
    </row>
    <row r="3542" spans="1:1">
      <c r="A3542" t="s">
        <v>376</v>
      </c>
    </row>
    <row r="3544" spans="1:1">
      <c r="A3544" t="s">
        <v>2359</v>
      </c>
    </row>
    <row r="3545" spans="1:1">
      <c r="A3545" t="s">
        <v>378</v>
      </c>
    </row>
    <row r="3546" spans="1:1">
      <c r="A3546" t="s">
        <v>2988</v>
      </c>
    </row>
    <row r="3547" spans="1:1">
      <c r="A3547" t="s">
        <v>2989</v>
      </c>
    </row>
    <row r="3548" spans="1:1">
      <c r="A3548" t="s">
        <v>2990</v>
      </c>
    </row>
    <row r="3549" spans="1:1">
      <c r="A3549" t="s">
        <v>2991</v>
      </c>
    </row>
    <row r="3550" spans="1:1">
      <c r="A3550" t="s">
        <v>2992</v>
      </c>
    </row>
    <row r="3551" spans="1:1">
      <c r="A3551" t="s">
        <v>2993</v>
      </c>
    </row>
    <row r="3552" spans="1:1">
      <c r="A3552" t="s">
        <v>2994</v>
      </c>
    </row>
    <row r="3553" spans="1:1">
      <c r="A3553" t="s">
        <v>2995</v>
      </c>
    </row>
    <row r="3554" spans="1:1">
      <c r="A3554" t="s">
        <v>2996</v>
      </c>
    </row>
    <row r="3555" spans="1:1">
      <c r="A3555" t="s">
        <v>2997</v>
      </c>
    </row>
    <row r="3556" spans="1:1">
      <c r="A3556" t="s">
        <v>2998</v>
      </c>
    </row>
    <row r="3557" spans="1:1">
      <c r="A3557" t="s">
        <v>2999</v>
      </c>
    </row>
    <row r="3558" spans="1:1">
      <c r="A3558" t="s">
        <v>3000</v>
      </c>
    </row>
    <row r="3561" spans="1:1">
      <c r="A3561" t="s">
        <v>392</v>
      </c>
    </row>
    <row r="3562" spans="1:1">
      <c r="A3562" t="s">
        <v>3001</v>
      </c>
    </row>
    <row r="3563" spans="1:1">
      <c r="A3563" t="s">
        <v>3002</v>
      </c>
    </row>
    <row r="3564" spans="1:1">
      <c r="A3564" t="s">
        <v>3003</v>
      </c>
    </row>
    <row r="3565" spans="1:1">
      <c r="A3565" t="s">
        <v>3004</v>
      </c>
    </row>
    <row r="3566" spans="1:1">
      <c r="A3566" t="s">
        <v>3005</v>
      </c>
    </row>
    <row r="3567" spans="1:1">
      <c r="A3567" t="s">
        <v>3006</v>
      </c>
    </row>
    <row r="3568" spans="1:1">
      <c r="A3568" t="s">
        <v>3007</v>
      </c>
    </row>
    <row r="3569" spans="1:1">
      <c r="A3569" t="s">
        <v>3008</v>
      </c>
    </row>
    <row r="3570" spans="1:1">
      <c r="A3570" t="s">
        <v>3009</v>
      </c>
    </row>
    <row r="3571" spans="1:1">
      <c r="A3571" t="s">
        <v>3010</v>
      </c>
    </row>
    <row r="3572" spans="1:1">
      <c r="A3572" t="s">
        <v>3011</v>
      </c>
    </row>
    <row r="3573" spans="1:1">
      <c r="A3573" t="s">
        <v>3012</v>
      </c>
    </row>
    <row r="3574" spans="1:1">
      <c r="A3574" t="s">
        <v>3013</v>
      </c>
    </row>
    <row r="3576" spans="1:1">
      <c r="A3576" t="s">
        <v>406</v>
      </c>
    </row>
    <row r="3577" spans="1:1">
      <c r="A3577" t="s">
        <v>3014</v>
      </c>
    </row>
    <row r="3578" spans="1:1">
      <c r="A3578" t="s">
        <v>3015</v>
      </c>
    </row>
    <row r="3579" spans="1:1">
      <c r="A3579" t="s">
        <v>3016</v>
      </c>
    </row>
    <row r="3580" spans="1:1">
      <c r="A3580" t="s">
        <v>3017</v>
      </c>
    </row>
    <row r="3581" spans="1:1">
      <c r="A3581" t="s">
        <v>3018</v>
      </c>
    </row>
    <row r="3582" spans="1:1">
      <c r="A3582" t="s">
        <v>3019</v>
      </c>
    </row>
    <row r="3583" spans="1:1">
      <c r="A3583" t="s">
        <v>3020</v>
      </c>
    </row>
    <row r="3584" spans="1:1">
      <c r="A3584" t="s">
        <v>3021</v>
      </c>
    </row>
    <row r="3585" spans="1:1">
      <c r="A3585" t="s">
        <v>3022</v>
      </c>
    </row>
    <row r="3586" spans="1:1">
      <c r="A3586" t="s">
        <v>3023</v>
      </c>
    </row>
    <row r="3587" spans="1:1">
      <c r="A3587" t="s">
        <v>3024</v>
      </c>
    </row>
    <row r="3588" spans="1:1">
      <c r="A3588" t="s">
        <v>3025</v>
      </c>
    </row>
    <row r="3589" spans="1:1">
      <c r="A3589" t="s">
        <v>3026</v>
      </c>
    </row>
    <row r="3590" spans="1:1">
      <c r="A3590" t="s">
        <v>3027</v>
      </c>
    </row>
    <row r="3591" spans="1:1">
      <c r="A3591" t="s">
        <v>421</v>
      </c>
    </row>
    <row r="3592" spans="1:1">
      <c r="A3592" t="s">
        <v>3028</v>
      </c>
    </row>
    <row r="3597" spans="1:1">
      <c r="A3597" t="s">
        <v>3029</v>
      </c>
    </row>
    <row r="3598" spans="1:1">
      <c r="A3598" t="s">
        <v>371</v>
      </c>
    </row>
    <row r="3599" spans="1:1">
      <c r="A3599" t="s">
        <v>3030</v>
      </c>
    </row>
    <row r="3600" spans="1:1">
      <c r="A3600" t="s">
        <v>3031</v>
      </c>
    </row>
    <row r="3601" spans="1:1">
      <c r="A3601" t="s">
        <v>374</v>
      </c>
    </row>
    <row r="3602" spans="1:1">
      <c r="A3602" t="s">
        <v>3032</v>
      </c>
    </row>
    <row r="3603" spans="1:1">
      <c r="A3603" t="s">
        <v>376</v>
      </c>
    </row>
    <row r="3605" spans="1:1">
      <c r="A3605" t="s">
        <v>2807</v>
      </c>
    </row>
    <row r="3606" spans="1:1">
      <c r="A3606" t="s">
        <v>378</v>
      </c>
    </row>
    <row r="3607" spans="1:1">
      <c r="A3607" t="s">
        <v>3033</v>
      </c>
    </row>
    <row r="3608" spans="1:1">
      <c r="A3608" t="s">
        <v>3034</v>
      </c>
    </row>
    <row r="3609" spans="1:1">
      <c r="A3609" t="s">
        <v>3035</v>
      </c>
    </row>
    <row r="3610" spans="1:1">
      <c r="A3610" t="s">
        <v>3036</v>
      </c>
    </row>
    <row r="3611" spans="1:1">
      <c r="A3611" t="s">
        <v>3037</v>
      </c>
    </row>
    <row r="3612" spans="1:1">
      <c r="A3612" t="s">
        <v>3038</v>
      </c>
    </row>
    <row r="3613" spans="1:1">
      <c r="A3613" t="s">
        <v>3039</v>
      </c>
    </row>
    <row r="3614" spans="1:1">
      <c r="A3614" t="s">
        <v>3040</v>
      </c>
    </row>
    <row r="3615" spans="1:1">
      <c r="A3615" t="s">
        <v>3041</v>
      </c>
    </row>
    <row r="3616" spans="1:1">
      <c r="A3616" t="s">
        <v>3042</v>
      </c>
    </row>
    <row r="3617" spans="1:1">
      <c r="A3617" t="s">
        <v>3043</v>
      </c>
    </row>
    <row r="3618" spans="1:1">
      <c r="A3618" t="s">
        <v>3044</v>
      </c>
    </row>
    <row r="3619" spans="1:1">
      <c r="A3619" t="s">
        <v>3045</v>
      </c>
    </row>
    <row r="3622" spans="1:1">
      <c r="A3622" t="s">
        <v>392</v>
      </c>
    </row>
    <row r="3623" spans="1:1">
      <c r="A3623" t="s">
        <v>3046</v>
      </c>
    </row>
    <row r="3624" spans="1:1">
      <c r="A3624" t="s">
        <v>3047</v>
      </c>
    </row>
    <row r="3625" spans="1:1">
      <c r="A3625" t="s">
        <v>3048</v>
      </c>
    </row>
    <row r="3626" spans="1:1">
      <c r="A3626" t="s">
        <v>3049</v>
      </c>
    </row>
    <row r="3627" spans="1:1">
      <c r="A3627" t="s">
        <v>3050</v>
      </c>
    </row>
    <row r="3628" spans="1:1">
      <c r="A3628" t="s">
        <v>713</v>
      </c>
    </row>
    <row r="3629" spans="1:1">
      <c r="A3629" t="s">
        <v>3051</v>
      </c>
    </row>
    <row r="3630" spans="1:1">
      <c r="A3630" t="s">
        <v>3052</v>
      </c>
    </row>
    <row r="3631" spans="1:1">
      <c r="A3631" t="s">
        <v>3053</v>
      </c>
    </row>
    <row r="3632" spans="1:1">
      <c r="A3632" t="s">
        <v>3054</v>
      </c>
    </row>
    <row r="3634" spans="1:1">
      <c r="A3634" t="s">
        <v>406</v>
      </c>
    </row>
    <row r="3635" spans="1:1">
      <c r="A3635" t="s">
        <v>3055</v>
      </c>
    </row>
    <row r="3636" spans="1:1">
      <c r="A3636" t="s">
        <v>3056</v>
      </c>
    </row>
    <row r="3637" spans="1:1">
      <c r="A3637" t="s">
        <v>3057</v>
      </c>
    </row>
    <row r="3638" spans="1:1">
      <c r="A3638" t="s">
        <v>3058</v>
      </c>
    </row>
    <row r="3639" spans="1:1">
      <c r="A3639" t="s">
        <v>3059</v>
      </c>
    </row>
    <row r="3640" spans="1:1">
      <c r="A3640" t="s">
        <v>723</v>
      </c>
    </row>
    <row r="3641" spans="1:1">
      <c r="A3641" t="s">
        <v>3060</v>
      </c>
    </row>
    <row r="3642" spans="1:1">
      <c r="A3642" t="s">
        <v>3061</v>
      </c>
    </row>
    <row r="3643" spans="1:1">
      <c r="A3643" t="s">
        <v>3062</v>
      </c>
    </row>
    <row r="3644" spans="1:1">
      <c r="A3644" t="s">
        <v>3063</v>
      </c>
    </row>
    <row r="3645" spans="1:1">
      <c r="A3645" t="s">
        <v>3064</v>
      </c>
    </row>
    <row r="3646" spans="1:1">
      <c r="A3646" t="s">
        <v>3065</v>
      </c>
    </row>
    <row r="3647" spans="1:1">
      <c r="A3647" t="s">
        <v>3066</v>
      </c>
    </row>
    <row r="3648" spans="1:1">
      <c r="A3648" t="s">
        <v>3067</v>
      </c>
    </row>
    <row r="3649" spans="1:1">
      <c r="A3649" t="s">
        <v>421</v>
      </c>
    </row>
    <row r="3650" spans="1:1">
      <c r="A3650" t="s">
        <v>3068</v>
      </c>
    </row>
    <row r="3655" spans="1:1">
      <c r="A3655" t="s">
        <v>3069</v>
      </c>
    </row>
    <row r="3656" spans="1:1">
      <c r="A3656" t="s">
        <v>371</v>
      </c>
    </row>
    <row r="3657" spans="1:1">
      <c r="A3657" t="s">
        <v>3070</v>
      </c>
    </row>
    <row r="3658" spans="1:1">
      <c r="A3658" t="s">
        <v>3071</v>
      </c>
    </row>
    <row r="3659" spans="1:1">
      <c r="A3659" t="s">
        <v>374</v>
      </c>
    </row>
    <row r="3660" spans="1:1">
      <c r="A3660" t="s">
        <v>3072</v>
      </c>
    </row>
    <row r="3661" spans="1:1">
      <c r="A3661" t="s">
        <v>376</v>
      </c>
    </row>
    <row r="3663" spans="1:1">
      <c r="A3663" t="s">
        <v>2807</v>
      </c>
    </row>
    <row r="3664" spans="1:1">
      <c r="A3664" t="s">
        <v>378</v>
      </c>
    </row>
    <row r="3665" spans="1:1">
      <c r="A3665" t="s">
        <v>3073</v>
      </c>
    </row>
    <row r="3666" spans="1:1">
      <c r="A3666" t="s">
        <v>3074</v>
      </c>
    </row>
    <row r="3667" spans="1:1">
      <c r="A3667" t="s">
        <v>3075</v>
      </c>
    </row>
    <row r="3668" spans="1:1">
      <c r="A3668" t="s">
        <v>3076</v>
      </c>
    </row>
    <row r="3669" spans="1:1">
      <c r="A3669" t="s">
        <v>3077</v>
      </c>
    </row>
    <row r="3670" spans="1:1">
      <c r="A3670" t="s">
        <v>3078</v>
      </c>
    </row>
    <row r="3671" spans="1:1">
      <c r="A3671" t="s">
        <v>3079</v>
      </c>
    </row>
    <row r="3672" spans="1:1">
      <c r="A3672" t="s">
        <v>3080</v>
      </c>
    </row>
    <row r="3673" spans="1:1">
      <c r="A3673" t="s">
        <v>3081</v>
      </c>
    </row>
    <row r="3674" spans="1:1">
      <c r="A3674" t="s">
        <v>3082</v>
      </c>
    </row>
    <row r="3675" spans="1:1">
      <c r="A3675" t="s">
        <v>3083</v>
      </c>
    </row>
    <row r="3676" spans="1:1">
      <c r="A3676" t="s">
        <v>3084</v>
      </c>
    </row>
    <row r="3677" spans="1:1">
      <c r="A3677" t="s">
        <v>3085</v>
      </c>
    </row>
    <row r="3680" spans="1:1">
      <c r="A3680" t="s">
        <v>392</v>
      </c>
    </row>
    <row r="3681" spans="1:1">
      <c r="A3681" t="s">
        <v>3086</v>
      </c>
    </row>
    <row r="3682" spans="1:1">
      <c r="A3682" t="s">
        <v>3087</v>
      </c>
    </row>
    <row r="3683" spans="1:1">
      <c r="A3683" t="s">
        <v>3088</v>
      </c>
    </row>
    <row r="3684" spans="1:1">
      <c r="A3684" t="s">
        <v>3089</v>
      </c>
    </row>
    <row r="3685" spans="1:1">
      <c r="A3685" t="s">
        <v>3090</v>
      </c>
    </row>
    <row r="3686" spans="1:1">
      <c r="A3686" t="s">
        <v>3091</v>
      </c>
    </row>
    <row r="3687" spans="1:1">
      <c r="A3687" t="s">
        <v>3092</v>
      </c>
    </row>
    <row r="3688" spans="1:1">
      <c r="A3688" t="s">
        <v>3093</v>
      </c>
    </row>
    <row r="3689" spans="1:1">
      <c r="A3689" t="s">
        <v>3094</v>
      </c>
    </row>
    <row r="3690" spans="1:1">
      <c r="A3690" t="s">
        <v>3095</v>
      </c>
    </row>
    <row r="3691" spans="1:1">
      <c r="A3691" t="s">
        <v>3096</v>
      </c>
    </row>
    <row r="3693" spans="1:1">
      <c r="A3693" t="s">
        <v>406</v>
      </c>
    </row>
    <row r="3694" spans="1:1">
      <c r="A3694" t="s">
        <v>3097</v>
      </c>
    </row>
    <row r="3695" spans="1:1">
      <c r="A3695" t="s">
        <v>3098</v>
      </c>
    </row>
    <row r="3696" spans="1:1">
      <c r="A3696" t="s">
        <v>3099</v>
      </c>
    </row>
    <row r="3697" spans="1:1">
      <c r="A3697" t="s">
        <v>3100</v>
      </c>
    </row>
    <row r="3698" spans="1:1">
      <c r="A3698" t="s">
        <v>3101</v>
      </c>
    </row>
    <row r="3699" spans="1:1">
      <c r="A3699" t="s">
        <v>3102</v>
      </c>
    </row>
    <row r="3700" spans="1:1">
      <c r="A3700" t="s">
        <v>3103</v>
      </c>
    </row>
    <row r="3701" spans="1:1">
      <c r="A3701" t="s">
        <v>3104</v>
      </c>
    </row>
    <row r="3702" spans="1:1">
      <c r="A3702" t="s">
        <v>3105</v>
      </c>
    </row>
    <row r="3703" spans="1:1">
      <c r="A3703" t="s">
        <v>3106</v>
      </c>
    </row>
    <row r="3704" spans="1:1">
      <c r="A3704" t="s">
        <v>3107</v>
      </c>
    </row>
    <row r="3705" spans="1:1">
      <c r="A3705" t="s">
        <v>3108</v>
      </c>
    </row>
    <row r="3706" spans="1:1">
      <c r="A3706" t="s">
        <v>3109</v>
      </c>
    </row>
    <row r="3707" spans="1:1">
      <c r="A3707" t="s">
        <v>3110</v>
      </c>
    </row>
    <row r="3708" spans="1:1">
      <c r="A3708" t="s">
        <v>421</v>
      </c>
    </row>
    <row r="3709" spans="1:1">
      <c r="A3709" t="s">
        <v>3111</v>
      </c>
    </row>
    <row r="3714" spans="1:1">
      <c r="A3714" t="s">
        <v>3112</v>
      </c>
    </row>
    <row r="3715" spans="1:1">
      <c r="A3715" t="s">
        <v>371</v>
      </c>
    </row>
    <row r="3716" spans="1:1">
      <c r="A3716" t="s">
        <v>3113</v>
      </c>
    </row>
    <row r="3717" spans="1:1">
      <c r="A3717" t="s">
        <v>3114</v>
      </c>
    </row>
    <row r="3718" spans="1:1">
      <c r="A3718" t="s">
        <v>374</v>
      </c>
    </row>
    <row r="3719" spans="1:1">
      <c r="A3719" t="s">
        <v>3115</v>
      </c>
    </row>
    <row r="3720" spans="1:1">
      <c r="A3720" t="s">
        <v>376</v>
      </c>
    </row>
    <row r="3722" spans="1:1">
      <c r="A3722" t="s">
        <v>2807</v>
      </c>
    </row>
    <row r="3723" spans="1:1">
      <c r="A3723" t="s">
        <v>378</v>
      </c>
    </row>
    <row r="3724" spans="1:1">
      <c r="A3724" t="s">
        <v>3116</v>
      </c>
    </row>
    <row r="3725" spans="1:1">
      <c r="A3725" t="s">
        <v>3117</v>
      </c>
    </row>
    <row r="3726" spans="1:1">
      <c r="A3726" t="s">
        <v>3118</v>
      </c>
    </row>
    <row r="3727" spans="1:1">
      <c r="A3727" t="s">
        <v>3119</v>
      </c>
    </row>
    <row r="3728" spans="1:1">
      <c r="A3728" t="s">
        <v>3120</v>
      </c>
    </row>
    <row r="3729" spans="1:1">
      <c r="A3729" t="s">
        <v>3121</v>
      </c>
    </row>
    <row r="3730" spans="1:1">
      <c r="A3730" t="s">
        <v>3122</v>
      </c>
    </row>
    <row r="3731" spans="1:1">
      <c r="A3731" t="s">
        <v>3123</v>
      </c>
    </row>
    <row r="3732" spans="1:1">
      <c r="A3732" t="s">
        <v>3124</v>
      </c>
    </row>
    <row r="3733" spans="1:1">
      <c r="A3733" t="s">
        <v>3125</v>
      </c>
    </row>
    <row r="3734" spans="1:1">
      <c r="A3734" t="s">
        <v>3126</v>
      </c>
    </row>
    <row r="3735" spans="1:1">
      <c r="A3735" t="s">
        <v>3127</v>
      </c>
    </row>
    <row r="3736" spans="1:1">
      <c r="A3736" t="s">
        <v>3128</v>
      </c>
    </row>
    <row r="3739" spans="1:1">
      <c r="A3739" t="s">
        <v>392</v>
      </c>
    </row>
    <row r="3740" spans="1:1">
      <c r="A3740" t="s">
        <v>3129</v>
      </c>
    </row>
    <row r="3741" spans="1:1">
      <c r="A3741" t="s">
        <v>3130</v>
      </c>
    </row>
    <row r="3742" spans="1:1">
      <c r="A3742" t="s">
        <v>3131</v>
      </c>
    </row>
    <row r="3743" spans="1:1">
      <c r="A3743" t="s">
        <v>3132</v>
      </c>
    </row>
    <row r="3744" spans="1:1">
      <c r="A3744" t="s">
        <v>3133</v>
      </c>
    </row>
    <row r="3745" spans="1:1">
      <c r="A3745" t="s">
        <v>3134</v>
      </c>
    </row>
    <row r="3746" spans="1:1">
      <c r="A3746" t="s">
        <v>3135</v>
      </c>
    </row>
    <row r="3747" spans="1:1">
      <c r="A3747" t="s">
        <v>3136</v>
      </c>
    </row>
    <row r="3748" spans="1:1">
      <c r="A3748" t="s">
        <v>3137</v>
      </c>
    </row>
    <row r="3749" spans="1:1">
      <c r="A3749" t="s">
        <v>3138</v>
      </c>
    </row>
    <row r="3750" spans="1:1">
      <c r="A3750" t="s">
        <v>3139</v>
      </c>
    </row>
    <row r="3751" spans="1:1">
      <c r="A3751" t="s">
        <v>3140</v>
      </c>
    </row>
    <row r="3752" spans="1:1">
      <c r="A3752" t="s">
        <v>3141</v>
      </c>
    </row>
    <row r="3754" spans="1:1">
      <c r="A3754" t="s">
        <v>406</v>
      </c>
    </row>
    <row r="3755" spans="1:1">
      <c r="A3755" t="s">
        <v>3142</v>
      </c>
    </row>
    <row r="3756" spans="1:1">
      <c r="A3756" t="s">
        <v>3143</v>
      </c>
    </row>
    <row r="3757" spans="1:1">
      <c r="A3757" t="s">
        <v>3144</v>
      </c>
    </row>
    <row r="3758" spans="1:1">
      <c r="A3758" t="s">
        <v>3145</v>
      </c>
    </row>
    <row r="3759" spans="1:1">
      <c r="A3759" t="s">
        <v>3146</v>
      </c>
    </row>
    <row r="3760" spans="1:1">
      <c r="A3760" t="s">
        <v>3147</v>
      </c>
    </row>
    <row r="3761" spans="1:1">
      <c r="A3761" t="s">
        <v>3148</v>
      </c>
    </row>
    <row r="3762" spans="1:1">
      <c r="A3762" t="s">
        <v>3149</v>
      </c>
    </row>
    <row r="3763" spans="1:1">
      <c r="A3763" t="s">
        <v>3150</v>
      </c>
    </row>
    <row r="3764" spans="1:1">
      <c r="A3764" t="s">
        <v>3151</v>
      </c>
    </row>
    <row r="3765" spans="1:1">
      <c r="A3765" t="s">
        <v>3152</v>
      </c>
    </row>
    <row r="3766" spans="1:1">
      <c r="A3766" t="s">
        <v>3153</v>
      </c>
    </row>
    <row r="3767" spans="1:1">
      <c r="A3767" t="s">
        <v>3154</v>
      </c>
    </row>
    <row r="3768" spans="1:1">
      <c r="A3768" t="s">
        <v>3155</v>
      </c>
    </row>
    <row r="3769" spans="1:1">
      <c r="A3769" t="s">
        <v>421</v>
      </c>
    </row>
    <row r="3770" spans="1:1">
      <c r="A3770" t="s">
        <v>3156</v>
      </c>
    </row>
    <row r="3775" spans="1:1">
      <c r="A3775" t="s">
        <v>3157</v>
      </c>
    </row>
    <row r="3776" spans="1:1">
      <c r="A3776" t="s">
        <v>371</v>
      </c>
    </row>
    <row r="3777" spans="1:1">
      <c r="A3777" t="s">
        <v>3158</v>
      </c>
    </row>
    <row r="3778" spans="1:1">
      <c r="A3778" t="s">
        <v>3159</v>
      </c>
    </row>
    <row r="3779" spans="1:1">
      <c r="A3779" t="s">
        <v>374</v>
      </c>
    </row>
    <row r="3780" spans="1:1">
      <c r="A3780" t="s">
        <v>3160</v>
      </c>
    </row>
    <row r="3781" spans="1:1">
      <c r="A3781" t="s">
        <v>376</v>
      </c>
    </row>
    <row r="3783" spans="1:1">
      <c r="A3783" t="s">
        <v>2359</v>
      </c>
    </row>
    <row r="3784" spans="1:1">
      <c r="A3784" t="s">
        <v>378</v>
      </c>
    </row>
    <row r="3785" spans="1:1">
      <c r="A3785" t="s">
        <v>3161</v>
      </c>
    </row>
    <row r="3786" spans="1:1">
      <c r="A3786" t="s">
        <v>3162</v>
      </c>
    </row>
    <row r="3787" spans="1:1">
      <c r="A3787" t="s">
        <v>3163</v>
      </c>
    </row>
    <row r="3788" spans="1:1">
      <c r="A3788" t="s">
        <v>3164</v>
      </c>
    </row>
    <row r="3789" spans="1:1">
      <c r="A3789" t="s">
        <v>3165</v>
      </c>
    </row>
    <row r="3790" spans="1:1">
      <c r="A3790" t="s">
        <v>3166</v>
      </c>
    </row>
    <row r="3791" spans="1:1">
      <c r="A3791" t="s">
        <v>3167</v>
      </c>
    </row>
    <row r="3792" spans="1:1">
      <c r="A3792" t="s">
        <v>3168</v>
      </c>
    </row>
    <row r="3793" spans="1:1">
      <c r="A3793" t="s">
        <v>3169</v>
      </c>
    </row>
    <row r="3794" spans="1:1">
      <c r="A3794" t="s">
        <v>3170</v>
      </c>
    </row>
    <row r="3795" spans="1:1">
      <c r="A3795" t="s">
        <v>3171</v>
      </c>
    </row>
    <row r="3796" spans="1:1">
      <c r="A3796" t="s">
        <v>3172</v>
      </c>
    </row>
    <row r="3797" spans="1:1">
      <c r="A3797" t="s">
        <v>3173</v>
      </c>
    </row>
    <row r="3800" spans="1:1">
      <c r="A3800" t="s">
        <v>392</v>
      </c>
    </row>
    <row r="3801" spans="1:1">
      <c r="A3801" t="s">
        <v>3174</v>
      </c>
    </row>
    <row r="3802" spans="1:1">
      <c r="A3802" t="s">
        <v>3175</v>
      </c>
    </row>
    <row r="3803" spans="1:1">
      <c r="A3803" t="s">
        <v>3176</v>
      </c>
    </row>
    <row r="3804" spans="1:1">
      <c r="A3804" t="s">
        <v>3177</v>
      </c>
    </row>
    <row r="3805" spans="1:1">
      <c r="A3805" t="s">
        <v>3178</v>
      </c>
    </row>
    <row r="3806" spans="1:1">
      <c r="A3806" t="s">
        <v>3179</v>
      </c>
    </row>
    <row r="3807" spans="1:1">
      <c r="A3807" t="s">
        <v>3180</v>
      </c>
    </row>
    <row r="3808" spans="1:1">
      <c r="A3808" t="s">
        <v>3181</v>
      </c>
    </row>
    <row r="3809" spans="1:1">
      <c r="A3809" t="s">
        <v>3182</v>
      </c>
    </row>
    <row r="3810" spans="1:1">
      <c r="A3810" t="s">
        <v>3183</v>
      </c>
    </row>
    <row r="3811" spans="1:1">
      <c r="A3811" t="s">
        <v>3184</v>
      </c>
    </row>
    <row r="3812" spans="1:1">
      <c r="A3812" t="s">
        <v>3185</v>
      </c>
    </row>
    <row r="3813" spans="1:1">
      <c r="A3813" t="s">
        <v>3186</v>
      </c>
    </row>
    <row r="3815" spans="1:1">
      <c r="A3815" t="s">
        <v>406</v>
      </c>
    </row>
    <row r="3816" spans="1:1">
      <c r="A3816" t="s">
        <v>3187</v>
      </c>
    </row>
    <row r="3817" spans="1:1">
      <c r="A3817" t="s">
        <v>3188</v>
      </c>
    </row>
    <row r="3818" spans="1:1">
      <c r="A3818" t="s">
        <v>3189</v>
      </c>
    </row>
    <row r="3819" spans="1:1">
      <c r="A3819" t="s">
        <v>3190</v>
      </c>
    </row>
    <row r="3820" spans="1:1">
      <c r="A3820" t="s">
        <v>3191</v>
      </c>
    </row>
    <row r="3821" spans="1:1">
      <c r="A3821" t="s">
        <v>3192</v>
      </c>
    </row>
    <row r="3822" spans="1:1">
      <c r="A3822" t="s">
        <v>3193</v>
      </c>
    </row>
    <row r="3823" spans="1:1">
      <c r="A3823" t="s">
        <v>3194</v>
      </c>
    </row>
    <row r="3824" spans="1:1">
      <c r="A3824" t="s">
        <v>3195</v>
      </c>
    </row>
    <row r="3825" spans="1:1">
      <c r="A3825" t="s">
        <v>3196</v>
      </c>
    </row>
    <row r="3826" spans="1:1">
      <c r="A3826" t="s">
        <v>3197</v>
      </c>
    </row>
    <row r="3827" spans="1:1">
      <c r="A3827" t="s">
        <v>3198</v>
      </c>
    </row>
    <row r="3828" spans="1:1">
      <c r="A3828" t="s">
        <v>3199</v>
      </c>
    </row>
    <row r="3829" spans="1:1">
      <c r="A3829" t="s">
        <v>3200</v>
      </c>
    </row>
    <row r="3830" spans="1:1">
      <c r="A3830" t="s">
        <v>421</v>
      </c>
    </row>
    <row r="3831" spans="1:1">
      <c r="A3831" t="s">
        <v>3201</v>
      </c>
    </row>
    <row r="3836" spans="1:1">
      <c r="A3836" t="s">
        <v>3202</v>
      </c>
    </row>
    <row r="3837" spans="1:1">
      <c r="A3837" t="s">
        <v>371</v>
      </c>
    </row>
    <row r="3838" spans="1:1">
      <c r="A3838" t="s">
        <v>3203</v>
      </c>
    </row>
    <row r="3839" spans="1:1">
      <c r="A3839" t="s">
        <v>3204</v>
      </c>
    </row>
    <row r="3840" spans="1:1">
      <c r="A3840" t="s">
        <v>374</v>
      </c>
    </row>
    <row r="3841" spans="1:1">
      <c r="A3841" t="s">
        <v>3205</v>
      </c>
    </row>
    <row r="3842" spans="1:1">
      <c r="A3842" t="s">
        <v>376</v>
      </c>
    </row>
    <row r="3844" spans="1:1">
      <c r="A3844" t="s">
        <v>2807</v>
      </c>
    </row>
    <row r="3845" spans="1:1">
      <c r="A3845" t="s">
        <v>378</v>
      </c>
    </row>
    <row r="3846" spans="1:1">
      <c r="A3846" t="s">
        <v>3206</v>
      </c>
    </row>
    <row r="3847" spans="1:1">
      <c r="A3847" t="s">
        <v>3207</v>
      </c>
    </row>
    <row r="3848" spans="1:1">
      <c r="A3848" t="s">
        <v>3208</v>
      </c>
    </row>
    <row r="3849" spans="1:1">
      <c r="A3849" t="s">
        <v>3209</v>
      </c>
    </row>
    <row r="3850" spans="1:1">
      <c r="A3850" t="s">
        <v>3210</v>
      </c>
    </row>
    <row r="3851" spans="1:1">
      <c r="A3851" t="s">
        <v>3211</v>
      </c>
    </row>
    <row r="3852" spans="1:1">
      <c r="A3852" t="s">
        <v>3212</v>
      </c>
    </row>
    <row r="3853" spans="1:1">
      <c r="A3853" t="s">
        <v>3213</v>
      </c>
    </row>
    <row r="3854" spans="1:1">
      <c r="A3854" t="s">
        <v>3214</v>
      </c>
    </row>
    <row r="3855" spans="1:1">
      <c r="A3855" t="s">
        <v>3215</v>
      </c>
    </row>
    <row r="3856" spans="1:1">
      <c r="A3856" t="s">
        <v>3216</v>
      </c>
    </row>
    <row r="3857" spans="1:1">
      <c r="A3857" t="s">
        <v>3217</v>
      </c>
    </row>
    <row r="3858" spans="1:1">
      <c r="A3858" t="s">
        <v>3218</v>
      </c>
    </row>
    <row r="3861" spans="1:1">
      <c r="A3861" t="s">
        <v>392</v>
      </c>
    </row>
    <row r="3862" spans="1:1">
      <c r="A3862" t="s">
        <v>3219</v>
      </c>
    </row>
    <row r="3863" spans="1:1">
      <c r="A3863" t="s">
        <v>3220</v>
      </c>
    </row>
    <row r="3864" spans="1:1">
      <c r="A3864" t="s">
        <v>3221</v>
      </c>
    </row>
    <row r="3865" spans="1:1">
      <c r="A3865" t="s">
        <v>3222</v>
      </c>
    </row>
    <row r="3866" spans="1:1">
      <c r="A3866" t="s">
        <v>3223</v>
      </c>
    </row>
    <row r="3867" spans="1:1">
      <c r="A3867" t="s">
        <v>3224</v>
      </c>
    </row>
    <row r="3868" spans="1:1">
      <c r="A3868" t="s">
        <v>3225</v>
      </c>
    </row>
    <row r="3869" spans="1:1">
      <c r="A3869" t="s">
        <v>3226</v>
      </c>
    </row>
    <row r="3870" spans="1:1">
      <c r="A3870" t="s">
        <v>3227</v>
      </c>
    </row>
    <row r="3871" spans="1:1">
      <c r="A3871" t="s">
        <v>3228</v>
      </c>
    </row>
    <row r="3872" spans="1:1">
      <c r="A3872" t="s">
        <v>3229</v>
      </c>
    </row>
    <row r="3873" spans="1:1">
      <c r="A3873" t="s">
        <v>3230</v>
      </c>
    </row>
    <row r="3874" spans="1:1">
      <c r="A3874" t="s">
        <v>3231</v>
      </c>
    </row>
    <row r="3876" spans="1:1">
      <c r="A3876" t="s">
        <v>406</v>
      </c>
    </row>
    <row r="3877" spans="1:1">
      <c r="A3877" t="s">
        <v>3232</v>
      </c>
    </row>
    <row r="3878" spans="1:1">
      <c r="A3878" t="s">
        <v>3233</v>
      </c>
    </row>
    <row r="3879" spans="1:1">
      <c r="A3879" t="s">
        <v>3234</v>
      </c>
    </row>
    <row r="3880" spans="1:1">
      <c r="A3880" t="s">
        <v>3235</v>
      </c>
    </row>
    <row r="3881" spans="1:1">
      <c r="A3881" t="s">
        <v>3236</v>
      </c>
    </row>
    <row r="3882" spans="1:1">
      <c r="A3882" t="s">
        <v>3237</v>
      </c>
    </row>
    <row r="3883" spans="1:1">
      <c r="A3883" t="s">
        <v>3238</v>
      </c>
    </row>
    <row r="3884" spans="1:1">
      <c r="A3884" t="s">
        <v>3239</v>
      </c>
    </row>
    <row r="3885" spans="1:1">
      <c r="A3885" t="s">
        <v>3240</v>
      </c>
    </row>
    <row r="3886" spans="1:1">
      <c r="A3886" t="s">
        <v>3241</v>
      </c>
    </row>
    <row r="3887" spans="1:1">
      <c r="A3887" t="s">
        <v>3242</v>
      </c>
    </row>
    <row r="3888" spans="1:1">
      <c r="A3888" t="s">
        <v>3243</v>
      </c>
    </row>
    <row r="3889" spans="1:1">
      <c r="A3889" t="s">
        <v>3244</v>
      </c>
    </row>
    <row r="3890" spans="1:1">
      <c r="A3890" t="s">
        <v>3245</v>
      </c>
    </row>
    <row r="3891" spans="1:1">
      <c r="A3891" t="s">
        <v>421</v>
      </c>
    </row>
    <row r="3892" spans="1:1">
      <c r="A3892" t="s">
        <v>3246</v>
      </c>
    </row>
    <row r="3897" spans="1:1">
      <c r="A3897" t="s">
        <v>3247</v>
      </c>
    </row>
    <row r="3898" spans="1:1">
      <c r="A3898" t="s">
        <v>371</v>
      </c>
    </row>
    <row r="3899" spans="1:1">
      <c r="A3899" t="s">
        <v>3248</v>
      </c>
    </row>
    <row r="3900" spans="1:1">
      <c r="A3900" t="s">
        <v>3249</v>
      </c>
    </row>
    <row r="3901" spans="1:1">
      <c r="A3901" t="s">
        <v>374</v>
      </c>
    </row>
    <row r="3902" spans="1:1">
      <c r="A3902" t="s">
        <v>3250</v>
      </c>
    </row>
    <row r="3903" spans="1:1">
      <c r="A3903" t="s">
        <v>376</v>
      </c>
    </row>
    <row r="3905" spans="1:1">
      <c r="A3905" t="s">
        <v>1684</v>
      </c>
    </row>
    <row r="3906" spans="1:1">
      <c r="A3906" t="s">
        <v>378</v>
      </c>
    </row>
    <row r="3907" spans="1:1">
      <c r="A3907" t="s">
        <v>3251</v>
      </c>
    </row>
    <row r="3908" spans="1:1">
      <c r="A3908" t="s">
        <v>3252</v>
      </c>
    </row>
    <row r="3909" spans="1:1">
      <c r="A3909" t="s">
        <v>3253</v>
      </c>
    </row>
    <row r="3910" spans="1:1">
      <c r="A3910" t="s">
        <v>3254</v>
      </c>
    </row>
    <row r="3911" spans="1:1">
      <c r="A3911" t="s">
        <v>3255</v>
      </c>
    </row>
    <row r="3912" spans="1:1">
      <c r="A3912" t="s">
        <v>3256</v>
      </c>
    </row>
    <row r="3913" spans="1:1">
      <c r="A3913" t="s">
        <v>3257</v>
      </c>
    </row>
    <row r="3914" spans="1:1">
      <c r="A3914" t="s">
        <v>3258</v>
      </c>
    </row>
    <row r="3915" spans="1:1">
      <c r="A3915" t="s">
        <v>3259</v>
      </c>
    </row>
    <row r="3916" spans="1:1">
      <c r="A3916" t="s">
        <v>3260</v>
      </c>
    </row>
    <row r="3917" spans="1:1">
      <c r="A3917" t="s">
        <v>3261</v>
      </c>
    </row>
    <row r="3918" spans="1:1">
      <c r="A3918" t="s">
        <v>3262</v>
      </c>
    </row>
    <row r="3919" spans="1:1">
      <c r="A3919" t="s">
        <v>3263</v>
      </c>
    </row>
    <row r="3922" spans="1:1">
      <c r="A3922" t="s">
        <v>392</v>
      </c>
    </row>
    <row r="3923" spans="1:1">
      <c r="A3923" t="s">
        <v>3264</v>
      </c>
    </row>
    <row r="3924" spans="1:1">
      <c r="A3924" t="s">
        <v>3265</v>
      </c>
    </row>
    <row r="3925" spans="1:1">
      <c r="A3925" t="s">
        <v>3266</v>
      </c>
    </row>
    <row r="3926" spans="1:1">
      <c r="A3926" t="s">
        <v>3267</v>
      </c>
    </row>
    <row r="3927" spans="1:1">
      <c r="A3927" t="s">
        <v>3268</v>
      </c>
    </row>
    <row r="3928" spans="1:1">
      <c r="A3928" t="s">
        <v>3269</v>
      </c>
    </row>
    <row r="3929" spans="1:1">
      <c r="A3929" t="s">
        <v>3270</v>
      </c>
    </row>
    <row r="3930" spans="1:1">
      <c r="A3930" t="s">
        <v>3271</v>
      </c>
    </row>
    <row r="3931" spans="1:1">
      <c r="A3931" t="s">
        <v>3272</v>
      </c>
    </row>
    <row r="3932" spans="1:1">
      <c r="A3932" t="s">
        <v>3273</v>
      </c>
    </row>
    <row r="3933" spans="1:1">
      <c r="A3933" t="s">
        <v>3274</v>
      </c>
    </row>
    <row r="3934" spans="1:1">
      <c r="A3934" t="s">
        <v>3275</v>
      </c>
    </row>
    <row r="3935" spans="1:1">
      <c r="A3935" t="s">
        <v>3276</v>
      </c>
    </row>
    <row r="3937" spans="1:1">
      <c r="A3937" t="s">
        <v>406</v>
      </c>
    </row>
    <row r="3938" spans="1:1">
      <c r="A3938" t="s">
        <v>3277</v>
      </c>
    </row>
    <row r="3939" spans="1:1">
      <c r="A3939" t="s">
        <v>3278</v>
      </c>
    </row>
    <row r="3940" spans="1:1">
      <c r="A3940" t="s">
        <v>3279</v>
      </c>
    </row>
    <row r="3941" spans="1:1">
      <c r="A3941" t="s">
        <v>3280</v>
      </c>
    </row>
    <row r="3942" spans="1:1">
      <c r="A3942" t="s">
        <v>3281</v>
      </c>
    </row>
    <row r="3943" spans="1:1">
      <c r="A3943" t="s">
        <v>3282</v>
      </c>
    </row>
    <row r="3944" spans="1:1">
      <c r="A3944" t="s">
        <v>3283</v>
      </c>
    </row>
    <row r="3945" spans="1:1">
      <c r="A3945" t="s">
        <v>3284</v>
      </c>
    </row>
    <row r="3946" spans="1:1">
      <c r="A3946" t="s">
        <v>3285</v>
      </c>
    </row>
    <row r="3947" spans="1:1">
      <c r="A3947" t="s">
        <v>3286</v>
      </c>
    </row>
    <row r="3948" spans="1:1">
      <c r="A3948" t="s">
        <v>3287</v>
      </c>
    </row>
    <row r="3949" spans="1:1">
      <c r="A3949" t="s">
        <v>3288</v>
      </c>
    </row>
    <row r="3950" spans="1:1">
      <c r="A3950" t="s">
        <v>3289</v>
      </c>
    </row>
    <row r="3951" spans="1:1">
      <c r="A3951" t="s">
        <v>3290</v>
      </c>
    </row>
    <row r="3952" spans="1:1">
      <c r="A3952" t="s">
        <v>421</v>
      </c>
    </row>
    <row r="3953" spans="1:1">
      <c r="A3953" t="s">
        <v>3291</v>
      </c>
    </row>
    <row r="3958" spans="1:1">
      <c r="A3958" t="s">
        <v>3292</v>
      </c>
    </row>
    <row r="3959" spans="1:1">
      <c r="A3959" t="s">
        <v>371</v>
      </c>
    </row>
    <row r="3960" spans="1:1">
      <c r="A3960" t="s">
        <v>3293</v>
      </c>
    </row>
    <row r="3961" spans="1:1">
      <c r="A3961" t="s">
        <v>3294</v>
      </c>
    </row>
    <row r="3962" spans="1:1">
      <c r="A3962" t="s">
        <v>374</v>
      </c>
    </row>
    <row r="3963" spans="1:1">
      <c r="A3963" t="s">
        <v>3295</v>
      </c>
    </row>
    <row r="3964" spans="1:1">
      <c r="A3964" t="s">
        <v>376</v>
      </c>
    </row>
    <row r="3966" spans="1:1">
      <c r="A3966" t="s">
        <v>2359</v>
      </c>
    </row>
    <row r="3967" spans="1:1">
      <c r="A3967" t="s">
        <v>378</v>
      </c>
    </row>
    <row r="3968" spans="1:1">
      <c r="A3968" t="s">
        <v>3296</v>
      </c>
    </row>
    <row r="3969" spans="1:1">
      <c r="A3969" t="s">
        <v>3297</v>
      </c>
    </row>
    <row r="3970" spans="1:1">
      <c r="A3970" t="s">
        <v>3298</v>
      </c>
    </row>
    <row r="3971" spans="1:1">
      <c r="A3971" t="s">
        <v>3299</v>
      </c>
    </row>
    <row r="3972" spans="1:1">
      <c r="A3972" t="s">
        <v>3300</v>
      </c>
    </row>
    <row r="3973" spans="1:1">
      <c r="A3973" t="s">
        <v>3301</v>
      </c>
    </row>
    <row r="3974" spans="1:1">
      <c r="A3974" t="s">
        <v>3302</v>
      </c>
    </row>
    <row r="3975" spans="1:1">
      <c r="A3975" t="s">
        <v>3303</v>
      </c>
    </row>
    <row r="3976" spans="1:1">
      <c r="A3976" t="s">
        <v>3304</v>
      </c>
    </row>
    <row r="3977" spans="1:1">
      <c r="A3977" t="s">
        <v>3305</v>
      </c>
    </row>
    <row r="3978" spans="1:1">
      <c r="A3978" t="s">
        <v>3306</v>
      </c>
    </row>
    <row r="3979" spans="1:1">
      <c r="A3979" t="s">
        <v>3307</v>
      </c>
    </row>
    <row r="3980" spans="1:1">
      <c r="A3980" t="s">
        <v>3308</v>
      </c>
    </row>
    <row r="3983" spans="1:1">
      <c r="A3983" t="s">
        <v>392</v>
      </c>
    </row>
    <row r="3984" spans="1:1">
      <c r="A3984" t="s">
        <v>3309</v>
      </c>
    </row>
    <row r="3985" spans="1:1">
      <c r="A3985" t="s">
        <v>3310</v>
      </c>
    </row>
    <row r="3986" spans="1:1">
      <c r="A3986" t="s">
        <v>3311</v>
      </c>
    </row>
    <row r="3987" spans="1:1">
      <c r="A3987" t="s">
        <v>3312</v>
      </c>
    </row>
    <row r="3988" spans="1:1">
      <c r="A3988" t="s">
        <v>3313</v>
      </c>
    </row>
    <row r="3989" spans="1:1">
      <c r="A3989" t="s">
        <v>3314</v>
      </c>
    </row>
    <row r="3990" spans="1:1">
      <c r="A3990" t="s">
        <v>3315</v>
      </c>
    </row>
    <row r="3991" spans="1:1">
      <c r="A3991" t="s">
        <v>3316</v>
      </c>
    </row>
    <row r="3992" spans="1:1">
      <c r="A3992" t="s">
        <v>3317</v>
      </c>
    </row>
    <row r="3993" spans="1:1">
      <c r="A3993" t="s">
        <v>3318</v>
      </c>
    </row>
    <row r="3994" spans="1:1">
      <c r="A3994" t="s">
        <v>3319</v>
      </c>
    </row>
    <row r="3995" spans="1:1">
      <c r="A3995" t="s">
        <v>3320</v>
      </c>
    </row>
    <row r="3997" spans="1:1">
      <c r="A3997" t="s">
        <v>406</v>
      </c>
    </row>
    <row r="3998" spans="1:1">
      <c r="A3998" t="s">
        <v>3321</v>
      </c>
    </row>
    <row r="3999" spans="1:1">
      <c r="A3999" t="s">
        <v>3322</v>
      </c>
    </row>
    <row r="4000" spans="1:1">
      <c r="A4000" t="s">
        <v>3323</v>
      </c>
    </row>
    <row r="4001" spans="1:1">
      <c r="A4001" t="s">
        <v>3324</v>
      </c>
    </row>
    <row r="4002" spans="1:1">
      <c r="A4002" t="s">
        <v>3325</v>
      </c>
    </row>
    <row r="4003" spans="1:1">
      <c r="A4003" t="s">
        <v>3326</v>
      </c>
    </row>
    <row r="4004" spans="1:1">
      <c r="A4004" t="s">
        <v>3327</v>
      </c>
    </row>
    <row r="4005" spans="1:1">
      <c r="A4005" t="s">
        <v>3328</v>
      </c>
    </row>
    <row r="4006" spans="1:1">
      <c r="A4006" t="s">
        <v>3329</v>
      </c>
    </row>
    <row r="4007" spans="1:1">
      <c r="A4007" t="s">
        <v>3330</v>
      </c>
    </row>
    <row r="4008" spans="1:1">
      <c r="A4008" t="s">
        <v>3331</v>
      </c>
    </row>
    <row r="4009" spans="1:1">
      <c r="A4009" t="s">
        <v>3332</v>
      </c>
    </row>
    <row r="4010" spans="1:1">
      <c r="A4010" t="s">
        <v>3333</v>
      </c>
    </row>
    <row r="4011" spans="1:1">
      <c r="A4011" t="s">
        <v>3334</v>
      </c>
    </row>
    <row r="4012" spans="1:1">
      <c r="A4012" t="s">
        <v>421</v>
      </c>
    </row>
    <row r="4013" spans="1:1">
      <c r="A4013" t="s">
        <v>3335</v>
      </c>
    </row>
    <row r="4018" spans="1:1">
      <c r="A4018" t="s">
        <v>3336</v>
      </c>
    </row>
    <row r="4019" spans="1:1">
      <c r="A4019" t="s">
        <v>371</v>
      </c>
    </row>
    <row r="4020" spans="1:1">
      <c r="A4020" t="s">
        <v>3337</v>
      </c>
    </row>
    <row r="4021" spans="1:1">
      <c r="A4021" t="s">
        <v>3338</v>
      </c>
    </row>
    <row r="4022" spans="1:1">
      <c r="A4022" t="s">
        <v>374</v>
      </c>
    </row>
    <row r="4023" spans="1:1">
      <c r="A4023" t="s">
        <v>3339</v>
      </c>
    </row>
    <row r="4024" spans="1:1">
      <c r="A4024" t="s">
        <v>376</v>
      </c>
    </row>
    <row r="4026" spans="1:1">
      <c r="A4026" t="s">
        <v>2807</v>
      </c>
    </row>
    <row r="4027" spans="1:1">
      <c r="A4027" t="s">
        <v>378</v>
      </c>
    </row>
    <row r="4028" spans="1:1">
      <c r="A4028" t="s">
        <v>3340</v>
      </c>
    </row>
    <row r="4029" spans="1:1">
      <c r="A4029" t="s">
        <v>3341</v>
      </c>
    </row>
    <row r="4030" spans="1:1">
      <c r="A4030" t="s">
        <v>3342</v>
      </c>
    </row>
    <row r="4031" spans="1:1">
      <c r="A4031" t="s">
        <v>3343</v>
      </c>
    </row>
    <row r="4032" spans="1:1">
      <c r="A4032" t="s">
        <v>3344</v>
      </c>
    </row>
    <row r="4033" spans="1:1">
      <c r="A4033" t="s">
        <v>3345</v>
      </c>
    </row>
    <row r="4034" spans="1:1">
      <c r="A4034" t="s">
        <v>3346</v>
      </c>
    </row>
    <row r="4035" spans="1:1">
      <c r="A4035" t="s">
        <v>3347</v>
      </c>
    </row>
    <row r="4036" spans="1:1">
      <c r="A4036" t="s">
        <v>3348</v>
      </c>
    </row>
    <row r="4037" spans="1:1">
      <c r="A4037" t="s">
        <v>3349</v>
      </c>
    </row>
    <row r="4038" spans="1:1">
      <c r="A4038" t="s">
        <v>3350</v>
      </c>
    </row>
    <row r="4039" spans="1:1">
      <c r="A4039" t="s">
        <v>3351</v>
      </c>
    </row>
    <row r="4040" spans="1:1">
      <c r="A4040" t="s">
        <v>3352</v>
      </c>
    </row>
    <row r="4043" spans="1:1">
      <c r="A4043" t="s">
        <v>392</v>
      </c>
    </row>
    <row r="4044" spans="1:1">
      <c r="A4044" t="s">
        <v>3353</v>
      </c>
    </row>
    <row r="4045" spans="1:1">
      <c r="A4045" t="s">
        <v>3354</v>
      </c>
    </row>
    <row r="4046" spans="1:1">
      <c r="A4046" t="s">
        <v>3355</v>
      </c>
    </row>
    <row r="4047" spans="1:1">
      <c r="A4047" t="s">
        <v>3356</v>
      </c>
    </row>
    <row r="4048" spans="1:1">
      <c r="A4048" t="s">
        <v>3357</v>
      </c>
    </row>
    <row r="4049" spans="1:1">
      <c r="A4049" t="s">
        <v>3358</v>
      </c>
    </row>
    <row r="4050" spans="1:1">
      <c r="A4050" t="s">
        <v>3359</v>
      </c>
    </row>
    <row r="4051" spans="1:1">
      <c r="A4051" t="s">
        <v>3360</v>
      </c>
    </row>
    <row r="4052" spans="1:1">
      <c r="A4052" t="s">
        <v>3361</v>
      </c>
    </row>
    <row r="4053" spans="1:1">
      <c r="A4053" t="s">
        <v>3362</v>
      </c>
    </row>
    <row r="4054" spans="1:1">
      <c r="A4054" t="s">
        <v>3363</v>
      </c>
    </row>
    <row r="4055" spans="1:1">
      <c r="A4055" t="s">
        <v>3364</v>
      </c>
    </row>
    <row r="4057" spans="1:1">
      <c r="A4057" t="s">
        <v>406</v>
      </c>
    </row>
    <row r="4058" spans="1:1">
      <c r="A4058" t="s">
        <v>3365</v>
      </c>
    </row>
    <row r="4059" spans="1:1">
      <c r="A4059" t="s">
        <v>3366</v>
      </c>
    </row>
    <row r="4060" spans="1:1">
      <c r="A4060" t="s">
        <v>3367</v>
      </c>
    </row>
    <row r="4061" spans="1:1">
      <c r="A4061" t="s">
        <v>3368</v>
      </c>
    </row>
    <row r="4062" spans="1:1">
      <c r="A4062" t="s">
        <v>3369</v>
      </c>
    </row>
    <row r="4063" spans="1:1">
      <c r="A4063" t="s">
        <v>3370</v>
      </c>
    </row>
    <row r="4064" spans="1:1">
      <c r="A4064" t="s">
        <v>3371</v>
      </c>
    </row>
    <row r="4065" spans="1:1">
      <c r="A4065" t="s">
        <v>3372</v>
      </c>
    </row>
    <row r="4066" spans="1:1">
      <c r="A4066" t="s">
        <v>3373</v>
      </c>
    </row>
    <row r="4067" spans="1:1">
      <c r="A4067" t="s">
        <v>3374</v>
      </c>
    </row>
    <row r="4068" spans="1:1">
      <c r="A4068" t="s">
        <v>3375</v>
      </c>
    </row>
    <row r="4069" spans="1:1">
      <c r="A4069" t="s">
        <v>3376</v>
      </c>
    </row>
    <row r="4070" spans="1:1">
      <c r="A4070" t="s">
        <v>3377</v>
      </c>
    </row>
    <row r="4071" spans="1:1">
      <c r="A4071" t="s">
        <v>3378</v>
      </c>
    </row>
    <row r="4072" spans="1:1">
      <c r="A4072" t="s">
        <v>421</v>
      </c>
    </row>
    <row r="4073" spans="1:1">
      <c r="A4073" t="s">
        <v>3379</v>
      </c>
    </row>
    <row r="4078" spans="1:1">
      <c r="A4078" t="s">
        <v>3380</v>
      </c>
    </row>
    <row r="4079" spans="1:1">
      <c r="A4079" t="s">
        <v>371</v>
      </c>
    </row>
    <row r="4080" spans="1:1">
      <c r="A4080" t="s">
        <v>3381</v>
      </c>
    </row>
    <row r="4081" spans="1:1">
      <c r="A4081" t="s">
        <v>3382</v>
      </c>
    </row>
    <row r="4082" spans="1:1">
      <c r="A4082" t="s">
        <v>374</v>
      </c>
    </row>
    <row r="4083" spans="1:1">
      <c r="A4083" t="s">
        <v>3383</v>
      </c>
    </row>
    <row r="4084" spans="1:1">
      <c r="A4084" t="s">
        <v>376</v>
      </c>
    </row>
    <row r="4086" spans="1:1">
      <c r="A4086" t="s">
        <v>2807</v>
      </c>
    </row>
    <row r="4087" spans="1:1">
      <c r="A4087" t="s">
        <v>378</v>
      </c>
    </row>
    <row r="4088" spans="1:1">
      <c r="A4088" t="s">
        <v>3384</v>
      </c>
    </row>
    <row r="4089" spans="1:1">
      <c r="A4089" t="s">
        <v>3385</v>
      </c>
    </row>
    <row r="4090" spans="1:1">
      <c r="A4090" t="s">
        <v>3386</v>
      </c>
    </row>
    <row r="4091" spans="1:1">
      <c r="A4091" t="s">
        <v>3387</v>
      </c>
    </row>
    <row r="4092" spans="1:1">
      <c r="A4092" t="s">
        <v>3388</v>
      </c>
    </row>
    <row r="4093" spans="1:1">
      <c r="A4093" t="s">
        <v>3389</v>
      </c>
    </row>
    <row r="4094" spans="1:1">
      <c r="A4094" t="s">
        <v>3390</v>
      </c>
    </row>
    <row r="4095" spans="1:1">
      <c r="A4095" t="s">
        <v>3391</v>
      </c>
    </row>
    <row r="4096" spans="1:1">
      <c r="A4096" t="s">
        <v>3392</v>
      </c>
    </row>
    <row r="4097" spans="1:1">
      <c r="A4097" t="s">
        <v>3393</v>
      </c>
    </row>
    <row r="4098" spans="1:1">
      <c r="A4098" t="s">
        <v>3394</v>
      </c>
    </row>
    <row r="4099" spans="1:1">
      <c r="A4099" t="s">
        <v>3395</v>
      </c>
    </row>
    <row r="4100" spans="1:1">
      <c r="A4100" t="s">
        <v>3396</v>
      </c>
    </row>
    <row r="4103" spans="1:1">
      <c r="A4103" t="s">
        <v>392</v>
      </c>
    </row>
    <row r="4104" spans="1:1">
      <c r="A4104" t="s">
        <v>3397</v>
      </c>
    </row>
    <row r="4105" spans="1:1">
      <c r="A4105" t="s">
        <v>3398</v>
      </c>
    </row>
    <row r="4106" spans="1:1">
      <c r="A4106" t="s">
        <v>3399</v>
      </c>
    </row>
    <row r="4107" spans="1:1">
      <c r="A4107" t="s">
        <v>3400</v>
      </c>
    </row>
    <row r="4108" spans="1:1">
      <c r="A4108" t="s">
        <v>3401</v>
      </c>
    </row>
    <row r="4109" spans="1:1">
      <c r="A4109" t="s">
        <v>3402</v>
      </c>
    </row>
    <row r="4110" spans="1:1">
      <c r="A4110" t="s">
        <v>3403</v>
      </c>
    </row>
    <row r="4111" spans="1:1">
      <c r="A4111" t="s">
        <v>3404</v>
      </c>
    </row>
    <row r="4112" spans="1:1">
      <c r="A4112" t="s">
        <v>3405</v>
      </c>
    </row>
    <row r="4113" spans="1:1">
      <c r="A4113" t="s">
        <v>3406</v>
      </c>
    </row>
    <row r="4114" spans="1:1">
      <c r="A4114" t="s">
        <v>3407</v>
      </c>
    </row>
    <row r="4115" spans="1:1">
      <c r="A4115" t="s">
        <v>3408</v>
      </c>
    </row>
    <row r="4116" spans="1:1">
      <c r="A4116" t="s">
        <v>3409</v>
      </c>
    </row>
    <row r="4118" spans="1:1">
      <c r="A4118" t="s">
        <v>406</v>
      </c>
    </row>
    <row r="4119" spans="1:1">
      <c r="A4119" t="s">
        <v>3410</v>
      </c>
    </row>
    <row r="4120" spans="1:1">
      <c r="A4120" t="s">
        <v>3411</v>
      </c>
    </row>
    <row r="4121" spans="1:1">
      <c r="A4121" t="s">
        <v>3412</v>
      </c>
    </row>
    <row r="4122" spans="1:1">
      <c r="A4122" t="s">
        <v>3413</v>
      </c>
    </row>
    <row r="4123" spans="1:1">
      <c r="A4123" t="s">
        <v>3414</v>
      </c>
    </row>
    <row r="4124" spans="1:1">
      <c r="A4124" t="s">
        <v>3415</v>
      </c>
    </row>
    <row r="4125" spans="1:1">
      <c r="A4125" t="s">
        <v>3416</v>
      </c>
    </row>
    <row r="4126" spans="1:1">
      <c r="A4126" t="s">
        <v>3417</v>
      </c>
    </row>
    <row r="4127" spans="1:1">
      <c r="A4127" t="s">
        <v>3418</v>
      </c>
    </row>
    <row r="4128" spans="1:1">
      <c r="A4128" t="s">
        <v>3419</v>
      </c>
    </row>
    <row r="4129" spans="1:1">
      <c r="A4129" t="s">
        <v>3420</v>
      </c>
    </row>
    <row r="4130" spans="1:1">
      <c r="A4130" t="s">
        <v>3421</v>
      </c>
    </row>
    <row r="4131" spans="1:1">
      <c r="A4131" t="s">
        <v>3422</v>
      </c>
    </row>
    <row r="4132" spans="1:1">
      <c r="A4132" t="s">
        <v>3423</v>
      </c>
    </row>
    <row r="4133" spans="1:1">
      <c r="A4133" t="s">
        <v>421</v>
      </c>
    </row>
    <row r="4134" spans="1:1">
      <c r="A4134" t="s">
        <v>3424</v>
      </c>
    </row>
    <row r="4139" spans="1:1">
      <c r="A4139" t="s">
        <v>3425</v>
      </c>
    </row>
    <row r="4140" spans="1:1">
      <c r="A4140" t="s">
        <v>371</v>
      </c>
    </row>
    <row r="4141" spans="1:1">
      <c r="A4141" t="s">
        <v>3426</v>
      </c>
    </row>
    <row r="4142" spans="1:1">
      <c r="A4142" t="s">
        <v>3427</v>
      </c>
    </row>
    <row r="4143" spans="1:1">
      <c r="A4143" t="s">
        <v>374</v>
      </c>
    </row>
    <row r="4144" spans="1:1">
      <c r="A4144" t="s">
        <v>3428</v>
      </c>
    </row>
    <row r="4145" spans="1:1">
      <c r="A4145" t="s">
        <v>376</v>
      </c>
    </row>
    <row r="4147" spans="1:1">
      <c r="A4147" t="s">
        <v>3429</v>
      </c>
    </row>
    <row r="4148" spans="1:1">
      <c r="A4148" t="s">
        <v>378</v>
      </c>
    </row>
    <row r="4149" spans="1:1">
      <c r="A4149" t="s">
        <v>3430</v>
      </c>
    </row>
    <row r="4150" spans="1:1">
      <c r="A4150" t="s">
        <v>3431</v>
      </c>
    </row>
    <row r="4151" spans="1:1">
      <c r="A4151" t="s">
        <v>3432</v>
      </c>
    </row>
    <row r="4152" spans="1:1">
      <c r="A4152" t="s">
        <v>3433</v>
      </c>
    </row>
    <row r="4153" spans="1:1">
      <c r="A4153" t="s">
        <v>3434</v>
      </c>
    </row>
    <row r="4154" spans="1:1">
      <c r="A4154" t="s">
        <v>3435</v>
      </c>
    </row>
    <row r="4155" spans="1:1">
      <c r="A4155" t="s">
        <v>3436</v>
      </c>
    </row>
    <row r="4156" spans="1:1">
      <c r="A4156" t="s">
        <v>3437</v>
      </c>
    </row>
    <row r="4157" spans="1:1">
      <c r="A4157" t="s">
        <v>3438</v>
      </c>
    </row>
    <row r="4158" spans="1:1">
      <c r="A4158" t="s">
        <v>3439</v>
      </c>
    </row>
    <row r="4159" spans="1:1">
      <c r="A4159" t="s">
        <v>3440</v>
      </c>
    </row>
    <row r="4160" spans="1:1">
      <c r="A4160" t="s">
        <v>3441</v>
      </c>
    </row>
    <row r="4161" spans="1:1">
      <c r="A4161" t="s">
        <v>3442</v>
      </c>
    </row>
    <row r="4164" spans="1:1">
      <c r="A4164" t="s">
        <v>392</v>
      </c>
    </row>
    <row r="4165" spans="1:1">
      <c r="A4165" t="s">
        <v>3443</v>
      </c>
    </row>
    <row r="4166" spans="1:1">
      <c r="A4166" t="s">
        <v>3444</v>
      </c>
    </row>
    <row r="4167" spans="1:1">
      <c r="A4167" t="s">
        <v>3445</v>
      </c>
    </row>
    <row r="4168" spans="1:1">
      <c r="A4168" t="s">
        <v>3446</v>
      </c>
    </row>
    <row r="4169" spans="1:1">
      <c r="A4169" t="s">
        <v>3447</v>
      </c>
    </row>
    <row r="4170" spans="1:1">
      <c r="A4170" t="s">
        <v>3448</v>
      </c>
    </row>
    <row r="4171" spans="1:1">
      <c r="A4171" t="s">
        <v>3449</v>
      </c>
    </row>
    <row r="4172" spans="1:1">
      <c r="A4172" t="s">
        <v>3450</v>
      </c>
    </row>
    <row r="4173" spans="1:1">
      <c r="A4173" t="s">
        <v>3451</v>
      </c>
    </row>
    <row r="4174" spans="1:1">
      <c r="A4174" t="s">
        <v>3452</v>
      </c>
    </row>
    <row r="4175" spans="1:1">
      <c r="A4175" t="s">
        <v>3453</v>
      </c>
    </row>
    <row r="4176" spans="1:1">
      <c r="A4176" t="s">
        <v>3454</v>
      </c>
    </row>
    <row r="4177" spans="1:1">
      <c r="A4177" t="s">
        <v>3455</v>
      </c>
    </row>
    <row r="4179" spans="1:1">
      <c r="A4179" t="s">
        <v>406</v>
      </c>
    </row>
    <row r="4180" spans="1:1">
      <c r="A4180" t="s">
        <v>3456</v>
      </c>
    </row>
    <row r="4181" spans="1:1">
      <c r="A4181" t="s">
        <v>3457</v>
      </c>
    </row>
    <row r="4182" spans="1:1">
      <c r="A4182" t="s">
        <v>3458</v>
      </c>
    </row>
    <row r="4183" spans="1:1">
      <c r="A4183" t="s">
        <v>3459</v>
      </c>
    </row>
    <row r="4184" spans="1:1">
      <c r="A4184" t="s">
        <v>3460</v>
      </c>
    </row>
    <row r="4185" spans="1:1">
      <c r="A4185" t="s">
        <v>3461</v>
      </c>
    </row>
    <row r="4186" spans="1:1">
      <c r="A4186" t="s">
        <v>3462</v>
      </c>
    </row>
    <row r="4187" spans="1:1">
      <c r="A4187" t="s">
        <v>3463</v>
      </c>
    </row>
    <row r="4188" spans="1:1">
      <c r="A4188" t="s">
        <v>3464</v>
      </c>
    </row>
    <row r="4189" spans="1:1">
      <c r="A4189" t="s">
        <v>3465</v>
      </c>
    </row>
    <row r="4190" spans="1:1">
      <c r="A4190" t="s">
        <v>3466</v>
      </c>
    </row>
    <row r="4191" spans="1:1">
      <c r="A4191" t="s">
        <v>3467</v>
      </c>
    </row>
    <row r="4192" spans="1:1">
      <c r="A4192" t="s">
        <v>3468</v>
      </c>
    </row>
    <row r="4193" spans="1:1">
      <c r="A4193" t="s">
        <v>3469</v>
      </c>
    </row>
    <row r="4194" spans="1:1">
      <c r="A4194" t="s">
        <v>421</v>
      </c>
    </row>
    <row r="4195" spans="1:1">
      <c r="A4195" t="s">
        <v>3470</v>
      </c>
    </row>
    <row r="4200" spans="1:1">
      <c r="A4200" t="s">
        <v>3471</v>
      </c>
    </row>
    <row r="4201" spans="1:1">
      <c r="A4201" t="s">
        <v>371</v>
      </c>
    </row>
    <row r="4202" spans="1:1">
      <c r="A4202" t="s">
        <v>3472</v>
      </c>
    </row>
    <row r="4203" spans="1:1">
      <c r="A4203" t="s">
        <v>3473</v>
      </c>
    </row>
    <row r="4204" spans="1:1">
      <c r="A4204" t="s">
        <v>374</v>
      </c>
    </row>
    <row r="4205" spans="1:1">
      <c r="A4205" t="s">
        <v>3474</v>
      </c>
    </row>
    <row r="4206" spans="1:1">
      <c r="A4206" t="s">
        <v>376</v>
      </c>
    </row>
    <row r="4208" spans="1:1">
      <c r="A4208" t="s">
        <v>2807</v>
      </c>
    </row>
    <row r="4209" spans="1:1">
      <c r="A4209" t="s">
        <v>378</v>
      </c>
    </row>
    <row r="4210" spans="1:1">
      <c r="A4210" t="s">
        <v>3475</v>
      </c>
    </row>
    <row r="4211" spans="1:1">
      <c r="A4211" t="s">
        <v>3476</v>
      </c>
    </row>
    <row r="4212" spans="1:1">
      <c r="A4212" t="s">
        <v>3477</v>
      </c>
    </row>
    <row r="4213" spans="1:1">
      <c r="A4213" t="s">
        <v>3478</v>
      </c>
    </row>
    <row r="4214" spans="1:1">
      <c r="A4214" t="s">
        <v>3479</v>
      </c>
    </row>
    <row r="4215" spans="1:1">
      <c r="A4215" t="s">
        <v>3480</v>
      </c>
    </row>
    <row r="4216" spans="1:1">
      <c r="A4216" t="s">
        <v>3481</v>
      </c>
    </row>
    <row r="4217" spans="1:1">
      <c r="A4217" t="s">
        <v>3482</v>
      </c>
    </row>
    <row r="4218" spans="1:1">
      <c r="A4218" t="s">
        <v>3483</v>
      </c>
    </row>
    <row r="4219" spans="1:1">
      <c r="A4219" t="s">
        <v>3484</v>
      </c>
    </row>
    <row r="4220" spans="1:1">
      <c r="A4220" t="s">
        <v>3485</v>
      </c>
    </row>
    <row r="4221" spans="1:1">
      <c r="A4221" t="s">
        <v>3486</v>
      </c>
    </row>
    <row r="4222" spans="1:1">
      <c r="A4222" t="s">
        <v>3487</v>
      </c>
    </row>
    <row r="4225" spans="1:1">
      <c r="A4225" t="s">
        <v>392</v>
      </c>
    </row>
    <row r="4226" spans="1:1">
      <c r="A4226" t="s">
        <v>3488</v>
      </c>
    </row>
    <row r="4227" spans="1:1">
      <c r="A4227" t="s">
        <v>3489</v>
      </c>
    </row>
    <row r="4228" spans="1:1">
      <c r="A4228" t="s">
        <v>3490</v>
      </c>
    </row>
    <row r="4229" spans="1:1">
      <c r="A4229" t="s">
        <v>3491</v>
      </c>
    </row>
    <row r="4230" spans="1:1">
      <c r="A4230" t="s">
        <v>3492</v>
      </c>
    </row>
    <row r="4231" spans="1:1">
      <c r="A4231" t="s">
        <v>3493</v>
      </c>
    </row>
    <row r="4232" spans="1:1">
      <c r="A4232" t="s">
        <v>3494</v>
      </c>
    </row>
    <row r="4233" spans="1:1">
      <c r="A4233" t="s">
        <v>3495</v>
      </c>
    </row>
    <row r="4234" spans="1:1">
      <c r="A4234" t="s">
        <v>3496</v>
      </c>
    </row>
    <row r="4235" spans="1:1">
      <c r="A4235" t="s">
        <v>3497</v>
      </c>
    </row>
    <row r="4236" spans="1:1">
      <c r="A4236" t="s">
        <v>3498</v>
      </c>
    </row>
    <row r="4237" spans="1:1">
      <c r="A4237" t="s">
        <v>3499</v>
      </c>
    </row>
    <row r="4238" spans="1:1">
      <c r="A4238" t="s">
        <v>3500</v>
      </c>
    </row>
    <row r="4240" spans="1:1">
      <c r="A4240" t="s">
        <v>406</v>
      </c>
    </row>
    <row r="4241" spans="1:1">
      <c r="A4241" t="s">
        <v>3501</v>
      </c>
    </row>
    <row r="4242" spans="1:1">
      <c r="A4242" t="s">
        <v>3502</v>
      </c>
    </row>
    <row r="4243" spans="1:1">
      <c r="A4243" t="s">
        <v>3503</v>
      </c>
    </row>
    <row r="4244" spans="1:1">
      <c r="A4244" t="s">
        <v>3504</v>
      </c>
    </row>
    <row r="4245" spans="1:1">
      <c r="A4245" t="s">
        <v>3505</v>
      </c>
    </row>
    <row r="4246" spans="1:1">
      <c r="A4246" t="s">
        <v>3506</v>
      </c>
    </row>
    <row r="4247" spans="1:1">
      <c r="A4247" t="s">
        <v>3507</v>
      </c>
    </row>
    <row r="4248" spans="1:1">
      <c r="A4248" t="s">
        <v>3508</v>
      </c>
    </row>
    <row r="4249" spans="1:1">
      <c r="A4249" t="s">
        <v>3509</v>
      </c>
    </row>
    <row r="4250" spans="1:1">
      <c r="A4250" t="s">
        <v>3510</v>
      </c>
    </row>
    <row r="4251" spans="1:1">
      <c r="A4251" t="s">
        <v>3511</v>
      </c>
    </row>
    <row r="4252" spans="1:1">
      <c r="A4252" t="s">
        <v>3512</v>
      </c>
    </row>
    <row r="4253" spans="1:1">
      <c r="A4253" t="s">
        <v>3513</v>
      </c>
    </row>
    <row r="4254" spans="1:1">
      <c r="A4254" t="s">
        <v>3514</v>
      </c>
    </row>
    <row r="4255" spans="1:1">
      <c r="A4255" t="s">
        <v>421</v>
      </c>
    </row>
    <row r="4256" spans="1:1">
      <c r="A4256" t="s">
        <v>3515</v>
      </c>
    </row>
    <row r="4261" spans="1:1">
      <c r="A4261" t="s">
        <v>3516</v>
      </c>
    </row>
    <row r="4262" spans="1:1">
      <c r="A4262" t="s">
        <v>371</v>
      </c>
    </row>
    <row r="4263" spans="1:1">
      <c r="A4263" t="s">
        <v>3517</v>
      </c>
    </row>
    <row r="4264" spans="1:1">
      <c r="A4264" t="s">
        <v>3518</v>
      </c>
    </row>
    <row r="4265" spans="1:1">
      <c r="A4265" t="s">
        <v>374</v>
      </c>
    </row>
    <row r="4266" spans="1:1">
      <c r="A4266" t="s">
        <v>3519</v>
      </c>
    </row>
    <row r="4267" spans="1:1">
      <c r="A4267" t="s">
        <v>376</v>
      </c>
    </row>
    <row r="4269" spans="1:1">
      <c r="A4269" t="s">
        <v>2807</v>
      </c>
    </row>
    <row r="4270" spans="1:1">
      <c r="A4270" t="s">
        <v>378</v>
      </c>
    </row>
    <row r="4271" spans="1:1">
      <c r="A4271" t="s">
        <v>3520</v>
      </c>
    </row>
    <row r="4272" spans="1:1">
      <c r="A4272" t="s">
        <v>3521</v>
      </c>
    </row>
    <row r="4273" spans="1:1">
      <c r="A4273" t="s">
        <v>3522</v>
      </c>
    </row>
    <row r="4274" spans="1:1">
      <c r="A4274" t="s">
        <v>3523</v>
      </c>
    </row>
    <row r="4275" spans="1:1">
      <c r="A4275" t="s">
        <v>3524</v>
      </c>
    </row>
    <row r="4276" spans="1:1">
      <c r="A4276" t="s">
        <v>3525</v>
      </c>
    </row>
    <row r="4277" spans="1:1">
      <c r="A4277" t="s">
        <v>3526</v>
      </c>
    </row>
    <row r="4278" spans="1:1">
      <c r="A4278" t="s">
        <v>3527</v>
      </c>
    </row>
    <row r="4279" spans="1:1">
      <c r="A4279" t="s">
        <v>3528</v>
      </c>
    </row>
    <row r="4280" spans="1:1">
      <c r="A4280" t="s">
        <v>3529</v>
      </c>
    </row>
    <row r="4281" spans="1:1">
      <c r="A4281" t="s">
        <v>3530</v>
      </c>
    </row>
    <row r="4282" spans="1:1">
      <c r="A4282" t="s">
        <v>3531</v>
      </c>
    </row>
    <row r="4283" spans="1:1">
      <c r="A4283" t="s">
        <v>3532</v>
      </c>
    </row>
    <row r="4286" spans="1:1">
      <c r="A4286" t="s">
        <v>392</v>
      </c>
    </row>
    <row r="4287" spans="1:1">
      <c r="A4287" t="s">
        <v>3533</v>
      </c>
    </row>
    <row r="4288" spans="1:1">
      <c r="A4288" t="s">
        <v>3534</v>
      </c>
    </row>
    <row r="4289" spans="1:1">
      <c r="A4289" t="s">
        <v>978</v>
      </c>
    </row>
    <row r="4290" spans="1:1">
      <c r="A4290" t="s">
        <v>3535</v>
      </c>
    </row>
    <row r="4291" spans="1:1">
      <c r="A4291" t="s">
        <v>3536</v>
      </c>
    </row>
    <row r="4292" spans="1:1">
      <c r="A4292" t="s">
        <v>3537</v>
      </c>
    </row>
    <row r="4293" spans="1:1">
      <c r="A4293" t="s">
        <v>3538</v>
      </c>
    </row>
    <row r="4294" spans="1:1">
      <c r="A4294" t="s">
        <v>983</v>
      </c>
    </row>
    <row r="4295" spans="1:1">
      <c r="A4295" t="s">
        <v>3539</v>
      </c>
    </row>
    <row r="4296" spans="1:1">
      <c r="A4296" t="s">
        <v>3540</v>
      </c>
    </row>
    <row r="4297" spans="1:1">
      <c r="A4297" t="s">
        <v>3541</v>
      </c>
    </row>
    <row r="4298" spans="1:1">
      <c r="A4298" t="s">
        <v>3542</v>
      </c>
    </row>
    <row r="4299" spans="1:1">
      <c r="A4299" t="s">
        <v>3543</v>
      </c>
    </row>
    <row r="4301" spans="1:1">
      <c r="A4301" t="s">
        <v>406</v>
      </c>
    </row>
    <row r="4302" spans="1:1">
      <c r="A4302" t="s">
        <v>3544</v>
      </c>
    </row>
    <row r="4303" spans="1:1">
      <c r="A4303" t="s">
        <v>3545</v>
      </c>
    </row>
    <row r="4304" spans="1:1">
      <c r="A4304" t="s">
        <v>3546</v>
      </c>
    </row>
    <row r="4305" spans="1:1">
      <c r="A4305" t="s">
        <v>3547</v>
      </c>
    </row>
    <row r="4306" spans="1:1">
      <c r="A4306" t="s">
        <v>3548</v>
      </c>
    </row>
    <row r="4307" spans="1:1">
      <c r="A4307" t="s">
        <v>3549</v>
      </c>
    </row>
    <row r="4308" spans="1:1">
      <c r="A4308" t="s">
        <v>3550</v>
      </c>
    </row>
    <row r="4309" spans="1:1">
      <c r="A4309" t="s">
        <v>3551</v>
      </c>
    </row>
    <row r="4310" spans="1:1">
      <c r="A4310" t="s">
        <v>3552</v>
      </c>
    </row>
    <row r="4311" spans="1:1">
      <c r="A4311" t="s">
        <v>3553</v>
      </c>
    </row>
    <row r="4312" spans="1:1">
      <c r="A4312" t="s">
        <v>3554</v>
      </c>
    </row>
    <row r="4313" spans="1:1">
      <c r="A4313" t="s">
        <v>3555</v>
      </c>
    </row>
    <row r="4314" spans="1:1">
      <c r="A4314" t="s">
        <v>3556</v>
      </c>
    </row>
    <row r="4315" spans="1:1">
      <c r="A4315" t="s">
        <v>3557</v>
      </c>
    </row>
    <row r="4316" spans="1:1">
      <c r="A4316" t="s">
        <v>421</v>
      </c>
    </row>
    <row r="4317" spans="1:1">
      <c r="A4317" t="s">
        <v>3558</v>
      </c>
    </row>
    <row r="4322" spans="1:1">
      <c r="A4322" t="s">
        <v>3559</v>
      </c>
    </row>
    <row r="4323" spans="1:1">
      <c r="A4323" t="s">
        <v>371</v>
      </c>
    </row>
    <row r="4324" spans="1:1">
      <c r="A4324" t="s">
        <v>3560</v>
      </c>
    </row>
    <row r="4325" spans="1:1">
      <c r="A4325" t="s">
        <v>3561</v>
      </c>
    </row>
    <row r="4326" spans="1:1">
      <c r="A4326" t="s">
        <v>374</v>
      </c>
    </row>
    <row r="4327" spans="1:1">
      <c r="A4327" t="s">
        <v>3562</v>
      </c>
    </row>
    <row r="4328" spans="1:1">
      <c r="A4328" t="s">
        <v>376</v>
      </c>
    </row>
    <row r="4330" spans="1:1">
      <c r="A4330" t="s">
        <v>2807</v>
      </c>
    </row>
    <row r="4331" spans="1:1">
      <c r="A4331" t="s">
        <v>378</v>
      </c>
    </row>
    <row r="4332" spans="1:1">
      <c r="A4332" t="s">
        <v>3563</v>
      </c>
    </row>
    <row r="4333" spans="1:1">
      <c r="A4333" t="s">
        <v>3564</v>
      </c>
    </row>
    <row r="4334" spans="1:1">
      <c r="A4334" t="s">
        <v>3565</v>
      </c>
    </row>
    <row r="4335" spans="1:1">
      <c r="A4335" t="s">
        <v>3566</v>
      </c>
    </row>
    <row r="4336" spans="1:1">
      <c r="A4336" t="s">
        <v>3567</v>
      </c>
    </row>
    <row r="4337" spans="1:1">
      <c r="A4337" t="s">
        <v>3568</v>
      </c>
    </row>
    <row r="4338" spans="1:1">
      <c r="A4338" t="s">
        <v>3569</v>
      </c>
    </row>
    <row r="4339" spans="1:1">
      <c r="A4339" t="s">
        <v>3570</v>
      </c>
    </row>
    <row r="4340" spans="1:1">
      <c r="A4340" t="s">
        <v>3571</v>
      </c>
    </row>
    <row r="4341" spans="1:1">
      <c r="A4341" t="s">
        <v>3572</v>
      </c>
    </row>
    <row r="4342" spans="1:1">
      <c r="A4342" t="s">
        <v>3573</v>
      </c>
    </row>
    <row r="4343" spans="1:1">
      <c r="A4343" t="s">
        <v>3574</v>
      </c>
    </row>
    <row r="4344" spans="1:1">
      <c r="A4344" t="s">
        <v>3575</v>
      </c>
    </row>
    <row r="4347" spans="1:1">
      <c r="A4347" t="s">
        <v>392</v>
      </c>
    </row>
    <row r="4348" spans="1:1">
      <c r="A4348" t="s">
        <v>3576</v>
      </c>
    </row>
    <row r="4349" spans="1:1">
      <c r="A4349" t="s">
        <v>3577</v>
      </c>
    </row>
    <row r="4350" spans="1:1">
      <c r="A4350" t="s">
        <v>3578</v>
      </c>
    </row>
    <row r="4351" spans="1:1">
      <c r="A4351" t="s">
        <v>3579</v>
      </c>
    </row>
    <row r="4352" spans="1:1">
      <c r="A4352" t="s">
        <v>3580</v>
      </c>
    </row>
    <row r="4353" spans="1:1">
      <c r="A4353" t="s">
        <v>3581</v>
      </c>
    </row>
    <row r="4354" spans="1:1">
      <c r="A4354" t="s">
        <v>3582</v>
      </c>
    </row>
    <row r="4355" spans="1:1">
      <c r="A4355" t="s">
        <v>3583</v>
      </c>
    </row>
    <row r="4356" spans="1:1">
      <c r="A4356" t="s">
        <v>3584</v>
      </c>
    </row>
    <row r="4357" spans="1:1">
      <c r="A4357" t="s">
        <v>3585</v>
      </c>
    </row>
    <row r="4358" spans="1:1">
      <c r="A4358" t="s">
        <v>3586</v>
      </c>
    </row>
    <row r="4359" spans="1:1">
      <c r="A4359" t="s">
        <v>3587</v>
      </c>
    </row>
    <row r="4360" spans="1:1">
      <c r="A4360" t="s">
        <v>3588</v>
      </c>
    </row>
    <row r="4362" spans="1:1">
      <c r="A4362" t="s">
        <v>406</v>
      </c>
    </row>
    <row r="4363" spans="1:1">
      <c r="A4363" t="s">
        <v>3589</v>
      </c>
    </row>
    <row r="4364" spans="1:1">
      <c r="A4364" t="s">
        <v>3590</v>
      </c>
    </row>
    <row r="4365" spans="1:1">
      <c r="A4365" t="s">
        <v>3591</v>
      </c>
    </row>
    <row r="4366" spans="1:1">
      <c r="A4366" t="s">
        <v>3592</v>
      </c>
    </row>
    <row r="4367" spans="1:1">
      <c r="A4367" t="s">
        <v>3593</v>
      </c>
    </row>
    <row r="4368" spans="1:1">
      <c r="A4368" t="s">
        <v>3594</v>
      </c>
    </row>
    <row r="4369" spans="1:1">
      <c r="A4369" t="s">
        <v>3595</v>
      </c>
    </row>
    <row r="4370" spans="1:1">
      <c r="A4370" t="s">
        <v>3596</v>
      </c>
    </row>
    <row r="4371" spans="1:1">
      <c r="A4371" t="s">
        <v>3597</v>
      </c>
    </row>
    <row r="4372" spans="1:1">
      <c r="A4372" t="s">
        <v>3598</v>
      </c>
    </row>
    <row r="4373" spans="1:1">
      <c r="A4373" t="s">
        <v>3599</v>
      </c>
    </row>
    <row r="4374" spans="1:1">
      <c r="A4374" t="s">
        <v>3600</v>
      </c>
    </row>
    <row r="4375" spans="1:1">
      <c r="A4375" t="s">
        <v>3601</v>
      </c>
    </row>
    <row r="4376" spans="1:1">
      <c r="A4376" t="s">
        <v>3602</v>
      </c>
    </row>
    <row r="4377" spans="1:1">
      <c r="A4377" t="s">
        <v>421</v>
      </c>
    </row>
    <row r="4378" spans="1:1">
      <c r="A4378" t="s">
        <v>3603</v>
      </c>
    </row>
    <row r="4383" spans="1:1">
      <c r="A4383" t="s">
        <v>3604</v>
      </c>
    </row>
    <row r="4384" spans="1:1">
      <c r="A4384" t="s">
        <v>371</v>
      </c>
    </row>
    <row r="4385" spans="1:1">
      <c r="A4385" t="s">
        <v>3605</v>
      </c>
    </row>
    <row r="4386" spans="1:1">
      <c r="A4386" t="s">
        <v>3606</v>
      </c>
    </row>
    <row r="4387" spans="1:1">
      <c r="A4387" t="s">
        <v>374</v>
      </c>
    </row>
    <row r="4388" spans="1:1">
      <c r="A4388" t="s">
        <v>3607</v>
      </c>
    </row>
    <row r="4389" spans="1:1">
      <c r="A4389" t="s">
        <v>376</v>
      </c>
    </row>
    <row r="4391" spans="1:1">
      <c r="A4391" t="s">
        <v>2807</v>
      </c>
    </row>
    <row r="4392" spans="1:1">
      <c r="A4392" t="s">
        <v>378</v>
      </c>
    </row>
    <row r="4393" spans="1:1">
      <c r="A4393" t="s">
        <v>3608</v>
      </c>
    </row>
    <row r="4394" spans="1:1">
      <c r="A4394" t="s">
        <v>3609</v>
      </c>
    </row>
    <row r="4395" spans="1:1">
      <c r="A4395" t="s">
        <v>3610</v>
      </c>
    </row>
    <row r="4396" spans="1:1">
      <c r="A4396" t="s">
        <v>3611</v>
      </c>
    </row>
    <row r="4397" spans="1:1">
      <c r="A4397" t="s">
        <v>3612</v>
      </c>
    </row>
    <row r="4398" spans="1:1">
      <c r="A4398" t="s">
        <v>3613</v>
      </c>
    </row>
    <row r="4399" spans="1:1">
      <c r="A4399" t="s">
        <v>3614</v>
      </c>
    </row>
    <row r="4400" spans="1:1">
      <c r="A4400" t="s">
        <v>3615</v>
      </c>
    </row>
    <row r="4401" spans="1:1">
      <c r="A4401" t="s">
        <v>3616</v>
      </c>
    </row>
    <row r="4402" spans="1:1">
      <c r="A4402" t="s">
        <v>3617</v>
      </c>
    </row>
    <row r="4403" spans="1:1">
      <c r="A4403" t="s">
        <v>3618</v>
      </c>
    </row>
    <row r="4404" spans="1:1">
      <c r="A4404" t="s">
        <v>3619</v>
      </c>
    </row>
    <row r="4405" spans="1:1">
      <c r="A4405" t="s">
        <v>3620</v>
      </c>
    </row>
    <row r="4408" spans="1:1">
      <c r="A4408" t="s">
        <v>392</v>
      </c>
    </row>
    <row r="4409" spans="1:1">
      <c r="A4409" t="s">
        <v>3621</v>
      </c>
    </row>
    <row r="4410" spans="1:1">
      <c r="A4410" t="s">
        <v>3622</v>
      </c>
    </row>
    <row r="4411" spans="1:1">
      <c r="A4411" t="s">
        <v>3623</v>
      </c>
    </row>
    <row r="4412" spans="1:1">
      <c r="A4412" t="s">
        <v>3624</v>
      </c>
    </row>
    <row r="4413" spans="1:1">
      <c r="A4413" t="s">
        <v>3625</v>
      </c>
    </row>
    <row r="4414" spans="1:1">
      <c r="A4414" t="s">
        <v>3626</v>
      </c>
    </row>
    <row r="4415" spans="1:1">
      <c r="A4415" t="s">
        <v>3627</v>
      </c>
    </row>
    <row r="4416" spans="1:1">
      <c r="A4416" t="s">
        <v>3628</v>
      </c>
    </row>
    <row r="4417" spans="1:1">
      <c r="A4417" t="s">
        <v>3629</v>
      </c>
    </row>
    <row r="4418" spans="1:1">
      <c r="A4418" t="s">
        <v>3630</v>
      </c>
    </row>
    <row r="4419" spans="1:1">
      <c r="A4419" t="s">
        <v>3631</v>
      </c>
    </row>
    <row r="4420" spans="1:1">
      <c r="A4420" t="s">
        <v>3632</v>
      </c>
    </row>
    <row r="4421" spans="1:1">
      <c r="A4421" t="s">
        <v>3633</v>
      </c>
    </row>
    <row r="4423" spans="1:1">
      <c r="A4423" t="s">
        <v>406</v>
      </c>
    </row>
    <row r="4424" spans="1:1">
      <c r="A4424" t="s">
        <v>3634</v>
      </c>
    </row>
    <row r="4425" spans="1:1">
      <c r="A4425" t="s">
        <v>3635</v>
      </c>
    </row>
    <row r="4426" spans="1:1">
      <c r="A4426" t="s">
        <v>3636</v>
      </c>
    </row>
    <row r="4427" spans="1:1">
      <c r="A4427" t="s">
        <v>3637</v>
      </c>
    </row>
    <row r="4428" spans="1:1">
      <c r="A4428" t="s">
        <v>3638</v>
      </c>
    </row>
    <row r="4429" spans="1:1">
      <c r="A4429" t="s">
        <v>3639</v>
      </c>
    </row>
    <row r="4430" spans="1:1">
      <c r="A4430" t="s">
        <v>3640</v>
      </c>
    </row>
    <row r="4431" spans="1:1">
      <c r="A4431" t="s">
        <v>3641</v>
      </c>
    </row>
    <row r="4432" spans="1:1">
      <c r="A4432" t="s">
        <v>3642</v>
      </c>
    </row>
    <row r="4433" spans="1:1">
      <c r="A4433" t="s">
        <v>3643</v>
      </c>
    </row>
    <row r="4434" spans="1:1">
      <c r="A4434" t="s">
        <v>3644</v>
      </c>
    </row>
    <row r="4435" spans="1:1">
      <c r="A4435" t="s">
        <v>3645</v>
      </c>
    </row>
    <row r="4436" spans="1:1">
      <c r="A4436" t="s">
        <v>3646</v>
      </c>
    </row>
    <row r="4437" spans="1:1">
      <c r="A4437" t="s">
        <v>3647</v>
      </c>
    </row>
    <row r="4438" spans="1:1">
      <c r="A4438" t="s">
        <v>421</v>
      </c>
    </row>
    <row r="4439" spans="1:1">
      <c r="A4439" t="s">
        <v>3648</v>
      </c>
    </row>
    <row r="4444" spans="1:1">
      <c r="A4444" t="s">
        <v>3649</v>
      </c>
    </row>
    <row r="4445" spans="1:1">
      <c r="A4445" t="s">
        <v>371</v>
      </c>
    </row>
    <row r="4446" spans="1:1">
      <c r="A4446" t="s">
        <v>3650</v>
      </c>
    </row>
    <row r="4447" spans="1:1">
      <c r="A4447" t="s">
        <v>3651</v>
      </c>
    </row>
    <row r="4448" spans="1:1">
      <c r="A4448" t="s">
        <v>374</v>
      </c>
    </row>
    <row r="4449" spans="1:1">
      <c r="A4449" t="s">
        <v>3652</v>
      </c>
    </row>
    <row r="4450" spans="1:1">
      <c r="A4450" t="s">
        <v>376</v>
      </c>
    </row>
    <row r="4452" spans="1:1">
      <c r="A4452" t="s">
        <v>2807</v>
      </c>
    </row>
    <row r="4453" spans="1:1">
      <c r="A4453" t="s">
        <v>378</v>
      </c>
    </row>
    <row r="4454" spans="1:1">
      <c r="A4454" t="s">
        <v>3653</v>
      </c>
    </row>
    <row r="4455" spans="1:1">
      <c r="A4455" t="s">
        <v>3654</v>
      </c>
    </row>
    <row r="4456" spans="1:1">
      <c r="A4456" t="s">
        <v>3655</v>
      </c>
    </row>
    <row r="4457" spans="1:1">
      <c r="A4457" t="s">
        <v>3656</v>
      </c>
    </row>
    <row r="4458" spans="1:1">
      <c r="A4458" t="s">
        <v>3657</v>
      </c>
    </row>
    <row r="4459" spans="1:1">
      <c r="A4459" t="s">
        <v>3658</v>
      </c>
    </row>
    <row r="4460" spans="1:1">
      <c r="A4460" t="s">
        <v>3659</v>
      </c>
    </row>
    <row r="4461" spans="1:1">
      <c r="A4461" t="s">
        <v>3660</v>
      </c>
    </row>
    <row r="4462" spans="1:1">
      <c r="A4462" t="s">
        <v>3661</v>
      </c>
    </row>
    <row r="4463" spans="1:1">
      <c r="A4463" t="s">
        <v>3662</v>
      </c>
    </row>
    <row r="4464" spans="1:1">
      <c r="A4464" t="s">
        <v>3663</v>
      </c>
    </row>
    <row r="4465" spans="1:1">
      <c r="A4465" t="s">
        <v>3664</v>
      </c>
    </row>
    <row r="4466" spans="1:1">
      <c r="A4466" t="s">
        <v>3665</v>
      </c>
    </row>
    <row r="4469" spans="1:1">
      <c r="A4469" t="s">
        <v>392</v>
      </c>
    </row>
    <row r="4470" spans="1:1">
      <c r="A4470" t="s">
        <v>3666</v>
      </c>
    </row>
    <row r="4471" spans="1:1">
      <c r="A4471" t="s">
        <v>3667</v>
      </c>
    </row>
    <row r="4472" spans="1:1">
      <c r="A4472" t="s">
        <v>3668</v>
      </c>
    </row>
    <row r="4473" spans="1:1">
      <c r="A4473" t="s">
        <v>3669</v>
      </c>
    </row>
    <row r="4474" spans="1:1">
      <c r="A4474" t="s">
        <v>3670</v>
      </c>
    </row>
    <row r="4475" spans="1:1">
      <c r="A4475" t="s">
        <v>3671</v>
      </c>
    </row>
    <row r="4476" spans="1:1">
      <c r="A4476" t="s">
        <v>3672</v>
      </c>
    </row>
    <row r="4477" spans="1:1">
      <c r="A4477" t="s">
        <v>3673</v>
      </c>
    </row>
    <row r="4478" spans="1:1">
      <c r="A4478" t="s">
        <v>3674</v>
      </c>
    </row>
    <row r="4479" spans="1:1">
      <c r="A4479" t="s">
        <v>3675</v>
      </c>
    </row>
    <row r="4480" spans="1:1">
      <c r="A4480" t="s">
        <v>3676</v>
      </c>
    </row>
    <row r="4481" spans="1:1">
      <c r="A4481" t="s">
        <v>3677</v>
      </c>
    </row>
    <row r="4482" spans="1:1">
      <c r="A4482" t="s">
        <v>3678</v>
      </c>
    </row>
    <row r="4484" spans="1:1">
      <c r="A4484" t="s">
        <v>406</v>
      </c>
    </row>
    <row r="4485" spans="1:1">
      <c r="A4485" t="s">
        <v>3679</v>
      </c>
    </row>
    <row r="4486" spans="1:1">
      <c r="A4486" t="s">
        <v>3680</v>
      </c>
    </row>
    <row r="4487" spans="1:1">
      <c r="A4487" t="s">
        <v>3681</v>
      </c>
    </row>
    <row r="4488" spans="1:1">
      <c r="A4488" t="s">
        <v>3682</v>
      </c>
    </row>
    <row r="4489" spans="1:1">
      <c r="A4489" t="s">
        <v>3683</v>
      </c>
    </row>
    <row r="4490" spans="1:1">
      <c r="A4490" t="s">
        <v>3684</v>
      </c>
    </row>
    <row r="4491" spans="1:1">
      <c r="A4491" t="s">
        <v>3685</v>
      </c>
    </row>
    <row r="4492" spans="1:1">
      <c r="A4492" t="s">
        <v>3686</v>
      </c>
    </row>
    <row r="4493" spans="1:1">
      <c r="A4493" t="s">
        <v>3687</v>
      </c>
    </row>
    <row r="4494" spans="1:1">
      <c r="A4494" t="s">
        <v>3688</v>
      </c>
    </row>
    <row r="4495" spans="1:1">
      <c r="A4495" t="s">
        <v>3689</v>
      </c>
    </row>
    <row r="4496" spans="1:1">
      <c r="A4496" t="s">
        <v>3690</v>
      </c>
    </row>
    <row r="4497" spans="1:1">
      <c r="A4497" t="s">
        <v>3691</v>
      </c>
    </row>
    <row r="4498" spans="1:1">
      <c r="A4498" t="s">
        <v>3692</v>
      </c>
    </row>
    <row r="4499" spans="1:1">
      <c r="A4499" t="s">
        <v>421</v>
      </c>
    </row>
    <row r="4500" spans="1:1">
      <c r="A4500" t="s">
        <v>3693</v>
      </c>
    </row>
    <row r="4505" spans="1:1">
      <c r="A4505" t="s">
        <v>3694</v>
      </c>
    </row>
    <row r="4506" spans="1:1">
      <c r="A4506" t="s">
        <v>371</v>
      </c>
    </row>
    <row r="4507" spans="1:1">
      <c r="A4507" t="s">
        <v>3695</v>
      </c>
    </row>
    <row r="4508" spans="1:1">
      <c r="A4508" t="s">
        <v>3696</v>
      </c>
    </row>
    <row r="4509" spans="1:1">
      <c r="A4509" t="s">
        <v>374</v>
      </c>
    </row>
    <row r="4510" spans="1:1">
      <c r="A4510" t="s">
        <v>3697</v>
      </c>
    </row>
    <row r="4511" spans="1:1">
      <c r="A4511" t="s">
        <v>376</v>
      </c>
    </row>
    <row r="4513" spans="1:1">
      <c r="A4513" t="s">
        <v>3429</v>
      </c>
    </row>
    <row r="4514" spans="1:1">
      <c r="A4514" t="s">
        <v>378</v>
      </c>
    </row>
    <row r="4515" spans="1:1">
      <c r="A4515" t="s">
        <v>3698</v>
      </c>
    </row>
    <row r="4516" spans="1:1">
      <c r="A4516" t="s">
        <v>3699</v>
      </c>
    </row>
    <row r="4517" spans="1:1">
      <c r="A4517" t="s">
        <v>3700</v>
      </c>
    </row>
    <row r="4518" spans="1:1">
      <c r="A4518" t="s">
        <v>3701</v>
      </c>
    </row>
    <row r="4519" spans="1:1">
      <c r="A4519" t="s">
        <v>3702</v>
      </c>
    </row>
    <row r="4520" spans="1:1">
      <c r="A4520" t="s">
        <v>3703</v>
      </c>
    </row>
    <row r="4521" spans="1:1">
      <c r="A4521" t="s">
        <v>3704</v>
      </c>
    </row>
    <row r="4522" spans="1:1">
      <c r="A4522" t="s">
        <v>3705</v>
      </c>
    </row>
    <row r="4523" spans="1:1">
      <c r="A4523" t="s">
        <v>3706</v>
      </c>
    </row>
    <row r="4524" spans="1:1">
      <c r="A4524" t="s">
        <v>3707</v>
      </c>
    </row>
    <row r="4525" spans="1:1">
      <c r="A4525" t="s">
        <v>3708</v>
      </c>
    </row>
    <row r="4526" spans="1:1">
      <c r="A4526" t="s">
        <v>3709</v>
      </c>
    </row>
    <row r="4527" spans="1:1">
      <c r="A4527" t="s">
        <v>3710</v>
      </c>
    </row>
    <row r="4530" spans="1:1">
      <c r="A4530" t="s">
        <v>392</v>
      </c>
    </row>
    <row r="4531" spans="1:1">
      <c r="A4531" t="s">
        <v>3711</v>
      </c>
    </row>
    <row r="4532" spans="1:1">
      <c r="A4532" t="s">
        <v>3712</v>
      </c>
    </row>
    <row r="4533" spans="1:1">
      <c r="A4533" t="s">
        <v>3713</v>
      </c>
    </row>
    <row r="4534" spans="1:1">
      <c r="A4534" t="s">
        <v>3714</v>
      </c>
    </row>
    <row r="4535" spans="1:1">
      <c r="A4535" t="s">
        <v>3715</v>
      </c>
    </row>
    <row r="4536" spans="1:1">
      <c r="A4536" t="s">
        <v>3716</v>
      </c>
    </row>
    <row r="4537" spans="1:1">
      <c r="A4537" t="s">
        <v>3717</v>
      </c>
    </row>
    <row r="4538" spans="1:1">
      <c r="A4538" t="s">
        <v>3718</v>
      </c>
    </row>
    <row r="4539" spans="1:1">
      <c r="A4539" t="s">
        <v>3719</v>
      </c>
    </row>
    <row r="4540" spans="1:1">
      <c r="A4540" t="s">
        <v>3720</v>
      </c>
    </row>
    <row r="4541" spans="1:1">
      <c r="A4541" t="s">
        <v>3721</v>
      </c>
    </row>
    <row r="4542" spans="1:1">
      <c r="A4542" t="s">
        <v>3722</v>
      </c>
    </row>
    <row r="4543" spans="1:1">
      <c r="A4543" t="s">
        <v>3723</v>
      </c>
    </row>
    <row r="4545" spans="1:1">
      <c r="A4545" t="s">
        <v>406</v>
      </c>
    </row>
    <row r="4546" spans="1:1">
      <c r="A4546" t="s">
        <v>3724</v>
      </c>
    </row>
    <row r="4547" spans="1:1">
      <c r="A4547" t="s">
        <v>3725</v>
      </c>
    </row>
    <row r="4548" spans="1:1">
      <c r="A4548" t="s">
        <v>3726</v>
      </c>
    </row>
    <row r="4549" spans="1:1">
      <c r="A4549" t="s">
        <v>3727</v>
      </c>
    </row>
    <row r="4550" spans="1:1">
      <c r="A4550" t="s">
        <v>3728</v>
      </c>
    </row>
    <row r="4551" spans="1:1">
      <c r="A4551" t="s">
        <v>3729</v>
      </c>
    </row>
    <row r="4552" spans="1:1">
      <c r="A4552" t="s">
        <v>3730</v>
      </c>
    </row>
    <row r="4553" spans="1:1">
      <c r="A4553" t="s">
        <v>3731</v>
      </c>
    </row>
    <row r="4554" spans="1:1">
      <c r="A4554" t="s">
        <v>3732</v>
      </c>
    </row>
    <row r="4555" spans="1:1">
      <c r="A4555" t="s">
        <v>3733</v>
      </c>
    </row>
    <row r="4556" spans="1:1">
      <c r="A4556" t="s">
        <v>3734</v>
      </c>
    </row>
    <row r="4557" spans="1:1">
      <c r="A4557" t="s">
        <v>3735</v>
      </c>
    </row>
    <row r="4558" spans="1:1">
      <c r="A4558" t="s">
        <v>3736</v>
      </c>
    </row>
    <row r="4559" spans="1:1">
      <c r="A4559" t="s">
        <v>3737</v>
      </c>
    </row>
    <row r="4560" spans="1:1">
      <c r="A4560" t="s">
        <v>421</v>
      </c>
    </row>
    <row r="4561" spans="1:1">
      <c r="A4561" t="s">
        <v>3738</v>
      </c>
    </row>
    <row r="4566" spans="1:1">
      <c r="A4566" t="s">
        <v>3739</v>
      </c>
    </row>
    <row r="4567" spans="1:1">
      <c r="A4567" t="s">
        <v>371</v>
      </c>
    </row>
    <row r="4568" spans="1:1">
      <c r="A4568" t="s">
        <v>3740</v>
      </c>
    </row>
    <row r="4569" spans="1:1">
      <c r="A4569" t="s">
        <v>3741</v>
      </c>
    </row>
    <row r="4570" spans="1:1">
      <c r="A4570" t="s">
        <v>374</v>
      </c>
    </row>
    <row r="4571" spans="1:1">
      <c r="A4571" t="s">
        <v>3742</v>
      </c>
    </row>
    <row r="4572" spans="1:1">
      <c r="A4572" t="s">
        <v>376</v>
      </c>
    </row>
    <row r="4574" spans="1:1">
      <c r="A4574" t="s">
        <v>2807</v>
      </c>
    </row>
    <row r="4575" spans="1:1">
      <c r="A4575" t="s">
        <v>378</v>
      </c>
    </row>
    <row r="4576" spans="1:1">
      <c r="A4576" t="s">
        <v>3743</v>
      </c>
    </row>
    <row r="4577" spans="1:1">
      <c r="A4577" t="s">
        <v>3744</v>
      </c>
    </row>
    <row r="4578" spans="1:1">
      <c r="A4578" t="s">
        <v>3745</v>
      </c>
    </row>
    <row r="4579" spans="1:1">
      <c r="A4579" t="s">
        <v>3746</v>
      </c>
    </row>
    <row r="4580" spans="1:1">
      <c r="A4580" t="s">
        <v>3747</v>
      </c>
    </row>
    <row r="4581" spans="1:1">
      <c r="A4581" t="s">
        <v>3748</v>
      </c>
    </row>
    <row r="4582" spans="1:1">
      <c r="A4582" t="s">
        <v>3749</v>
      </c>
    </row>
    <row r="4583" spans="1:1">
      <c r="A4583" t="s">
        <v>3750</v>
      </c>
    </row>
    <row r="4584" spans="1:1">
      <c r="A4584" t="s">
        <v>3751</v>
      </c>
    </row>
    <row r="4585" spans="1:1">
      <c r="A4585" t="s">
        <v>3752</v>
      </c>
    </row>
    <row r="4586" spans="1:1">
      <c r="A4586" t="s">
        <v>3753</v>
      </c>
    </row>
    <row r="4587" spans="1:1">
      <c r="A4587" t="s">
        <v>3754</v>
      </c>
    </row>
    <row r="4588" spans="1:1">
      <c r="A4588" t="s">
        <v>3755</v>
      </c>
    </row>
    <row r="4591" spans="1:1">
      <c r="A4591" t="s">
        <v>392</v>
      </c>
    </row>
    <row r="4592" spans="1:1">
      <c r="A4592" t="s">
        <v>3756</v>
      </c>
    </row>
    <row r="4593" spans="1:1">
      <c r="A4593" t="s">
        <v>3757</v>
      </c>
    </row>
    <row r="4594" spans="1:1">
      <c r="A4594" t="s">
        <v>3758</v>
      </c>
    </row>
    <row r="4595" spans="1:1">
      <c r="A4595" t="s">
        <v>3759</v>
      </c>
    </row>
    <row r="4596" spans="1:1">
      <c r="A4596" t="s">
        <v>3760</v>
      </c>
    </row>
    <row r="4597" spans="1:1">
      <c r="A4597" t="s">
        <v>3761</v>
      </c>
    </row>
    <row r="4598" spans="1:1">
      <c r="A4598" t="s">
        <v>3762</v>
      </c>
    </row>
    <row r="4599" spans="1:1">
      <c r="A4599" t="s">
        <v>3763</v>
      </c>
    </row>
    <row r="4600" spans="1:1">
      <c r="A4600" t="s">
        <v>3764</v>
      </c>
    </row>
    <row r="4601" spans="1:1">
      <c r="A4601" t="s">
        <v>3765</v>
      </c>
    </row>
    <row r="4602" spans="1:1">
      <c r="A4602" t="s">
        <v>3766</v>
      </c>
    </row>
    <row r="4603" spans="1:1">
      <c r="A4603" t="s">
        <v>3767</v>
      </c>
    </row>
    <row r="4604" spans="1:1">
      <c r="A4604" t="s">
        <v>3768</v>
      </c>
    </row>
    <row r="4606" spans="1:1">
      <c r="A4606" t="s">
        <v>406</v>
      </c>
    </row>
    <row r="4607" spans="1:1">
      <c r="A4607" t="s">
        <v>3769</v>
      </c>
    </row>
    <row r="4608" spans="1:1">
      <c r="A4608" t="s">
        <v>3770</v>
      </c>
    </row>
    <row r="4609" spans="1:1">
      <c r="A4609" t="s">
        <v>3771</v>
      </c>
    </row>
    <row r="4610" spans="1:1">
      <c r="A4610" t="s">
        <v>3772</v>
      </c>
    </row>
    <row r="4611" spans="1:1">
      <c r="A4611" t="s">
        <v>3773</v>
      </c>
    </row>
    <row r="4612" spans="1:1">
      <c r="A4612" t="s">
        <v>3774</v>
      </c>
    </row>
    <row r="4613" spans="1:1">
      <c r="A4613" t="s">
        <v>3775</v>
      </c>
    </row>
    <row r="4614" spans="1:1">
      <c r="A4614" t="s">
        <v>3776</v>
      </c>
    </row>
    <row r="4615" spans="1:1">
      <c r="A4615" t="s">
        <v>3777</v>
      </c>
    </row>
    <row r="4616" spans="1:1">
      <c r="A4616" t="s">
        <v>3778</v>
      </c>
    </row>
    <row r="4617" spans="1:1">
      <c r="A4617" t="s">
        <v>3779</v>
      </c>
    </row>
    <row r="4618" spans="1:1">
      <c r="A4618" t="s">
        <v>3780</v>
      </c>
    </row>
    <row r="4619" spans="1:1">
      <c r="A4619" t="s">
        <v>3781</v>
      </c>
    </row>
    <row r="4620" spans="1:1">
      <c r="A4620" t="s">
        <v>3782</v>
      </c>
    </row>
    <row r="4621" spans="1:1">
      <c r="A4621" t="s">
        <v>421</v>
      </c>
    </row>
    <row r="4622" spans="1:1">
      <c r="A4622" t="s">
        <v>3783</v>
      </c>
    </row>
    <row r="4627" spans="1:1">
      <c r="A4627" t="s">
        <v>3784</v>
      </c>
    </row>
    <row r="4628" spans="1:1">
      <c r="A4628" t="s">
        <v>371</v>
      </c>
    </row>
    <row r="4629" spans="1:1">
      <c r="A4629" t="s">
        <v>3785</v>
      </c>
    </row>
    <row r="4630" spans="1:1">
      <c r="A4630" t="s">
        <v>3786</v>
      </c>
    </row>
    <row r="4631" spans="1:1">
      <c r="A4631" t="s">
        <v>374</v>
      </c>
    </row>
    <row r="4632" spans="1:1">
      <c r="A4632" t="s">
        <v>3787</v>
      </c>
    </row>
    <row r="4633" spans="1:1">
      <c r="A4633" t="s">
        <v>376</v>
      </c>
    </row>
    <row r="4635" spans="1:1">
      <c r="A4635" t="s">
        <v>3429</v>
      </c>
    </row>
    <row r="4636" spans="1:1">
      <c r="A4636" t="s">
        <v>378</v>
      </c>
    </row>
    <row r="4637" spans="1:1">
      <c r="A4637" t="s">
        <v>3788</v>
      </c>
    </row>
    <row r="4638" spans="1:1">
      <c r="A4638" t="s">
        <v>3789</v>
      </c>
    </row>
    <row r="4639" spans="1:1">
      <c r="A4639" t="s">
        <v>3790</v>
      </c>
    </row>
    <row r="4640" spans="1:1">
      <c r="A4640" t="s">
        <v>3791</v>
      </c>
    </row>
    <row r="4641" spans="1:1">
      <c r="A4641" t="s">
        <v>3792</v>
      </c>
    </row>
    <row r="4642" spans="1:1">
      <c r="A4642" t="s">
        <v>3793</v>
      </c>
    </row>
    <row r="4643" spans="1:1">
      <c r="A4643" t="s">
        <v>3794</v>
      </c>
    </row>
    <row r="4644" spans="1:1">
      <c r="A4644" t="s">
        <v>3795</v>
      </c>
    </row>
    <row r="4645" spans="1:1">
      <c r="A4645" t="s">
        <v>3796</v>
      </c>
    </row>
    <row r="4646" spans="1:1">
      <c r="A4646" t="s">
        <v>3797</v>
      </c>
    </row>
    <row r="4647" spans="1:1">
      <c r="A4647" t="s">
        <v>3798</v>
      </c>
    </row>
    <row r="4648" spans="1:1">
      <c r="A4648" t="s">
        <v>3799</v>
      </c>
    </row>
    <row r="4649" spans="1:1">
      <c r="A4649" t="s">
        <v>3800</v>
      </c>
    </row>
    <row r="4652" spans="1:1">
      <c r="A4652" t="s">
        <v>392</v>
      </c>
    </row>
    <row r="4653" spans="1:1">
      <c r="A4653" t="s">
        <v>3801</v>
      </c>
    </row>
    <row r="4654" spans="1:1">
      <c r="A4654" t="s">
        <v>3802</v>
      </c>
    </row>
    <row r="4655" spans="1:1">
      <c r="A4655" t="s">
        <v>3803</v>
      </c>
    </row>
    <row r="4656" spans="1:1">
      <c r="A4656" t="s">
        <v>3804</v>
      </c>
    </row>
    <row r="4657" spans="1:1">
      <c r="A4657" t="s">
        <v>3805</v>
      </c>
    </row>
    <row r="4658" spans="1:1">
      <c r="A4658" t="s">
        <v>3806</v>
      </c>
    </row>
    <row r="4659" spans="1:1">
      <c r="A4659" t="s">
        <v>3807</v>
      </c>
    </row>
    <row r="4660" spans="1:1">
      <c r="A4660" t="s">
        <v>3808</v>
      </c>
    </row>
    <row r="4661" spans="1:1">
      <c r="A4661" t="s">
        <v>3809</v>
      </c>
    </row>
    <row r="4662" spans="1:1">
      <c r="A4662" t="s">
        <v>3810</v>
      </c>
    </row>
    <row r="4663" spans="1:1">
      <c r="A4663" t="s">
        <v>3811</v>
      </c>
    </row>
    <row r="4664" spans="1:1">
      <c r="A4664" t="s">
        <v>3812</v>
      </c>
    </row>
    <row r="4665" spans="1:1">
      <c r="A4665" t="s">
        <v>3813</v>
      </c>
    </row>
    <row r="4667" spans="1:1">
      <c r="A4667" t="s">
        <v>406</v>
      </c>
    </row>
    <row r="4668" spans="1:1">
      <c r="A4668" t="s">
        <v>3814</v>
      </c>
    </row>
    <row r="4669" spans="1:1">
      <c r="A4669" t="s">
        <v>3815</v>
      </c>
    </row>
    <row r="4670" spans="1:1">
      <c r="A4670" t="s">
        <v>3816</v>
      </c>
    </row>
    <row r="4671" spans="1:1">
      <c r="A4671" t="s">
        <v>3817</v>
      </c>
    </row>
    <row r="4672" spans="1:1">
      <c r="A4672" t="s">
        <v>3818</v>
      </c>
    </row>
    <row r="4673" spans="1:1">
      <c r="A4673" t="s">
        <v>3819</v>
      </c>
    </row>
    <row r="4674" spans="1:1">
      <c r="A4674" t="s">
        <v>3820</v>
      </c>
    </row>
    <row r="4675" spans="1:1">
      <c r="A4675" t="s">
        <v>3821</v>
      </c>
    </row>
    <row r="4676" spans="1:1">
      <c r="A4676" t="s">
        <v>3822</v>
      </c>
    </row>
    <row r="4677" spans="1:1">
      <c r="A4677" t="s">
        <v>3823</v>
      </c>
    </row>
    <row r="4678" spans="1:1">
      <c r="A4678" t="s">
        <v>3824</v>
      </c>
    </row>
    <row r="4679" spans="1:1">
      <c r="A4679" t="s">
        <v>3825</v>
      </c>
    </row>
    <row r="4680" spans="1:1">
      <c r="A4680" t="s">
        <v>3826</v>
      </c>
    </row>
    <row r="4681" spans="1:1">
      <c r="A4681" t="s">
        <v>3827</v>
      </c>
    </row>
    <row r="4682" spans="1:1">
      <c r="A4682" t="s">
        <v>421</v>
      </c>
    </row>
    <row r="4683" spans="1:1">
      <c r="A4683" t="s">
        <v>3828</v>
      </c>
    </row>
    <row r="4688" spans="1:1">
      <c r="A4688" t="s">
        <v>3829</v>
      </c>
    </row>
    <row r="4689" spans="1:1">
      <c r="A4689" t="s">
        <v>371</v>
      </c>
    </row>
    <row r="4690" spans="1:1">
      <c r="A4690" t="s">
        <v>3830</v>
      </c>
    </row>
    <row r="4691" spans="1:1">
      <c r="A4691" t="s">
        <v>3831</v>
      </c>
    </row>
    <row r="4692" spans="1:1">
      <c r="A4692" t="s">
        <v>374</v>
      </c>
    </row>
    <row r="4693" spans="1:1">
      <c r="A4693" t="s">
        <v>3832</v>
      </c>
    </row>
    <row r="4694" spans="1:1">
      <c r="A4694" t="s">
        <v>376</v>
      </c>
    </row>
    <row r="4696" spans="1:1">
      <c r="A4696" t="s">
        <v>2807</v>
      </c>
    </row>
    <row r="4697" spans="1:1">
      <c r="A4697" t="s">
        <v>378</v>
      </c>
    </row>
    <row r="4698" spans="1:1">
      <c r="A4698" t="s">
        <v>3833</v>
      </c>
    </row>
    <row r="4699" spans="1:1">
      <c r="A4699" t="s">
        <v>3834</v>
      </c>
    </row>
    <row r="4700" spans="1:1">
      <c r="A4700" t="s">
        <v>3835</v>
      </c>
    </row>
    <row r="4701" spans="1:1">
      <c r="A4701" t="s">
        <v>3836</v>
      </c>
    </row>
    <row r="4702" spans="1:1">
      <c r="A4702" t="s">
        <v>3837</v>
      </c>
    </row>
    <row r="4703" spans="1:1">
      <c r="A4703" t="s">
        <v>3838</v>
      </c>
    </row>
    <row r="4704" spans="1:1">
      <c r="A4704" t="s">
        <v>3839</v>
      </c>
    </row>
    <row r="4705" spans="1:1">
      <c r="A4705" t="s">
        <v>3840</v>
      </c>
    </row>
    <row r="4706" spans="1:1">
      <c r="A4706" t="s">
        <v>3841</v>
      </c>
    </row>
    <row r="4707" spans="1:1">
      <c r="A4707" t="s">
        <v>3842</v>
      </c>
    </row>
    <row r="4708" spans="1:1">
      <c r="A4708" t="s">
        <v>3843</v>
      </c>
    </row>
    <row r="4709" spans="1:1">
      <c r="A4709" t="s">
        <v>3844</v>
      </c>
    </row>
    <row r="4710" spans="1:1">
      <c r="A4710" t="s">
        <v>3845</v>
      </c>
    </row>
    <row r="4713" spans="1:1">
      <c r="A4713" t="s">
        <v>392</v>
      </c>
    </row>
    <row r="4714" spans="1:1">
      <c r="A4714" t="s">
        <v>3846</v>
      </c>
    </row>
    <row r="4715" spans="1:1">
      <c r="A4715" t="s">
        <v>3847</v>
      </c>
    </row>
    <row r="4716" spans="1:1">
      <c r="A4716" t="s">
        <v>3848</v>
      </c>
    </row>
    <row r="4717" spans="1:1">
      <c r="A4717" t="s">
        <v>3849</v>
      </c>
    </row>
    <row r="4718" spans="1:1">
      <c r="A4718" t="s">
        <v>3850</v>
      </c>
    </row>
    <row r="4719" spans="1:1">
      <c r="A4719" t="s">
        <v>3851</v>
      </c>
    </row>
    <row r="4720" spans="1:1">
      <c r="A4720" t="s">
        <v>3852</v>
      </c>
    </row>
    <row r="4721" spans="1:1">
      <c r="A4721" t="s">
        <v>3853</v>
      </c>
    </row>
    <row r="4722" spans="1:1">
      <c r="A4722" t="s">
        <v>3854</v>
      </c>
    </row>
    <row r="4723" spans="1:1">
      <c r="A4723" t="s">
        <v>3855</v>
      </c>
    </row>
    <row r="4724" spans="1:1">
      <c r="A4724" t="s">
        <v>3856</v>
      </c>
    </row>
    <row r="4725" spans="1:1">
      <c r="A4725" t="s">
        <v>3857</v>
      </c>
    </row>
    <row r="4726" spans="1:1">
      <c r="A4726" t="s">
        <v>3858</v>
      </c>
    </row>
    <row r="4728" spans="1:1">
      <c r="A4728" t="s">
        <v>406</v>
      </c>
    </row>
    <row r="4729" spans="1:1">
      <c r="A4729" t="s">
        <v>3859</v>
      </c>
    </row>
    <row r="4730" spans="1:1">
      <c r="A4730" t="s">
        <v>3860</v>
      </c>
    </row>
    <row r="4731" spans="1:1">
      <c r="A4731" t="s">
        <v>3861</v>
      </c>
    </row>
    <row r="4732" spans="1:1">
      <c r="A4732" t="s">
        <v>3862</v>
      </c>
    </row>
    <row r="4733" spans="1:1">
      <c r="A4733" t="s">
        <v>3863</v>
      </c>
    </row>
    <row r="4734" spans="1:1">
      <c r="A4734" t="s">
        <v>3864</v>
      </c>
    </row>
    <row r="4735" spans="1:1">
      <c r="A4735" t="s">
        <v>3865</v>
      </c>
    </row>
    <row r="4736" spans="1:1">
      <c r="A4736" t="s">
        <v>3866</v>
      </c>
    </row>
    <row r="4737" spans="1:1">
      <c r="A4737" t="s">
        <v>3867</v>
      </c>
    </row>
    <row r="4738" spans="1:1">
      <c r="A4738" t="s">
        <v>3868</v>
      </c>
    </row>
    <row r="4739" spans="1:1">
      <c r="A4739" t="s">
        <v>3869</v>
      </c>
    </row>
    <row r="4740" spans="1:1">
      <c r="A4740" t="s">
        <v>3870</v>
      </c>
    </row>
    <row r="4741" spans="1:1">
      <c r="A4741" t="s">
        <v>3871</v>
      </c>
    </row>
    <row r="4742" spans="1:1">
      <c r="A4742" t="s">
        <v>3872</v>
      </c>
    </row>
    <row r="4743" spans="1:1">
      <c r="A4743" t="s">
        <v>421</v>
      </c>
    </row>
    <row r="4744" spans="1:1">
      <c r="A4744" t="s">
        <v>3873</v>
      </c>
    </row>
    <row r="4749" spans="1:1">
      <c r="A4749" t="s">
        <v>3874</v>
      </c>
    </row>
    <row r="4750" spans="1:1">
      <c r="A4750" t="s">
        <v>371</v>
      </c>
    </row>
    <row r="4751" spans="1:1">
      <c r="A4751" t="s">
        <v>3875</v>
      </c>
    </row>
    <row r="4752" spans="1:1">
      <c r="A4752" t="s">
        <v>3876</v>
      </c>
    </row>
    <row r="4753" spans="1:1">
      <c r="A4753" t="s">
        <v>374</v>
      </c>
    </row>
    <row r="4754" spans="1:1">
      <c r="A4754" t="s">
        <v>3877</v>
      </c>
    </row>
    <row r="4755" spans="1:1">
      <c r="A4755" t="s">
        <v>376</v>
      </c>
    </row>
    <row r="4757" spans="1:1">
      <c r="A4757" t="s">
        <v>3429</v>
      </c>
    </row>
    <row r="4758" spans="1:1">
      <c r="A4758" t="s">
        <v>378</v>
      </c>
    </row>
    <row r="4759" spans="1:1">
      <c r="A4759" t="s">
        <v>3878</v>
      </c>
    </row>
    <row r="4760" spans="1:1">
      <c r="A4760" t="s">
        <v>3879</v>
      </c>
    </row>
    <row r="4761" spans="1:1">
      <c r="A4761" t="s">
        <v>3880</v>
      </c>
    </row>
    <row r="4762" spans="1:1">
      <c r="A4762" t="s">
        <v>3881</v>
      </c>
    </row>
    <row r="4763" spans="1:1">
      <c r="A4763" t="s">
        <v>3882</v>
      </c>
    </row>
    <row r="4764" spans="1:1">
      <c r="A4764" t="s">
        <v>3883</v>
      </c>
    </row>
    <row r="4765" spans="1:1">
      <c r="A4765" t="s">
        <v>3884</v>
      </c>
    </row>
    <row r="4766" spans="1:1">
      <c r="A4766" t="s">
        <v>3885</v>
      </c>
    </row>
    <row r="4767" spans="1:1">
      <c r="A4767" t="s">
        <v>3886</v>
      </c>
    </row>
    <row r="4768" spans="1:1">
      <c r="A4768" t="s">
        <v>3887</v>
      </c>
    </row>
    <row r="4769" spans="1:1">
      <c r="A4769" t="s">
        <v>3888</v>
      </c>
    </row>
    <row r="4770" spans="1:1">
      <c r="A4770" t="s">
        <v>3889</v>
      </c>
    </row>
    <row r="4771" spans="1:1">
      <c r="A4771" t="s">
        <v>3890</v>
      </c>
    </row>
    <row r="4774" spans="1:1">
      <c r="A4774" t="s">
        <v>392</v>
      </c>
    </row>
    <row r="4775" spans="1:1">
      <c r="A4775" t="s">
        <v>3891</v>
      </c>
    </row>
    <row r="4776" spans="1:1">
      <c r="A4776" t="s">
        <v>3892</v>
      </c>
    </row>
    <row r="4777" spans="1:1">
      <c r="A4777" t="s">
        <v>3893</v>
      </c>
    </row>
    <row r="4778" spans="1:1">
      <c r="A4778" t="s">
        <v>3894</v>
      </c>
    </row>
    <row r="4779" spans="1:1">
      <c r="A4779" t="s">
        <v>3895</v>
      </c>
    </row>
    <row r="4780" spans="1:1">
      <c r="A4780" t="s">
        <v>3896</v>
      </c>
    </row>
    <row r="4781" spans="1:1">
      <c r="A4781" t="s">
        <v>3897</v>
      </c>
    </row>
    <row r="4782" spans="1:1">
      <c r="A4782" t="s">
        <v>3898</v>
      </c>
    </row>
    <row r="4783" spans="1:1">
      <c r="A4783" t="s">
        <v>3899</v>
      </c>
    </row>
    <row r="4784" spans="1:1">
      <c r="A4784" t="s">
        <v>3900</v>
      </c>
    </row>
    <row r="4785" spans="1:1">
      <c r="A4785" t="s">
        <v>3901</v>
      </c>
    </row>
    <row r="4786" spans="1:1">
      <c r="A4786" t="s">
        <v>3902</v>
      </c>
    </row>
    <row r="4787" spans="1:1">
      <c r="A4787" t="s">
        <v>3903</v>
      </c>
    </row>
    <row r="4789" spans="1:1">
      <c r="A4789" t="s">
        <v>406</v>
      </c>
    </row>
    <row r="4790" spans="1:1">
      <c r="A4790" t="s">
        <v>3904</v>
      </c>
    </row>
    <row r="4791" spans="1:1">
      <c r="A4791" t="s">
        <v>3905</v>
      </c>
    </row>
    <row r="4792" spans="1:1">
      <c r="A4792" t="s">
        <v>3906</v>
      </c>
    </row>
    <row r="4793" spans="1:1">
      <c r="A4793" t="s">
        <v>3907</v>
      </c>
    </row>
    <row r="4794" spans="1:1">
      <c r="A4794" t="s">
        <v>3908</v>
      </c>
    </row>
    <row r="4795" spans="1:1">
      <c r="A4795" t="s">
        <v>3909</v>
      </c>
    </row>
    <row r="4796" spans="1:1">
      <c r="A4796" t="s">
        <v>3910</v>
      </c>
    </row>
    <row r="4797" spans="1:1">
      <c r="A4797" t="s">
        <v>3911</v>
      </c>
    </row>
    <row r="4798" spans="1:1">
      <c r="A4798" t="s">
        <v>3912</v>
      </c>
    </row>
    <row r="4799" spans="1:1">
      <c r="A4799" t="s">
        <v>3913</v>
      </c>
    </row>
    <row r="4800" spans="1:1">
      <c r="A4800" t="s">
        <v>3914</v>
      </c>
    </row>
    <row r="4801" spans="1:1">
      <c r="A4801" t="s">
        <v>3915</v>
      </c>
    </row>
    <row r="4802" spans="1:1">
      <c r="A4802" t="s">
        <v>3916</v>
      </c>
    </row>
    <row r="4803" spans="1:1">
      <c r="A4803" t="s">
        <v>3917</v>
      </c>
    </row>
    <row r="4804" spans="1:1">
      <c r="A4804" t="s">
        <v>421</v>
      </c>
    </row>
    <row r="4805" spans="1:1">
      <c r="A4805" t="s">
        <v>3918</v>
      </c>
    </row>
    <row r="4810" spans="1:1">
      <c r="A4810" t="s">
        <v>3919</v>
      </c>
    </row>
    <row r="4811" spans="1:1">
      <c r="A4811" t="s">
        <v>371</v>
      </c>
    </row>
    <row r="4812" spans="1:1">
      <c r="A4812" t="s">
        <v>3920</v>
      </c>
    </row>
    <row r="4813" spans="1:1">
      <c r="A4813" t="s">
        <v>3921</v>
      </c>
    </row>
    <row r="4814" spans="1:1">
      <c r="A4814" t="s">
        <v>374</v>
      </c>
    </row>
    <row r="4815" spans="1:1">
      <c r="A4815" t="s">
        <v>3922</v>
      </c>
    </row>
    <row r="4816" spans="1:1">
      <c r="A4816" t="s">
        <v>376</v>
      </c>
    </row>
    <row r="4818" spans="1:1">
      <c r="A4818" t="s">
        <v>3429</v>
      </c>
    </row>
    <row r="4819" spans="1:1">
      <c r="A4819" t="s">
        <v>378</v>
      </c>
    </row>
    <row r="4820" spans="1:1">
      <c r="A4820" t="s">
        <v>3923</v>
      </c>
    </row>
    <row r="4821" spans="1:1">
      <c r="A4821" t="s">
        <v>3924</v>
      </c>
    </row>
    <row r="4822" spans="1:1">
      <c r="A4822" t="s">
        <v>3925</v>
      </c>
    </row>
    <row r="4823" spans="1:1">
      <c r="A4823" t="s">
        <v>3926</v>
      </c>
    </row>
    <row r="4824" spans="1:1">
      <c r="A4824" t="s">
        <v>3927</v>
      </c>
    </row>
    <row r="4825" spans="1:1">
      <c r="A4825" t="s">
        <v>3928</v>
      </c>
    </row>
    <row r="4826" spans="1:1">
      <c r="A4826" t="s">
        <v>3929</v>
      </c>
    </row>
    <row r="4827" spans="1:1">
      <c r="A4827" t="s">
        <v>3930</v>
      </c>
    </row>
    <row r="4828" spans="1:1">
      <c r="A4828" t="s">
        <v>3931</v>
      </c>
    </row>
    <row r="4829" spans="1:1">
      <c r="A4829" t="s">
        <v>3932</v>
      </c>
    </row>
    <row r="4830" spans="1:1">
      <c r="A4830" t="s">
        <v>3933</v>
      </c>
    </row>
    <row r="4831" spans="1:1">
      <c r="A4831" t="s">
        <v>3934</v>
      </c>
    </row>
    <row r="4832" spans="1:1">
      <c r="A4832" t="s">
        <v>3935</v>
      </c>
    </row>
    <row r="4835" spans="1:1">
      <c r="A4835" t="s">
        <v>392</v>
      </c>
    </row>
    <row r="4836" spans="1:1">
      <c r="A4836" t="s">
        <v>3936</v>
      </c>
    </row>
    <row r="4837" spans="1:1">
      <c r="A4837" t="s">
        <v>3937</v>
      </c>
    </row>
    <row r="4838" spans="1:1">
      <c r="A4838" t="s">
        <v>3938</v>
      </c>
    </row>
    <row r="4839" spans="1:1">
      <c r="A4839" t="s">
        <v>3939</v>
      </c>
    </row>
    <row r="4840" spans="1:1">
      <c r="A4840" t="s">
        <v>3940</v>
      </c>
    </row>
    <row r="4841" spans="1:1">
      <c r="A4841" t="s">
        <v>3941</v>
      </c>
    </row>
    <row r="4842" spans="1:1">
      <c r="A4842" t="s">
        <v>3942</v>
      </c>
    </row>
    <row r="4843" spans="1:1">
      <c r="A4843" t="s">
        <v>3943</v>
      </c>
    </row>
    <row r="4844" spans="1:1">
      <c r="A4844" t="s">
        <v>3944</v>
      </c>
    </row>
    <row r="4845" spans="1:1">
      <c r="A4845" t="s">
        <v>3945</v>
      </c>
    </row>
    <row r="4846" spans="1:1">
      <c r="A4846" t="s">
        <v>3946</v>
      </c>
    </row>
    <row r="4847" spans="1:1">
      <c r="A4847" t="s">
        <v>3947</v>
      </c>
    </row>
    <row r="4849" spans="1:1">
      <c r="A4849" t="s">
        <v>406</v>
      </c>
    </row>
    <row r="4850" spans="1:1">
      <c r="A4850" t="s">
        <v>3948</v>
      </c>
    </row>
    <row r="4851" spans="1:1">
      <c r="A4851" t="s">
        <v>3949</v>
      </c>
    </row>
    <row r="4852" spans="1:1">
      <c r="A4852" t="s">
        <v>3950</v>
      </c>
    </row>
    <row r="4853" spans="1:1">
      <c r="A4853" t="s">
        <v>3951</v>
      </c>
    </row>
    <row r="4854" spans="1:1">
      <c r="A4854" t="s">
        <v>3952</v>
      </c>
    </row>
    <row r="4855" spans="1:1">
      <c r="A4855" t="s">
        <v>723</v>
      </c>
    </row>
    <row r="4856" spans="1:1">
      <c r="A4856" t="s">
        <v>3953</v>
      </c>
    </row>
    <row r="4857" spans="1:1">
      <c r="A4857" t="s">
        <v>3954</v>
      </c>
    </row>
    <row r="4858" spans="1:1">
      <c r="A4858" t="s">
        <v>3955</v>
      </c>
    </row>
    <row r="4859" spans="1:1">
      <c r="A4859" t="s">
        <v>3956</v>
      </c>
    </row>
    <row r="4860" spans="1:1">
      <c r="A4860" t="s">
        <v>3957</v>
      </c>
    </row>
    <row r="4861" spans="1:1">
      <c r="A4861" t="s">
        <v>3958</v>
      </c>
    </row>
    <row r="4862" spans="1:1">
      <c r="A4862" t="s">
        <v>3959</v>
      </c>
    </row>
    <row r="4863" spans="1:1">
      <c r="A4863" t="s">
        <v>3960</v>
      </c>
    </row>
    <row r="4864" spans="1:1">
      <c r="A4864" t="s">
        <v>421</v>
      </c>
    </row>
    <row r="4865" spans="1:1">
      <c r="A4865" t="s">
        <v>3961</v>
      </c>
    </row>
    <row r="4870" spans="1:1">
      <c r="A4870" t="s">
        <v>3962</v>
      </c>
    </row>
    <row r="4871" spans="1:1">
      <c r="A4871" t="s">
        <v>371</v>
      </c>
    </row>
    <row r="4872" spans="1:1">
      <c r="A4872" t="s">
        <v>3963</v>
      </c>
    </row>
    <row r="4873" spans="1:1">
      <c r="A4873" t="s">
        <v>3964</v>
      </c>
    </row>
    <row r="4874" spans="1:1">
      <c r="A4874" t="s">
        <v>374</v>
      </c>
    </row>
    <row r="4875" spans="1:1">
      <c r="A4875" t="s">
        <v>3965</v>
      </c>
    </row>
    <row r="4876" spans="1:1">
      <c r="A4876" t="s">
        <v>376</v>
      </c>
    </row>
    <row r="4878" spans="1:1">
      <c r="A4878" t="s">
        <v>3429</v>
      </c>
    </row>
    <row r="4879" spans="1:1">
      <c r="A4879" t="s">
        <v>378</v>
      </c>
    </row>
    <row r="4880" spans="1:1">
      <c r="A4880" t="s">
        <v>3966</v>
      </c>
    </row>
    <row r="4881" spans="1:1">
      <c r="A4881" t="s">
        <v>3967</v>
      </c>
    </row>
    <row r="4882" spans="1:1">
      <c r="A4882" t="s">
        <v>3968</v>
      </c>
    </row>
    <row r="4883" spans="1:1">
      <c r="A4883" t="s">
        <v>3969</v>
      </c>
    </row>
    <row r="4884" spans="1:1">
      <c r="A4884" t="s">
        <v>3970</v>
      </c>
    </row>
    <row r="4885" spans="1:1">
      <c r="A4885" t="s">
        <v>3971</v>
      </c>
    </row>
    <row r="4886" spans="1:1">
      <c r="A4886" t="s">
        <v>3972</v>
      </c>
    </row>
    <row r="4887" spans="1:1">
      <c r="A4887" t="s">
        <v>3973</v>
      </c>
    </row>
    <row r="4888" spans="1:1">
      <c r="A4888" t="s">
        <v>3974</v>
      </c>
    </row>
    <row r="4889" spans="1:1">
      <c r="A4889" t="s">
        <v>3975</v>
      </c>
    </row>
    <row r="4890" spans="1:1">
      <c r="A4890" t="s">
        <v>3976</v>
      </c>
    </row>
    <row r="4891" spans="1:1">
      <c r="A4891" t="s">
        <v>3977</v>
      </c>
    </row>
    <row r="4892" spans="1:1">
      <c r="A4892" t="s">
        <v>3978</v>
      </c>
    </row>
    <row r="4895" spans="1:1">
      <c r="A4895" t="s">
        <v>392</v>
      </c>
    </row>
    <row r="4896" spans="1:1">
      <c r="A4896" t="s">
        <v>3979</v>
      </c>
    </row>
    <row r="4897" spans="1:1">
      <c r="A4897" t="s">
        <v>3980</v>
      </c>
    </row>
    <row r="4898" spans="1:1">
      <c r="A4898" t="s">
        <v>3981</v>
      </c>
    </row>
    <row r="4899" spans="1:1">
      <c r="A4899" t="s">
        <v>3982</v>
      </c>
    </row>
    <row r="4900" spans="1:1">
      <c r="A4900" t="s">
        <v>3983</v>
      </c>
    </row>
    <row r="4901" spans="1:1">
      <c r="A4901" t="s">
        <v>3984</v>
      </c>
    </row>
    <row r="4902" spans="1:1">
      <c r="A4902" t="s">
        <v>3985</v>
      </c>
    </row>
    <row r="4903" spans="1:1">
      <c r="A4903" t="s">
        <v>3986</v>
      </c>
    </row>
    <row r="4904" spans="1:1">
      <c r="A4904" t="s">
        <v>3987</v>
      </c>
    </row>
    <row r="4905" spans="1:1">
      <c r="A4905" t="s">
        <v>3988</v>
      </c>
    </row>
    <row r="4906" spans="1:1">
      <c r="A4906" t="s">
        <v>3989</v>
      </c>
    </row>
    <row r="4907" spans="1:1">
      <c r="A4907" t="s">
        <v>3990</v>
      </c>
    </row>
    <row r="4908" spans="1:1">
      <c r="A4908" t="s">
        <v>3991</v>
      </c>
    </row>
    <row r="4910" spans="1:1">
      <c r="A4910" t="s">
        <v>406</v>
      </c>
    </row>
    <row r="4911" spans="1:1">
      <c r="A4911" t="s">
        <v>3992</v>
      </c>
    </row>
    <row r="4912" spans="1:1">
      <c r="A4912" t="s">
        <v>3993</v>
      </c>
    </row>
    <row r="4913" spans="1:1">
      <c r="A4913" t="s">
        <v>3994</v>
      </c>
    </row>
    <row r="4914" spans="1:1">
      <c r="A4914" t="s">
        <v>3995</v>
      </c>
    </row>
    <row r="4915" spans="1:1">
      <c r="A4915" t="s">
        <v>3996</v>
      </c>
    </row>
    <row r="4916" spans="1:1">
      <c r="A4916" t="s">
        <v>3997</v>
      </c>
    </row>
    <row r="4917" spans="1:1">
      <c r="A4917" t="s">
        <v>3998</v>
      </c>
    </row>
    <row r="4918" spans="1:1">
      <c r="A4918" t="s">
        <v>3999</v>
      </c>
    </row>
    <row r="4919" spans="1:1">
      <c r="A4919" t="s">
        <v>4000</v>
      </c>
    </row>
    <row r="4920" spans="1:1">
      <c r="A4920" t="s">
        <v>4001</v>
      </c>
    </row>
    <row r="4921" spans="1:1">
      <c r="A4921" t="s">
        <v>4002</v>
      </c>
    </row>
    <row r="4922" spans="1:1">
      <c r="A4922" t="s">
        <v>4003</v>
      </c>
    </row>
    <row r="4923" spans="1:1">
      <c r="A4923" t="s">
        <v>4004</v>
      </c>
    </row>
    <row r="4924" spans="1:1">
      <c r="A4924" t="s">
        <v>4005</v>
      </c>
    </row>
    <row r="4925" spans="1:1">
      <c r="A4925" t="s">
        <v>421</v>
      </c>
    </row>
    <row r="4926" spans="1:1">
      <c r="A4926" t="s">
        <v>4006</v>
      </c>
    </row>
    <row r="4931" spans="1:1">
      <c r="A4931" t="s">
        <v>4007</v>
      </c>
    </row>
    <row r="4932" spans="1:1">
      <c r="A4932" t="s">
        <v>371</v>
      </c>
    </row>
    <row r="4933" spans="1:1">
      <c r="A4933" t="s">
        <v>4008</v>
      </c>
    </row>
    <row r="4934" spans="1:1">
      <c r="A4934" t="s">
        <v>4009</v>
      </c>
    </row>
    <row r="4935" spans="1:1">
      <c r="A4935" t="s">
        <v>374</v>
      </c>
    </row>
    <row r="4936" spans="1:1">
      <c r="A4936" t="s">
        <v>4010</v>
      </c>
    </row>
    <row r="4937" spans="1:1">
      <c r="A4937" t="s">
        <v>376</v>
      </c>
    </row>
    <row r="4939" spans="1:1">
      <c r="A4939" t="s">
        <v>3429</v>
      </c>
    </row>
    <row r="4940" spans="1:1">
      <c r="A4940" t="s">
        <v>378</v>
      </c>
    </row>
    <row r="4941" spans="1:1">
      <c r="A4941" t="s">
        <v>4011</v>
      </c>
    </row>
    <row r="4942" spans="1:1">
      <c r="A4942" t="s">
        <v>4012</v>
      </c>
    </row>
    <row r="4943" spans="1:1">
      <c r="A4943" t="s">
        <v>4013</v>
      </c>
    </row>
    <row r="4944" spans="1:1">
      <c r="A4944" t="s">
        <v>4014</v>
      </c>
    </row>
    <row r="4945" spans="1:1">
      <c r="A4945" t="s">
        <v>4015</v>
      </c>
    </row>
    <row r="4946" spans="1:1">
      <c r="A4946" t="s">
        <v>4016</v>
      </c>
    </row>
    <row r="4947" spans="1:1">
      <c r="A4947" t="s">
        <v>4017</v>
      </c>
    </row>
    <row r="4948" spans="1:1">
      <c r="A4948" t="s">
        <v>4018</v>
      </c>
    </row>
    <row r="4949" spans="1:1">
      <c r="A4949" t="s">
        <v>4019</v>
      </c>
    </row>
    <row r="4950" spans="1:1">
      <c r="A4950" t="s">
        <v>4020</v>
      </c>
    </row>
    <row r="4951" spans="1:1">
      <c r="A4951" t="s">
        <v>4021</v>
      </c>
    </row>
    <row r="4952" spans="1:1">
      <c r="A4952" t="s">
        <v>4022</v>
      </c>
    </row>
    <row r="4953" spans="1:1">
      <c r="A4953" t="s">
        <v>4023</v>
      </c>
    </row>
    <row r="4956" spans="1:1">
      <c r="A4956" t="s">
        <v>392</v>
      </c>
    </row>
    <row r="4957" spans="1:1">
      <c r="A4957" t="s">
        <v>4024</v>
      </c>
    </row>
    <row r="4958" spans="1:1">
      <c r="A4958" t="s">
        <v>4025</v>
      </c>
    </row>
    <row r="4959" spans="1:1">
      <c r="A4959" t="s">
        <v>4026</v>
      </c>
    </row>
    <row r="4960" spans="1:1">
      <c r="A4960" t="s">
        <v>4027</v>
      </c>
    </row>
    <row r="4961" spans="1:1">
      <c r="A4961" t="s">
        <v>4028</v>
      </c>
    </row>
    <row r="4962" spans="1:1">
      <c r="A4962" t="s">
        <v>4029</v>
      </c>
    </row>
    <row r="4963" spans="1:1">
      <c r="A4963" t="s">
        <v>4030</v>
      </c>
    </row>
    <row r="4964" spans="1:1">
      <c r="A4964" t="s">
        <v>4031</v>
      </c>
    </row>
    <row r="4965" spans="1:1">
      <c r="A4965" t="s">
        <v>4032</v>
      </c>
    </row>
    <row r="4966" spans="1:1">
      <c r="A4966" t="s">
        <v>4033</v>
      </c>
    </row>
    <row r="4967" spans="1:1">
      <c r="A4967" t="s">
        <v>4034</v>
      </c>
    </row>
    <row r="4968" spans="1:1">
      <c r="A4968" t="s">
        <v>4035</v>
      </c>
    </row>
    <row r="4969" spans="1:1">
      <c r="A4969" t="s">
        <v>4036</v>
      </c>
    </row>
    <row r="4971" spans="1:1">
      <c r="A4971" t="s">
        <v>406</v>
      </c>
    </row>
    <row r="4972" spans="1:1">
      <c r="A4972" t="s">
        <v>4037</v>
      </c>
    </row>
    <row r="4973" spans="1:1">
      <c r="A4973" t="s">
        <v>4038</v>
      </c>
    </row>
    <row r="4974" spans="1:1">
      <c r="A4974" t="s">
        <v>4039</v>
      </c>
    </row>
    <row r="4975" spans="1:1">
      <c r="A4975" t="s">
        <v>4040</v>
      </c>
    </row>
    <row r="4976" spans="1:1">
      <c r="A4976" t="s">
        <v>4041</v>
      </c>
    </row>
    <row r="4977" spans="1:1">
      <c r="A4977" t="s">
        <v>4042</v>
      </c>
    </row>
    <row r="4978" spans="1:1">
      <c r="A4978" t="s">
        <v>4043</v>
      </c>
    </row>
    <row r="4979" spans="1:1">
      <c r="A4979" t="s">
        <v>4044</v>
      </c>
    </row>
    <row r="4980" spans="1:1">
      <c r="A4980" t="s">
        <v>4045</v>
      </c>
    </row>
    <row r="4981" spans="1:1">
      <c r="A4981" t="s">
        <v>4046</v>
      </c>
    </row>
    <row r="4982" spans="1:1">
      <c r="A4982" t="s">
        <v>4047</v>
      </c>
    </row>
    <row r="4983" spans="1:1">
      <c r="A4983" t="s">
        <v>4048</v>
      </c>
    </row>
    <row r="4984" spans="1:1">
      <c r="A4984" t="s">
        <v>4049</v>
      </c>
    </row>
    <row r="4985" spans="1:1">
      <c r="A4985" t="s">
        <v>4050</v>
      </c>
    </row>
    <row r="4986" spans="1:1">
      <c r="A4986" t="s">
        <v>421</v>
      </c>
    </row>
    <row r="4987" spans="1:1">
      <c r="A4987" t="s">
        <v>4051</v>
      </c>
    </row>
    <row r="4992" spans="1:1">
      <c r="A4992" t="s">
        <v>4052</v>
      </c>
    </row>
    <row r="4993" spans="1:1">
      <c r="A4993" t="s">
        <v>371</v>
      </c>
    </row>
    <row r="4994" spans="1:1">
      <c r="A4994" t="s">
        <v>4053</v>
      </c>
    </row>
    <row r="4995" spans="1:1">
      <c r="A4995" t="s">
        <v>4054</v>
      </c>
    </row>
    <row r="4996" spans="1:1">
      <c r="A4996" t="s">
        <v>374</v>
      </c>
    </row>
    <row r="4997" spans="1:1">
      <c r="A4997" t="s">
        <v>4055</v>
      </c>
    </row>
    <row r="4998" spans="1:1">
      <c r="A4998" t="s">
        <v>376</v>
      </c>
    </row>
    <row r="5000" spans="1:1">
      <c r="A5000" t="s">
        <v>3429</v>
      </c>
    </row>
    <row r="5001" spans="1:1">
      <c r="A5001" t="s">
        <v>378</v>
      </c>
    </row>
    <row r="5002" spans="1:1">
      <c r="A5002" t="s">
        <v>4056</v>
      </c>
    </row>
    <row r="5003" spans="1:1">
      <c r="A5003" t="s">
        <v>4057</v>
      </c>
    </row>
    <row r="5004" spans="1:1">
      <c r="A5004" t="s">
        <v>4058</v>
      </c>
    </row>
    <row r="5005" spans="1:1">
      <c r="A5005" t="s">
        <v>4059</v>
      </c>
    </row>
    <row r="5006" spans="1:1">
      <c r="A5006" t="s">
        <v>4060</v>
      </c>
    </row>
    <row r="5007" spans="1:1">
      <c r="A5007" t="s">
        <v>4061</v>
      </c>
    </row>
    <row r="5008" spans="1:1">
      <c r="A5008" t="s">
        <v>4062</v>
      </c>
    </row>
    <row r="5009" spans="1:1">
      <c r="A5009" t="s">
        <v>4063</v>
      </c>
    </row>
    <row r="5010" spans="1:1">
      <c r="A5010" t="s">
        <v>4064</v>
      </c>
    </row>
    <row r="5011" spans="1:1">
      <c r="A5011" t="s">
        <v>4065</v>
      </c>
    </row>
    <row r="5012" spans="1:1">
      <c r="A5012" t="s">
        <v>4066</v>
      </c>
    </row>
    <row r="5013" spans="1:1">
      <c r="A5013" t="s">
        <v>4067</v>
      </c>
    </row>
    <row r="5014" spans="1:1">
      <c r="A5014" t="s">
        <v>4068</v>
      </c>
    </row>
    <row r="5017" spans="1:1">
      <c r="A5017" t="s">
        <v>392</v>
      </c>
    </row>
    <row r="5018" spans="1:1">
      <c r="A5018" t="s">
        <v>4069</v>
      </c>
    </row>
    <row r="5019" spans="1:1">
      <c r="A5019" t="s">
        <v>4070</v>
      </c>
    </row>
    <row r="5020" spans="1:1">
      <c r="A5020" t="s">
        <v>4071</v>
      </c>
    </row>
    <row r="5021" spans="1:1">
      <c r="A5021" t="s">
        <v>4072</v>
      </c>
    </row>
    <row r="5022" spans="1:1">
      <c r="A5022" t="s">
        <v>4073</v>
      </c>
    </row>
    <row r="5023" spans="1:1">
      <c r="A5023" t="s">
        <v>4074</v>
      </c>
    </row>
    <row r="5024" spans="1:1">
      <c r="A5024" t="s">
        <v>4075</v>
      </c>
    </row>
    <row r="5025" spans="1:1">
      <c r="A5025" t="s">
        <v>4076</v>
      </c>
    </row>
    <row r="5026" spans="1:1">
      <c r="A5026" t="s">
        <v>4077</v>
      </c>
    </row>
    <row r="5027" spans="1:1">
      <c r="A5027" t="s">
        <v>4078</v>
      </c>
    </row>
    <row r="5028" spans="1:1">
      <c r="A5028" t="s">
        <v>4079</v>
      </c>
    </row>
    <row r="5029" spans="1:1">
      <c r="A5029" t="s">
        <v>4080</v>
      </c>
    </row>
    <row r="5030" spans="1:1">
      <c r="A5030" t="s">
        <v>4081</v>
      </c>
    </row>
    <row r="5032" spans="1:1">
      <c r="A5032" t="s">
        <v>406</v>
      </c>
    </row>
    <row r="5033" spans="1:1">
      <c r="A5033" t="s">
        <v>4082</v>
      </c>
    </row>
    <row r="5034" spans="1:1">
      <c r="A5034" t="s">
        <v>4083</v>
      </c>
    </row>
    <row r="5035" spans="1:1">
      <c r="A5035" t="s">
        <v>4084</v>
      </c>
    </row>
    <row r="5036" spans="1:1">
      <c r="A5036" t="s">
        <v>4085</v>
      </c>
    </row>
    <row r="5037" spans="1:1">
      <c r="A5037" t="s">
        <v>4086</v>
      </c>
    </row>
    <row r="5038" spans="1:1">
      <c r="A5038" t="s">
        <v>4087</v>
      </c>
    </row>
    <row r="5039" spans="1:1">
      <c r="A5039" t="s">
        <v>4088</v>
      </c>
    </row>
    <row r="5040" spans="1:1">
      <c r="A5040" t="s">
        <v>4089</v>
      </c>
    </row>
    <row r="5041" spans="1:1">
      <c r="A5041" t="s">
        <v>4090</v>
      </c>
    </row>
    <row r="5042" spans="1:1">
      <c r="A5042" t="s">
        <v>4091</v>
      </c>
    </row>
    <row r="5043" spans="1:1">
      <c r="A5043" t="s">
        <v>4092</v>
      </c>
    </row>
    <row r="5044" spans="1:1">
      <c r="A5044" t="s">
        <v>4093</v>
      </c>
    </row>
    <row r="5045" spans="1:1">
      <c r="A5045" t="s">
        <v>4094</v>
      </c>
    </row>
    <row r="5046" spans="1:1">
      <c r="A5046" t="s">
        <v>4095</v>
      </c>
    </row>
    <row r="5047" spans="1:1">
      <c r="A5047" t="s">
        <v>421</v>
      </c>
    </row>
    <row r="5048" spans="1:1">
      <c r="A5048" t="s">
        <v>4096</v>
      </c>
    </row>
    <row r="5053" spans="1:1">
      <c r="A5053" t="s">
        <v>4097</v>
      </c>
    </row>
    <row r="5054" spans="1:1">
      <c r="A5054" t="s">
        <v>371</v>
      </c>
    </row>
    <row r="5055" spans="1:1">
      <c r="A5055" t="s">
        <v>4098</v>
      </c>
    </row>
    <row r="5056" spans="1:1">
      <c r="A5056" t="s">
        <v>4099</v>
      </c>
    </row>
    <row r="5057" spans="1:1">
      <c r="A5057" t="s">
        <v>374</v>
      </c>
    </row>
    <row r="5058" spans="1:1">
      <c r="A5058" t="s">
        <v>4100</v>
      </c>
    </row>
    <row r="5059" spans="1:1">
      <c r="A5059" t="s">
        <v>376</v>
      </c>
    </row>
    <row r="5061" spans="1:1">
      <c r="A5061" t="s">
        <v>3429</v>
      </c>
    </row>
    <row r="5062" spans="1:1">
      <c r="A5062" t="s">
        <v>378</v>
      </c>
    </row>
    <row r="5063" spans="1:1">
      <c r="A5063" t="s">
        <v>4101</v>
      </c>
    </row>
    <row r="5064" spans="1:1">
      <c r="A5064" t="s">
        <v>4102</v>
      </c>
    </row>
    <row r="5065" spans="1:1">
      <c r="A5065" t="s">
        <v>4103</v>
      </c>
    </row>
    <row r="5066" spans="1:1">
      <c r="A5066" t="s">
        <v>4104</v>
      </c>
    </row>
    <row r="5067" spans="1:1">
      <c r="A5067" t="s">
        <v>4105</v>
      </c>
    </row>
    <row r="5068" spans="1:1">
      <c r="A5068" t="s">
        <v>4106</v>
      </c>
    </row>
    <row r="5069" spans="1:1">
      <c r="A5069" t="s">
        <v>4107</v>
      </c>
    </row>
    <row r="5070" spans="1:1">
      <c r="A5070" t="s">
        <v>4108</v>
      </c>
    </row>
    <row r="5071" spans="1:1">
      <c r="A5071" t="s">
        <v>4109</v>
      </c>
    </row>
    <row r="5072" spans="1:1">
      <c r="A5072" t="s">
        <v>4110</v>
      </c>
    </row>
    <row r="5073" spans="1:1">
      <c r="A5073" t="s">
        <v>4111</v>
      </c>
    </row>
    <row r="5074" spans="1:1">
      <c r="A5074" t="s">
        <v>4112</v>
      </c>
    </row>
    <row r="5075" spans="1:1">
      <c r="A5075" t="s">
        <v>4113</v>
      </c>
    </row>
    <row r="5078" spans="1:1">
      <c r="A5078" t="s">
        <v>392</v>
      </c>
    </row>
    <row r="5079" spans="1:1">
      <c r="A5079" t="s">
        <v>4114</v>
      </c>
    </row>
    <row r="5080" spans="1:1">
      <c r="A5080" t="s">
        <v>4115</v>
      </c>
    </row>
    <row r="5081" spans="1:1">
      <c r="A5081" t="s">
        <v>4116</v>
      </c>
    </row>
    <row r="5082" spans="1:1">
      <c r="A5082" t="s">
        <v>4117</v>
      </c>
    </row>
    <row r="5083" spans="1:1">
      <c r="A5083" t="s">
        <v>4118</v>
      </c>
    </row>
    <row r="5084" spans="1:1">
      <c r="A5084" t="s">
        <v>4119</v>
      </c>
    </row>
    <row r="5085" spans="1:1">
      <c r="A5085" t="s">
        <v>4120</v>
      </c>
    </row>
    <row r="5086" spans="1:1">
      <c r="A5086" t="s">
        <v>4121</v>
      </c>
    </row>
    <row r="5087" spans="1:1">
      <c r="A5087" t="s">
        <v>4122</v>
      </c>
    </row>
    <row r="5088" spans="1:1">
      <c r="A5088" t="s">
        <v>4123</v>
      </c>
    </row>
    <row r="5089" spans="1:1">
      <c r="A5089" t="s">
        <v>4124</v>
      </c>
    </row>
    <row r="5090" spans="1:1">
      <c r="A5090" t="s">
        <v>4125</v>
      </c>
    </row>
    <row r="5091" spans="1:1">
      <c r="A5091" t="s">
        <v>4126</v>
      </c>
    </row>
    <row r="5093" spans="1:1">
      <c r="A5093" t="s">
        <v>406</v>
      </c>
    </row>
    <row r="5094" spans="1:1">
      <c r="A5094" t="s">
        <v>4127</v>
      </c>
    </row>
    <row r="5095" spans="1:1">
      <c r="A5095" t="s">
        <v>4128</v>
      </c>
    </row>
    <row r="5096" spans="1:1">
      <c r="A5096" t="s">
        <v>4129</v>
      </c>
    </row>
    <row r="5097" spans="1:1">
      <c r="A5097" t="s">
        <v>4130</v>
      </c>
    </row>
    <row r="5098" spans="1:1">
      <c r="A5098" t="s">
        <v>4131</v>
      </c>
    </row>
    <row r="5099" spans="1:1">
      <c r="A5099" t="s">
        <v>4132</v>
      </c>
    </row>
    <row r="5100" spans="1:1">
      <c r="A5100" t="s">
        <v>4133</v>
      </c>
    </row>
    <row r="5101" spans="1:1">
      <c r="A5101" t="s">
        <v>4134</v>
      </c>
    </row>
    <row r="5102" spans="1:1">
      <c r="A5102" t="s">
        <v>4135</v>
      </c>
    </row>
    <row r="5103" spans="1:1">
      <c r="A5103" t="s">
        <v>4136</v>
      </c>
    </row>
    <row r="5104" spans="1:1">
      <c r="A5104" t="s">
        <v>4137</v>
      </c>
    </row>
    <row r="5105" spans="1:1">
      <c r="A5105" t="s">
        <v>4138</v>
      </c>
    </row>
    <row r="5106" spans="1:1">
      <c r="A5106" t="s">
        <v>4139</v>
      </c>
    </row>
    <row r="5107" spans="1:1">
      <c r="A5107" t="s">
        <v>4140</v>
      </c>
    </row>
    <row r="5108" spans="1:1">
      <c r="A5108" t="s">
        <v>421</v>
      </c>
    </row>
    <row r="5109" spans="1:1">
      <c r="A5109" t="s">
        <v>4141</v>
      </c>
    </row>
    <row r="5114" spans="1:1">
      <c r="A5114" t="s">
        <v>4142</v>
      </c>
    </row>
    <row r="5115" spans="1:1">
      <c r="A5115" t="s">
        <v>371</v>
      </c>
    </row>
    <row r="5116" spans="1:1">
      <c r="A5116" t="s">
        <v>4143</v>
      </c>
    </row>
    <row r="5117" spans="1:1">
      <c r="A5117" t="s">
        <v>4144</v>
      </c>
    </row>
    <row r="5118" spans="1:1">
      <c r="A5118" t="s">
        <v>374</v>
      </c>
    </row>
    <row r="5119" spans="1:1">
      <c r="A5119" t="s">
        <v>4145</v>
      </c>
    </row>
    <row r="5120" spans="1:1">
      <c r="A5120" t="s">
        <v>376</v>
      </c>
    </row>
    <row r="5122" spans="1:1">
      <c r="A5122" t="s">
        <v>3429</v>
      </c>
    </row>
    <row r="5123" spans="1:1">
      <c r="A5123" t="s">
        <v>378</v>
      </c>
    </row>
    <row r="5124" spans="1:1">
      <c r="A5124" t="s">
        <v>4146</v>
      </c>
    </row>
    <row r="5125" spans="1:1">
      <c r="A5125" t="s">
        <v>4147</v>
      </c>
    </row>
    <row r="5126" spans="1:1">
      <c r="A5126" t="s">
        <v>4148</v>
      </c>
    </row>
    <row r="5127" spans="1:1">
      <c r="A5127" t="s">
        <v>4149</v>
      </c>
    </row>
    <row r="5128" spans="1:1">
      <c r="A5128" t="s">
        <v>4150</v>
      </c>
    </row>
    <row r="5129" spans="1:1">
      <c r="A5129" t="s">
        <v>4151</v>
      </c>
    </row>
    <row r="5130" spans="1:1">
      <c r="A5130" t="s">
        <v>4152</v>
      </c>
    </row>
    <row r="5131" spans="1:1">
      <c r="A5131" t="s">
        <v>4153</v>
      </c>
    </row>
    <row r="5132" spans="1:1">
      <c r="A5132" t="s">
        <v>4154</v>
      </c>
    </row>
    <row r="5133" spans="1:1">
      <c r="A5133" t="s">
        <v>4155</v>
      </c>
    </row>
    <row r="5134" spans="1:1">
      <c r="A5134" t="s">
        <v>4156</v>
      </c>
    </row>
    <row r="5135" spans="1:1">
      <c r="A5135" t="s">
        <v>4157</v>
      </c>
    </row>
    <row r="5136" spans="1:1">
      <c r="A5136" t="s">
        <v>4158</v>
      </c>
    </row>
    <row r="5139" spans="1:1">
      <c r="A5139" t="s">
        <v>392</v>
      </c>
    </row>
    <row r="5140" spans="1:1">
      <c r="A5140" t="s">
        <v>4159</v>
      </c>
    </row>
    <row r="5141" spans="1:1">
      <c r="A5141" t="s">
        <v>4160</v>
      </c>
    </row>
    <row r="5142" spans="1:1">
      <c r="A5142" t="s">
        <v>4161</v>
      </c>
    </row>
    <row r="5143" spans="1:1">
      <c r="A5143" t="s">
        <v>4162</v>
      </c>
    </row>
    <row r="5144" spans="1:1">
      <c r="A5144" t="s">
        <v>4163</v>
      </c>
    </row>
    <row r="5145" spans="1:1">
      <c r="A5145" t="s">
        <v>4164</v>
      </c>
    </row>
    <row r="5146" spans="1:1">
      <c r="A5146" t="s">
        <v>4165</v>
      </c>
    </row>
    <row r="5147" spans="1:1">
      <c r="A5147" t="s">
        <v>4166</v>
      </c>
    </row>
    <row r="5148" spans="1:1">
      <c r="A5148" t="s">
        <v>4167</v>
      </c>
    </row>
    <row r="5149" spans="1:1">
      <c r="A5149" t="s">
        <v>4168</v>
      </c>
    </row>
    <row r="5150" spans="1:1">
      <c r="A5150" t="s">
        <v>4169</v>
      </c>
    </row>
    <row r="5151" spans="1:1">
      <c r="A5151" t="s">
        <v>4170</v>
      </c>
    </row>
    <row r="5152" spans="1:1">
      <c r="A5152" t="s">
        <v>4171</v>
      </c>
    </row>
    <row r="5154" spans="1:1">
      <c r="A5154" t="s">
        <v>406</v>
      </c>
    </row>
    <row r="5155" spans="1:1">
      <c r="A5155" t="s">
        <v>4172</v>
      </c>
    </row>
    <row r="5156" spans="1:1">
      <c r="A5156" t="s">
        <v>4173</v>
      </c>
    </row>
    <row r="5157" spans="1:1">
      <c r="A5157" t="s">
        <v>4174</v>
      </c>
    </row>
    <row r="5158" spans="1:1">
      <c r="A5158" t="s">
        <v>4175</v>
      </c>
    </row>
    <row r="5159" spans="1:1">
      <c r="A5159" t="s">
        <v>4176</v>
      </c>
    </row>
    <row r="5160" spans="1:1">
      <c r="A5160" t="s">
        <v>4177</v>
      </c>
    </row>
    <row r="5161" spans="1:1">
      <c r="A5161" t="s">
        <v>4178</v>
      </c>
    </row>
    <row r="5162" spans="1:1">
      <c r="A5162" t="s">
        <v>4179</v>
      </c>
    </row>
    <row r="5163" spans="1:1">
      <c r="A5163" t="s">
        <v>4180</v>
      </c>
    </row>
    <row r="5164" spans="1:1">
      <c r="A5164" t="s">
        <v>4181</v>
      </c>
    </row>
    <row r="5165" spans="1:1">
      <c r="A5165" t="s">
        <v>4182</v>
      </c>
    </row>
    <row r="5166" spans="1:1">
      <c r="A5166" t="s">
        <v>4183</v>
      </c>
    </row>
    <row r="5167" spans="1:1">
      <c r="A5167" t="s">
        <v>4184</v>
      </c>
    </row>
    <row r="5168" spans="1:1">
      <c r="A5168" t="s">
        <v>4185</v>
      </c>
    </row>
    <row r="5169" spans="1:1">
      <c r="A5169" t="s">
        <v>421</v>
      </c>
    </row>
    <row r="5170" spans="1:1">
      <c r="A5170" t="s">
        <v>4186</v>
      </c>
    </row>
    <row r="5175" spans="1:1">
      <c r="A5175" t="s">
        <v>4187</v>
      </c>
    </row>
    <row r="5176" spans="1:1">
      <c r="A5176" t="s">
        <v>371</v>
      </c>
    </row>
    <row r="5177" spans="1:1">
      <c r="A5177" t="s">
        <v>4188</v>
      </c>
    </row>
    <row r="5178" spans="1:1">
      <c r="A5178" t="s">
        <v>4189</v>
      </c>
    </row>
    <row r="5179" spans="1:1">
      <c r="A5179" t="s">
        <v>374</v>
      </c>
    </row>
    <row r="5180" spans="1:1">
      <c r="A5180" t="s">
        <v>4190</v>
      </c>
    </row>
    <row r="5181" spans="1:1">
      <c r="A5181" t="s">
        <v>376</v>
      </c>
    </row>
    <row r="5183" spans="1:1">
      <c r="A5183" t="s">
        <v>3429</v>
      </c>
    </row>
    <row r="5184" spans="1:1">
      <c r="A5184" t="s">
        <v>378</v>
      </c>
    </row>
    <row r="5185" spans="1:1">
      <c r="A5185" t="s">
        <v>4191</v>
      </c>
    </row>
    <row r="5186" spans="1:1">
      <c r="A5186" t="s">
        <v>4192</v>
      </c>
    </row>
    <row r="5187" spans="1:1">
      <c r="A5187" t="s">
        <v>4193</v>
      </c>
    </row>
    <row r="5188" spans="1:1">
      <c r="A5188" t="s">
        <v>4194</v>
      </c>
    </row>
    <row r="5189" spans="1:1">
      <c r="A5189" t="s">
        <v>4195</v>
      </c>
    </row>
    <row r="5190" spans="1:1">
      <c r="A5190" t="s">
        <v>4196</v>
      </c>
    </row>
    <row r="5191" spans="1:1">
      <c r="A5191" t="s">
        <v>4197</v>
      </c>
    </row>
    <row r="5192" spans="1:1">
      <c r="A5192" t="s">
        <v>4198</v>
      </c>
    </row>
    <row r="5193" spans="1:1">
      <c r="A5193" t="s">
        <v>4199</v>
      </c>
    </row>
    <row r="5194" spans="1:1">
      <c r="A5194" t="s">
        <v>4200</v>
      </c>
    </row>
    <row r="5195" spans="1:1">
      <c r="A5195" t="s">
        <v>4201</v>
      </c>
    </row>
    <row r="5196" spans="1:1">
      <c r="A5196" t="s">
        <v>4202</v>
      </c>
    </row>
    <row r="5197" spans="1:1">
      <c r="A5197" t="s">
        <v>4203</v>
      </c>
    </row>
    <row r="5200" spans="1:1">
      <c r="A5200" t="s">
        <v>392</v>
      </c>
    </row>
    <row r="5201" spans="1:1">
      <c r="A5201" t="s">
        <v>4204</v>
      </c>
    </row>
    <row r="5202" spans="1:1">
      <c r="A5202" t="s">
        <v>4205</v>
      </c>
    </row>
    <row r="5203" spans="1:1">
      <c r="A5203" t="s">
        <v>4206</v>
      </c>
    </row>
    <row r="5204" spans="1:1">
      <c r="A5204" t="s">
        <v>4207</v>
      </c>
    </row>
    <row r="5205" spans="1:1">
      <c r="A5205" t="s">
        <v>4208</v>
      </c>
    </row>
    <row r="5206" spans="1:1">
      <c r="A5206" t="s">
        <v>4209</v>
      </c>
    </row>
    <row r="5207" spans="1:1">
      <c r="A5207" t="s">
        <v>4210</v>
      </c>
    </row>
    <row r="5208" spans="1:1">
      <c r="A5208" t="s">
        <v>4211</v>
      </c>
    </row>
    <row r="5209" spans="1:1">
      <c r="A5209" t="s">
        <v>4212</v>
      </c>
    </row>
    <row r="5210" spans="1:1">
      <c r="A5210" t="s">
        <v>4213</v>
      </c>
    </row>
    <row r="5211" spans="1:1">
      <c r="A5211" t="s">
        <v>4214</v>
      </c>
    </row>
    <row r="5212" spans="1:1">
      <c r="A5212" t="s">
        <v>4215</v>
      </c>
    </row>
    <row r="5213" spans="1:1">
      <c r="A5213" t="s">
        <v>4216</v>
      </c>
    </row>
    <row r="5215" spans="1:1">
      <c r="A5215" t="s">
        <v>406</v>
      </c>
    </row>
    <row r="5216" spans="1:1">
      <c r="A5216" t="s">
        <v>4217</v>
      </c>
    </row>
    <row r="5217" spans="1:1">
      <c r="A5217" t="s">
        <v>4218</v>
      </c>
    </row>
    <row r="5218" spans="1:1">
      <c r="A5218" t="s">
        <v>4219</v>
      </c>
    </row>
    <row r="5219" spans="1:1">
      <c r="A5219" t="s">
        <v>4220</v>
      </c>
    </row>
    <row r="5220" spans="1:1">
      <c r="A5220" t="s">
        <v>4221</v>
      </c>
    </row>
    <row r="5221" spans="1:1">
      <c r="A5221" t="s">
        <v>4222</v>
      </c>
    </row>
    <row r="5222" spans="1:1">
      <c r="A5222" t="s">
        <v>4223</v>
      </c>
    </row>
    <row r="5223" spans="1:1">
      <c r="A5223" t="s">
        <v>4224</v>
      </c>
    </row>
    <row r="5224" spans="1:1">
      <c r="A5224" t="s">
        <v>4225</v>
      </c>
    </row>
    <row r="5225" spans="1:1">
      <c r="A5225" t="s">
        <v>4226</v>
      </c>
    </row>
    <row r="5226" spans="1:1">
      <c r="A5226" t="s">
        <v>4227</v>
      </c>
    </row>
    <row r="5227" spans="1:1">
      <c r="A5227" t="s">
        <v>4228</v>
      </c>
    </row>
    <row r="5228" spans="1:1">
      <c r="A5228" t="s">
        <v>4229</v>
      </c>
    </row>
    <row r="5229" spans="1:1">
      <c r="A5229" t="s">
        <v>4230</v>
      </c>
    </row>
    <row r="5230" spans="1:1">
      <c r="A5230" t="s">
        <v>421</v>
      </c>
    </row>
    <row r="5231" spans="1:1">
      <c r="A5231" t="s">
        <v>4231</v>
      </c>
    </row>
    <row r="5236" spans="1:1">
      <c r="A5236" t="s">
        <v>4232</v>
      </c>
    </row>
    <row r="5237" spans="1:1">
      <c r="A5237" t="s">
        <v>371</v>
      </c>
    </row>
    <row r="5238" spans="1:1">
      <c r="A5238" t="s">
        <v>4233</v>
      </c>
    </row>
    <row r="5239" spans="1:1">
      <c r="A5239" t="s">
        <v>4234</v>
      </c>
    </row>
    <row r="5240" spans="1:1">
      <c r="A5240" t="s">
        <v>374</v>
      </c>
    </row>
    <row r="5241" spans="1:1">
      <c r="A5241" t="s">
        <v>4235</v>
      </c>
    </row>
    <row r="5242" spans="1:1">
      <c r="A5242" t="s">
        <v>376</v>
      </c>
    </row>
    <row r="5244" spans="1:1">
      <c r="A5244" t="s">
        <v>3429</v>
      </c>
    </row>
    <row r="5245" spans="1:1">
      <c r="A5245" t="s">
        <v>378</v>
      </c>
    </row>
    <row r="5246" spans="1:1">
      <c r="A5246" t="s">
        <v>4236</v>
      </c>
    </row>
    <row r="5247" spans="1:1">
      <c r="A5247" t="s">
        <v>4237</v>
      </c>
    </row>
    <row r="5248" spans="1:1">
      <c r="A5248" t="s">
        <v>4238</v>
      </c>
    </row>
    <row r="5249" spans="1:1">
      <c r="A5249" t="s">
        <v>4239</v>
      </c>
    </row>
    <row r="5250" spans="1:1">
      <c r="A5250" t="s">
        <v>4240</v>
      </c>
    </row>
    <row r="5251" spans="1:1">
      <c r="A5251" t="s">
        <v>4241</v>
      </c>
    </row>
    <row r="5252" spans="1:1">
      <c r="A5252" t="s">
        <v>4242</v>
      </c>
    </row>
    <row r="5253" spans="1:1">
      <c r="A5253" t="s">
        <v>4243</v>
      </c>
    </row>
    <row r="5254" spans="1:1">
      <c r="A5254" t="s">
        <v>4244</v>
      </c>
    </row>
    <row r="5255" spans="1:1">
      <c r="A5255" t="s">
        <v>4245</v>
      </c>
    </row>
    <row r="5256" spans="1:1">
      <c r="A5256" t="s">
        <v>4246</v>
      </c>
    </row>
    <row r="5257" spans="1:1">
      <c r="A5257" t="s">
        <v>4247</v>
      </c>
    </row>
    <row r="5258" spans="1:1">
      <c r="A5258" t="s">
        <v>4248</v>
      </c>
    </row>
    <row r="5261" spans="1:1">
      <c r="A5261" t="s">
        <v>392</v>
      </c>
    </row>
    <row r="5262" spans="1:1">
      <c r="A5262" t="s">
        <v>4249</v>
      </c>
    </row>
    <row r="5263" spans="1:1">
      <c r="A5263" t="s">
        <v>4250</v>
      </c>
    </row>
    <row r="5264" spans="1:1">
      <c r="A5264" t="s">
        <v>4251</v>
      </c>
    </row>
    <row r="5265" spans="1:1">
      <c r="A5265" t="s">
        <v>4252</v>
      </c>
    </row>
    <row r="5266" spans="1:1">
      <c r="A5266" t="s">
        <v>4253</v>
      </c>
    </row>
    <row r="5267" spans="1:1">
      <c r="A5267" t="s">
        <v>4254</v>
      </c>
    </row>
    <row r="5268" spans="1:1">
      <c r="A5268" t="s">
        <v>4255</v>
      </c>
    </row>
    <row r="5269" spans="1:1">
      <c r="A5269" t="s">
        <v>4256</v>
      </c>
    </row>
    <row r="5270" spans="1:1">
      <c r="A5270" t="s">
        <v>4257</v>
      </c>
    </row>
    <row r="5271" spans="1:1">
      <c r="A5271" t="s">
        <v>4258</v>
      </c>
    </row>
    <row r="5272" spans="1:1">
      <c r="A5272" t="s">
        <v>4259</v>
      </c>
    </row>
    <row r="5273" spans="1:1">
      <c r="A5273" t="s">
        <v>4260</v>
      </c>
    </row>
    <row r="5274" spans="1:1">
      <c r="A5274" t="s">
        <v>4261</v>
      </c>
    </row>
    <row r="5276" spans="1:1">
      <c r="A5276" t="s">
        <v>406</v>
      </c>
    </row>
    <row r="5277" spans="1:1">
      <c r="A5277" t="s">
        <v>4262</v>
      </c>
    </row>
    <row r="5278" spans="1:1">
      <c r="A5278" t="s">
        <v>4263</v>
      </c>
    </row>
    <row r="5279" spans="1:1">
      <c r="A5279" t="s">
        <v>4264</v>
      </c>
    </row>
    <row r="5280" spans="1:1">
      <c r="A5280" t="s">
        <v>4265</v>
      </c>
    </row>
    <row r="5281" spans="1:1">
      <c r="A5281" t="s">
        <v>4266</v>
      </c>
    </row>
    <row r="5282" spans="1:1">
      <c r="A5282" t="s">
        <v>4267</v>
      </c>
    </row>
    <row r="5283" spans="1:1">
      <c r="A5283" t="s">
        <v>4268</v>
      </c>
    </row>
    <row r="5284" spans="1:1">
      <c r="A5284" t="s">
        <v>4269</v>
      </c>
    </row>
    <row r="5285" spans="1:1">
      <c r="A5285" t="s">
        <v>4270</v>
      </c>
    </row>
    <row r="5286" spans="1:1">
      <c r="A5286" t="s">
        <v>4271</v>
      </c>
    </row>
    <row r="5287" spans="1:1">
      <c r="A5287" t="s">
        <v>4272</v>
      </c>
    </row>
    <row r="5288" spans="1:1">
      <c r="A5288" t="s">
        <v>4273</v>
      </c>
    </row>
    <row r="5289" spans="1:1">
      <c r="A5289" t="s">
        <v>4274</v>
      </c>
    </row>
    <row r="5290" spans="1:1">
      <c r="A5290" t="s">
        <v>4275</v>
      </c>
    </row>
    <row r="5291" spans="1:1">
      <c r="A5291" t="s">
        <v>421</v>
      </c>
    </row>
    <row r="5292" spans="1:1">
      <c r="A5292" t="s">
        <v>4276</v>
      </c>
    </row>
    <row r="5297" spans="1:1">
      <c r="A5297" t="s">
        <v>4277</v>
      </c>
    </row>
    <row r="5298" spans="1:1">
      <c r="A5298" t="s">
        <v>371</v>
      </c>
    </row>
    <row r="5299" spans="1:1">
      <c r="A5299" t="s">
        <v>4278</v>
      </c>
    </row>
    <row r="5300" spans="1:1">
      <c r="A5300" t="s">
        <v>4279</v>
      </c>
    </row>
    <row r="5301" spans="1:1">
      <c r="A5301" t="s">
        <v>374</v>
      </c>
    </row>
    <row r="5302" spans="1:1">
      <c r="A5302" t="s">
        <v>4280</v>
      </c>
    </row>
    <row r="5303" spans="1:1">
      <c r="A5303" t="s">
        <v>376</v>
      </c>
    </row>
    <row r="5305" spans="1:1">
      <c r="A5305" t="s">
        <v>3429</v>
      </c>
    </row>
    <row r="5306" spans="1:1">
      <c r="A5306" t="s">
        <v>378</v>
      </c>
    </row>
    <row r="5307" spans="1:1">
      <c r="A5307" t="s">
        <v>4281</v>
      </c>
    </row>
    <row r="5308" spans="1:1">
      <c r="A5308" t="s">
        <v>4282</v>
      </c>
    </row>
    <row r="5309" spans="1:1">
      <c r="A5309" t="s">
        <v>4283</v>
      </c>
    </row>
    <row r="5310" spans="1:1">
      <c r="A5310" t="s">
        <v>4284</v>
      </c>
    </row>
    <row r="5311" spans="1:1">
      <c r="A5311" t="s">
        <v>4285</v>
      </c>
    </row>
    <row r="5312" spans="1:1">
      <c r="A5312" t="s">
        <v>4286</v>
      </c>
    </row>
    <row r="5313" spans="1:1">
      <c r="A5313" t="s">
        <v>4287</v>
      </c>
    </row>
    <row r="5314" spans="1:1">
      <c r="A5314" t="s">
        <v>4288</v>
      </c>
    </row>
    <row r="5315" spans="1:1">
      <c r="A5315" t="s">
        <v>4289</v>
      </c>
    </row>
    <row r="5316" spans="1:1">
      <c r="A5316" t="s">
        <v>4290</v>
      </c>
    </row>
    <row r="5317" spans="1:1">
      <c r="A5317" t="s">
        <v>4291</v>
      </c>
    </row>
    <row r="5318" spans="1:1">
      <c r="A5318" t="s">
        <v>4292</v>
      </c>
    </row>
    <row r="5319" spans="1:1">
      <c r="A5319" t="s">
        <v>4293</v>
      </c>
    </row>
    <row r="5322" spans="1:1">
      <c r="A5322" t="s">
        <v>392</v>
      </c>
    </row>
    <row r="5323" spans="1:1">
      <c r="A5323" t="s">
        <v>4294</v>
      </c>
    </row>
    <row r="5324" spans="1:1">
      <c r="A5324" t="s">
        <v>4295</v>
      </c>
    </row>
    <row r="5325" spans="1:1">
      <c r="A5325" t="s">
        <v>3803</v>
      </c>
    </row>
    <row r="5326" spans="1:1">
      <c r="A5326" t="s">
        <v>4296</v>
      </c>
    </row>
    <row r="5327" spans="1:1">
      <c r="A5327" t="s">
        <v>4297</v>
      </c>
    </row>
    <row r="5328" spans="1:1">
      <c r="A5328" t="s">
        <v>4298</v>
      </c>
    </row>
    <row r="5329" spans="1:1">
      <c r="A5329" t="s">
        <v>4299</v>
      </c>
    </row>
    <row r="5330" spans="1:1">
      <c r="A5330" t="s">
        <v>4300</v>
      </c>
    </row>
    <row r="5331" spans="1:1">
      <c r="A5331" t="s">
        <v>4301</v>
      </c>
    </row>
    <row r="5332" spans="1:1">
      <c r="A5332" t="s">
        <v>4302</v>
      </c>
    </row>
    <row r="5333" spans="1:1">
      <c r="A5333" t="s">
        <v>4303</v>
      </c>
    </row>
    <row r="5334" spans="1:1">
      <c r="A5334" t="s">
        <v>4304</v>
      </c>
    </row>
    <row r="5335" spans="1:1">
      <c r="A5335" t="s">
        <v>4305</v>
      </c>
    </row>
    <row r="5337" spans="1:1">
      <c r="A5337" t="s">
        <v>406</v>
      </c>
    </row>
    <row r="5338" spans="1:1">
      <c r="A5338" t="s">
        <v>4306</v>
      </c>
    </row>
    <row r="5339" spans="1:1">
      <c r="A5339" t="s">
        <v>4307</v>
      </c>
    </row>
    <row r="5340" spans="1:1">
      <c r="A5340" t="s">
        <v>4308</v>
      </c>
    </row>
    <row r="5341" spans="1:1">
      <c r="A5341" t="s">
        <v>4309</v>
      </c>
    </row>
    <row r="5342" spans="1:1">
      <c r="A5342" t="s">
        <v>4310</v>
      </c>
    </row>
    <row r="5343" spans="1:1">
      <c r="A5343" t="s">
        <v>4311</v>
      </c>
    </row>
    <row r="5344" spans="1:1">
      <c r="A5344" t="s">
        <v>4312</v>
      </c>
    </row>
    <row r="5345" spans="1:1">
      <c r="A5345" t="s">
        <v>4313</v>
      </c>
    </row>
    <row r="5346" spans="1:1">
      <c r="A5346" t="s">
        <v>4314</v>
      </c>
    </row>
    <row r="5347" spans="1:1">
      <c r="A5347" t="s">
        <v>4315</v>
      </c>
    </row>
    <row r="5348" spans="1:1">
      <c r="A5348" t="s">
        <v>4316</v>
      </c>
    </row>
    <row r="5349" spans="1:1">
      <c r="A5349" t="s">
        <v>4317</v>
      </c>
    </row>
    <row r="5350" spans="1:1">
      <c r="A5350" t="s">
        <v>4318</v>
      </c>
    </row>
    <row r="5351" spans="1:1">
      <c r="A5351" t="s">
        <v>4319</v>
      </c>
    </row>
    <row r="5352" spans="1:1">
      <c r="A5352" t="s">
        <v>421</v>
      </c>
    </row>
    <row r="5353" spans="1:1">
      <c r="A5353" t="s">
        <v>4320</v>
      </c>
    </row>
    <row r="5358" spans="1:1">
      <c r="A5358" t="s">
        <v>4321</v>
      </c>
    </row>
    <row r="5359" spans="1:1">
      <c r="A5359" t="s">
        <v>371</v>
      </c>
    </row>
    <row r="5360" spans="1:1">
      <c r="A5360" t="s">
        <v>4322</v>
      </c>
    </row>
    <row r="5361" spans="1:1">
      <c r="A5361" t="s">
        <v>4323</v>
      </c>
    </row>
    <row r="5362" spans="1:1">
      <c r="A5362" t="s">
        <v>374</v>
      </c>
    </row>
    <row r="5363" spans="1:1">
      <c r="A5363" t="s">
        <v>4324</v>
      </c>
    </row>
    <row r="5364" spans="1:1">
      <c r="A5364" t="s">
        <v>376</v>
      </c>
    </row>
    <row r="5366" spans="1:1">
      <c r="A5366" t="s">
        <v>3429</v>
      </c>
    </row>
    <row r="5367" spans="1:1">
      <c r="A5367" t="s">
        <v>378</v>
      </c>
    </row>
    <row r="5368" spans="1:1">
      <c r="A5368" t="s">
        <v>4325</v>
      </c>
    </row>
    <row r="5369" spans="1:1">
      <c r="A5369" t="s">
        <v>4326</v>
      </c>
    </row>
    <row r="5370" spans="1:1">
      <c r="A5370" t="s">
        <v>4327</v>
      </c>
    </row>
    <row r="5371" spans="1:1">
      <c r="A5371" t="s">
        <v>4328</v>
      </c>
    </row>
    <row r="5372" spans="1:1">
      <c r="A5372" t="s">
        <v>4329</v>
      </c>
    </row>
    <row r="5373" spans="1:1">
      <c r="A5373" t="s">
        <v>4330</v>
      </c>
    </row>
    <row r="5374" spans="1:1">
      <c r="A5374" t="s">
        <v>4331</v>
      </c>
    </row>
    <row r="5375" spans="1:1">
      <c r="A5375" t="s">
        <v>4332</v>
      </c>
    </row>
    <row r="5376" spans="1:1">
      <c r="A5376" t="s">
        <v>4333</v>
      </c>
    </row>
    <row r="5377" spans="1:1">
      <c r="A5377" t="s">
        <v>4334</v>
      </c>
    </row>
    <row r="5378" spans="1:1">
      <c r="A5378" t="s">
        <v>4335</v>
      </c>
    </row>
    <row r="5379" spans="1:1">
      <c r="A5379" t="s">
        <v>4336</v>
      </c>
    </row>
    <row r="5380" spans="1:1">
      <c r="A5380" t="s">
        <v>4337</v>
      </c>
    </row>
    <row r="5383" spans="1:1">
      <c r="A5383" t="s">
        <v>392</v>
      </c>
    </row>
    <row r="5384" spans="1:1">
      <c r="A5384" t="s">
        <v>4338</v>
      </c>
    </row>
    <row r="5385" spans="1:1">
      <c r="A5385" t="s">
        <v>4339</v>
      </c>
    </row>
    <row r="5386" spans="1:1">
      <c r="A5386" t="s">
        <v>4340</v>
      </c>
    </row>
    <row r="5387" spans="1:1">
      <c r="A5387" t="s">
        <v>4341</v>
      </c>
    </row>
    <row r="5388" spans="1:1">
      <c r="A5388" t="s">
        <v>4342</v>
      </c>
    </row>
    <row r="5389" spans="1:1">
      <c r="A5389" t="s">
        <v>4343</v>
      </c>
    </row>
    <row r="5390" spans="1:1">
      <c r="A5390" t="s">
        <v>4344</v>
      </c>
    </row>
    <row r="5391" spans="1:1">
      <c r="A5391" t="s">
        <v>4345</v>
      </c>
    </row>
    <row r="5392" spans="1:1">
      <c r="A5392" t="s">
        <v>4346</v>
      </c>
    </row>
    <row r="5393" spans="1:1">
      <c r="A5393" t="s">
        <v>4347</v>
      </c>
    </row>
    <row r="5394" spans="1:1">
      <c r="A5394" t="s">
        <v>4348</v>
      </c>
    </row>
    <row r="5395" spans="1:1">
      <c r="A5395" t="s">
        <v>4349</v>
      </c>
    </row>
    <row r="5396" spans="1:1">
      <c r="A5396" t="s">
        <v>4350</v>
      </c>
    </row>
    <row r="5398" spans="1:1">
      <c r="A5398" t="s">
        <v>406</v>
      </c>
    </row>
    <row r="5399" spans="1:1">
      <c r="A5399" t="s">
        <v>4351</v>
      </c>
    </row>
    <row r="5400" spans="1:1">
      <c r="A5400" t="s">
        <v>4352</v>
      </c>
    </row>
    <row r="5401" spans="1:1">
      <c r="A5401" t="s">
        <v>4353</v>
      </c>
    </row>
    <row r="5402" spans="1:1">
      <c r="A5402" t="s">
        <v>4354</v>
      </c>
    </row>
    <row r="5403" spans="1:1">
      <c r="A5403" t="s">
        <v>4355</v>
      </c>
    </row>
    <row r="5404" spans="1:1">
      <c r="A5404" t="s">
        <v>4356</v>
      </c>
    </row>
    <row r="5405" spans="1:1">
      <c r="A5405" t="s">
        <v>4357</v>
      </c>
    </row>
    <row r="5406" spans="1:1">
      <c r="A5406" t="s">
        <v>4358</v>
      </c>
    </row>
    <row r="5407" spans="1:1">
      <c r="A5407" t="s">
        <v>4359</v>
      </c>
    </row>
    <row r="5408" spans="1:1">
      <c r="A5408" t="s">
        <v>4360</v>
      </c>
    </row>
    <row r="5409" spans="1:1">
      <c r="A5409" t="s">
        <v>4361</v>
      </c>
    </row>
    <row r="5410" spans="1:1">
      <c r="A5410" t="s">
        <v>4362</v>
      </c>
    </row>
    <row r="5411" spans="1:1">
      <c r="A5411" t="s">
        <v>4363</v>
      </c>
    </row>
    <row r="5412" spans="1:1">
      <c r="A5412" t="s">
        <v>4364</v>
      </c>
    </row>
    <row r="5413" spans="1:1">
      <c r="A5413" t="s">
        <v>421</v>
      </c>
    </row>
    <row r="5414" spans="1:1">
      <c r="A5414" t="s">
        <v>4365</v>
      </c>
    </row>
    <row r="5419" spans="1:1">
      <c r="A5419" t="s">
        <v>4366</v>
      </c>
    </row>
    <row r="5420" spans="1:1">
      <c r="A5420" t="s">
        <v>371</v>
      </c>
    </row>
    <row r="5421" spans="1:1">
      <c r="A5421" t="s">
        <v>4367</v>
      </c>
    </row>
    <row r="5422" spans="1:1">
      <c r="A5422" t="s">
        <v>4368</v>
      </c>
    </row>
    <row r="5423" spans="1:1">
      <c r="A5423" t="s">
        <v>374</v>
      </c>
    </row>
    <row r="5424" spans="1:1">
      <c r="A5424" t="s">
        <v>4369</v>
      </c>
    </row>
    <row r="5425" spans="1:1">
      <c r="A5425" t="s">
        <v>376</v>
      </c>
    </row>
    <row r="5427" spans="1:1">
      <c r="A5427" t="s">
        <v>3429</v>
      </c>
    </row>
    <row r="5428" spans="1:1">
      <c r="A5428" t="s">
        <v>378</v>
      </c>
    </row>
    <row r="5429" spans="1:1">
      <c r="A5429" t="s">
        <v>4370</v>
      </c>
    </row>
    <row r="5430" spans="1:1">
      <c r="A5430" t="s">
        <v>4371</v>
      </c>
    </row>
    <row r="5431" spans="1:1">
      <c r="A5431" t="s">
        <v>4372</v>
      </c>
    </row>
    <row r="5432" spans="1:1">
      <c r="A5432" t="s">
        <v>4373</v>
      </c>
    </row>
    <row r="5433" spans="1:1">
      <c r="A5433" t="s">
        <v>4374</v>
      </c>
    </row>
    <row r="5434" spans="1:1">
      <c r="A5434" t="s">
        <v>4375</v>
      </c>
    </row>
    <row r="5435" spans="1:1">
      <c r="A5435" t="s">
        <v>4376</v>
      </c>
    </row>
    <row r="5436" spans="1:1">
      <c r="A5436" t="s">
        <v>4377</v>
      </c>
    </row>
    <row r="5437" spans="1:1">
      <c r="A5437" t="s">
        <v>4378</v>
      </c>
    </row>
    <row r="5438" spans="1:1">
      <c r="A5438" t="s">
        <v>4379</v>
      </c>
    </row>
    <row r="5439" spans="1:1">
      <c r="A5439" t="s">
        <v>4380</v>
      </c>
    </row>
    <row r="5440" spans="1:1">
      <c r="A5440" t="s">
        <v>4381</v>
      </c>
    </row>
    <row r="5441" spans="1:1">
      <c r="A5441" t="s">
        <v>4382</v>
      </c>
    </row>
    <row r="5444" spans="1:1">
      <c r="A5444" t="s">
        <v>392</v>
      </c>
    </row>
    <row r="5445" spans="1:1">
      <c r="A5445" t="s">
        <v>4383</v>
      </c>
    </row>
    <row r="5446" spans="1:1">
      <c r="A5446" t="s">
        <v>4384</v>
      </c>
    </row>
    <row r="5447" spans="1:1">
      <c r="A5447" t="s">
        <v>4385</v>
      </c>
    </row>
    <row r="5448" spans="1:1">
      <c r="A5448" t="s">
        <v>4386</v>
      </c>
    </row>
    <row r="5449" spans="1:1">
      <c r="A5449" t="s">
        <v>4387</v>
      </c>
    </row>
    <row r="5450" spans="1:1">
      <c r="A5450" t="s">
        <v>4388</v>
      </c>
    </row>
    <row r="5451" spans="1:1">
      <c r="A5451" t="s">
        <v>4389</v>
      </c>
    </row>
    <row r="5452" spans="1:1">
      <c r="A5452" t="s">
        <v>4390</v>
      </c>
    </row>
    <row r="5453" spans="1:1">
      <c r="A5453" t="s">
        <v>4391</v>
      </c>
    </row>
    <row r="5454" spans="1:1">
      <c r="A5454" t="s">
        <v>4392</v>
      </c>
    </row>
    <row r="5455" spans="1:1">
      <c r="A5455" t="s">
        <v>4393</v>
      </c>
    </row>
    <row r="5456" spans="1:1">
      <c r="A5456" t="s">
        <v>4394</v>
      </c>
    </row>
    <row r="5457" spans="1:1">
      <c r="A5457" t="s">
        <v>4395</v>
      </c>
    </row>
    <row r="5459" spans="1:1">
      <c r="A5459" t="s">
        <v>406</v>
      </c>
    </row>
    <row r="5460" spans="1:1">
      <c r="A5460" t="s">
        <v>4396</v>
      </c>
    </row>
    <row r="5461" spans="1:1">
      <c r="A5461" t="s">
        <v>4397</v>
      </c>
    </row>
    <row r="5462" spans="1:1">
      <c r="A5462" t="s">
        <v>4398</v>
      </c>
    </row>
    <row r="5463" spans="1:1">
      <c r="A5463" t="s">
        <v>4399</v>
      </c>
    </row>
    <row r="5464" spans="1:1">
      <c r="A5464" t="s">
        <v>4400</v>
      </c>
    </row>
    <row r="5465" spans="1:1">
      <c r="A5465" t="s">
        <v>4401</v>
      </c>
    </row>
    <row r="5466" spans="1:1">
      <c r="A5466" t="s">
        <v>4402</v>
      </c>
    </row>
    <row r="5467" spans="1:1">
      <c r="A5467" t="s">
        <v>4403</v>
      </c>
    </row>
    <row r="5468" spans="1:1">
      <c r="A5468" t="s">
        <v>4404</v>
      </c>
    </row>
    <row r="5469" spans="1:1">
      <c r="A5469" t="s">
        <v>4405</v>
      </c>
    </row>
    <row r="5470" spans="1:1">
      <c r="A5470" t="s">
        <v>4406</v>
      </c>
    </row>
    <row r="5471" spans="1:1">
      <c r="A5471" t="s">
        <v>4407</v>
      </c>
    </row>
    <row r="5472" spans="1:1">
      <c r="A5472" t="s">
        <v>4408</v>
      </c>
    </row>
    <row r="5473" spans="1:1">
      <c r="A5473" t="s">
        <v>4409</v>
      </c>
    </row>
    <row r="5474" spans="1:1">
      <c r="A5474" t="s">
        <v>421</v>
      </c>
    </row>
    <row r="5475" spans="1:1">
      <c r="A5475" t="s">
        <v>4410</v>
      </c>
    </row>
    <row r="5480" spans="1:1">
      <c r="A5480" t="s">
        <v>4411</v>
      </c>
    </row>
    <row r="5481" spans="1:1">
      <c r="A5481" t="s">
        <v>371</v>
      </c>
    </row>
    <row r="5482" spans="1:1">
      <c r="A5482" t="s">
        <v>4412</v>
      </c>
    </row>
    <row r="5483" spans="1:1">
      <c r="A5483" t="s">
        <v>4413</v>
      </c>
    </row>
    <row r="5484" spans="1:1">
      <c r="A5484" t="s">
        <v>374</v>
      </c>
    </row>
    <row r="5485" spans="1:1">
      <c r="A5485" t="s">
        <v>4414</v>
      </c>
    </row>
    <row r="5486" spans="1:1">
      <c r="A5486" t="s">
        <v>376</v>
      </c>
    </row>
    <row r="5488" spans="1:1">
      <c r="A5488" t="s">
        <v>4415</v>
      </c>
    </row>
    <row r="5489" spans="1:1">
      <c r="A5489" t="s">
        <v>378</v>
      </c>
    </row>
    <row r="5490" spans="1:1">
      <c r="A5490" t="s">
        <v>4416</v>
      </c>
    </row>
    <row r="5491" spans="1:1">
      <c r="A5491" t="s">
        <v>4417</v>
      </c>
    </row>
    <row r="5492" spans="1:1">
      <c r="A5492" t="s">
        <v>4418</v>
      </c>
    </row>
    <row r="5493" spans="1:1">
      <c r="A5493" t="s">
        <v>4419</v>
      </c>
    </row>
    <row r="5494" spans="1:1">
      <c r="A5494" t="s">
        <v>4420</v>
      </c>
    </row>
    <row r="5495" spans="1:1">
      <c r="A5495" t="s">
        <v>4421</v>
      </c>
    </row>
    <row r="5496" spans="1:1">
      <c r="A5496" t="s">
        <v>4422</v>
      </c>
    </row>
    <row r="5497" spans="1:1">
      <c r="A5497" t="s">
        <v>4423</v>
      </c>
    </row>
    <row r="5498" spans="1:1">
      <c r="A5498" t="s">
        <v>4424</v>
      </c>
    </row>
    <row r="5499" spans="1:1">
      <c r="A5499" t="s">
        <v>4425</v>
      </c>
    </row>
    <row r="5500" spans="1:1">
      <c r="A5500" t="s">
        <v>4426</v>
      </c>
    </row>
    <row r="5501" spans="1:1">
      <c r="A5501" t="s">
        <v>4427</v>
      </c>
    </row>
    <row r="5502" spans="1:1">
      <c r="A5502" t="s">
        <v>4428</v>
      </c>
    </row>
    <row r="5505" spans="1:1">
      <c r="A5505" t="s">
        <v>392</v>
      </c>
    </row>
    <row r="5506" spans="1:1">
      <c r="A5506" t="s">
        <v>4429</v>
      </c>
    </row>
    <row r="5507" spans="1:1">
      <c r="A5507" t="s">
        <v>4430</v>
      </c>
    </row>
    <row r="5508" spans="1:1">
      <c r="A5508" t="s">
        <v>4431</v>
      </c>
    </row>
    <row r="5509" spans="1:1">
      <c r="A5509" t="s">
        <v>4432</v>
      </c>
    </row>
    <row r="5510" spans="1:1">
      <c r="A5510" t="s">
        <v>4433</v>
      </c>
    </row>
    <row r="5511" spans="1:1">
      <c r="A5511" t="s">
        <v>4434</v>
      </c>
    </row>
    <row r="5512" spans="1:1">
      <c r="A5512" t="s">
        <v>4435</v>
      </c>
    </row>
    <row r="5513" spans="1:1">
      <c r="A5513" t="s">
        <v>4436</v>
      </c>
    </row>
    <row r="5514" spans="1:1">
      <c r="A5514" t="s">
        <v>4437</v>
      </c>
    </row>
    <row r="5515" spans="1:1">
      <c r="A5515" t="s">
        <v>4438</v>
      </c>
    </row>
    <row r="5516" spans="1:1">
      <c r="A5516" t="s">
        <v>4439</v>
      </c>
    </row>
    <row r="5517" spans="1:1">
      <c r="A5517" t="s">
        <v>4440</v>
      </c>
    </row>
    <row r="5518" spans="1:1">
      <c r="A5518" t="s">
        <v>4441</v>
      </c>
    </row>
    <row r="5520" spans="1:1">
      <c r="A5520" t="s">
        <v>406</v>
      </c>
    </row>
    <row r="5521" spans="1:1">
      <c r="A5521" t="s">
        <v>4442</v>
      </c>
    </row>
    <row r="5522" spans="1:1">
      <c r="A5522" t="s">
        <v>4443</v>
      </c>
    </row>
    <row r="5523" spans="1:1">
      <c r="A5523" t="s">
        <v>4444</v>
      </c>
    </row>
    <row r="5524" spans="1:1">
      <c r="A5524" t="s">
        <v>4445</v>
      </c>
    </row>
    <row r="5525" spans="1:1">
      <c r="A5525" t="s">
        <v>4446</v>
      </c>
    </row>
    <row r="5526" spans="1:1">
      <c r="A5526" t="s">
        <v>4447</v>
      </c>
    </row>
    <row r="5527" spans="1:1">
      <c r="A5527" t="s">
        <v>4448</v>
      </c>
    </row>
    <row r="5528" spans="1:1">
      <c r="A5528" t="s">
        <v>4449</v>
      </c>
    </row>
    <row r="5529" spans="1:1">
      <c r="A5529" t="s">
        <v>4450</v>
      </c>
    </row>
    <row r="5530" spans="1:1">
      <c r="A5530" t="s">
        <v>4451</v>
      </c>
    </row>
    <row r="5531" spans="1:1">
      <c r="A5531" t="s">
        <v>4452</v>
      </c>
    </row>
    <row r="5532" spans="1:1">
      <c r="A5532" t="s">
        <v>4453</v>
      </c>
    </row>
    <row r="5533" spans="1:1">
      <c r="A5533" t="s">
        <v>4454</v>
      </c>
    </row>
    <row r="5534" spans="1:1">
      <c r="A5534" t="s">
        <v>4455</v>
      </c>
    </row>
    <row r="5535" spans="1:1">
      <c r="A5535" t="s">
        <v>421</v>
      </c>
    </row>
    <row r="5536" spans="1:1">
      <c r="A5536" t="s">
        <v>4456</v>
      </c>
    </row>
    <row r="5541" spans="1:1">
      <c r="A5541" t="s">
        <v>4457</v>
      </c>
    </row>
    <row r="5542" spans="1:1">
      <c r="A5542" t="s">
        <v>371</v>
      </c>
    </row>
    <row r="5543" spans="1:1">
      <c r="A5543" t="s">
        <v>4458</v>
      </c>
    </row>
    <row r="5544" spans="1:1">
      <c r="A5544" t="s">
        <v>4459</v>
      </c>
    </row>
    <row r="5545" spans="1:1">
      <c r="A5545" t="s">
        <v>374</v>
      </c>
    </row>
    <row r="5546" spans="1:1">
      <c r="A5546" t="s">
        <v>4460</v>
      </c>
    </row>
    <row r="5547" spans="1:1">
      <c r="A5547" t="s">
        <v>376</v>
      </c>
    </row>
    <row r="5549" spans="1:1">
      <c r="A5549" t="s">
        <v>4415</v>
      </c>
    </row>
    <row r="5550" spans="1:1">
      <c r="A5550" t="s">
        <v>378</v>
      </c>
    </row>
    <row r="5551" spans="1:1">
      <c r="A5551" t="s">
        <v>4461</v>
      </c>
    </row>
    <row r="5552" spans="1:1">
      <c r="A5552" t="s">
        <v>4462</v>
      </c>
    </row>
    <row r="5553" spans="1:1">
      <c r="A5553" t="s">
        <v>4463</v>
      </c>
    </row>
    <row r="5554" spans="1:1">
      <c r="A5554" t="s">
        <v>4464</v>
      </c>
    </row>
    <row r="5555" spans="1:1">
      <c r="A5555" t="s">
        <v>4465</v>
      </c>
    </row>
    <row r="5556" spans="1:1">
      <c r="A5556" t="s">
        <v>4466</v>
      </c>
    </row>
    <row r="5557" spans="1:1">
      <c r="A5557" t="s">
        <v>4467</v>
      </c>
    </row>
    <row r="5558" spans="1:1">
      <c r="A5558" t="s">
        <v>4468</v>
      </c>
    </row>
    <row r="5559" spans="1:1">
      <c r="A5559" t="s">
        <v>4469</v>
      </c>
    </row>
    <row r="5560" spans="1:1">
      <c r="A5560" t="s">
        <v>4470</v>
      </c>
    </row>
    <row r="5561" spans="1:1">
      <c r="A5561" t="s">
        <v>4471</v>
      </c>
    </row>
    <row r="5562" spans="1:1">
      <c r="A5562" t="s">
        <v>4472</v>
      </c>
    </row>
    <row r="5563" spans="1:1">
      <c r="A5563" t="s">
        <v>4473</v>
      </c>
    </row>
    <row r="5566" spans="1:1">
      <c r="A5566" t="s">
        <v>392</v>
      </c>
    </row>
    <row r="5567" spans="1:1">
      <c r="A5567" t="s">
        <v>4474</v>
      </c>
    </row>
    <row r="5568" spans="1:1">
      <c r="A5568" t="s">
        <v>4475</v>
      </c>
    </row>
    <row r="5569" spans="1:1">
      <c r="A5569" t="s">
        <v>4476</v>
      </c>
    </row>
    <row r="5570" spans="1:1">
      <c r="A5570" t="s">
        <v>4477</v>
      </c>
    </row>
    <row r="5571" spans="1:1">
      <c r="A5571" t="s">
        <v>4478</v>
      </c>
    </row>
    <row r="5572" spans="1:1">
      <c r="A5572" t="s">
        <v>4479</v>
      </c>
    </row>
    <row r="5573" spans="1:1">
      <c r="A5573" t="s">
        <v>4480</v>
      </c>
    </row>
    <row r="5574" spans="1:1">
      <c r="A5574" t="s">
        <v>4481</v>
      </c>
    </row>
    <row r="5575" spans="1:1">
      <c r="A5575" t="s">
        <v>4482</v>
      </c>
    </row>
    <row r="5576" spans="1:1">
      <c r="A5576" t="s">
        <v>4483</v>
      </c>
    </row>
    <row r="5577" spans="1:1">
      <c r="A5577" t="s">
        <v>4484</v>
      </c>
    </row>
    <row r="5578" spans="1:1">
      <c r="A5578" t="s">
        <v>4485</v>
      </c>
    </row>
    <row r="5579" spans="1:1">
      <c r="A5579" t="s">
        <v>4486</v>
      </c>
    </row>
    <row r="5581" spans="1:1">
      <c r="A5581" t="s">
        <v>406</v>
      </c>
    </row>
    <row r="5582" spans="1:1">
      <c r="A5582" t="s">
        <v>4487</v>
      </c>
    </row>
    <row r="5583" spans="1:1">
      <c r="A5583" t="s">
        <v>4488</v>
      </c>
    </row>
    <row r="5584" spans="1:1">
      <c r="A5584" t="s">
        <v>4489</v>
      </c>
    </row>
    <row r="5585" spans="1:1">
      <c r="A5585" t="s">
        <v>4490</v>
      </c>
    </row>
    <row r="5586" spans="1:1">
      <c r="A5586" t="s">
        <v>4491</v>
      </c>
    </row>
    <row r="5587" spans="1:1">
      <c r="A5587" t="s">
        <v>4492</v>
      </c>
    </row>
    <row r="5588" spans="1:1">
      <c r="A5588" t="s">
        <v>4493</v>
      </c>
    </row>
    <row r="5589" spans="1:1">
      <c r="A5589" t="s">
        <v>4494</v>
      </c>
    </row>
    <row r="5590" spans="1:1">
      <c r="A5590" t="s">
        <v>4495</v>
      </c>
    </row>
    <row r="5591" spans="1:1">
      <c r="A5591" t="s">
        <v>4496</v>
      </c>
    </row>
    <row r="5592" spans="1:1">
      <c r="A5592" t="s">
        <v>4497</v>
      </c>
    </row>
    <row r="5593" spans="1:1">
      <c r="A5593" t="s">
        <v>4498</v>
      </c>
    </row>
    <row r="5594" spans="1:1">
      <c r="A5594" t="s">
        <v>4499</v>
      </c>
    </row>
    <row r="5595" spans="1:1">
      <c r="A5595" t="s">
        <v>4500</v>
      </c>
    </row>
    <row r="5596" spans="1:1">
      <c r="A5596" t="s">
        <v>421</v>
      </c>
    </row>
    <row r="5597" spans="1:1">
      <c r="A5597" t="s">
        <v>4501</v>
      </c>
    </row>
    <row r="5602" spans="1:1">
      <c r="A5602" t="s">
        <v>4502</v>
      </c>
    </row>
    <row r="5603" spans="1:1">
      <c r="A5603" t="s">
        <v>371</v>
      </c>
    </row>
    <row r="5604" spans="1:1">
      <c r="A5604" t="s">
        <v>4503</v>
      </c>
    </row>
    <row r="5605" spans="1:1">
      <c r="A5605" t="s">
        <v>4504</v>
      </c>
    </row>
    <row r="5606" spans="1:1">
      <c r="A5606" t="s">
        <v>374</v>
      </c>
    </row>
    <row r="5607" spans="1:1">
      <c r="A5607" t="s">
        <v>4505</v>
      </c>
    </row>
    <row r="5608" spans="1:1">
      <c r="A5608" t="s">
        <v>376</v>
      </c>
    </row>
    <row r="5610" spans="1:1">
      <c r="A5610" t="s">
        <v>3429</v>
      </c>
    </row>
    <row r="5611" spans="1:1">
      <c r="A5611" t="s">
        <v>378</v>
      </c>
    </row>
    <row r="5612" spans="1:1">
      <c r="A5612" t="s">
        <v>4506</v>
      </c>
    </row>
    <row r="5613" spans="1:1">
      <c r="A5613" t="s">
        <v>4507</v>
      </c>
    </row>
    <row r="5614" spans="1:1">
      <c r="A5614" t="s">
        <v>4508</v>
      </c>
    </row>
    <row r="5615" spans="1:1">
      <c r="A5615" t="s">
        <v>4509</v>
      </c>
    </row>
    <row r="5616" spans="1:1">
      <c r="A5616" t="s">
        <v>4510</v>
      </c>
    </row>
    <row r="5617" spans="1:1">
      <c r="A5617" t="s">
        <v>4511</v>
      </c>
    </row>
    <row r="5618" spans="1:1">
      <c r="A5618" t="s">
        <v>4512</v>
      </c>
    </row>
    <row r="5619" spans="1:1">
      <c r="A5619" t="s">
        <v>4513</v>
      </c>
    </row>
    <row r="5620" spans="1:1">
      <c r="A5620" t="s">
        <v>4514</v>
      </c>
    </row>
    <row r="5621" spans="1:1">
      <c r="A5621" t="s">
        <v>4515</v>
      </c>
    </row>
    <row r="5622" spans="1:1">
      <c r="A5622" t="s">
        <v>4516</v>
      </c>
    </row>
    <row r="5623" spans="1:1">
      <c r="A5623" t="s">
        <v>4517</v>
      </c>
    </row>
    <row r="5624" spans="1:1">
      <c r="A5624" t="s">
        <v>4518</v>
      </c>
    </row>
    <row r="5627" spans="1:1">
      <c r="A5627" t="s">
        <v>392</v>
      </c>
    </row>
    <row r="5628" spans="1:1">
      <c r="A5628" t="s">
        <v>4519</v>
      </c>
    </row>
    <row r="5629" spans="1:1">
      <c r="A5629" t="s">
        <v>4520</v>
      </c>
    </row>
    <row r="5630" spans="1:1">
      <c r="A5630" t="s">
        <v>4521</v>
      </c>
    </row>
    <row r="5631" spans="1:1">
      <c r="A5631" t="s">
        <v>4522</v>
      </c>
    </row>
    <row r="5632" spans="1:1">
      <c r="A5632" t="s">
        <v>4523</v>
      </c>
    </row>
    <row r="5633" spans="1:1">
      <c r="A5633" t="s">
        <v>4524</v>
      </c>
    </row>
    <row r="5634" spans="1:1">
      <c r="A5634" t="s">
        <v>4525</v>
      </c>
    </row>
    <row r="5635" spans="1:1">
      <c r="A5635" t="s">
        <v>4526</v>
      </c>
    </row>
    <row r="5636" spans="1:1">
      <c r="A5636" t="s">
        <v>4527</v>
      </c>
    </row>
    <row r="5637" spans="1:1">
      <c r="A5637" t="s">
        <v>4528</v>
      </c>
    </row>
    <row r="5638" spans="1:1">
      <c r="A5638" t="s">
        <v>4529</v>
      </c>
    </row>
    <row r="5639" spans="1:1">
      <c r="A5639" t="s">
        <v>4530</v>
      </c>
    </row>
    <row r="5640" spans="1:1">
      <c r="A5640" t="s">
        <v>4531</v>
      </c>
    </row>
    <row r="5642" spans="1:1">
      <c r="A5642" t="s">
        <v>406</v>
      </c>
    </row>
    <row r="5643" spans="1:1">
      <c r="A5643" t="s">
        <v>4532</v>
      </c>
    </row>
    <row r="5644" spans="1:1">
      <c r="A5644" t="s">
        <v>4533</v>
      </c>
    </row>
    <row r="5645" spans="1:1">
      <c r="A5645" t="s">
        <v>4534</v>
      </c>
    </row>
    <row r="5646" spans="1:1">
      <c r="A5646" t="s">
        <v>4535</v>
      </c>
    </row>
    <row r="5647" spans="1:1">
      <c r="A5647" t="s">
        <v>4536</v>
      </c>
    </row>
    <row r="5648" spans="1:1">
      <c r="A5648" t="s">
        <v>4537</v>
      </c>
    </row>
    <row r="5649" spans="1:1">
      <c r="A5649" t="s">
        <v>4538</v>
      </c>
    </row>
    <row r="5650" spans="1:1">
      <c r="A5650" t="s">
        <v>4539</v>
      </c>
    </row>
    <row r="5651" spans="1:1">
      <c r="A5651" t="s">
        <v>4540</v>
      </c>
    </row>
    <row r="5652" spans="1:1">
      <c r="A5652" t="s">
        <v>4541</v>
      </c>
    </row>
    <row r="5653" spans="1:1">
      <c r="A5653" t="s">
        <v>4542</v>
      </c>
    </row>
    <row r="5654" spans="1:1">
      <c r="A5654" t="s">
        <v>4543</v>
      </c>
    </row>
    <row r="5655" spans="1:1">
      <c r="A5655" t="s">
        <v>4544</v>
      </c>
    </row>
    <row r="5656" spans="1:1">
      <c r="A5656" t="s">
        <v>4545</v>
      </c>
    </row>
    <row r="5657" spans="1:1">
      <c r="A5657" t="s">
        <v>421</v>
      </c>
    </row>
    <row r="5658" spans="1:1">
      <c r="A5658" t="s">
        <v>4546</v>
      </c>
    </row>
    <row r="5663" spans="1:1">
      <c r="A5663" t="s">
        <v>4547</v>
      </c>
    </row>
    <row r="5664" spans="1:1">
      <c r="A5664" t="s">
        <v>371</v>
      </c>
    </row>
    <row r="5665" spans="1:1">
      <c r="A5665" t="s">
        <v>4548</v>
      </c>
    </row>
    <row r="5666" spans="1:1">
      <c r="A5666" t="s">
        <v>4549</v>
      </c>
    </row>
    <row r="5667" spans="1:1">
      <c r="A5667" t="s">
        <v>374</v>
      </c>
    </row>
    <row r="5668" spans="1:1">
      <c r="A5668" t="s">
        <v>4550</v>
      </c>
    </row>
    <row r="5669" spans="1:1">
      <c r="A5669" t="s">
        <v>376</v>
      </c>
    </row>
    <row r="5671" spans="1:1">
      <c r="A5671" t="s">
        <v>4415</v>
      </c>
    </row>
    <row r="5672" spans="1:1">
      <c r="A5672" t="s">
        <v>378</v>
      </c>
    </row>
    <row r="5673" spans="1:1">
      <c r="A5673" t="s">
        <v>4551</v>
      </c>
    </row>
    <row r="5674" spans="1:1">
      <c r="A5674" t="s">
        <v>4552</v>
      </c>
    </row>
    <row r="5675" spans="1:1">
      <c r="A5675" t="s">
        <v>4553</v>
      </c>
    </row>
    <row r="5676" spans="1:1">
      <c r="A5676" t="s">
        <v>4554</v>
      </c>
    </row>
    <row r="5677" spans="1:1">
      <c r="A5677" t="s">
        <v>4555</v>
      </c>
    </row>
    <row r="5678" spans="1:1">
      <c r="A5678" t="s">
        <v>4556</v>
      </c>
    </row>
    <row r="5679" spans="1:1">
      <c r="A5679" t="s">
        <v>4557</v>
      </c>
    </row>
    <row r="5680" spans="1:1">
      <c r="A5680" t="s">
        <v>4558</v>
      </c>
    </row>
    <row r="5681" spans="1:1">
      <c r="A5681" t="s">
        <v>4559</v>
      </c>
    </row>
    <row r="5682" spans="1:1">
      <c r="A5682" t="s">
        <v>4560</v>
      </c>
    </row>
    <row r="5683" spans="1:1">
      <c r="A5683" t="s">
        <v>4561</v>
      </c>
    </row>
    <row r="5684" spans="1:1">
      <c r="A5684" t="s">
        <v>4562</v>
      </c>
    </row>
    <row r="5685" spans="1:1">
      <c r="A5685" t="s">
        <v>4563</v>
      </c>
    </row>
    <row r="5688" spans="1:1">
      <c r="A5688" t="s">
        <v>392</v>
      </c>
    </row>
    <row r="5689" spans="1:1">
      <c r="A5689" t="s">
        <v>4564</v>
      </c>
    </row>
    <row r="5690" spans="1:1">
      <c r="A5690" t="s">
        <v>4565</v>
      </c>
    </row>
    <row r="5691" spans="1:1">
      <c r="A5691" t="s">
        <v>4566</v>
      </c>
    </row>
    <row r="5692" spans="1:1">
      <c r="A5692" t="s">
        <v>4567</v>
      </c>
    </row>
    <row r="5693" spans="1:1">
      <c r="A5693" t="s">
        <v>4568</v>
      </c>
    </row>
    <row r="5694" spans="1:1">
      <c r="A5694" t="s">
        <v>4569</v>
      </c>
    </row>
    <row r="5695" spans="1:1">
      <c r="A5695" t="s">
        <v>4570</v>
      </c>
    </row>
    <row r="5696" spans="1:1">
      <c r="A5696" t="s">
        <v>4571</v>
      </c>
    </row>
    <row r="5697" spans="1:1">
      <c r="A5697" t="s">
        <v>4572</v>
      </c>
    </row>
    <row r="5698" spans="1:1">
      <c r="A5698" t="s">
        <v>4573</v>
      </c>
    </row>
    <row r="5699" spans="1:1">
      <c r="A5699" t="s">
        <v>4574</v>
      </c>
    </row>
    <row r="5700" spans="1:1">
      <c r="A5700" t="s">
        <v>4575</v>
      </c>
    </row>
    <row r="5701" spans="1:1">
      <c r="A5701" t="s">
        <v>4576</v>
      </c>
    </row>
    <row r="5703" spans="1:1">
      <c r="A5703" t="s">
        <v>406</v>
      </c>
    </row>
    <row r="5704" spans="1:1">
      <c r="A5704" t="s">
        <v>4577</v>
      </c>
    </row>
    <row r="5705" spans="1:1">
      <c r="A5705" t="s">
        <v>4578</v>
      </c>
    </row>
    <row r="5706" spans="1:1">
      <c r="A5706" t="s">
        <v>4579</v>
      </c>
    </row>
    <row r="5707" spans="1:1">
      <c r="A5707" t="s">
        <v>4580</v>
      </c>
    </row>
    <row r="5708" spans="1:1">
      <c r="A5708" t="s">
        <v>4581</v>
      </c>
    </row>
    <row r="5709" spans="1:1">
      <c r="A5709" t="s">
        <v>4582</v>
      </c>
    </row>
    <row r="5710" spans="1:1">
      <c r="A5710" t="s">
        <v>4583</v>
      </c>
    </row>
    <row r="5711" spans="1:1">
      <c r="A5711" t="s">
        <v>4584</v>
      </c>
    </row>
    <row r="5712" spans="1:1">
      <c r="A5712" t="s">
        <v>4585</v>
      </c>
    </row>
    <row r="5713" spans="1:1">
      <c r="A5713" t="s">
        <v>4586</v>
      </c>
    </row>
    <row r="5714" spans="1:1">
      <c r="A5714" t="s">
        <v>4587</v>
      </c>
    </row>
    <row r="5715" spans="1:1">
      <c r="A5715" t="s">
        <v>4588</v>
      </c>
    </row>
    <row r="5716" spans="1:1">
      <c r="A5716" t="s">
        <v>4589</v>
      </c>
    </row>
    <row r="5717" spans="1:1">
      <c r="A5717" t="s">
        <v>4590</v>
      </c>
    </row>
    <row r="5718" spans="1:1">
      <c r="A5718" t="s">
        <v>421</v>
      </c>
    </row>
    <row r="5719" spans="1:1">
      <c r="A5719" t="s">
        <v>4591</v>
      </c>
    </row>
    <row r="5724" spans="1:1">
      <c r="A5724" t="s">
        <v>4592</v>
      </c>
    </row>
    <row r="5725" spans="1:1">
      <c r="A5725" t="s">
        <v>371</v>
      </c>
    </row>
    <row r="5726" spans="1:1">
      <c r="A5726" t="s">
        <v>4593</v>
      </c>
    </row>
    <row r="5727" spans="1:1">
      <c r="A5727" t="s">
        <v>4594</v>
      </c>
    </row>
    <row r="5728" spans="1:1">
      <c r="A5728" t="s">
        <v>374</v>
      </c>
    </row>
    <row r="5729" spans="1:1">
      <c r="A5729" t="s">
        <v>4595</v>
      </c>
    </row>
    <row r="5730" spans="1:1">
      <c r="A5730" t="s">
        <v>376</v>
      </c>
    </row>
    <row r="5732" spans="1:1">
      <c r="A5732" t="s">
        <v>4415</v>
      </c>
    </row>
    <row r="5733" spans="1:1">
      <c r="A5733" t="s">
        <v>378</v>
      </c>
    </row>
    <row r="5734" spans="1:1">
      <c r="A5734" t="s">
        <v>4596</v>
      </c>
    </row>
    <row r="5735" spans="1:1">
      <c r="A5735" t="s">
        <v>4597</v>
      </c>
    </row>
    <row r="5736" spans="1:1">
      <c r="A5736" t="s">
        <v>4598</v>
      </c>
    </row>
    <row r="5737" spans="1:1">
      <c r="A5737" t="s">
        <v>4599</v>
      </c>
    </row>
    <row r="5738" spans="1:1">
      <c r="A5738" t="s">
        <v>4600</v>
      </c>
    </row>
    <row r="5739" spans="1:1">
      <c r="A5739" t="s">
        <v>4601</v>
      </c>
    </row>
    <row r="5740" spans="1:1">
      <c r="A5740" t="s">
        <v>4602</v>
      </c>
    </row>
    <row r="5741" spans="1:1">
      <c r="A5741" t="s">
        <v>4603</v>
      </c>
    </row>
    <row r="5742" spans="1:1">
      <c r="A5742" t="s">
        <v>4604</v>
      </c>
    </row>
    <row r="5743" spans="1:1">
      <c r="A5743" t="s">
        <v>4605</v>
      </c>
    </row>
    <row r="5744" spans="1:1">
      <c r="A5744" t="s">
        <v>4606</v>
      </c>
    </row>
    <row r="5745" spans="1:1">
      <c r="A5745" t="s">
        <v>4607</v>
      </c>
    </row>
    <row r="5746" spans="1:1">
      <c r="A5746" t="s">
        <v>4608</v>
      </c>
    </row>
    <row r="5749" spans="1:1">
      <c r="A5749" t="s">
        <v>392</v>
      </c>
    </row>
    <row r="5750" spans="1:1">
      <c r="A5750" t="s">
        <v>4609</v>
      </c>
    </row>
    <row r="5751" spans="1:1">
      <c r="A5751" t="s">
        <v>4610</v>
      </c>
    </row>
    <row r="5752" spans="1:1">
      <c r="A5752" t="s">
        <v>4611</v>
      </c>
    </row>
    <row r="5753" spans="1:1">
      <c r="A5753" t="s">
        <v>4612</v>
      </c>
    </row>
    <row r="5754" spans="1:1">
      <c r="A5754" t="s">
        <v>4613</v>
      </c>
    </row>
    <row r="5755" spans="1:1">
      <c r="A5755" t="s">
        <v>4614</v>
      </c>
    </row>
    <row r="5756" spans="1:1">
      <c r="A5756" t="s">
        <v>4615</v>
      </c>
    </row>
    <row r="5757" spans="1:1">
      <c r="A5757" t="s">
        <v>4616</v>
      </c>
    </row>
    <row r="5758" spans="1:1">
      <c r="A5758" t="s">
        <v>4617</v>
      </c>
    </row>
    <row r="5759" spans="1:1">
      <c r="A5759" t="s">
        <v>4618</v>
      </c>
    </row>
    <row r="5760" spans="1:1">
      <c r="A5760" t="s">
        <v>4619</v>
      </c>
    </row>
    <row r="5761" spans="1:1">
      <c r="A5761" t="s">
        <v>4620</v>
      </c>
    </row>
    <row r="5762" spans="1:1">
      <c r="A5762" t="s">
        <v>4621</v>
      </c>
    </row>
    <row r="5764" spans="1:1">
      <c r="A5764" t="s">
        <v>406</v>
      </c>
    </row>
    <row r="5765" spans="1:1">
      <c r="A5765" t="s">
        <v>4622</v>
      </c>
    </row>
    <row r="5766" spans="1:1">
      <c r="A5766" t="s">
        <v>4623</v>
      </c>
    </row>
    <row r="5767" spans="1:1">
      <c r="A5767" t="s">
        <v>4624</v>
      </c>
    </row>
    <row r="5768" spans="1:1">
      <c r="A5768" t="s">
        <v>4625</v>
      </c>
    </row>
    <row r="5769" spans="1:1">
      <c r="A5769" t="s">
        <v>4626</v>
      </c>
    </row>
    <row r="5770" spans="1:1">
      <c r="A5770" t="s">
        <v>4627</v>
      </c>
    </row>
    <row r="5771" spans="1:1">
      <c r="A5771" t="s">
        <v>4628</v>
      </c>
    </row>
    <row r="5772" spans="1:1">
      <c r="A5772" t="s">
        <v>4629</v>
      </c>
    </row>
    <row r="5773" spans="1:1">
      <c r="A5773" t="s">
        <v>4630</v>
      </c>
    </row>
    <row r="5774" spans="1:1">
      <c r="A5774" t="s">
        <v>4631</v>
      </c>
    </row>
    <row r="5775" spans="1:1">
      <c r="A5775" t="s">
        <v>4632</v>
      </c>
    </row>
    <row r="5776" spans="1:1">
      <c r="A5776" t="s">
        <v>4633</v>
      </c>
    </row>
    <row r="5777" spans="1:1">
      <c r="A5777" t="s">
        <v>4634</v>
      </c>
    </row>
    <row r="5778" spans="1:1">
      <c r="A5778" t="s">
        <v>4635</v>
      </c>
    </row>
    <row r="5779" spans="1:1">
      <c r="A5779" t="s">
        <v>421</v>
      </c>
    </row>
    <row r="5780" spans="1:1">
      <c r="A5780" t="s">
        <v>4636</v>
      </c>
    </row>
    <row r="5785" spans="1:1">
      <c r="A5785" t="s">
        <v>4637</v>
      </c>
    </row>
    <row r="5786" spans="1:1">
      <c r="A5786" t="s">
        <v>371</v>
      </c>
    </row>
    <row r="5787" spans="1:1">
      <c r="A5787" t="s">
        <v>4638</v>
      </c>
    </row>
    <row r="5788" spans="1:1">
      <c r="A5788" t="s">
        <v>4639</v>
      </c>
    </row>
    <row r="5789" spans="1:1">
      <c r="A5789" t="s">
        <v>374</v>
      </c>
    </row>
    <row r="5790" spans="1:1">
      <c r="A5790" t="s">
        <v>4640</v>
      </c>
    </row>
    <row r="5791" spans="1:1">
      <c r="A5791" t="s">
        <v>376</v>
      </c>
    </row>
    <row r="5793" spans="1:1">
      <c r="A5793" t="s">
        <v>4415</v>
      </c>
    </row>
    <row r="5794" spans="1:1">
      <c r="A5794" t="s">
        <v>378</v>
      </c>
    </row>
    <row r="5795" spans="1:1">
      <c r="A5795" t="s">
        <v>4641</v>
      </c>
    </row>
    <row r="5796" spans="1:1">
      <c r="A5796" t="s">
        <v>4642</v>
      </c>
    </row>
    <row r="5797" spans="1:1">
      <c r="A5797" t="s">
        <v>4643</v>
      </c>
    </row>
    <row r="5798" spans="1:1">
      <c r="A5798" t="s">
        <v>4644</v>
      </c>
    </row>
    <row r="5799" spans="1:1">
      <c r="A5799" t="s">
        <v>4645</v>
      </c>
    </row>
    <row r="5800" spans="1:1">
      <c r="A5800" t="s">
        <v>4646</v>
      </c>
    </row>
    <row r="5801" spans="1:1">
      <c r="A5801" t="s">
        <v>4647</v>
      </c>
    </row>
    <row r="5802" spans="1:1">
      <c r="A5802" t="s">
        <v>4648</v>
      </c>
    </row>
    <row r="5803" spans="1:1">
      <c r="A5803" t="s">
        <v>4649</v>
      </c>
    </row>
    <row r="5804" spans="1:1">
      <c r="A5804" t="s">
        <v>4650</v>
      </c>
    </row>
    <row r="5805" spans="1:1">
      <c r="A5805" t="s">
        <v>4651</v>
      </c>
    </row>
    <row r="5806" spans="1:1">
      <c r="A5806" t="s">
        <v>4652</v>
      </c>
    </row>
    <row r="5807" spans="1:1">
      <c r="A5807" t="s">
        <v>4653</v>
      </c>
    </row>
    <row r="5810" spans="1:1">
      <c r="A5810" t="s">
        <v>392</v>
      </c>
    </row>
    <row r="5811" spans="1:1">
      <c r="A5811" t="s">
        <v>4654</v>
      </c>
    </row>
    <row r="5812" spans="1:1">
      <c r="A5812" t="s">
        <v>4655</v>
      </c>
    </row>
    <row r="5813" spans="1:1">
      <c r="A5813" t="s">
        <v>4656</v>
      </c>
    </row>
    <row r="5814" spans="1:1">
      <c r="A5814" t="s">
        <v>4657</v>
      </c>
    </row>
    <row r="5815" spans="1:1">
      <c r="A5815" t="s">
        <v>3805</v>
      </c>
    </row>
    <row r="5816" spans="1:1">
      <c r="A5816" t="s">
        <v>4658</v>
      </c>
    </row>
    <row r="5817" spans="1:1">
      <c r="A5817" t="s">
        <v>4300</v>
      </c>
    </row>
    <row r="5818" spans="1:1">
      <c r="A5818" t="s">
        <v>4659</v>
      </c>
    </row>
    <row r="5819" spans="1:1">
      <c r="A5819" t="s">
        <v>4660</v>
      </c>
    </row>
    <row r="5820" spans="1:1">
      <c r="A5820" t="s">
        <v>4661</v>
      </c>
    </row>
    <row r="5821" spans="1:1">
      <c r="A5821" t="s">
        <v>4662</v>
      </c>
    </row>
    <row r="5822" spans="1:1">
      <c r="A5822" t="s">
        <v>4663</v>
      </c>
    </row>
    <row r="5824" spans="1:1">
      <c r="A5824" t="s">
        <v>406</v>
      </c>
    </row>
    <row r="5825" spans="1:1">
      <c r="A5825" t="s">
        <v>4664</v>
      </c>
    </row>
    <row r="5826" spans="1:1">
      <c r="A5826" t="s">
        <v>4665</v>
      </c>
    </row>
    <row r="5827" spans="1:1">
      <c r="A5827" t="s">
        <v>4666</v>
      </c>
    </row>
    <row r="5828" spans="1:1">
      <c r="A5828" t="s">
        <v>4667</v>
      </c>
    </row>
    <row r="5829" spans="1:1">
      <c r="A5829" t="s">
        <v>4668</v>
      </c>
    </row>
    <row r="5830" spans="1:1">
      <c r="A5830" t="s">
        <v>723</v>
      </c>
    </row>
    <row r="5831" spans="1:1">
      <c r="A5831" t="s">
        <v>4669</v>
      </c>
    </row>
    <row r="5832" spans="1:1">
      <c r="A5832" t="s">
        <v>4670</v>
      </c>
    </row>
    <row r="5833" spans="1:1">
      <c r="A5833" t="s">
        <v>4671</v>
      </c>
    </row>
    <row r="5834" spans="1:1">
      <c r="A5834" t="s">
        <v>4672</v>
      </c>
    </row>
    <row r="5835" spans="1:1">
      <c r="A5835" t="s">
        <v>4673</v>
      </c>
    </row>
    <row r="5836" spans="1:1">
      <c r="A5836" t="s">
        <v>4674</v>
      </c>
    </row>
    <row r="5837" spans="1:1">
      <c r="A5837" t="s">
        <v>4675</v>
      </c>
    </row>
    <row r="5838" spans="1:1">
      <c r="A5838" t="s">
        <v>4676</v>
      </c>
    </row>
    <row r="5839" spans="1:1">
      <c r="A5839" t="s">
        <v>421</v>
      </c>
    </row>
    <row r="5840" spans="1:1">
      <c r="A5840" t="s">
        <v>4677</v>
      </c>
    </row>
    <row r="5845" spans="1:1">
      <c r="A5845" t="s">
        <v>4678</v>
      </c>
    </row>
    <row r="5846" spans="1:1">
      <c r="A5846" t="s">
        <v>371</v>
      </c>
    </row>
    <row r="5847" spans="1:1">
      <c r="A5847" t="s">
        <v>4679</v>
      </c>
    </row>
    <row r="5848" spans="1:1">
      <c r="A5848" t="s">
        <v>4680</v>
      </c>
    </row>
    <row r="5849" spans="1:1">
      <c r="A5849" t="s">
        <v>374</v>
      </c>
    </row>
    <row r="5850" spans="1:1">
      <c r="A5850" t="s">
        <v>4681</v>
      </c>
    </row>
    <row r="5851" spans="1:1">
      <c r="A5851" t="s">
        <v>376</v>
      </c>
    </row>
    <row r="5853" spans="1:1">
      <c r="A5853" t="s">
        <v>4415</v>
      </c>
    </row>
    <row r="5854" spans="1:1">
      <c r="A5854" t="s">
        <v>378</v>
      </c>
    </row>
    <row r="5855" spans="1:1">
      <c r="A5855" t="s">
        <v>4682</v>
      </c>
    </row>
    <row r="5856" spans="1:1">
      <c r="A5856" t="s">
        <v>4683</v>
      </c>
    </row>
    <row r="5857" spans="1:1">
      <c r="A5857" t="s">
        <v>4684</v>
      </c>
    </row>
    <row r="5858" spans="1:1">
      <c r="A5858" t="s">
        <v>4685</v>
      </c>
    </row>
    <row r="5859" spans="1:1">
      <c r="A5859" t="s">
        <v>4686</v>
      </c>
    </row>
    <row r="5860" spans="1:1">
      <c r="A5860" t="s">
        <v>4687</v>
      </c>
    </row>
    <row r="5861" spans="1:1">
      <c r="A5861" t="s">
        <v>4688</v>
      </c>
    </row>
    <row r="5862" spans="1:1">
      <c r="A5862" t="s">
        <v>4689</v>
      </c>
    </row>
    <row r="5863" spans="1:1">
      <c r="A5863" t="s">
        <v>4690</v>
      </c>
    </row>
    <row r="5864" spans="1:1">
      <c r="A5864" t="s">
        <v>4691</v>
      </c>
    </row>
    <row r="5865" spans="1:1">
      <c r="A5865" t="s">
        <v>4692</v>
      </c>
    </row>
    <row r="5866" spans="1:1">
      <c r="A5866" t="s">
        <v>4693</v>
      </c>
    </row>
    <row r="5867" spans="1:1">
      <c r="A5867" t="s">
        <v>4694</v>
      </c>
    </row>
    <row r="5870" spans="1:1">
      <c r="A5870" t="s">
        <v>392</v>
      </c>
    </row>
    <row r="5871" spans="1:1">
      <c r="A5871" t="s">
        <v>4695</v>
      </c>
    </row>
    <row r="5872" spans="1:1">
      <c r="A5872" t="s">
        <v>4696</v>
      </c>
    </row>
    <row r="5873" spans="1:1">
      <c r="A5873" t="s">
        <v>4697</v>
      </c>
    </row>
    <row r="5874" spans="1:1">
      <c r="A5874" t="s">
        <v>4698</v>
      </c>
    </row>
    <row r="5875" spans="1:1">
      <c r="A5875" t="s">
        <v>4699</v>
      </c>
    </row>
    <row r="5876" spans="1:1">
      <c r="A5876" t="s">
        <v>4700</v>
      </c>
    </row>
    <row r="5877" spans="1:1">
      <c r="A5877" t="s">
        <v>4701</v>
      </c>
    </row>
    <row r="5878" spans="1:1">
      <c r="A5878" t="s">
        <v>4702</v>
      </c>
    </row>
    <row r="5879" spans="1:1">
      <c r="A5879" t="s">
        <v>4703</v>
      </c>
    </row>
    <row r="5880" spans="1:1">
      <c r="A5880" t="s">
        <v>4704</v>
      </c>
    </row>
    <row r="5881" spans="1:1">
      <c r="A5881" t="s">
        <v>4705</v>
      </c>
    </row>
    <row r="5882" spans="1:1">
      <c r="A5882" t="s">
        <v>4706</v>
      </c>
    </row>
    <row r="5883" spans="1:1">
      <c r="A5883" t="s">
        <v>4707</v>
      </c>
    </row>
    <row r="5885" spans="1:1">
      <c r="A5885" t="s">
        <v>406</v>
      </c>
    </row>
    <row r="5886" spans="1:1">
      <c r="A5886" t="s">
        <v>4708</v>
      </c>
    </row>
    <row r="5887" spans="1:1">
      <c r="A5887" t="s">
        <v>4709</v>
      </c>
    </row>
    <row r="5888" spans="1:1">
      <c r="A5888" t="s">
        <v>4710</v>
      </c>
    </row>
    <row r="5889" spans="1:1">
      <c r="A5889" t="s">
        <v>4711</v>
      </c>
    </row>
    <row r="5890" spans="1:1">
      <c r="A5890" t="s">
        <v>4712</v>
      </c>
    </row>
    <row r="5891" spans="1:1">
      <c r="A5891" t="s">
        <v>4713</v>
      </c>
    </row>
    <row r="5892" spans="1:1">
      <c r="A5892" t="s">
        <v>4714</v>
      </c>
    </row>
    <row r="5893" spans="1:1">
      <c r="A5893" t="s">
        <v>4715</v>
      </c>
    </row>
    <row r="5894" spans="1:1">
      <c r="A5894" t="s">
        <v>4716</v>
      </c>
    </row>
    <row r="5895" spans="1:1">
      <c r="A5895" t="s">
        <v>4717</v>
      </c>
    </row>
    <row r="5896" spans="1:1">
      <c r="A5896" t="s">
        <v>4718</v>
      </c>
    </row>
    <row r="5897" spans="1:1">
      <c r="A5897" t="s">
        <v>4719</v>
      </c>
    </row>
    <row r="5898" spans="1:1">
      <c r="A5898" t="s">
        <v>4720</v>
      </c>
    </row>
    <row r="5899" spans="1:1">
      <c r="A5899" t="s">
        <v>4721</v>
      </c>
    </row>
    <row r="5900" spans="1:1">
      <c r="A5900" t="s">
        <v>421</v>
      </c>
    </row>
    <row r="5901" spans="1:1">
      <c r="A5901" t="s">
        <v>4722</v>
      </c>
    </row>
    <row r="5906" spans="1:1">
      <c r="A5906" t="s">
        <v>4723</v>
      </c>
    </row>
    <row r="5907" spans="1:1">
      <c r="A5907" t="s">
        <v>371</v>
      </c>
    </row>
    <row r="5908" spans="1:1">
      <c r="A5908" t="s">
        <v>4724</v>
      </c>
    </row>
    <row r="5909" spans="1:1">
      <c r="A5909" t="s">
        <v>4725</v>
      </c>
    </row>
    <row r="5910" spans="1:1">
      <c r="A5910" t="s">
        <v>374</v>
      </c>
    </row>
    <row r="5911" spans="1:1">
      <c r="A5911" t="s">
        <v>4726</v>
      </c>
    </row>
    <row r="5912" spans="1:1">
      <c r="A5912" t="s">
        <v>376</v>
      </c>
    </row>
    <row r="5914" spans="1:1">
      <c r="A5914" t="s">
        <v>4415</v>
      </c>
    </row>
    <row r="5915" spans="1:1">
      <c r="A5915" t="s">
        <v>378</v>
      </c>
    </row>
    <row r="5916" spans="1:1">
      <c r="A5916" t="s">
        <v>4727</v>
      </c>
    </row>
    <row r="5917" spans="1:1">
      <c r="A5917" t="s">
        <v>4728</v>
      </c>
    </row>
    <row r="5918" spans="1:1">
      <c r="A5918" t="s">
        <v>4729</v>
      </c>
    </row>
    <row r="5919" spans="1:1">
      <c r="A5919" t="s">
        <v>4730</v>
      </c>
    </row>
    <row r="5920" spans="1:1">
      <c r="A5920" t="s">
        <v>4731</v>
      </c>
    </row>
    <row r="5921" spans="1:1">
      <c r="A5921" t="s">
        <v>4732</v>
      </c>
    </row>
    <row r="5922" spans="1:1">
      <c r="A5922" t="s">
        <v>4733</v>
      </c>
    </row>
    <row r="5923" spans="1:1">
      <c r="A5923" t="s">
        <v>4734</v>
      </c>
    </row>
    <row r="5924" spans="1:1">
      <c r="A5924" t="s">
        <v>4735</v>
      </c>
    </row>
    <row r="5925" spans="1:1">
      <c r="A5925" t="s">
        <v>4736</v>
      </c>
    </row>
    <row r="5926" spans="1:1">
      <c r="A5926" t="s">
        <v>4737</v>
      </c>
    </row>
    <row r="5927" spans="1:1">
      <c r="A5927" t="s">
        <v>4738</v>
      </c>
    </row>
    <row r="5928" spans="1:1">
      <c r="A5928" t="s">
        <v>4739</v>
      </c>
    </row>
    <row r="5931" spans="1:1">
      <c r="A5931" t="s">
        <v>392</v>
      </c>
    </row>
    <row r="5932" spans="1:1">
      <c r="A5932" t="s">
        <v>4740</v>
      </c>
    </row>
    <row r="5933" spans="1:1">
      <c r="A5933" t="s">
        <v>4741</v>
      </c>
    </row>
    <row r="5934" spans="1:1">
      <c r="A5934" t="s">
        <v>4742</v>
      </c>
    </row>
    <row r="5935" spans="1:1">
      <c r="A5935" t="s">
        <v>4743</v>
      </c>
    </row>
    <row r="5936" spans="1:1">
      <c r="A5936" t="s">
        <v>4744</v>
      </c>
    </row>
    <row r="5937" spans="1:1">
      <c r="A5937" t="s">
        <v>4745</v>
      </c>
    </row>
    <row r="5938" spans="1:1">
      <c r="A5938" t="s">
        <v>4746</v>
      </c>
    </row>
    <row r="5939" spans="1:1">
      <c r="A5939" t="s">
        <v>4747</v>
      </c>
    </row>
    <row r="5940" spans="1:1">
      <c r="A5940" t="s">
        <v>4748</v>
      </c>
    </row>
    <row r="5941" spans="1:1">
      <c r="A5941" t="s">
        <v>4749</v>
      </c>
    </row>
    <row r="5942" spans="1:1">
      <c r="A5942" t="s">
        <v>4750</v>
      </c>
    </row>
    <row r="5943" spans="1:1">
      <c r="A5943" t="s">
        <v>4751</v>
      </c>
    </row>
    <row r="5944" spans="1:1">
      <c r="A5944" t="s">
        <v>4752</v>
      </c>
    </row>
    <row r="5946" spans="1:1">
      <c r="A5946" t="s">
        <v>406</v>
      </c>
    </row>
    <row r="5947" spans="1:1">
      <c r="A5947" t="s">
        <v>4753</v>
      </c>
    </row>
    <row r="5948" spans="1:1">
      <c r="A5948" t="s">
        <v>4754</v>
      </c>
    </row>
    <row r="5949" spans="1:1">
      <c r="A5949" t="s">
        <v>4755</v>
      </c>
    </row>
    <row r="5950" spans="1:1">
      <c r="A5950" t="s">
        <v>4756</v>
      </c>
    </row>
    <row r="5951" spans="1:1">
      <c r="A5951" t="s">
        <v>4757</v>
      </c>
    </row>
    <row r="5952" spans="1:1">
      <c r="A5952" t="s">
        <v>4758</v>
      </c>
    </row>
    <row r="5953" spans="1:1">
      <c r="A5953" t="s">
        <v>4759</v>
      </c>
    </row>
    <row r="5954" spans="1:1">
      <c r="A5954" t="s">
        <v>4760</v>
      </c>
    </row>
    <row r="5955" spans="1:1">
      <c r="A5955" t="s">
        <v>4761</v>
      </c>
    </row>
    <row r="5956" spans="1:1">
      <c r="A5956" t="s">
        <v>4762</v>
      </c>
    </row>
    <row r="5957" spans="1:1">
      <c r="A5957" t="s">
        <v>4763</v>
      </c>
    </row>
    <row r="5958" spans="1:1">
      <c r="A5958" t="s">
        <v>4764</v>
      </c>
    </row>
    <row r="5959" spans="1:1">
      <c r="A5959" t="s">
        <v>4765</v>
      </c>
    </row>
    <row r="5960" spans="1:1">
      <c r="A5960" t="s">
        <v>4766</v>
      </c>
    </row>
    <row r="5961" spans="1:1">
      <c r="A5961" t="s">
        <v>421</v>
      </c>
    </row>
    <row r="5962" spans="1:1">
      <c r="A5962" t="s">
        <v>4767</v>
      </c>
    </row>
    <row r="5967" spans="1:1">
      <c r="A5967" t="s">
        <v>4768</v>
      </c>
    </row>
    <row r="5968" spans="1:1">
      <c r="A5968" t="s">
        <v>371</v>
      </c>
    </row>
    <row r="5969" spans="1:1">
      <c r="A5969" t="s">
        <v>4769</v>
      </c>
    </row>
    <row r="5970" spans="1:1">
      <c r="A5970" t="s">
        <v>4770</v>
      </c>
    </row>
    <row r="5971" spans="1:1">
      <c r="A5971" t="s">
        <v>374</v>
      </c>
    </row>
    <row r="5972" spans="1:1">
      <c r="A5972" t="s">
        <v>4771</v>
      </c>
    </row>
    <row r="5973" spans="1:1">
      <c r="A5973" t="s">
        <v>376</v>
      </c>
    </row>
    <row r="5975" spans="1:1">
      <c r="A5975" t="s">
        <v>4415</v>
      </c>
    </row>
    <row r="5976" spans="1:1">
      <c r="A5976" t="s">
        <v>378</v>
      </c>
    </row>
    <row r="5977" spans="1:1">
      <c r="A5977" t="s">
        <v>4772</v>
      </c>
    </row>
    <row r="5978" spans="1:1">
      <c r="A5978" t="s">
        <v>4773</v>
      </c>
    </row>
    <row r="5979" spans="1:1">
      <c r="A5979" t="s">
        <v>4774</v>
      </c>
    </row>
    <row r="5980" spans="1:1">
      <c r="A5980" t="s">
        <v>4775</v>
      </c>
    </row>
    <row r="5981" spans="1:1">
      <c r="A5981" t="s">
        <v>4776</v>
      </c>
    </row>
    <row r="5982" spans="1:1">
      <c r="A5982" t="s">
        <v>4777</v>
      </c>
    </row>
    <row r="5983" spans="1:1">
      <c r="A5983" t="s">
        <v>4778</v>
      </c>
    </row>
    <row r="5984" spans="1:1">
      <c r="A5984" t="s">
        <v>4779</v>
      </c>
    </row>
    <row r="5985" spans="1:1">
      <c r="A5985" t="s">
        <v>4780</v>
      </c>
    </row>
    <row r="5986" spans="1:1">
      <c r="A5986" t="s">
        <v>4781</v>
      </c>
    </row>
    <row r="5987" spans="1:1">
      <c r="A5987" t="s">
        <v>4782</v>
      </c>
    </row>
    <row r="5988" spans="1:1">
      <c r="A5988" t="s">
        <v>4783</v>
      </c>
    </row>
    <row r="5989" spans="1:1">
      <c r="A5989" t="s">
        <v>4784</v>
      </c>
    </row>
    <row r="5992" spans="1:1">
      <c r="A5992" t="s">
        <v>392</v>
      </c>
    </row>
    <row r="5993" spans="1:1">
      <c r="A5993" t="s">
        <v>4785</v>
      </c>
    </row>
    <row r="5994" spans="1:1">
      <c r="A5994" t="s">
        <v>4786</v>
      </c>
    </row>
    <row r="5995" spans="1:1">
      <c r="A5995" t="s">
        <v>4787</v>
      </c>
    </row>
    <row r="5996" spans="1:1">
      <c r="A5996" t="s">
        <v>4788</v>
      </c>
    </row>
    <row r="5997" spans="1:1">
      <c r="A5997" t="s">
        <v>4789</v>
      </c>
    </row>
    <row r="5998" spans="1:1">
      <c r="A5998" t="s">
        <v>4790</v>
      </c>
    </row>
    <row r="5999" spans="1:1">
      <c r="A5999" t="s">
        <v>4791</v>
      </c>
    </row>
    <row r="6000" spans="1:1">
      <c r="A6000" t="s">
        <v>4792</v>
      </c>
    </row>
    <row r="6001" spans="1:1">
      <c r="A6001" t="s">
        <v>4793</v>
      </c>
    </row>
    <row r="6002" spans="1:1">
      <c r="A6002" t="s">
        <v>4794</v>
      </c>
    </row>
    <row r="6003" spans="1:1">
      <c r="A6003" t="s">
        <v>4795</v>
      </c>
    </row>
    <row r="6004" spans="1:1">
      <c r="A6004" t="s">
        <v>4796</v>
      </c>
    </row>
    <row r="6005" spans="1:1">
      <c r="A6005" t="s">
        <v>4797</v>
      </c>
    </row>
    <row r="6007" spans="1:1">
      <c r="A6007" t="s">
        <v>406</v>
      </c>
    </row>
    <row r="6008" spans="1:1">
      <c r="A6008" t="s">
        <v>4798</v>
      </c>
    </row>
    <row r="6009" spans="1:1">
      <c r="A6009" t="s">
        <v>4799</v>
      </c>
    </row>
    <row r="6010" spans="1:1">
      <c r="A6010" t="s">
        <v>4800</v>
      </c>
    </row>
    <row r="6011" spans="1:1">
      <c r="A6011" t="s">
        <v>4801</v>
      </c>
    </row>
    <row r="6012" spans="1:1">
      <c r="A6012" t="s">
        <v>4802</v>
      </c>
    </row>
    <row r="6013" spans="1:1">
      <c r="A6013" t="s">
        <v>4803</v>
      </c>
    </row>
    <row r="6014" spans="1:1">
      <c r="A6014" t="s">
        <v>4804</v>
      </c>
    </row>
    <row r="6015" spans="1:1">
      <c r="A6015" t="s">
        <v>4805</v>
      </c>
    </row>
    <row r="6016" spans="1:1">
      <c r="A6016" t="s">
        <v>4806</v>
      </c>
    </row>
    <row r="6017" spans="1:1">
      <c r="A6017" t="s">
        <v>4807</v>
      </c>
    </row>
    <row r="6018" spans="1:1">
      <c r="A6018" t="s">
        <v>4808</v>
      </c>
    </row>
    <row r="6019" spans="1:1">
      <c r="A6019" t="s">
        <v>4809</v>
      </c>
    </row>
    <row r="6020" spans="1:1">
      <c r="A6020" t="s">
        <v>4810</v>
      </c>
    </row>
    <row r="6021" spans="1:1">
      <c r="A6021" t="s">
        <v>4811</v>
      </c>
    </row>
    <row r="6022" spans="1:1">
      <c r="A6022" t="s">
        <v>421</v>
      </c>
    </row>
    <row r="6023" spans="1:1">
      <c r="A6023" t="s">
        <v>4812</v>
      </c>
    </row>
    <row r="6028" spans="1:1">
      <c r="A6028" t="s">
        <v>4813</v>
      </c>
    </row>
    <row r="6029" spans="1:1">
      <c r="A6029" t="s">
        <v>371</v>
      </c>
    </row>
    <row r="6030" spans="1:1">
      <c r="A6030" t="s">
        <v>4814</v>
      </c>
    </row>
    <row r="6031" spans="1:1">
      <c r="A6031" t="s">
        <v>4815</v>
      </c>
    </row>
    <row r="6032" spans="1:1">
      <c r="A6032" t="s">
        <v>374</v>
      </c>
    </row>
    <row r="6033" spans="1:1">
      <c r="A6033" t="s">
        <v>4816</v>
      </c>
    </row>
    <row r="6034" spans="1:1">
      <c r="A6034" t="s">
        <v>376</v>
      </c>
    </row>
    <row r="6036" spans="1:1">
      <c r="A6036" t="s">
        <v>3429</v>
      </c>
    </row>
    <row r="6037" spans="1:1">
      <c r="A6037" t="s">
        <v>378</v>
      </c>
    </row>
    <row r="6038" spans="1:1">
      <c r="A6038" t="s">
        <v>4817</v>
      </c>
    </row>
    <row r="6039" spans="1:1">
      <c r="A6039" t="s">
        <v>4818</v>
      </c>
    </row>
    <row r="6040" spans="1:1">
      <c r="A6040" t="s">
        <v>4819</v>
      </c>
    </row>
    <row r="6041" spans="1:1">
      <c r="A6041" t="s">
        <v>4820</v>
      </c>
    </row>
    <row r="6042" spans="1:1">
      <c r="A6042" t="s">
        <v>4821</v>
      </c>
    </row>
    <row r="6043" spans="1:1">
      <c r="A6043" t="s">
        <v>4822</v>
      </c>
    </row>
    <row r="6044" spans="1:1">
      <c r="A6044" t="s">
        <v>4823</v>
      </c>
    </row>
    <row r="6045" spans="1:1">
      <c r="A6045" t="s">
        <v>4824</v>
      </c>
    </row>
    <row r="6046" spans="1:1">
      <c r="A6046" t="s">
        <v>4825</v>
      </c>
    </row>
    <row r="6047" spans="1:1">
      <c r="A6047" t="s">
        <v>4826</v>
      </c>
    </row>
    <row r="6048" spans="1:1">
      <c r="A6048" t="s">
        <v>4827</v>
      </c>
    </row>
    <row r="6049" spans="1:1">
      <c r="A6049" t="s">
        <v>4828</v>
      </c>
    </row>
    <row r="6050" spans="1:1">
      <c r="A6050" t="s">
        <v>4829</v>
      </c>
    </row>
    <row r="6053" spans="1:1">
      <c r="A6053" t="s">
        <v>392</v>
      </c>
    </row>
    <row r="6054" spans="1:1">
      <c r="A6054" t="s">
        <v>4830</v>
      </c>
    </row>
    <row r="6055" spans="1:1">
      <c r="A6055" t="s">
        <v>4831</v>
      </c>
    </row>
    <row r="6056" spans="1:1">
      <c r="A6056" t="s">
        <v>4832</v>
      </c>
    </row>
    <row r="6057" spans="1:1">
      <c r="A6057" t="s">
        <v>4833</v>
      </c>
    </row>
    <row r="6058" spans="1:1">
      <c r="A6058" t="s">
        <v>4834</v>
      </c>
    </row>
    <row r="6059" spans="1:1">
      <c r="A6059" t="s">
        <v>4835</v>
      </c>
    </row>
    <row r="6060" spans="1:1">
      <c r="A6060" t="s">
        <v>4836</v>
      </c>
    </row>
    <row r="6061" spans="1:1">
      <c r="A6061" t="s">
        <v>4837</v>
      </c>
    </row>
    <row r="6062" spans="1:1">
      <c r="A6062" t="s">
        <v>4838</v>
      </c>
    </row>
    <row r="6063" spans="1:1">
      <c r="A6063" t="s">
        <v>4839</v>
      </c>
    </row>
    <row r="6064" spans="1:1">
      <c r="A6064" t="s">
        <v>4840</v>
      </c>
    </row>
    <row r="6065" spans="1:1">
      <c r="A6065" t="s">
        <v>4841</v>
      </c>
    </row>
    <row r="6066" spans="1:1">
      <c r="A6066" t="s">
        <v>4842</v>
      </c>
    </row>
    <row r="6068" spans="1:1">
      <c r="A6068" t="s">
        <v>406</v>
      </c>
    </row>
    <row r="6069" spans="1:1">
      <c r="A6069" t="s">
        <v>4843</v>
      </c>
    </row>
    <row r="6070" spans="1:1">
      <c r="A6070" t="s">
        <v>4844</v>
      </c>
    </row>
    <row r="6071" spans="1:1">
      <c r="A6071" t="s">
        <v>4845</v>
      </c>
    </row>
    <row r="6072" spans="1:1">
      <c r="A6072" t="s">
        <v>4846</v>
      </c>
    </row>
    <row r="6073" spans="1:1">
      <c r="A6073" t="s">
        <v>4847</v>
      </c>
    </row>
    <row r="6074" spans="1:1">
      <c r="A6074" t="s">
        <v>4848</v>
      </c>
    </row>
    <row r="6075" spans="1:1">
      <c r="A6075" t="s">
        <v>4849</v>
      </c>
    </row>
    <row r="6076" spans="1:1">
      <c r="A6076" t="s">
        <v>4850</v>
      </c>
    </row>
    <row r="6077" spans="1:1">
      <c r="A6077" t="s">
        <v>4851</v>
      </c>
    </row>
    <row r="6078" spans="1:1">
      <c r="A6078" t="s">
        <v>4852</v>
      </c>
    </row>
    <row r="6079" spans="1:1">
      <c r="A6079" t="s">
        <v>4853</v>
      </c>
    </row>
    <row r="6080" spans="1:1">
      <c r="A6080" t="s">
        <v>4854</v>
      </c>
    </row>
    <row r="6081" spans="1:1">
      <c r="A6081" t="s">
        <v>4855</v>
      </c>
    </row>
    <row r="6082" spans="1:1">
      <c r="A6082" t="s">
        <v>4856</v>
      </c>
    </row>
    <row r="6083" spans="1:1">
      <c r="A6083" t="s">
        <v>421</v>
      </c>
    </row>
    <row r="6084" spans="1:1">
      <c r="A6084" t="s">
        <v>4857</v>
      </c>
    </row>
    <row r="6089" spans="1:1">
      <c r="A6089" t="s">
        <v>4858</v>
      </c>
    </row>
    <row r="6090" spans="1:1">
      <c r="A6090" t="s">
        <v>371</v>
      </c>
    </row>
    <row r="6091" spans="1:1">
      <c r="A6091" t="s">
        <v>4859</v>
      </c>
    </row>
    <row r="6092" spans="1:1">
      <c r="A6092" t="s">
        <v>4860</v>
      </c>
    </row>
    <row r="6093" spans="1:1">
      <c r="A6093" t="s">
        <v>374</v>
      </c>
    </row>
    <row r="6094" spans="1:1">
      <c r="A6094" t="s">
        <v>4861</v>
      </c>
    </row>
    <row r="6095" spans="1:1">
      <c r="A6095" t="s">
        <v>376</v>
      </c>
    </row>
    <row r="6097" spans="1:1">
      <c r="A6097" t="s">
        <v>4415</v>
      </c>
    </row>
    <row r="6098" spans="1:1">
      <c r="A6098" t="s">
        <v>378</v>
      </c>
    </row>
    <row r="6099" spans="1:1">
      <c r="A6099" t="s">
        <v>4862</v>
      </c>
    </row>
    <row r="6100" spans="1:1">
      <c r="A6100" t="s">
        <v>4863</v>
      </c>
    </row>
    <row r="6101" spans="1:1">
      <c r="A6101" t="s">
        <v>4864</v>
      </c>
    </row>
    <row r="6102" spans="1:1">
      <c r="A6102" t="s">
        <v>4865</v>
      </c>
    </row>
    <row r="6103" spans="1:1">
      <c r="A6103" t="s">
        <v>4866</v>
      </c>
    </row>
    <row r="6104" spans="1:1">
      <c r="A6104" t="s">
        <v>4867</v>
      </c>
    </row>
    <row r="6105" spans="1:1">
      <c r="A6105" t="s">
        <v>4868</v>
      </c>
    </row>
    <row r="6106" spans="1:1">
      <c r="A6106" t="s">
        <v>4869</v>
      </c>
    </row>
    <row r="6107" spans="1:1">
      <c r="A6107" t="s">
        <v>4870</v>
      </c>
    </row>
    <row r="6108" spans="1:1">
      <c r="A6108" t="s">
        <v>4871</v>
      </c>
    </row>
    <row r="6109" spans="1:1">
      <c r="A6109" t="s">
        <v>4872</v>
      </c>
    </row>
    <row r="6110" spans="1:1">
      <c r="A6110" t="s">
        <v>4873</v>
      </c>
    </row>
    <row r="6111" spans="1:1">
      <c r="A6111" t="s">
        <v>4874</v>
      </c>
    </row>
    <row r="6114" spans="1:1">
      <c r="A6114" t="s">
        <v>392</v>
      </c>
    </row>
    <row r="6115" spans="1:1">
      <c r="A6115" t="s">
        <v>4875</v>
      </c>
    </row>
    <row r="6116" spans="1:1">
      <c r="A6116" t="s">
        <v>4876</v>
      </c>
    </row>
    <row r="6117" spans="1:1">
      <c r="A6117" t="s">
        <v>4877</v>
      </c>
    </row>
    <row r="6118" spans="1:1">
      <c r="A6118" t="s">
        <v>4878</v>
      </c>
    </row>
    <row r="6119" spans="1:1">
      <c r="A6119" t="s">
        <v>4879</v>
      </c>
    </row>
    <row r="6120" spans="1:1">
      <c r="A6120" t="s">
        <v>4880</v>
      </c>
    </row>
    <row r="6121" spans="1:1">
      <c r="A6121" t="s">
        <v>4881</v>
      </c>
    </row>
    <row r="6122" spans="1:1">
      <c r="A6122" t="s">
        <v>4882</v>
      </c>
    </row>
    <row r="6123" spans="1:1">
      <c r="A6123" t="s">
        <v>4883</v>
      </c>
    </row>
    <row r="6124" spans="1:1">
      <c r="A6124" t="s">
        <v>4884</v>
      </c>
    </row>
    <row r="6125" spans="1:1">
      <c r="A6125" t="s">
        <v>4885</v>
      </c>
    </row>
    <row r="6126" spans="1:1">
      <c r="A6126" t="s">
        <v>4886</v>
      </c>
    </row>
    <row r="6127" spans="1:1">
      <c r="A6127" t="s">
        <v>4887</v>
      </c>
    </row>
    <row r="6129" spans="1:1">
      <c r="A6129" t="s">
        <v>406</v>
      </c>
    </row>
    <row r="6130" spans="1:1">
      <c r="A6130" t="s">
        <v>4888</v>
      </c>
    </row>
    <row r="6131" spans="1:1">
      <c r="A6131" t="s">
        <v>4889</v>
      </c>
    </row>
    <row r="6132" spans="1:1">
      <c r="A6132" t="s">
        <v>4890</v>
      </c>
    </row>
    <row r="6133" spans="1:1">
      <c r="A6133" t="s">
        <v>4891</v>
      </c>
    </row>
    <row r="6134" spans="1:1">
      <c r="A6134" t="s">
        <v>4892</v>
      </c>
    </row>
    <row r="6135" spans="1:1">
      <c r="A6135" t="s">
        <v>4893</v>
      </c>
    </row>
    <row r="6136" spans="1:1">
      <c r="A6136" t="s">
        <v>4894</v>
      </c>
    </row>
    <row r="6137" spans="1:1">
      <c r="A6137" t="s">
        <v>4895</v>
      </c>
    </row>
    <row r="6138" spans="1:1">
      <c r="A6138" t="s">
        <v>4896</v>
      </c>
    </row>
    <row r="6139" spans="1:1">
      <c r="A6139" t="s">
        <v>4897</v>
      </c>
    </row>
    <row r="6140" spans="1:1">
      <c r="A6140" t="s">
        <v>4898</v>
      </c>
    </row>
    <row r="6141" spans="1:1">
      <c r="A6141" t="s">
        <v>4899</v>
      </c>
    </row>
    <row r="6142" spans="1:1">
      <c r="A6142" t="s">
        <v>4900</v>
      </c>
    </row>
    <row r="6143" spans="1:1">
      <c r="A6143" t="s">
        <v>4901</v>
      </c>
    </row>
    <row r="6144" spans="1:1">
      <c r="A6144" t="s">
        <v>421</v>
      </c>
    </row>
    <row r="6145" spans="1:1">
      <c r="A6145" t="s">
        <v>4902</v>
      </c>
    </row>
    <row r="6150" spans="1:1">
      <c r="A6150" t="s">
        <v>4903</v>
      </c>
    </row>
    <row r="6151" spans="1:1">
      <c r="A6151" t="s">
        <v>371</v>
      </c>
    </row>
    <row r="6152" spans="1:1">
      <c r="A6152" t="s">
        <v>4904</v>
      </c>
    </row>
    <row r="6153" spans="1:1">
      <c r="A6153" t="s">
        <v>4905</v>
      </c>
    </row>
    <row r="6154" spans="1:1">
      <c r="A6154" t="s">
        <v>374</v>
      </c>
    </row>
    <row r="6155" spans="1:1">
      <c r="A6155" t="s">
        <v>4906</v>
      </c>
    </row>
    <row r="6156" spans="1:1">
      <c r="A6156" t="s">
        <v>376</v>
      </c>
    </row>
    <row r="6158" spans="1:1">
      <c r="A6158" t="s">
        <v>4415</v>
      </c>
    </row>
    <row r="6159" spans="1:1">
      <c r="A6159" t="s">
        <v>378</v>
      </c>
    </row>
    <row r="6160" spans="1:1">
      <c r="A6160" t="s">
        <v>4907</v>
      </c>
    </row>
    <row r="6161" spans="1:1">
      <c r="A6161" t="s">
        <v>4908</v>
      </c>
    </row>
    <row r="6162" spans="1:1">
      <c r="A6162" t="s">
        <v>4909</v>
      </c>
    </row>
    <row r="6163" spans="1:1">
      <c r="A6163" t="s">
        <v>4910</v>
      </c>
    </row>
    <row r="6164" spans="1:1">
      <c r="A6164" t="s">
        <v>4911</v>
      </c>
    </row>
    <row r="6165" spans="1:1">
      <c r="A6165" t="s">
        <v>4912</v>
      </c>
    </row>
    <row r="6166" spans="1:1">
      <c r="A6166" t="s">
        <v>4913</v>
      </c>
    </row>
    <row r="6167" spans="1:1">
      <c r="A6167" t="s">
        <v>4914</v>
      </c>
    </row>
    <row r="6168" spans="1:1">
      <c r="A6168" t="s">
        <v>4915</v>
      </c>
    </row>
    <row r="6169" spans="1:1">
      <c r="A6169" t="s">
        <v>4916</v>
      </c>
    </row>
    <row r="6170" spans="1:1">
      <c r="A6170" t="s">
        <v>4917</v>
      </c>
    </row>
    <row r="6171" spans="1:1">
      <c r="A6171" t="s">
        <v>4918</v>
      </c>
    </row>
    <row r="6172" spans="1:1">
      <c r="A6172" t="s">
        <v>4919</v>
      </c>
    </row>
    <row r="6175" spans="1:1">
      <c r="A6175" t="s">
        <v>392</v>
      </c>
    </row>
    <row r="6176" spans="1:1">
      <c r="A6176" t="s">
        <v>4920</v>
      </c>
    </row>
    <row r="6177" spans="1:1">
      <c r="A6177" t="s">
        <v>4921</v>
      </c>
    </row>
    <row r="6178" spans="1:1">
      <c r="A6178" t="s">
        <v>4922</v>
      </c>
    </row>
    <row r="6179" spans="1:1">
      <c r="A6179" t="s">
        <v>4923</v>
      </c>
    </row>
    <row r="6180" spans="1:1">
      <c r="A6180" t="s">
        <v>4924</v>
      </c>
    </row>
    <row r="6181" spans="1:1">
      <c r="A6181" t="s">
        <v>4925</v>
      </c>
    </row>
    <row r="6182" spans="1:1">
      <c r="A6182" t="s">
        <v>4926</v>
      </c>
    </row>
    <row r="6183" spans="1:1">
      <c r="A6183" t="s">
        <v>4927</v>
      </c>
    </row>
    <row r="6184" spans="1:1">
      <c r="A6184" t="s">
        <v>4928</v>
      </c>
    </row>
    <row r="6185" spans="1:1">
      <c r="A6185" t="s">
        <v>4929</v>
      </c>
    </row>
    <row r="6186" spans="1:1">
      <c r="A6186" t="s">
        <v>4930</v>
      </c>
    </row>
    <row r="6187" spans="1:1">
      <c r="A6187" t="s">
        <v>4931</v>
      </c>
    </row>
    <row r="6189" spans="1:1">
      <c r="A6189" t="s">
        <v>406</v>
      </c>
    </row>
    <row r="6190" spans="1:1">
      <c r="A6190" t="s">
        <v>4932</v>
      </c>
    </row>
    <row r="6191" spans="1:1">
      <c r="A6191" t="s">
        <v>4933</v>
      </c>
    </row>
    <row r="6192" spans="1:1">
      <c r="A6192" t="s">
        <v>4934</v>
      </c>
    </row>
    <row r="6193" spans="1:1">
      <c r="A6193" t="s">
        <v>4935</v>
      </c>
    </row>
    <row r="6194" spans="1:1">
      <c r="A6194" t="s">
        <v>4936</v>
      </c>
    </row>
    <row r="6195" spans="1:1">
      <c r="A6195" t="s">
        <v>4937</v>
      </c>
    </row>
    <row r="6196" spans="1:1">
      <c r="A6196" t="s">
        <v>4938</v>
      </c>
    </row>
    <row r="6197" spans="1:1">
      <c r="A6197" t="s">
        <v>4939</v>
      </c>
    </row>
    <row r="6198" spans="1:1">
      <c r="A6198" t="s">
        <v>4940</v>
      </c>
    </row>
    <row r="6199" spans="1:1">
      <c r="A6199" t="s">
        <v>3063</v>
      </c>
    </row>
    <row r="6200" spans="1:1">
      <c r="A6200" t="s">
        <v>4941</v>
      </c>
    </row>
    <row r="6201" spans="1:1">
      <c r="A6201" t="s">
        <v>4942</v>
      </c>
    </row>
    <row r="6202" spans="1:1">
      <c r="A6202" t="s">
        <v>4943</v>
      </c>
    </row>
    <row r="6203" spans="1:1">
      <c r="A6203" t="s">
        <v>4944</v>
      </c>
    </row>
    <row r="6204" spans="1:1">
      <c r="A6204" t="s">
        <v>421</v>
      </c>
    </row>
    <row r="6205" spans="1:1">
      <c r="A6205" t="s">
        <v>4945</v>
      </c>
    </row>
    <row r="6210" spans="1:1">
      <c r="A6210" t="s">
        <v>4946</v>
      </c>
    </row>
    <row r="6211" spans="1:1">
      <c r="A6211" t="s">
        <v>371</v>
      </c>
    </row>
    <row r="6212" spans="1:1">
      <c r="A6212" t="s">
        <v>4947</v>
      </c>
    </row>
    <row r="6213" spans="1:1">
      <c r="A6213" t="s">
        <v>4948</v>
      </c>
    </row>
    <row r="6214" spans="1:1">
      <c r="A6214" t="s">
        <v>374</v>
      </c>
    </row>
    <row r="6215" spans="1:1">
      <c r="A6215" t="s">
        <v>4949</v>
      </c>
    </row>
    <row r="6216" spans="1:1">
      <c r="A6216" t="s">
        <v>376</v>
      </c>
    </row>
    <row r="6218" spans="1:1">
      <c r="A6218" t="s">
        <v>4415</v>
      </c>
    </row>
    <row r="6219" spans="1:1">
      <c r="A6219" t="s">
        <v>378</v>
      </c>
    </row>
    <row r="6220" spans="1:1">
      <c r="A6220" t="s">
        <v>4950</v>
      </c>
    </row>
    <row r="6221" spans="1:1">
      <c r="A6221" t="s">
        <v>4951</v>
      </c>
    </row>
    <row r="6222" spans="1:1">
      <c r="A6222" t="s">
        <v>4952</v>
      </c>
    </row>
    <row r="6223" spans="1:1">
      <c r="A6223" t="s">
        <v>4953</v>
      </c>
    </row>
    <row r="6224" spans="1:1">
      <c r="A6224" t="s">
        <v>4954</v>
      </c>
    </row>
    <row r="6225" spans="1:1">
      <c r="A6225" t="s">
        <v>4955</v>
      </c>
    </row>
    <row r="6226" spans="1:1">
      <c r="A6226" t="s">
        <v>4956</v>
      </c>
    </row>
    <row r="6227" spans="1:1">
      <c r="A6227" t="s">
        <v>4957</v>
      </c>
    </row>
    <row r="6228" spans="1:1">
      <c r="A6228" t="s">
        <v>4958</v>
      </c>
    </row>
    <row r="6229" spans="1:1">
      <c r="A6229" t="s">
        <v>4959</v>
      </c>
    </row>
    <row r="6230" spans="1:1">
      <c r="A6230" t="s">
        <v>4960</v>
      </c>
    </row>
    <row r="6231" spans="1:1">
      <c r="A6231" t="s">
        <v>4961</v>
      </c>
    </row>
    <row r="6232" spans="1:1">
      <c r="A6232" t="s">
        <v>4962</v>
      </c>
    </row>
    <row r="6235" spans="1:1">
      <c r="A6235" t="s">
        <v>392</v>
      </c>
    </row>
    <row r="6236" spans="1:1">
      <c r="A6236" t="s">
        <v>4963</v>
      </c>
    </row>
    <row r="6237" spans="1:1">
      <c r="A6237" t="s">
        <v>4964</v>
      </c>
    </row>
    <row r="6238" spans="1:1">
      <c r="A6238" t="s">
        <v>578</v>
      </c>
    </row>
    <row r="6239" spans="1:1">
      <c r="A6239" t="s">
        <v>4965</v>
      </c>
    </row>
    <row r="6240" spans="1:1">
      <c r="A6240" t="s">
        <v>4966</v>
      </c>
    </row>
    <row r="6241" spans="1:1">
      <c r="A6241" t="s">
        <v>4967</v>
      </c>
    </row>
    <row r="6242" spans="1:1">
      <c r="A6242" t="s">
        <v>4968</v>
      </c>
    </row>
    <row r="6243" spans="1:1">
      <c r="A6243" t="s">
        <v>4969</v>
      </c>
    </row>
    <row r="6244" spans="1:1">
      <c r="A6244" t="s">
        <v>4970</v>
      </c>
    </row>
    <row r="6245" spans="1:1">
      <c r="A6245" t="s">
        <v>4971</v>
      </c>
    </row>
    <row r="6246" spans="1:1">
      <c r="A6246" t="s">
        <v>587</v>
      </c>
    </row>
    <row r="6247" spans="1:1">
      <c r="A6247" t="s">
        <v>4972</v>
      </c>
    </row>
    <row r="6249" spans="1:1">
      <c r="A6249" t="s">
        <v>406</v>
      </c>
    </row>
    <row r="6250" spans="1:1">
      <c r="A6250" t="s">
        <v>4973</v>
      </c>
    </row>
    <row r="6251" spans="1:1">
      <c r="A6251" t="s">
        <v>4974</v>
      </c>
    </row>
    <row r="6252" spans="1:1">
      <c r="A6252" t="s">
        <v>4975</v>
      </c>
    </row>
    <row r="6253" spans="1:1">
      <c r="A6253" t="s">
        <v>4976</v>
      </c>
    </row>
    <row r="6254" spans="1:1">
      <c r="A6254" t="s">
        <v>4977</v>
      </c>
    </row>
    <row r="6255" spans="1:1">
      <c r="A6255" t="s">
        <v>4978</v>
      </c>
    </row>
    <row r="6256" spans="1:1">
      <c r="A6256" t="s">
        <v>4979</v>
      </c>
    </row>
    <row r="6257" spans="1:1">
      <c r="A6257" t="s">
        <v>4980</v>
      </c>
    </row>
    <row r="6258" spans="1:1">
      <c r="A6258" t="s">
        <v>4981</v>
      </c>
    </row>
    <row r="6259" spans="1:1">
      <c r="A6259" t="s">
        <v>4982</v>
      </c>
    </row>
    <row r="6260" spans="1:1">
      <c r="A6260" t="s">
        <v>4983</v>
      </c>
    </row>
    <row r="6261" spans="1:1">
      <c r="A6261" t="s">
        <v>4984</v>
      </c>
    </row>
    <row r="6262" spans="1:1">
      <c r="A6262" t="s">
        <v>4985</v>
      </c>
    </row>
    <row r="6263" spans="1:1">
      <c r="A6263" t="s">
        <v>4986</v>
      </c>
    </row>
    <row r="6264" spans="1:1">
      <c r="A6264" t="s">
        <v>421</v>
      </c>
    </row>
    <row r="6265" spans="1:1">
      <c r="A6265" t="s">
        <v>4987</v>
      </c>
    </row>
    <row r="6270" spans="1:1">
      <c r="A6270" t="s">
        <v>4988</v>
      </c>
    </row>
    <row r="6271" spans="1:1">
      <c r="A6271" t="s">
        <v>371</v>
      </c>
    </row>
    <row r="6272" spans="1:1">
      <c r="A6272" t="s">
        <v>4989</v>
      </c>
    </row>
    <row r="6273" spans="1:1">
      <c r="A6273" t="s">
        <v>4990</v>
      </c>
    </row>
    <row r="6274" spans="1:1">
      <c r="A6274" t="s">
        <v>374</v>
      </c>
    </row>
    <row r="6275" spans="1:1">
      <c r="A6275" t="s">
        <v>4991</v>
      </c>
    </row>
    <row r="6276" spans="1:1">
      <c r="A6276" t="s">
        <v>376</v>
      </c>
    </row>
    <row r="6278" spans="1:1">
      <c r="A6278" t="s">
        <v>4415</v>
      </c>
    </row>
    <row r="6279" spans="1:1">
      <c r="A6279" t="s">
        <v>378</v>
      </c>
    </row>
    <row r="6280" spans="1:1">
      <c r="A6280" t="s">
        <v>4992</v>
      </c>
    </row>
    <row r="6281" spans="1:1">
      <c r="A6281" t="s">
        <v>4993</v>
      </c>
    </row>
    <row r="6282" spans="1:1">
      <c r="A6282" t="s">
        <v>4994</v>
      </c>
    </row>
    <row r="6283" spans="1:1">
      <c r="A6283" t="s">
        <v>4995</v>
      </c>
    </row>
    <row r="6284" spans="1:1">
      <c r="A6284" t="s">
        <v>4996</v>
      </c>
    </row>
    <row r="6285" spans="1:1">
      <c r="A6285" t="s">
        <v>4997</v>
      </c>
    </row>
    <row r="6286" spans="1:1">
      <c r="A6286" t="s">
        <v>4998</v>
      </c>
    </row>
    <row r="6287" spans="1:1">
      <c r="A6287" t="s">
        <v>4999</v>
      </c>
    </row>
    <row r="6288" spans="1:1">
      <c r="A6288" t="s">
        <v>5000</v>
      </c>
    </row>
    <row r="6289" spans="1:1">
      <c r="A6289" t="s">
        <v>5001</v>
      </c>
    </row>
    <row r="6290" spans="1:1">
      <c r="A6290" t="s">
        <v>5002</v>
      </c>
    </row>
    <row r="6291" spans="1:1">
      <c r="A6291" t="s">
        <v>5003</v>
      </c>
    </row>
    <row r="6292" spans="1:1">
      <c r="A6292" t="s">
        <v>5004</v>
      </c>
    </row>
    <row r="6295" spans="1:1">
      <c r="A6295" t="s">
        <v>392</v>
      </c>
    </row>
    <row r="6296" spans="1:1">
      <c r="A6296" t="s">
        <v>5005</v>
      </c>
    </row>
    <row r="6297" spans="1:1">
      <c r="A6297" t="s">
        <v>3047</v>
      </c>
    </row>
    <row r="6298" spans="1:1">
      <c r="A6298" t="s">
        <v>3048</v>
      </c>
    </row>
    <row r="6299" spans="1:1">
      <c r="A6299" t="s">
        <v>5006</v>
      </c>
    </row>
    <row r="6300" spans="1:1">
      <c r="A6300" t="s">
        <v>5007</v>
      </c>
    </row>
    <row r="6301" spans="1:1">
      <c r="A6301" t="s">
        <v>5008</v>
      </c>
    </row>
    <row r="6302" spans="1:1">
      <c r="A6302" t="s">
        <v>3051</v>
      </c>
    </row>
    <row r="6303" spans="1:1">
      <c r="A6303" t="s">
        <v>5009</v>
      </c>
    </row>
    <row r="6304" spans="1:1">
      <c r="A6304" t="s">
        <v>5010</v>
      </c>
    </row>
    <row r="6305" spans="1:1">
      <c r="A6305" t="s">
        <v>5011</v>
      </c>
    </row>
    <row r="6307" spans="1:1">
      <c r="A6307" t="s">
        <v>406</v>
      </c>
    </row>
    <row r="6308" spans="1:1">
      <c r="A6308" t="s">
        <v>5012</v>
      </c>
    </row>
    <row r="6309" spans="1:1">
      <c r="A6309" t="s">
        <v>5013</v>
      </c>
    </row>
    <row r="6310" spans="1:1">
      <c r="A6310" t="s">
        <v>5014</v>
      </c>
    </row>
    <row r="6311" spans="1:1">
      <c r="A6311" t="s">
        <v>5015</v>
      </c>
    </row>
    <row r="6312" spans="1:1">
      <c r="A6312" t="s">
        <v>5016</v>
      </c>
    </row>
    <row r="6313" spans="1:1">
      <c r="A6313" t="s">
        <v>723</v>
      </c>
    </row>
    <row r="6314" spans="1:1">
      <c r="A6314" t="s">
        <v>5017</v>
      </c>
    </row>
    <row r="6315" spans="1:1">
      <c r="A6315" t="s">
        <v>5018</v>
      </c>
    </row>
    <row r="6316" spans="1:1">
      <c r="A6316" t="s">
        <v>5019</v>
      </c>
    </row>
    <row r="6317" spans="1:1">
      <c r="A6317" t="s">
        <v>5020</v>
      </c>
    </row>
    <row r="6318" spans="1:1">
      <c r="A6318" t="s">
        <v>686</v>
      </c>
    </row>
    <row r="6319" spans="1:1">
      <c r="A6319" t="s">
        <v>5021</v>
      </c>
    </row>
    <row r="6320" spans="1:1">
      <c r="A6320" t="s">
        <v>5022</v>
      </c>
    </row>
    <row r="6321" spans="1:1">
      <c r="A6321" t="s">
        <v>5023</v>
      </c>
    </row>
    <row r="6322" spans="1:1">
      <c r="A6322" t="s">
        <v>421</v>
      </c>
    </row>
    <row r="6323" spans="1:1">
      <c r="A6323" t="s">
        <v>5024</v>
      </c>
    </row>
    <row r="6328" spans="1:1">
      <c r="A6328" t="s">
        <v>5025</v>
      </c>
    </row>
    <row r="6329" spans="1:1">
      <c r="A6329" t="s">
        <v>371</v>
      </c>
    </row>
    <row r="6330" spans="1:1">
      <c r="A6330" t="s">
        <v>5026</v>
      </c>
    </row>
    <row r="6331" spans="1:1">
      <c r="A6331" t="s">
        <v>5027</v>
      </c>
    </row>
    <row r="6332" spans="1:1">
      <c r="A6332" t="s">
        <v>374</v>
      </c>
    </row>
    <row r="6333" spans="1:1">
      <c r="A6333" t="s">
        <v>5028</v>
      </c>
    </row>
    <row r="6334" spans="1:1">
      <c r="A6334" t="s">
        <v>376</v>
      </c>
    </row>
    <row r="6336" spans="1:1">
      <c r="A6336" t="s">
        <v>4415</v>
      </c>
    </row>
    <row r="6337" spans="1:1">
      <c r="A6337" t="s">
        <v>378</v>
      </c>
    </row>
    <row r="6338" spans="1:1">
      <c r="A6338" t="s">
        <v>5029</v>
      </c>
    </row>
    <row r="6339" spans="1:1">
      <c r="A6339" t="s">
        <v>5030</v>
      </c>
    </row>
    <row r="6340" spans="1:1">
      <c r="A6340" t="s">
        <v>5031</v>
      </c>
    </row>
    <row r="6341" spans="1:1">
      <c r="A6341" t="s">
        <v>5032</v>
      </c>
    </row>
    <row r="6342" spans="1:1">
      <c r="A6342" t="s">
        <v>5033</v>
      </c>
    </row>
    <row r="6343" spans="1:1">
      <c r="A6343" t="s">
        <v>5034</v>
      </c>
    </row>
    <row r="6344" spans="1:1">
      <c r="A6344" t="s">
        <v>5035</v>
      </c>
    </row>
    <row r="6345" spans="1:1">
      <c r="A6345" t="s">
        <v>5036</v>
      </c>
    </row>
    <row r="6346" spans="1:1">
      <c r="A6346" t="s">
        <v>5037</v>
      </c>
    </row>
    <row r="6347" spans="1:1">
      <c r="A6347" t="s">
        <v>5038</v>
      </c>
    </row>
    <row r="6348" spans="1:1">
      <c r="A6348" t="s">
        <v>5039</v>
      </c>
    </row>
    <row r="6349" spans="1:1">
      <c r="A6349" t="s">
        <v>5040</v>
      </c>
    </row>
    <row r="6350" spans="1:1">
      <c r="A6350" t="s">
        <v>5041</v>
      </c>
    </row>
    <row r="6353" spans="1:1">
      <c r="A6353" t="s">
        <v>392</v>
      </c>
    </row>
    <row r="6354" spans="1:1">
      <c r="A6354" t="s">
        <v>5042</v>
      </c>
    </row>
    <row r="6355" spans="1:1">
      <c r="A6355" t="s">
        <v>5043</v>
      </c>
    </row>
    <row r="6356" spans="1:1">
      <c r="A6356" t="s">
        <v>5044</v>
      </c>
    </row>
    <row r="6357" spans="1:1">
      <c r="A6357" t="s">
        <v>5045</v>
      </c>
    </row>
    <row r="6358" spans="1:1">
      <c r="A6358" t="s">
        <v>5046</v>
      </c>
    </row>
    <row r="6359" spans="1:1">
      <c r="A6359" t="s">
        <v>5047</v>
      </c>
    </row>
    <row r="6360" spans="1:1">
      <c r="A6360" t="s">
        <v>5048</v>
      </c>
    </row>
    <row r="6361" spans="1:1">
      <c r="A6361" t="s">
        <v>5049</v>
      </c>
    </row>
    <row r="6362" spans="1:1">
      <c r="A6362" t="s">
        <v>3052</v>
      </c>
    </row>
    <row r="6363" spans="1:1">
      <c r="A6363" t="s">
        <v>5050</v>
      </c>
    </row>
    <row r="6364" spans="1:1">
      <c r="A6364" t="s">
        <v>5051</v>
      </c>
    </row>
    <row r="6365" spans="1:1">
      <c r="A6365" t="s">
        <v>5052</v>
      </c>
    </row>
    <row r="6366" spans="1:1">
      <c r="A6366" t="s">
        <v>5053</v>
      </c>
    </row>
    <row r="6368" spans="1:1">
      <c r="A6368" t="s">
        <v>406</v>
      </c>
    </row>
    <row r="6369" spans="1:1">
      <c r="A6369" t="s">
        <v>5054</v>
      </c>
    </row>
    <row r="6370" spans="1:1">
      <c r="A6370" t="s">
        <v>5055</v>
      </c>
    </row>
    <row r="6371" spans="1:1">
      <c r="A6371" t="s">
        <v>5056</v>
      </c>
    </row>
    <row r="6372" spans="1:1">
      <c r="A6372" t="s">
        <v>5057</v>
      </c>
    </row>
    <row r="6373" spans="1:1">
      <c r="A6373" t="s">
        <v>5058</v>
      </c>
    </row>
    <row r="6374" spans="1:1">
      <c r="A6374" t="s">
        <v>5059</v>
      </c>
    </row>
    <row r="6375" spans="1:1">
      <c r="A6375" t="s">
        <v>5060</v>
      </c>
    </row>
    <row r="6376" spans="1:1">
      <c r="A6376" t="s">
        <v>5061</v>
      </c>
    </row>
    <row r="6377" spans="1:1">
      <c r="A6377" t="s">
        <v>5062</v>
      </c>
    </row>
    <row r="6378" spans="1:1">
      <c r="A6378" t="s">
        <v>5063</v>
      </c>
    </row>
    <row r="6379" spans="1:1">
      <c r="A6379" t="s">
        <v>5064</v>
      </c>
    </row>
    <row r="6380" spans="1:1">
      <c r="A6380" t="s">
        <v>5065</v>
      </c>
    </row>
    <row r="6381" spans="1:1">
      <c r="A6381" t="s">
        <v>5066</v>
      </c>
    </row>
    <row r="6382" spans="1:1">
      <c r="A6382" t="s">
        <v>5067</v>
      </c>
    </row>
    <row r="6383" spans="1:1">
      <c r="A6383" t="s">
        <v>421</v>
      </c>
    </row>
    <row r="6384" spans="1:1">
      <c r="A6384" t="s">
        <v>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Oxides</vt:lpstr>
      <vt:lpstr>Oxides Corr</vt:lpstr>
      <vt:lpstr>StdCalc</vt:lpstr>
      <vt:lpstr>Fa-Fo Ratios</vt:lpstr>
      <vt:lpstr>Elements</vt:lpstr>
      <vt:lpstr>Standard Conditions</vt:lpstr>
      <vt:lpstr>AllData</vt:lpstr>
      <vt:lpstr>Bgls_std-cnd</vt:lpstr>
      <vt:lpstr>Bgls_oxides</vt:lpstr>
      <vt:lpstr>Bgls_all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Fernando Fajardo Tenesaca</dc:creator>
  <cp:lastModifiedBy>Alejandro V.</cp:lastModifiedBy>
  <dcterms:created xsi:type="dcterms:W3CDTF">2026-09-17T10:53:53Z</dcterms:created>
  <dcterms:modified xsi:type="dcterms:W3CDTF">2026-10-08T16:16:57Z</dcterms:modified>
</cp:coreProperties>
</file>