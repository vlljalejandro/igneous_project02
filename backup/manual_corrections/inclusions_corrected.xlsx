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ust-my.sharepoint.com/personal/fajardp_kaust_edu_sa/Documents/Documents/Igenous Geochemistry/Exercise 2/"/>
    </mc:Choice>
  </mc:AlternateContent>
  <xr:revisionPtr revIDLastSave="642" documentId="8_{A63CEB4A-826E-3F42-ACB5-816CCD01060A}" xr6:coauthVersionLast="47" xr6:coauthVersionMax="47" xr10:uidLastSave="{C1DFA994-5043-E34C-95CE-D07EEB4304A8}"/>
  <bookViews>
    <workbookView xWindow="0" yWindow="660" windowWidth="34560" windowHeight="21680" activeTab="5" xr2:uid="{7E093DD7-B4C6-FB43-8CF1-3778B24FAD89}"/>
  </bookViews>
  <sheets>
    <sheet name="MDL Filtered Raw" sheetId="1" r:id="rId1"/>
    <sheet name="Not MDL Filltered" sheetId="6" r:id="rId2"/>
    <sheet name="MDL Filtered Clean" sheetId="2" r:id="rId3"/>
    <sheet name="Sheet4" sheetId="4" r:id="rId4"/>
    <sheet name="Calibration" sheetId="5" r:id="rId5"/>
    <sheet name="Corrected data" sheetId="7" r:id="rId6"/>
  </sheets>
  <definedNames>
    <definedName name="_xlnm._FilterDatabase" localSheetId="5" hidden="1">'Corrected data'!$A$1:$AQ$119</definedName>
    <definedName name="_xlnm._FilterDatabase" localSheetId="0" hidden="1">'MDL Filtered Raw'!$A$1:$AP$86</definedName>
    <definedName name="_xlnm._FilterDatabase" localSheetId="3" hidden="1">Sheet4!$A$1:$AP$36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3" i="5" l="1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C22" i="5"/>
  <c r="C34" i="5"/>
  <c r="C35" i="5"/>
  <c r="AQ17" i="5"/>
  <c r="AQ16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C17" i="5"/>
  <c r="C16" i="5"/>
  <c r="C16" i="7" l="1"/>
  <c r="C23" i="7"/>
  <c r="C26" i="7"/>
  <c r="C31" i="7"/>
  <c r="C35" i="7"/>
  <c r="C39" i="7"/>
  <c r="C42" i="7"/>
  <c r="C46" i="7"/>
  <c r="C50" i="7"/>
  <c r="C56" i="7"/>
  <c r="C60" i="7"/>
  <c r="C65" i="7"/>
  <c r="C77" i="7"/>
  <c r="C15" i="7"/>
  <c r="C22" i="7"/>
  <c r="C25" i="7"/>
  <c r="C30" i="7"/>
  <c r="C33" i="7"/>
  <c r="C38" i="7"/>
  <c r="C40" i="7"/>
  <c r="C43" i="7"/>
  <c r="C45" i="7"/>
  <c r="C49" i="7"/>
  <c r="C54" i="7"/>
  <c r="C59" i="7"/>
  <c r="C64" i="7"/>
  <c r="C68" i="7"/>
  <c r="C73" i="7"/>
  <c r="C79" i="7"/>
  <c r="C3" i="7"/>
  <c r="C4" i="7"/>
  <c r="C5" i="7"/>
  <c r="C6" i="7"/>
  <c r="C7" i="7"/>
  <c r="C8" i="7"/>
  <c r="C9" i="7"/>
  <c r="C10" i="7"/>
  <c r="C11" i="7"/>
  <c r="C12" i="7"/>
  <c r="C13" i="7"/>
  <c r="C14" i="7"/>
  <c r="C17" i="7"/>
  <c r="C21" i="7"/>
  <c r="C24" i="7"/>
  <c r="C29" i="7"/>
  <c r="C34" i="7"/>
  <c r="C47" i="7"/>
  <c r="C51" i="7"/>
  <c r="C53" i="7"/>
  <c r="C57" i="7"/>
  <c r="C66" i="7"/>
  <c r="C71" i="7"/>
  <c r="C74" i="7"/>
  <c r="C27" i="7"/>
  <c r="C19" i="7"/>
  <c r="C61" i="7"/>
  <c r="C69" i="7"/>
  <c r="C18" i="7"/>
  <c r="C62" i="7"/>
  <c r="C72" i="7"/>
  <c r="C63" i="7"/>
  <c r="C76" i="7"/>
  <c r="C20" i="7"/>
  <c r="C28" i="7"/>
  <c r="C32" i="7"/>
  <c r="C36" i="7"/>
  <c r="C37" i="7"/>
  <c r="C41" i="7"/>
  <c r="C44" i="7"/>
  <c r="C48" i="7"/>
  <c r="C52" i="7"/>
  <c r="C55" i="7"/>
  <c r="C58" i="7"/>
  <c r="C67" i="7"/>
  <c r="C70" i="7"/>
  <c r="C75" i="7"/>
  <c r="C78" i="7"/>
  <c r="C2" i="7"/>
  <c r="E35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H35" i="5"/>
  <c r="I35" i="5"/>
  <c r="L35" i="5"/>
  <c r="Q35" i="5"/>
  <c r="S35" i="5"/>
  <c r="X35" i="5"/>
  <c r="AA35" i="5"/>
  <c r="AD35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G35" i="5"/>
  <c r="J35" i="5"/>
  <c r="P35" i="5"/>
  <c r="U35" i="5"/>
  <c r="Y35" i="5"/>
  <c r="Z35" i="5"/>
  <c r="AE35" i="5"/>
  <c r="AP34" i="5"/>
  <c r="F35" i="5"/>
  <c r="K35" i="5"/>
  <c r="R35" i="5"/>
  <c r="T35" i="5"/>
  <c r="W35" i="5"/>
  <c r="AB35" i="5"/>
  <c r="AF35" i="5"/>
  <c r="M35" i="5"/>
  <c r="N35" i="5"/>
  <c r="O35" i="5"/>
  <c r="V35" i="5"/>
  <c r="AC35" i="5"/>
  <c r="AG35" i="5"/>
  <c r="AH35" i="5"/>
  <c r="AI35" i="5"/>
  <c r="AJ35" i="5"/>
  <c r="AK35" i="5"/>
  <c r="AL35" i="5"/>
  <c r="AM35" i="5"/>
  <c r="AN35" i="5"/>
  <c r="AO35" i="5"/>
  <c r="AP35" i="5"/>
  <c r="E34" i="5"/>
  <c r="AQ35" i="5"/>
  <c r="AQ34" i="5"/>
  <c r="D34" i="5"/>
  <c r="D35" i="5"/>
  <c r="AQ19" i="5"/>
  <c r="AQ18" i="5"/>
  <c r="D19" i="5"/>
  <c r="D18" i="5"/>
  <c r="E19" i="5"/>
  <c r="E18" i="5"/>
  <c r="F18" i="5"/>
  <c r="F19" i="5"/>
  <c r="G19" i="5"/>
  <c r="G18" i="5"/>
  <c r="H18" i="5"/>
  <c r="H19" i="5"/>
  <c r="I18" i="5"/>
  <c r="I19" i="5"/>
  <c r="J19" i="5"/>
  <c r="J18" i="5"/>
  <c r="K18" i="5"/>
  <c r="K19" i="5"/>
  <c r="L19" i="5"/>
  <c r="L18" i="5"/>
  <c r="M19" i="5"/>
  <c r="M18" i="5"/>
  <c r="N19" i="5"/>
  <c r="N18" i="5"/>
  <c r="O18" i="5"/>
  <c r="O19" i="5"/>
  <c r="P18" i="5"/>
  <c r="P19" i="5"/>
  <c r="Q18" i="5"/>
  <c r="Q19" i="5"/>
  <c r="R19" i="5"/>
  <c r="R18" i="5"/>
  <c r="S19" i="5"/>
  <c r="S18" i="5"/>
  <c r="T18" i="5"/>
  <c r="T19" i="5"/>
  <c r="U19" i="5"/>
  <c r="U18" i="5"/>
  <c r="V18" i="5"/>
  <c r="V19" i="5"/>
  <c r="W18" i="5"/>
  <c r="W19" i="5"/>
  <c r="X19" i="5"/>
  <c r="X18" i="5"/>
  <c r="Y19" i="5"/>
  <c r="Y18" i="5"/>
  <c r="Z18" i="5"/>
  <c r="Z19" i="5"/>
  <c r="AA18" i="5"/>
  <c r="AA19" i="5"/>
  <c r="AB19" i="5"/>
  <c r="AB18" i="5"/>
  <c r="AC18" i="5"/>
  <c r="AC19" i="5"/>
  <c r="AD18" i="5"/>
  <c r="AD19" i="5"/>
  <c r="AE18" i="5"/>
  <c r="AE19" i="5"/>
  <c r="AF18" i="5"/>
  <c r="AF19" i="5"/>
  <c r="AG18" i="5"/>
  <c r="AG19" i="5"/>
  <c r="AH19" i="5"/>
  <c r="AH18" i="5"/>
  <c r="AI18" i="5"/>
  <c r="AI19" i="5"/>
  <c r="AJ19" i="5"/>
  <c r="AJ18" i="5"/>
  <c r="AK19" i="5"/>
  <c r="AK18" i="5"/>
  <c r="AL18" i="5"/>
  <c r="AL19" i="5"/>
  <c r="AM18" i="5"/>
  <c r="AM19" i="5"/>
  <c r="AN19" i="5"/>
  <c r="AN18" i="5"/>
  <c r="AO19" i="5"/>
  <c r="AO18" i="5"/>
  <c r="AP19" i="5"/>
  <c r="AP18" i="5"/>
  <c r="C19" i="5"/>
  <c r="C18" i="5"/>
  <c r="F2" i="7" l="1"/>
  <c r="F14" i="7"/>
  <c r="F22" i="7"/>
  <c r="F32" i="7"/>
  <c r="F33" i="7"/>
  <c r="F34" i="7"/>
  <c r="F30" i="7"/>
  <c r="F13" i="7"/>
  <c r="F24" i="7"/>
  <c r="F38" i="7"/>
  <c r="F23" i="7"/>
  <c r="F39" i="7"/>
  <c r="F40" i="7"/>
  <c r="F41" i="7"/>
  <c r="F29" i="7"/>
  <c r="F42" i="7"/>
  <c r="F43" i="7"/>
  <c r="F44" i="7"/>
  <c r="F28" i="7"/>
  <c r="F12" i="7"/>
  <c r="F45" i="7"/>
  <c r="F46" i="7"/>
  <c r="F11" i="7"/>
  <c r="F47" i="7"/>
  <c r="F48" i="7"/>
  <c r="F27" i="7"/>
  <c r="F49" i="7"/>
  <c r="F50" i="7"/>
  <c r="F10" i="7"/>
  <c r="F51" i="7"/>
  <c r="F26" i="7"/>
  <c r="F52" i="7"/>
  <c r="F53" i="7"/>
  <c r="F15" i="7"/>
  <c r="F62" i="7"/>
  <c r="F37" i="7"/>
  <c r="F54" i="7"/>
  <c r="F55" i="7"/>
  <c r="F56" i="7"/>
  <c r="F25" i="7"/>
  <c r="F57" i="7"/>
  <c r="F58" i="7"/>
  <c r="F9" i="7"/>
  <c r="F59" i="7"/>
  <c r="F60" i="7"/>
  <c r="F31" i="7"/>
  <c r="F61" i="7"/>
  <c r="F8" i="7"/>
  <c r="F63" i="7"/>
  <c r="F3" i="7"/>
  <c r="F64" i="7"/>
  <c r="F65" i="7"/>
  <c r="F21" i="7"/>
  <c r="F66" i="7"/>
  <c r="F67" i="7"/>
  <c r="F7" i="7"/>
  <c r="F68" i="7"/>
  <c r="F69" i="7"/>
  <c r="F20" i="7"/>
  <c r="F35" i="7"/>
  <c r="F70" i="7"/>
  <c r="F6" i="7"/>
  <c r="F71" i="7"/>
  <c r="F72" i="7"/>
  <c r="F19" i="7"/>
  <c r="F73" i="7"/>
  <c r="F5" i="7"/>
  <c r="F74" i="7"/>
  <c r="F75" i="7"/>
  <c r="F18" i="7"/>
  <c r="F4" i="7"/>
  <c r="F36" i="7"/>
  <c r="F76" i="7"/>
  <c r="F16" i="7"/>
  <c r="F77" i="7"/>
  <c r="F78" i="7"/>
  <c r="F17" i="7"/>
  <c r="F79" i="7"/>
  <c r="G31" i="7"/>
  <c r="G25" i="7"/>
  <c r="G19" i="7"/>
  <c r="G21" i="7"/>
  <c r="G3" i="7"/>
  <c r="G61" i="7"/>
  <c r="G12" i="7"/>
  <c r="G63" i="7"/>
  <c r="G27" i="7"/>
  <c r="G24" i="7"/>
  <c r="G60" i="7"/>
  <c r="G48" i="7"/>
  <c r="G8" i="7"/>
  <c r="G64" i="7"/>
  <c r="G43" i="7"/>
  <c r="G14" i="7"/>
  <c r="G65" i="7"/>
  <c r="G29" i="7"/>
  <c r="G53" i="7"/>
  <c r="G59" i="7"/>
  <c r="G62" i="7"/>
  <c r="G49" i="7"/>
  <c r="G34" i="7"/>
  <c r="G66" i="7"/>
  <c r="G2" i="7"/>
  <c r="G23" i="7"/>
  <c r="G32" i="7"/>
  <c r="G41" i="7"/>
  <c r="G7" i="7"/>
  <c r="G47" i="7"/>
  <c r="G67" i="7"/>
  <c r="G58" i="7"/>
  <c r="G79" i="7"/>
  <c r="G11" i="7"/>
  <c r="G9" i="7"/>
  <c r="G68" i="7"/>
  <c r="G17" i="7"/>
  <c r="G57" i="7"/>
  <c r="G44" i="7"/>
  <c r="G40" i="7"/>
  <c r="G50" i="7"/>
  <c r="G20" i="7"/>
  <c r="G69" i="7"/>
  <c r="G4" i="7"/>
  <c r="G56" i="7"/>
  <c r="G39" i="7"/>
  <c r="G33" i="7"/>
  <c r="G70" i="7"/>
  <c r="G6" i="7"/>
  <c r="G55" i="7"/>
  <c r="G71" i="7"/>
  <c r="G38" i="7"/>
  <c r="G72" i="7"/>
  <c r="G78" i="7"/>
  <c r="G28" i="7"/>
  <c r="G10" i="7"/>
  <c r="G51" i="7"/>
  <c r="G36" i="7"/>
  <c r="G22" i="7"/>
  <c r="G54" i="7"/>
  <c r="G37" i="7"/>
  <c r="G77" i="7"/>
  <c r="G16" i="7"/>
  <c r="G73" i="7"/>
  <c r="G45" i="7"/>
  <c r="G30" i="7"/>
  <c r="G74" i="7"/>
  <c r="G15" i="7"/>
  <c r="G35" i="7"/>
  <c r="G76" i="7"/>
  <c r="G5" i="7"/>
  <c r="G26" i="7"/>
  <c r="G46" i="7"/>
  <c r="G75" i="7"/>
  <c r="G13" i="7"/>
  <c r="G52" i="7"/>
  <c r="G18" i="7"/>
  <c r="G42" i="7"/>
  <c r="H50" i="7"/>
  <c r="H18" i="7"/>
  <c r="H20" i="7"/>
  <c r="H4" i="7"/>
  <c r="H36" i="7"/>
  <c r="H52" i="7"/>
  <c r="H8" i="7"/>
  <c r="H61" i="7"/>
  <c r="H75" i="7"/>
  <c r="H22" i="7"/>
  <c r="H62" i="7"/>
  <c r="H26" i="7"/>
  <c r="H42" i="7"/>
  <c r="H27" i="7"/>
  <c r="H53" i="7"/>
  <c r="H63" i="7"/>
  <c r="H76" i="7"/>
  <c r="H60" i="7"/>
  <c r="H45" i="7"/>
  <c r="H23" i="7"/>
  <c r="H48" i="7"/>
  <c r="H74" i="7"/>
  <c r="H64" i="7"/>
  <c r="H30" i="7"/>
  <c r="H46" i="7"/>
  <c r="H41" i="7"/>
  <c r="H13" i="7"/>
  <c r="H37" i="7"/>
  <c r="H65" i="7"/>
  <c r="H73" i="7"/>
  <c r="H34" i="7"/>
  <c r="H5" i="7"/>
  <c r="H15" i="7"/>
  <c r="H77" i="7"/>
  <c r="H29" i="7"/>
  <c r="H59" i="7"/>
  <c r="H21" i="7"/>
  <c r="H54" i="7"/>
  <c r="H47" i="7"/>
  <c r="H31" i="7"/>
  <c r="H19" i="7"/>
  <c r="H43" i="7"/>
  <c r="H51" i="7"/>
  <c r="H12" i="7"/>
  <c r="H16" i="7"/>
  <c r="H72" i="7"/>
  <c r="H78" i="7"/>
  <c r="H7" i="7"/>
  <c r="H38" i="7"/>
  <c r="H2" i="7"/>
  <c r="H28" i="7"/>
  <c r="H9" i="7"/>
  <c r="H66" i="7"/>
  <c r="H71" i="7"/>
  <c r="H49" i="7"/>
  <c r="H10" i="7"/>
  <c r="H58" i="7"/>
  <c r="H32" i="7"/>
  <c r="H35" i="7"/>
  <c r="H55" i="7"/>
  <c r="H14" i="7"/>
  <c r="H67" i="7"/>
  <c r="H79" i="7"/>
  <c r="H24" i="7"/>
  <c r="H70" i="7"/>
  <c r="H33" i="7"/>
  <c r="H6" i="7"/>
  <c r="H11" i="7"/>
  <c r="H39" i="7"/>
  <c r="H3" i="7"/>
  <c r="H68" i="7"/>
  <c r="H57" i="7"/>
  <c r="H17" i="7"/>
  <c r="H69" i="7"/>
  <c r="H56" i="7"/>
  <c r="H40" i="7"/>
  <c r="H44" i="7"/>
  <c r="H25" i="7"/>
  <c r="I18" i="7"/>
  <c r="I31" i="7"/>
  <c r="I20" i="7"/>
  <c r="I44" i="7"/>
  <c r="I50" i="7"/>
  <c r="I11" i="7"/>
  <c r="I56" i="7"/>
  <c r="I17" i="7"/>
  <c r="I40" i="7"/>
  <c r="I69" i="7"/>
  <c r="I4" i="7"/>
  <c r="I57" i="7"/>
  <c r="I68" i="7"/>
  <c r="I34" i="7"/>
  <c r="I16" i="7"/>
  <c r="I39" i="7"/>
  <c r="I53" i="7"/>
  <c r="I32" i="7"/>
  <c r="I70" i="7"/>
  <c r="I28" i="7"/>
  <c r="I67" i="7"/>
  <c r="I55" i="7"/>
  <c r="I79" i="7"/>
  <c r="I49" i="7"/>
  <c r="I6" i="7"/>
  <c r="I33" i="7"/>
  <c r="I58" i="7"/>
  <c r="I10" i="7"/>
  <c r="I66" i="7"/>
  <c r="I71" i="7"/>
  <c r="I38" i="7"/>
  <c r="I7" i="7"/>
  <c r="I78" i="7"/>
  <c r="I2" i="7"/>
  <c r="I43" i="7"/>
  <c r="I29" i="7"/>
  <c r="I54" i="7"/>
  <c r="I51" i="7"/>
  <c r="I3" i="7"/>
  <c r="I37" i="7"/>
  <c r="I35" i="7"/>
  <c r="I72" i="7"/>
  <c r="I21" i="7"/>
  <c r="I77" i="7"/>
  <c r="I59" i="7"/>
  <c r="I15" i="7"/>
  <c r="I47" i="7"/>
  <c r="I73" i="7"/>
  <c r="I14" i="7"/>
  <c r="I24" i="7"/>
  <c r="I46" i="7"/>
  <c r="I41" i="7"/>
  <c r="I48" i="7"/>
  <c r="I8" i="7"/>
  <c r="I64" i="7"/>
  <c r="I26" i="7"/>
  <c r="I74" i="7"/>
  <c r="I23" i="7"/>
  <c r="I76" i="7"/>
  <c r="I30" i="7"/>
  <c r="I60" i="7"/>
  <c r="I42" i="7"/>
  <c r="I63" i="7"/>
  <c r="I62" i="7"/>
  <c r="I9" i="7"/>
  <c r="I5" i="7"/>
  <c r="I12" i="7"/>
  <c r="I45" i="7"/>
  <c r="I22" i="7"/>
  <c r="I13" i="7"/>
  <c r="I61" i="7"/>
  <c r="I75" i="7"/>
  <c r="I27" i="7"/>
  <c r="I52" i="7"/>
  <c r="I36" i="7"/>
  <c r="I19" i="7"/>
  <c r="I65" i="7"/>
  <c r="I25" i="7"/>
  <c r="J7" i="7"/>
  <c r="J54" i="7"/>
  <c r="J27" i="7"/>
  <c r="J61" i="7"/>
  <c r="J31" i="7"/>
  <c r="J22" i="7"/>
  <c r="J23" i="7"/>
  <c r="J62" i="7"/>
  <c r="J63" i="7"/>
  <c r="J60" i="7"/>
  <c r="J14" i="7"/>
  <c r="J48" i="7"/>
  <c r="J47" i="7"/>
  <c r="J42" i="7"/>
  <c r="J41" i="7"/>
  <c r="J64" i="7"/>
  <c r="J13" i="7"/>
  <c r="J2" i="7"/>
  <c r="J49" i="7"/>
  <c r="J79" i="7"/>
  <c r="J59" i="7"/>
  <c r="J16" i="7"/>
  <c r="J21" i="7"/>
  <c r="J17" i="7"/>
  <c r="J65" i="7"/>
  <c r="J32" i="7"/>
  <c r="J29" i="7"/>
  <c r="J43" i="7"/>
  <c r="J50" i="7"/>
  <c r="J66" i="7"/>
  <c r="J46" i="7"/>
  <c r="J58" i="7"/>
  <c r="J10" i="7"/>
  <c r="J78" i="7"/>
  <c r="J67" i="7"/>
  <c r="J33" i="7"/>
  <c r="J77" i="7"/>
  <c r="J26" i="7"/>
  <c r="J76" i="7"/>
  <c r="J34" i="7"/>
  <c r="J12" i="7"/>
  <c r="J57" i="7"/>
  <c r="J68" i="7"/>
  <c r="J36" i="7"/>
  <c r="J40" i="7"/>
  <c r="J3" i="7"/>
  <c r="J35" i="7"/>
  <c r="J51" i="7"/>
  <c r="J20" i="7"/>
  <c r="J25" i="7"/>
  <c r="J18" i="7"/>
  <c r="J44" i="7"/>
  <c r="J11" i="7"/>
  <c r="J75" i="7"/>
  <c r="J52" i="7"/>
  <c r="J56" i="7"/>
  <c r="J6" i="7"/>
  <c r="J39" i="7"/>
  <c r="J69" i="7"/>
  <c r="J45" i="7"/>
  <c r="J4" i="7"/>
  <c r="J28" i="7"/>
  <c r="J70" i="7"/>
  <c r="J30" i="7"/>
  <c r="J55" i="7"/>
  <c r="J53" i="7"/>
  <c r="J74" i="7"/>
  <c r="J73" i="7"/>
  <c r="J24" i="7"/>
  <c r="J38" i="7"/>
  <c r="J15" i="7"/>
  <c r="J71" i="7"/>
  <c r="J9" i="7"/>
  <c r="J72" i="7"/>
  <c r="J5" i="7"/>
  <c r="J37" i="7"/>
  <c r="J8" i="7"/>
  <c r="J19" i="7"/>
  <c r="K19" i="7"/>
  <c r="K54" i="7"/>
  <c r="K23" i="7"/>
  <c r="K71" i="7"/>
  <c r="K72" i="7"/>
  <c r="K35" i="7"/>
  <c r="K6" i="7"/>
  <c r="K73" i="7"/>
  <c r="K25" i="7"/>
  <c r="K38" i="7"/>
  <c r="K74" i="7"/>
  <c r="K53" i="7"/>
  <c r="K70" i="7"/>
  <c r="K55" i="7"/>
  <c r="K30" i="7"/>
  <c r="K5" i="7"/>
  <c r="K69" i="7"/>
  <c r="K15" i="7"/>
  <c r="K52" i="7"/>
  <c r="K56" i="7"/>
  <c r="K28" i="7"/>
  <c r="K75" i="7"/>
  <c r="K36" i="7"/>
  <c r="K9" i="7"/>
  <c r="K45" i="7"/>
  <c r="K44" i="7"/>
  <c r="K51" i="7"/>
  <c r="K11" i="7"/>
  <c r="K18" i="7"/>
  <c r="K39" i="7"/>
  <c r="K20" i="7"/>
  <c r="K62" i="7"/>
  <c r="K68" i="7"/>
  <c r="K3" i="7"/>
  <c r="K40" i="7"/>
  <c r="K13" i="7"/>
  <c r="K26" i="7"/>
  <c r="K76" i="7"/>
  <c r="K34" i="7"/>
  <c r="K43" i="7"/>
  <c r="K77" i="7"/>
  <c r="K33" i="7"/>
  <c r="K67" i="7"/>
  <c r="K29" i="7"/>
  <c r="K78" i="7"/>
  <c r="K66" i="7"/>
  <c r="K58" i="7"/>
  <c r="K46" i="7"/>
  <c r="K4" i="7"/>
  <c r="K50" i="7"/>
  <c r="K7" i="7"/>
  <c r="K32" i="7"/>
  <c r="K65" i="7"/>
  <c r="K17" i="7"/>
  <c r="K10" i="7"/>
  <c r="K57" i="7"/>
  <c r="K21" i="7"/>
  <c r="K59" i="7"/>
  <c r="K49" i="7"/>
  <c r="K64" i="7"/>
  <c r="K79" i="7"/>
  <c r="K16" i="7"/>
  <c r="K42" i="7"/>
  <c r="K2" i="7"/>
  <c r="K8" i="7"/>
  <c r="K41" i="7"/>
  <c r="K48" i="7"/>
  <c r="K12" i="7"/>
  <c r="K63" i="7"/>
  <c r="K14" i="7"/>
  <c r="K22" i="7"/>
  <c r="K37" i="7"/>
  <c r="K24" i="7"/>
  <c r="K31" i="7"/>
  <c r="K61" i="7"/>
  <c r="K60" i="7"/>
  <c r="K27" i="7"/>
  <c r="K47" i="7"/>
  <c r="L16" i="7"/>
  <c r="L57" i="7"/>
  <c r="L34" i="7"/>
  <c r="L47" i="7"/>
  <c r="L27" i="7"/>
  <c r="L48" i="7"/>
  <c r="L14" i="7"/>
  <c r="L62" i="7"/>
  <c r="L49" i="7"/>
  <c r="L36" i="7"/>
  <c r="L23" i="7"/>
  <c r="L50" i="7"/>
  <c r="L31" i="7"/>
  <c r="L46" i="7"/>
  <c r="L13" i="7"/>
  <c r="L10" i="7"/>
  <c r="L2" i="7"/>
  <c r="L26" i="7"/>
  <c r="L79" i="7"/>
  <c r="L25" i="7"/>
  <c r="L51" i="7"/>
  <c r="L11" i="7"/>
  <c r="L17" i="7"/>
  <c r="L45" i="7"/>
  <c r="L32" i="7"/>
  <c r="L52" i="7"/>
  <c r="L78" i="7"/>
  <c r="L53" i="7"/>
  <c r="L77" i="7"/>
  <c r="L33" i="7"/>
  <c r="L24" i="7"/>
  <c r="L76" i="7"/>
  <c r="L35" i="7"/>
  <c r="L54" i="7"/>
  <c r="L75" i="7"/>
  <c r="L9" i="7"/>
  <c r="L55" i="7"/>
  <c r="L18" i="7"/>
  <c r="L56" i="7"/>
  <c r="L28" i="7"/>
  <c r="L30" i="7"/>
  <c r="L44" i="7"/>
  <c r="L74" i="7"/>
  <c r="L4" i="7"/>
  <c r="L73" i="7"/>
  <c r="L15" i="7"/>
  <c r="L72" i="7"/>
  <c r="L19" i="7"/>
  <c r="L37" i="7"/>
  <c r="L43" i="7"/>
  <c r="L5" i="7"/>
  <c r="L58" i="7"/>
  <c r="L71" i="7"/>
  <c r="L3" i="7"/>
  <c r="L59" i="7"/>
  <c r="L12" i="7"/>
  <c r="L38" i="7"/>
  <c r="L42" i="7"/>
  <c r="L70" i="7"/>
  <c r="L8" i="7"/>
  <c r="L69" i="7"/>
  <c r="L22" i="7"/>
  <c r="L60" i="7"/>
  <c r="L6" i="7"/>
  <c r="L61" i="7"/>
  <c r="L39" i="7"/>
  <c r="L63" i="7"/>
  <c r="L20" i="7"/>
  <c r="L41" i="7"/>
  <c r="L68" i="7"/>
  <c r="L40" i="7"/>
  <c r="L64" i="7"/>
  <c r="L67" i="7"/>
  <c r="L7" i="7"/>
  <c r="L66" i="7"/>
  <c r="L21" i="7"/>
  <c r="L65" i="7"/>
  <c r="L29" i="7"/>
  <c r="M21" i="7"/>
  <c r="M65" i="7"/>
  <c r="M29" i="7"/>
  <c r="M66" i="7"/>
  <c r="M64" i="7"/>
  <c r="M12" i="7"/>
  <c r="M40" i="7"/>
  <c r="M7" i="7"/>
  <c r="M67" i="7"/>
  <c r="M63" i="7"/>
  <c r="M68" i="7"/>
  <c r="M20" i="7"/>
  <c r="M41" i="7"/>
  <c r="M13" i="7"/>
  <c r="M39" i="7"/>
  <c r="M62" i="7"/>
  <c r="M60" i="7"/>
  <c r="M35" i="7"/>
  <c r="M22" i="7"/>
  <c r="M69" i="7"/>
  <c r="M6" i="7"/>
  <c r="M59" i="7"/>
  <c r="M38" i="7"/>
  <c r="M42" i="7"/>
  <c r="M70" i="7"/>
  <c r="M8" i="7"/>
  <c r="M58" i="7"/>
  <c r="M71" i="7"/>
  <c r="M24" i="7"/>
  <c r="M19" i="7"/>
  <c r="M43" i="7"/>
  <c r="M16" i="7"/>
  <c r="M15" i="7"/>
  <c r="M72" i="7"/>
  <c r="M23" i="7"/>
  <c r="M25" i="7"/>
  <c r="M73" i="7"/>
  <c r="M14" i="7"/>
  <c r="M56" i="7"/>
  <c r="M74" i="7"/>
  <c r="M5" i="7"/>
  <c r="M28" i="7"/>
  <c r="M30" i="7"/>
  <c r="M18" i="7"/>
  <c r="M55" i="7"/>
  <c r="M54" i="7"/>
  <c r="M75" i="7"/>
  <c r="M44" i="7"/>
  <c r="M3" i="7"/>
  <c r="M37" i="7"/>
  <c r="M76" i="7"/>
  <c r="M33" i="7"/>
  <c r="M11" i="7"/>
  <c r="M53" i="7"/>
  <c r="M77" i="7"/>
  <c r="M52" i="7"/>
  <c r="M78" i="7"/>
  <c r="M4" i="7"/>
  <c r="M34" i="7"/>
  <c r="M32" i="7"/>
  <c r="M51" i="7"/>
  <c r="M17" i="7"/>
  <c r="M45" i="7"/>
  <c r="M36" i="7"/>
  <c r="M9" i="7"/>
  <c r="M79" i="7"/>
  <c r="M26" i="7"/>
  <c r="M2" i="7"/>
  <c r="M50" i="7"/>
  <c r="M31" i="7"/>
  <c r="M46" i="7"/>
  <c r="M61" i="7"/>
  <c r="M49" i="7"/>
  <c r="M10" i="7"/>
  <c r="M48" i="7"/>
  <c r="M47" i="7"/>
  <c r="M57" i="7"/>
  <c r="M27" i="7"/>
  <c r="N14" i="7"/>
  <c r="N68" i="7"/>
  <c r="N35" i="7"/>
  <c r="N37" i="7"/>
  <c r="N29" i="7"/>
  <c r="N31" i="7"/>
  <c r="N41" i="7"/>
  <c r="N23" i="7"/>
  <c r="N16" i="7"/>
  <c r="N42" i="7"/>
  <c r="N43" i="7"/>
  <c r="N39" i="7"/>
  <c r="N28" i="7"/>
  <c r="N44" i="7"/>
  <c r="N24" i="7"/>
  <c r="N45" i="7"/>
  <c r="N2" i="7"/>
  <c r="N11" i="7"/>
  <c r="N3" i="7"/>
  <c r="N46" i="7"/>
  <c r="N47" i="7"/>
  <c r="N79" i="7"/>
  <c r="N5" i="7"/>
  <c r="N36" i="7"/>
  <c r="N27" i="7"/>
  <c r="N17" i="7"/>
  <c r="N48" i="7"/>
  <c r="N49" i="7"/>
  <c r="N12" i="7"/>
  <c r="N10" i="7"/>
  <c r="N78" i="7"/>
  <c r="N50" i="7"/>
  <c r="N38" i="7"/>
  <c r="N26" i="7"/>
  <c r="N77" i="7"/>
  <c r="N51" i="7"/>
  <c r="N52" i="7"/>
  <c r="N76" i="7"/>
  <c r="N6" i="7"/>
  <c r="N53" i="7"/>
  <c r="N25" i="7"/>
  <c r="N75" i="7"/>
  <c r="N18" i="7"/>
  <c r="N54" i="7"/>
  <c r="N9" i="7"/>
  <c r="N32" i="7"/>
  <c r="N55" i="7"/>
  <c r="N56" i="7"/>
  <c r="N57" i="7"/>
  <c r="N30" i="7"/>
  <c r="N4" i="7"/>
  <c r="N74" i="7"/>
  <c r="N58" i="7"/>
  <c r="N59" i="7"/>
  <c r="N22" i="7"/>
  <c r="N73" i="7"/>
  <c r="N13" i="7"/>
  <c r="N34" i="7"/>
  <c r="N72" i="7"/>
  <c r="N19" i="7"/>
  <c r="N60" i="7"/>
  <c r="N40" i="7"/>
  <c r="N61" i="7"/>
  <c r="N62" i="7"/>
  <c r="N71" i="7"/>
  <c r="N15" i="7"/>
  <c r="N63" i="7"/>
  <c r="N70" i="7"/>
  <c r="N64" i="7"/>
  <c r="N21" i="7"/>
  <c r="N65" i="7"/>
  <c r="N7" i="7"/>
  <c r="N69" i="7"/>
  <c r="N66" i="7"/>
  <c r="N20" i="7"/>
  <c r="N33" i="7"/>
  <c r="N8" i="7"/>
  <c r="N67" i="7"/>
  <c r="O24" i="7"/>
  <c r="O35" i="7"/>
  <c r="O18" i="7"/>
  <c r="O67" i="7"/>
  <c r="O20" i="7"/>
  <c r="O68" i="7"/>
  <c r="O12" i="7"/>
  <c r="O29" i="7"/>
  <c r="O33" i="7"/>
  <c r="O3" i="7"/>
  <c r="O31" i="7"/>
  <c r="O66" i="7"/>
  <c r="O41" i="7"/>
  <c r="O34" i="7"/>
  <c r="O7" i="7"/>
  <c r="O16" i="7"/>
  <c r="O65" i="7"/>
  <c r="O69" i="7"/>
  <c r="O42" i="7"/>
  <c r="O21" i="7"/>
  <c r="O43" i="7"/>
  <c r="O39" i="7"/>
  <c r="O28" i="7"/>
  <c r="O64" i="7"/>
  <c r="O6" i="7"/>
  <c r="O23" i="7"/>
  <c r="O15" i="7"/>
  <c r="O44" i="7"/>
  <c r="O63" i="7"/>
  <c r="O70" i="7"/>
  <c r="O2" i="7"/>
  <c r="O45" i="7"/>
  <c r="O46" i="7"/>
  <c r="O27" i="7"/>
  <c r="O62" i="7"/>
  <c r="O71" i="7"/>
  <c r="O13" i="7"/>
  <c r="O79" i="7"/>
  <c r="O40" i="7"/>
  <c r="O47" i="7"/>
  <c r="O17" i="7"/>
  <c r="O48" i="7"/>
  <c r="O60" i="7"/>
  <c r="O19" i="7"/>
  <c r="O72" i="7"/>
  <c r="O49" i="7"/>
  <c r="O73" i="7"/>
  <c r="O61" i="7"/>
  <c r="O30" i="7"/>
  <c r="O22" i="7"/>
  <c r="O78" i="7"/>
  <c r="O50" i="7"/>
  <c r="O59" i="7"/>
  <c r="O38" i="7"/>
  <c r="O8" i="7"/>
  <c r="O26" i="7"/>
  <c r="O58" i="7"/>
  <c r="O5" i="7"/>
  <c r="O74" i="7"/>
  <c r="O77" i="7"/>
  <c r="O51" i="7"/>
  <c r="O4" i="7"/>
  <c r="O76" i="7"/>
  <c r="O57" i="7"/>
  <c r="O37" i="7"/>
  <c r="O52" i="7"/>
  <c r="O10" i="7"/>
  <c r="O14" i="7"/>
  <c r="O25" i="7"/>
  <c r="O56" i="7"/>
  <c r="O53" i="7"/>
  <c r="O75" i="7"/>
  <c r="O55" i="7"/>
  <c r="O32" i="7"/>
  <c r="O11" i="7"/>
  <c r="O36" i="7"/>
  <c r="O54" i="7"/>
  <c r="O9" i="7"/>
  <c r="P54" i="7"/>
  <c r="P67" i="7"/>
  <c r="P18" i="7"/>
  <c r="P53" i="7"/>
  <c r="P55" i="7"/>
  <c r="P32" i="7"/>
  <c r="P75" i="7"/>
  <c r="P56" i="7"/>
  <c r="P25" i="7"/>
  <c r="P52" i="7"/>
  <c r="P6" i="7"/>
  <c r="P57" i="7"/>
  <c r="P51" i="7"/>
  <c r="P23" i="7"/>
  <c r="P76" i="7"/>
  <c r="P74" i="7"/>
  <c r="P58" i="7"/>
  <c r="P26" i="7"/>
  <c r="P77" i="7"/>
  <c r="P73" i="7"/>
  <c r="P38" i="7"/>
  <c r="P50" i="7"/>
  <c r="P59" i="7"/>
  <c r="P4" i="7"/>
  <c r="P22" i="7"/>
  <c r="P10" i="7"/>
  <c r="P61" i="7"/>
  <c r="P30" i="7"/>
  <c r="P78" i="7"/>
  <c r="P12" i="7"/>
  <c r="P49" i="7"/>
  <c r="P72" i="7"/>
  <c r="P17" i="7"/>
  <c r="P48" i="7"/>
  <c r="P60" i="7"/>
  <c r="P14" i="7"/>
  <c r="P36" i="7"/>
  <c r="P5" i="7"/>
  <c r="P47" i="7"/>
  <c r="P19" i="7"/>
  <c r="P71" i="7"/>
  <c r="P62" i="7"/>
  <c r="P27" i="7"/>
  <c r="P46" i="7"/>
  <c r="P37" i="7"/>
  <c r="P79" i="7"/>
  <c r="P3" i="7"/>
  <c r="P11" i="7"/>
  <c r="P45" i="7"/>
  <c r="P70" i="7"/>
  <c r="P34" i="7"/>
  <c r="P2" i="7"/>
  <c r="P44" i="7"/>
  <c r="P63" i="7"/>
  <c r="P13" i="7"/>
  <c r="P15" i="7"/>
  <c r="P64" i="7"/>
  <c r="P28" i="7"/>
  <c r="P24" i="7"/>
  <c r="P7" i="7"/>
  <c r="P39" i="7"/>
  <c r="P43" i="7"/>
  <c r="P21" i="7"/>
  <c r="P16" i="7"/>
  <c r="P42" i="7"/>
  <c r="P69" i="7"/>
  <c r="P65" i="7"/>
  <c r="P31" i="7"/>
  <c r="P41" i="7"/>
  <c r="P35" i="7"/>
  <c r="P66" i="7"/>
  <c r="P33" i="7"/>
  <c r="P68" i="7"/>
  <c r="P29" i="7"/>
  <c r="P8" i="7"/>
  <c r="P40" i="7"/>
  <c r="P9" i="7"/>
  <c r="P20" i="7"/>
  <c r="Q4" i="7"/>
  <c r="Q65" i="7"/>
  <c r="Q23" i="7"/>
  <c r="Q32" i="7"/>
  <c r="Q27" i="7"/>
  <c r="Q47" i="7"/>
  <c r="Q45" i="7"/>
  <c r="Q48" i="7"/>
  <c r="Q49" i="7"/>
  <c r="Q74" i="7"/>
  <c r="Q38" i="7"/>
  <c r="Q50" i="7"/>
  <c r="Q5" i="7"/>
  <c r="Q26" i="7"/>
  <c r="Q75" i="7"/>
  <c r="Q51" i="7"/>
  <c r="Q2" i="7"/>
  <c r="Q52" i="7"/>
  <c r="Q11" i="7"/>
  <c r="Q29" i="7"/>
  <c r="Q25" i="7"/>
  <c r="Q73" i="7"/>
  <c r="Q44" i="7"/>
  <c r="Q40" i="7"/>
  <c r="Q53" i="7"/>
  <c r="Q9" i="7"/>
  <c r="Q54" i="7"/>
  <c r="Q28" i="7"/>
  <c r="Q72" i="7"/>
  <c r="Q79" i="7"/>
  <c r="Q55" i="7"/>
  <c r="Q17" i="7"/>
  <c r="Q71" i="7"/>
  <c r="Q19" i="7"/>
  <c r="Q56" i="7"/>
  <c r="Q10" i="7"/>
  <c r="Q18" i="7"/>
  <c r="Q37" i="7"/>
  <c r="Q70" i="7"/>
  <c r="Q76" i="7"/>
  <c r="Q57" i="7"/>
  <c r="Q6" i="7"/>
  <c r="Q43" i="7"/>
  <c r="Q39" i="7"/>
  <c r="Q24" i="7"/>
  <c r="Q58" i="7"/>
  <c r="Q78" i="7"/>
  <c r="Q8" i="7"/>
  <c r="Q16" i="7"/>
  <c r="Q12" i="7"/>
  <c r="Q69" i="7"/>
  <c r="Q59" i="7"/>
  <c r="Q14" i="7"/>
  <c r="Q31" i="7"/>
  <c r="Q22" i="7"/>
  <c r="Q68" i="7"/>
  <c r="Q20" i="7"/>
  <c r="Q46" i="7"/>
  <c r="Q36" i="7"/>
  <c r="Q30" i="7"/>
  <c r="Q34" i="7"/>
  <c r="Q15" i="7"/>
  <c r="Q35" i="7"/>
  <c r="Q41" i="7"/>
  <c r="Q60" i="7"/>
  <c r="Q42" i="7"/>
  <c r="Q61" i="7"/>
  <c r="Q67" i="7"/>
  <c r="Q13" i="7"/>
  <c r="Q62" i="7"/>
  <c r="Q63" i="7"/>
  <c r="Q66" i="7"/>
  <c r="Q33" i="7"/>
  <c r="Q3" i="7"/>
  <c r="Q21" i="7"/>
  <c r="Q64" i="7"/>
  <c r="Q77" i="7"/>
  <c r="Q7" i="7"/>
  <c r="R22" i="7"/>
  <c r="R13" i="7"/>
  <c r="R5" i="7"/>
  <c r="R65" i="7"/>
  <c r="R77" i="7"/>
  <c r="R46" i="7"/>
  <c r="R27" i="7"/>
  <c r="R64" i="7"/>
  <c r="R6" i="7"/>
  <c r="R45" i="7"/>
  <c r="R23" i="7"/>
  <c r="R21" i="7"/>
  <c r="R33" i="7"/>
  <c r="R24" i="7"/>
  <c r="R14" i="7"/>
  <c r="R47" i="7"/>
  <c r="R63" i="7"/>
  <c r="R66" i="7"/>
  <c r="R48" i="7"/>
  <c r="R62" i="7"/>
  <c r="R12" i="7"/>
  <c r="R8" i="7"/>
  <c r="R74" i="7"/>
  <c r="R67" i="7"/>
  <c r="R49" i="7"/>
  <c r="R11" i="7"/>
  <c r="R42" i="7"/>
  <c r="R10" i="7"/>
  <c r="R30" i="7"/>
  <c r="R9" i="7"/>
  <c r="R4" i="7"/>
  <c r="R61" i="7"/>
  <c r="R60" i="7"/>
  <c r="R41" i="7"/>
  <c r="R38" i="7"/>
  <c r="R15" i="7"/>
  <c r="R32" i="7"/>
  <c r="R50" i="7"/>
  <c r="R20" i="7"/>
  <c r="R68" i="7"/>
  <c r="R26" i="7"/>
  <c r="R75" i="7"/>
  <c r="R51" i="7"/>
  <c r="R2" i="7"/>
  <c r="R31" i="7"/>
  <c r="R17" i="7"/>
  <c r="R52" i="7"/>
  <c r="R29" i="7"/>
  <c r="R59" i="7"/>
  <c r="R73" i="7"/>
  <c r="R44" i="7"/>
  <c r="R69" i="7"/>
  <c r="R40" i="7"/>
  <c r="R53" i="7"/>
  <c r="R78" i="7"/>
  <c r="R25" i="7"/>
  <c r="R72" i="7"/>
  <c r="R58" i="7"/>
  <c r="R28" i="7"/>
  <c r="R54" i="7"/>
  <c r="R79" i="7"/>
  <c r="R35" i="7"/>
  <c r="R34" i="7"/>
  <c r="R39" i="7"/>
  <c r="R16" i="7"/>
  <c r="R3" i="7"/>
  <c r="R43" i="7"/>
  <c r="R36" i="7"/>
  <c r="R55" i="7"/>
  <c r="R57" i="7"/>
  <c r="R76" i="7"/>
  <c r="R70" i="7"/>
  <c r="R37" i="7"/>
  <c r="R71" i="7"/>
  <c r="R18" i="7"/>
  <c r="R19" i="7"/>
  <c r="R7" i="7"/>
  <c r="R56" i="7"/>
  <c r="S10" i="7"/>
  <c r="S7" i="7"/>
  <c r="S19" i="7"/>
  <c r="S25" i="7"/>
  <c r="S70" i="7"/>
  <c r="S55" i="7"/>
  <c r="S57" i="7"/>
  <c r="S71" i="7"/>
  <c r="S43" i="7"/>
  <c r="S3" i="7"/>
  <c r="S39" i="7"/>
  <c r="S37" i="7"/>
  <c r="S35" i="7"/>
  <c r="S23" i="7"/>
  <c r="S79" i="7"/>
  <c r="S54" i="7"/>
  <c r="S6" i="7"/>
  <c r="S28" i="7"/>
  <c r="S76" i="7"/>
  <c r="S58" i="7"/>
  <c r="S72" i="7"/>
  <c r="S78" i="7"/>
  <c r="S40" i="7"/>
  <c r="S9" i="7"/>
  <c r="S53" i="7"/>
  <c r="S69" i="7"/>
  <c r="S8" i="7"/>
  <c r="S75" i="7"/>
  <c r="S12" i="7"/>
  <c r="S44" i="7"/>
  <c r="S34" i="7"/>
  <c r="S14" i="7"/>
  <c r="S59" i="7"/>
  <c r="S52" i="7"/>
  <c r="S31" i="7"/>
  <c r="S29" i="7"/>
  <c r="S73" i="7"/>
  <c r="S68" i="7"/>
  <c r="S2" i="7"/>
  <c r="S51" i="7"/>
  <c r="S17" i="7"/>
  <c r="S22" i="7"/>
  <c r="S5" i="7"/>
  <c r="S18" i="7"/>
  <c r="S26" i="7"/>
  <c r="S50" i="7"/>
  <c r="S20" i="7"/>
  <c r="S32" i="7"/>
  <c r="S15" i="7"/>
  <c r="S67" i="7"/>
  <c r="S38" i="7"/>
  <c r="S16" i="7"/>
  <c r="S60" i="7"/>
  <c r="S42" i="7"/>
  <c r="S11" i="7"/>
  <c r="S41" i="7"/>
  <c r="S49" i="7"/>
  <c r="S30" i="7"/>
  <c r="S61" i="7"/>
  <c r="S13" i="7"/>
  <c r="S66" i="7"/>
  <c r="S48" i="7"/>
  <c r="S62" i="7"/>
  <c r="S74" i="7"/>
  <c r="S24" i="7"/>
  <c r="S47" i="7"/>
  <c r="S63" i="7"/>
  <c r="S21" i="7"/>
  <c r="S33" i="7"/>
  <c r="S45" i="7"/>
  <c r="S65" i="7"/>
  <c r="S4" i="7"/>
  <c r="S64" i="7"/>
  <c r="S27" i="7"/>
  <c r="S77" i="7"/>
  <c r="S46" i="7"/>
  <c r="S36" i="7"/>
  <c r="S56" i="7"/>
  <c r="T37" i="7"/>
  <c r="T67" i="7"/>
  <c r="T33" i="7"/>
  <c r="T34" i="7"/>
  <c r="T51" i="7"/>
  <c r="T26" i="7"/>
  <c r="T78" i="7"/>
  <c r="T61" i="7"/>
  <c r="T42" i="7"/>
  <c r="T19" i="7"/>
  <c r="T23" i="7"/>
  <c r="T58" i="7"/>
  <c r="T2" i="7"/>
  <c r="T4" i="7"/>
  <c r="T18" i="7"/>
  <c r="T9" i="7"/>
  <c r="T6" i="7"/>
  <c r="T66" i="7"/>
  <c r="T50" i="7"/>
  <c r="T35" i="7"/>
  <c r="T52" i="7"/>
  <c r="T24" i="7"/>
  <c r="T31" i="7"/>
  <c r="T63" i="7"/>
  <c r="T64" i="7"/>
  <c r="T70" i="7"/>
  <c r="T38" i="7"/>
  <c r="T40" i="7"/>
  <c r="T72" i="7"/>
  <c r="T77" i="7"/>
  <c r="T11" i="7"/>
  <c r="T8" i="7"/>
  <c r="T46" i="7"/>
  <c r="T10" i="7"/>
  <c r="T14" i="7"/>
  <c r="T59" i="7"/>
  <c r="T76" i="7"/>
  <c r="T62" i="7"/>
  <c r="T44" i="7"/>
  <c r="T57" i="7"/>
  <c r="T53" i="7"/>
  <c r="T43" i="7"/>
  <c r="T69" i="7"/>
  <c r="T49" i="7"/>
  <c r="T30" i="7"/>
  <c r="T60" i="7"/>
  <c r="T36" i="7"/>
  <c r="T28" i="7"/>
  <c r="T54" i="7"/>
  <c r="T75" i="7"/>
  <c r="T3" i="7"/>
  <c r="T16" i="7"/>
  <c r="T13" i="7"/>
  <c r="T21" i="7"/>
  <c r="T79" i="7"/>
  <c r="T29" i="7"/>
  <c r="T73" i="7"/>
  <c r="T39" i="7"/>
  <c r="T71" i="7"/>
  <c r="T15" i="7"/>
  <c r="T27" i="7"/>
  <c r="T48" i="7"/>
  <c r="T25" i="7"/>
  <c r="T68" i="7"/>
  <c r="T5" i="7"/>
  <c r="T55" i="7"/>
  <c r="T74" i="7"/>
  <c r="T22" i="7"/>
  <c r="T56" i="7"/>
  <c r="T45" i="7"/>
  <c r="T65" i="7"/>
  <c r="T7" i="7"/>
  <c r="T47" i="7"/>
  <c r="T20" i="7"/>
  <c r="T17" i="7"/>
  <c r="T41" i="7"/>
  <c r="T32" i="7"/>
  <c r="T12" i="7"/>
  <c r="U22" i="7"/>
  <c r="U15" i="7"/>
  <c r="U14" i="7"/>
  <c r="U69" i="7"/>
  <c r="U18" i="7"/>
  <c r="U25" i="7"/>
  <c r="U3" i="7"/>
  <c r="U26" i="7"/>
  <c r="U51" i="7"/>
  <c r="U36" i="7"/>
  <c r="U39" i="7"/>
  <c r="U58" i="7"/>
  <c r="U7" i="7"/>
  <c r="U32" i="7"/>
  <c r="U20" i="7"/>
  <c r="U47" i="7"/>
  <c r="U19" i="7"/>
  <c r="U65" i="7"/>
  <c r="U41" i="7"/>
  <c r="U2" i="7"/>
  <c r="U78" i="7"/>
  <c r="U29" i="7"/>
  <c r="U42" i="7"/>
  <c r="U56" i="7"/>
  <c r="U77" i="7"/>
  <c r="U55" i="7"/>
  <c r="U33" i="7"/>
  <c r="U50" i="7"/>
  <c r="U45" i="7"/>
  <c r="U68" i="7"/>
  <c r="U66" i="7"/>
  <c r="U8" i="7"/>
  <c r="U35" i="7"/>
  <c r="U63" i="7"/>
  <c r="U5" i="7"/>
  <c r="U48" i="7"/>
  <c r="U52" i="7"/>
  <c r="U27" i="7"/>
  <c r="U70" i="7"/>
  <c r="U64" i="7"/>
  <c r="U38" i="7"/>
  <c r="U40" i="7"/>
  <c r="U21" i="7"/>
  <c r="U73" i="7"/>
  <c r="U9" i="7"/>
  <c r="U37" i="7"/>
  <c r="U72" i="7"/>
  <c r="U28" i="7"/>
  <c r="U79" i="7"/>
  <c r="U34" i="7"/>
  <c r="U6" i="7"/>
  <c r="U61" i="7"/>
  <c r="U24" i="7"/>
  <c r="U4" i="7"/>
  <c r="U12" i="7"/>
  <c r="U46" i="7"/>
  <c r="U17" i="7"/>
  <c r="U11" i="7"/>
  <c r="U59" i="7"/>
  <c r="U10" i="7"/>
  <c r="U54" i="7"/>
  <c r="U76" i="7"/>
  <c r="U62" i="7"/>
  <c r="U23" i="7"/>
  <c r="U16" i="7"/>
  <c r="U75" i="7"/>
  <c r="U44" i="7"/>
  <c r="U31" i="7"/>
  <c r="U57" i="7"/>
  <c r="U13" i="7"/>
  <c r="U74" i="7"/>
  <c r="U43" i="7"/>
  <c r="U60" i="7"/>
  <c r="U53" i="7"/>
  <c r="U30" i="7"/>
  <c r="U49" i="7"/>
  <c r="U67" i="7"/>
  <c r="U71" i="7"/>
  <c r="V49" i="7"/>
  <c r="V6" i="7"/>
  <c r="V69" i="7"/>
  <c r="V53" i="7"/>
  <c r="V60" i="7"/>
  <c r="V79" i="7"/>
  <c r="V43" i="7"/>
  <c r="V75" i="7"/>
  <c r="V62" i="7"/>
  <c r="V16" i="7"/>
  <c r="V57" i="7"/>
  <c r="V3" i="7"/>
  <c r="V76" i="7"/>
  <c r="V31" i="7"/>
  <c r="V54" i="7"/>
  <c r="V46" i="7"/>
  <c r="V44" i="7"/>
  <c r="V17" i="7"/>
  <c r="V23" i="7"/>
  <c r="V14" i="7"/>
  <c r="V72" i="7"/>
  <c r="V11" i="7"/>
  <c r="V38" i="7"/>
  <c r="V9" i="7"/>
  <c r="V13" i="7"/>
  <c r="V59" i="7"/>
  <c r="V41" i="7"/>
  <c r="V32" i="7"/>
  <c r="V74" i="7"/>
  <c r="V30" i="7"/>
  <c r="V21" i="7"/>
  <c r="V40" i="7"/>
  <c r="V2" i="7"/>
  <c r="V36" i="7"/>
  <c r="V28" i="7"/>
  <c r="V8" i="7"/>
  <c r="V10" i="7"/>
  <c r="V27" i="7"/>
  <c r="V70" i="7"/>
  <c r="V42" i="7"/>
  <c r="V52" i="7"/>
  <c r="V26" i="7"/>
  <c r="V48" i="7"/>
  <c r="V64" i="7"/>
  <c r="V45" i="7"/>
  <c r="V73" i="7"/>
  <c r="V66" i="7"/>
  <c r="V68" i="7"/>
  <c r="V63" i="7"/>
  <c r="V33" i="7"/>
  <c r="V50" i="7"/>
  <c r="V24" i="7"/>
  <c r="V78" i="7"/>
  <c r="V56" i="7"/>
  <c r="V4" i="7"/>
  <c r="V55" i="7"/>
  <c r="V12" i="7"/>
  <c r="V29" i="7"/>
  <c r="V34" i="7"/>
  <c r="V35" i="7"/>
  <c r="V19" i="7"/>
  <c r="V5" i="7"/>
  <c r="V20" i="7"/>
  <c r="V61" i="7"/>
  <c r="V58" i="7"/>
  <c r="V22" i="7"/>
  <c r="V39" i="7"/>
  <c r="V47" i="7"/>
  <c r="V51" i="7"/>
  <c r="V65" i="7"/>
  <c r="V7" i="7"/>
  <c r="V18" i="7"/>
  <c r="V37" i="7"/>
  <c r="V77" i="7"/>
  <c r="V71" i="7"/>
  <c r="V25" i="7"/>
  <c r="V67" i="7"/>
  <c r="V15" i="7"/>
  <c r="W3" i="7"/>
  <c r="W45" i="7"/>
  <c r="W33" i="7"/>
  <c r="W17" i="7"/>
  <c r="W48" i="7"/>
  <c r="W2" i="7"/>
  <c r="W68" i="7"/>
  <c r="W18" i="7"/>
  <c r="W71" i="7"/>
  <c r="W73" i="7"/>
  <c r="W32" i="7"/>
  <c r="W21" i="7"/>
  <c r="W41" i="7"/>
  <c r="W51" i="7"/>
  <c r="W6" i="7"/>
  <c r="W22" i="7"/>
  <c r="W55" i="7"/>
  <c r="W5" i="7"/>
  <c r="W58" i="7"/>
  <c r="W23" i="7"/>
  <c r="W54" i="7"/>
  <c r="W40" i="7"/>
  <c r="W19" i="7"/>
  <c r="W10" i="7"/>
  <c r="W13" i="7"/>
  <c r="W39" i="7"/>
  <c r="W78" i="7"/>
  <c r="W63" i="7"/>
  <c r="W24" i="7"/>
  <c r="W77" i="7"/>
  <c r="W28" i="7"/>
  <c r="W29" i="7"/>
  <c r="W79" i="7"/>
  <c r="W11" i="7"/>
  <c r="W36" i="7"/>
  <c r="W31" i="7"/>
  <c r="W65" i="7"/>
  <c r="W42" i="7"/>
  <c r="W74" i="7"/>
  <c r="W66" i="7"/>
  <c r="W15" i="7"/>
  <c r="W67" i="7"/>
  <c r="W9" i="7"/>
  <c r="W50" i="7"/>
  <c r="W14" i="7"/>
  <c r="W64" i="7"/>
  <c r="W8" i="7"/>
  <c r="W46" i="7"/>
  <c r="W7" i="7"/>
  <c r="W44" i="7"/>
  <c r="W75" i="7"/>
  <c r="W76" i="7"/>
  <c r="W26" i="7"/>
  <c r="W52" i="7"/>
  <c r="W35" i="7"/>
  <c r="W57" i="7"/>
  <c r="W49" i="7"/>
  <c r="W69" i="7"/>
  <c r="W61" i="7"/>
  <c r="W60" i="7"/>
  <c r="W70" i="7"/>
  <c r="W47" i="7"/>
  <c r="W25" i="7"/>
  <c r="W43" i="7"/>
  <c r="W53" i="7"/>
  <c r="W62" i="7"/>
  <c r="W27" i="7"/>
  <c r="W4" i="7"/>
  <c r="W30" i="7"/>
  <c r="W38" i="7"/>
  <c r="W72" i="7"/>
  <c r="W12" i="7"/>
  <c r="W59" i="7"/>
  <c r="W37" i="7"/>
  <c r="W56" i="7"/>
  <c r="W20" i="7"/>
  <c r="W16" i="7"/>
  <c r="W34" i="7"/>
  <c r="X17" i="7"/>
  <c r="X15" i="7"/>
  <c r="X40" i="7"/>
  <c r="X35" i="7"/>
  <c r="X20" i="7"/>
  <c r="X59" i="7"/>
  <c r="X30" i="7"/>
  <c r="X56" i="7"/>
  <c r="X43" i="7"/>
  <c r="X3" i="7"/>
  <c r="X12" i="7"/>
  <c r="X38" i="7"/>
  <c r="X75" i="7"/>
  <c r="X61" i="7"/>
  <c r="X62" i="7"/>
  <c r="X27" i="7"/>
  <c r="X53" i="7"/>
  <c r="X45" i="7"/>
  <c r="X39" i="7"/>
  <c r="X60" i="7"/>
  <c r="X70" i="7"/>
  <c r="X47" i="7"/>
  <c r="X65" i="7"/>
  <c r="X69" i="7"/>
  <c r="X26" i="7"/>
  <c r="X25" i="7"/>
  <c r="X77" i="7"/>
  <c r="X49" i="7"/>
  <c r="X18" i="7"/>
  <c r="X52" i="7"/>
  <c r="X57" i="7"/>
  <c r="X46" i="7"/>
  <c r="X44" i="7"/>
  <c r="X76" i="7"/>
  <c r="X50" i="7"/>
  <c r="X14" i="7"/>
  <c r="X66" i="7"/>
  <c r="X24" i="7"/>
  <c r="X67" i="7"/>
  <c r="X31" i="7"/>
  <c r="X42" i="7"/>
  <c r="X36" i="7"/>
  <c r="X7" i="7"/>
  <c r="X16" i="7"/>
  <c r="X79" i="7"/>
  <c r="X11" i="7"/>
  <c r="X29" i="7"/>
  <c r="X74" i="7"/>
  <c r="X6" i="7"/>
  <c r="X13" i="7"/>
  <c r="X78" i="7"/>
  <c r="X64" i="7"/>
  <c r="X5" i="7"/>
  <c r="X63" i="7"/>
  <c r="X19" i="7"/>
  <c r="X28" i="7"/>
  <c r="X54" i="7"/>
  <c r="X55" i="7"/>
  <c r="X58" i="7"/>
  <c r="X10" i="7"/>
  <c r="X37" i="7"/>
  <c r="X21" i="7"/>
  <c r="X4" i="7"/>
  <c r="X23" i="7"/>
  <c r="X51" i="7"/>
  <c r="X41" i="7"/>
  <c r="X73" i="7"/>
  <c r="X32" i="7"/>
  <c r="X71" i="7"/>
  <c r="X22" i="7"/>
  <c r="X82" i="7" s="1"/>
  <c r="X8" i="7"/>
  <c r="X48" i="7"/>
  <c r="X34" i="7"/>
  <c r="X2" i="7"/>
  <c r="X68" i="7"/>
  <c r="X33" i="7"/>
  <c r="X72" i="7"/>
  <c r="X9" i="7"/>
  <c r="Y2" i="7"/>
  <c r="Y43" i="7"/>
  <c r="Y4" i="7"/>
  <c r="Y68" i="7"/>
  <c r="Y3" i="7"/>
  <c r="Y48" i="7"/>
  <c r="Y34" i="7"/>
  <c r="Y22" i="7"/>
  <c r="Y5" i="7"/>
  <c r="Y73" i="7"/>
  <c r="Y6" i="7"/>
  <c r="Y41" i="7"/>
  <c r="Y13" i="7"/>
  <c r="Y12" i="7"/>
  <c r="Y71" i="7"/>
  <c r="Y51" i="7"/>
  <c r="Y63" i="7"/>
  <c r="Y58" i="7"/>
  <c r="Y54" i="7"/>
  <c r="Y55" i="7"/>
  <c r="Y23" i="7"/>
  <c r="Y61" i="7"/>
  <c r="Y42" i="7"/>
  <c r="Y29" i="7"/>
  <c r="Y9" i="7"/>
  <c r="Y28" i="7"/>
  <c r="Y15" i="7"/>
  <c r="Y35" i="7"/>
  <c r="Y64" i="7"/>
  <c r="Y16" i="7"/>
  <c r="Y36" i="7"/>
  <c r="Y79" i="7"/>
  <c r="Y74" i="7"/>
  <c r="Y39" i="7"/>
  <c r="Y19" i="7"/>
  <c r="Y78" i="7"/>
  <c r="Y11" i="7"/>
  <c r="Y76" i="7"/>
  <c r="Y67" i="7"/>
  <c r="Y27" i="7"/>
  <c r="Y18" i="7"/>
  <c r="Y10" i="7"/>
  <c r="Y31" i="7"/>
  <c r="Y62" i="7"/>
  <c r="Y49" i="7"/>
  <c r="Y50" i="7"/>
  <c r="Y7" i="7"/>
  <c r="Y47" i="7"/>
  <c r="Y69" i="7"/>
  <c r="Y37" i="7"/>
  <c r="Y66" i="7"/>
  <c r="Y70" i="7"/>
  <c r="Y53" i="7"/>
  <c r="Y45" i="7"/>
  <c r="Y60" i="7"/>
  <c r="Y44" i="7"/>
  <c r="Y33" i="7"/>
  <c r="Y75" i="7"/>
  <c r="Y24" i="7"/>
  <c r="Y56" i="7"/>
  <c r="Y57" i="7"/>
  <c r="Y65" i="7"/>
  <c r="Y52" i="7"/>
  <c r="Y46" i="7"/>
  <c r="Y30" i="7"/>
  <c r="Y77" i="7"/>
  <c r="Y72" i="7"/>
  <c r="Y25" i="7"/>
  <c r="Y20" i="7"/>
  <c r="Y8" i="7"/>
  <c r="Y26" i="7"/>
  <c r="Y14" i="7"/>
  <c r="Y32" i="7"/>
  <c r="Y38" i="7"/>
  <c r="Y21" i="7"/>
  <c r="Y59" i="7"/>
  <c r="Y17" i="7"/>
  <c r="Y40" i="7"/>
  <c r="Z43" i="7"/>
  <c r="Z68" i="7"/>
  <c r="Z9" i="7"/>
  <c r="Z7" i="7"/>
  <c r="Z31" i="7"/>
  <c r="Z11" i="7"/>
  <c r="Z61" i="7"/>
  <c r="Z59" i="7"/>
  <c r="Z24" i="7"/>
  <c r="Z14" i="7"/>
  <c r="Z33" i="7"/>
  <c r="Z26" i="7"/>
  <c r="Z25" i="7"/>
  <c r="Z3" i="7"/>
  <c r="Z20" i="7"/>
  <c r="Z52" i="7"/>
  <c r="Z72" i="7"/>
  <c r="Z46" i="7"/>
  <c r="Z30" i="7"/>
  <c r="Z65" i="7"/>
  <c r="Z32" i="7"/>
  <c r="Z56" i="7"/>
  <c r="Z57" i="7"/>
  <c r="Z75" i="7"/>
  <c r="Z60" i="7"/>
  <c r="Z12" i="7"/>
  <c r="Z53" i="7"/>
  <c r="Z45" i="7"/>
  <c r="Z4" i="7"/>
  <c r="Z70" i="7"/>
  <c r="Z35" i="7"/>
  <c r="Z66" i="7"/>
  <c r="Z69" i="7"/>
  <c r="Z47" i="7"/>
  <c r="Z49" i="7"/>
  <c r="Z77" i="7"/>
  <c r="Z50" i="7"/>
  <c r="Z5" i="7"/>
  <c r="Z63" i="7"/>
  <c r="Z44" i="7"/>
  <c r="Z27" i="7"/>
  <c r="Z67" i="7"/>
  <c r="Z19" i="7"/>
  <c r="Z78" i="7"/>
  <c r="Z18" i="7"/>
  <c r="Z38" i="7"/>
  <c r="Z39" i="7"/>
  <c r="Z23" i="7"/>
  <c r="Z74" i="7"/>
  <c r="Z16" i="7"/>
  <c r="Z37" i="7"/>
  <c r="Z62" i="7"/>
  <c r="Z76" i="7"/>
  <c r="Z64" i="7"/>
  <c r="Z29" i="7"/>
  <c r="Z28" i="7"/>
  <c r="Z13" i="7"/>
  <c r="Z34" i="7"/>
  <c r="Z55" i="7"/>
  <c r="Z15" i="7"/>
  <c r="Z51" i="7"/>
  <c r="Z54" i="7"/>
  <c r="Z58" i="7"/>
  <c r="Z10" i="7"/>
  <c r="Z73" i="7"/>
  <c r="Z71" i="7"/>
  <c r="Z42" i="7"/>
  <c r="Z36" i="7"/>
  <c r="Z41" i="7"/>
  <c r="Z6" i="7"/>
  <c r="Z48" i="7"/>
  <c r="Z40" i="7"/>
  <c r="Z22" i="7"/>
  <c r="Z17" i="7"/>
  <c r="Z2" i="7"/>
  <c r="Z8" i="7"/>
  <c r="Z79" i="7"/>
  <c r="Z21" i="7"/>
  <c r="AA9" i="7"/>
  <c r="AA52" i="7"/>
  <c r="AA63" i="7"/>
  <c r="AA17" i="7"/>
  <c r="AA74" i="7"/>
  <c r="AA27" i="7"/>
  <c r="AA22" i="7"/>
  <c r="AA28" i="7"/>
  <c r="AA77" i="7"/>
  <c r="AA41" i="7"/>
  <c r="AA45" i="7"/>
  <c r="AA58" i="7"/>
  <c r="AA36" i="7"/>
  <c r="AA78" i="7"/>
  <c r="AA46" i="7"/>
  <c r="AA66" i="7"/>
  <c r="AA61" i="7"/>
  <c r="AA14" i="7"/>
  <c r="AA21" i="7"/>
  <c r="AA57" i="7"/>
  <c r="AA4" i="7"/>
  <c r="AA47" i="7"/>
  <c r="AA18" i="7"/>
  <c r="AA43" i="7"/>
  <c r="AA7" i="7"/>
  <c r="AA59" i="7"/>
  <c r="AA73" i="7"/>
  <c r="AA20" i="7"/>
  <c r="AA12" i="7"/>
  <c r="AA65" i="7"/>
  <c r="AA48" i="7"/>
  <c r="AA56" i="7"/>
  <c r="AA37" i="7"/>
  <c r="AA10" i="7"/>
  <c r="AA67" i="7"/>
  <c r="AA13" i="7"/>
  <c r="AA6" i="7"/>
  <c r="AA30" i="7"/>
  <c r="AA8" i="7"/>
  <c r="AA16" i="7"/>
  <c r="AA23" i="7"/>
  <c r="AA55" i="7"/>
  <c r="AA39" i="7"/>
  <c r="AA68" i="7"/>
  <c r="AA62" i="7"/>
  <c r="AA38" i="7"/>
  <c r="AA49" i="7"/>
  <c r="AA75" i="7"/>
  <c r="AA72" i="7"/>
  <c r="AA26" i="7"/>
  <c r="AA42" i="7"/>
  <c r="AA32" i="7"/>
  <c r="AA76" i="7"/>
  <c r="AA24" i="7"/>
  <c r="AA54" i="7"/>
  <c r="AA11" i="7"/>
  <c r="AA50" i="7"/>
  <c r="AA79" i="7"/>
  <c r="AA29" i="7"/>
  <c r="AA35" i="7"/>
  <c r="AA64" i="7"/>
  <c r="AA15" i="7"/>
  <c r="AA53" i="7"/>
  <c r="AA71" i="7"/>
  <c r="AA69" i="7"/>
  <c r="AA60" i="7"/>
  <c r="AA2" i="7"/>
  <c r="AA40" i="7"/>
  <c r="AA25" i="7"/>
  <c r="AA33" i="7"/>
  <c r="AA5" i="7"/>
  <c r="AA34" i="7"/>
  <c r="AA3" i="7"/>
  <c r="AA31" i="7"/>
  <c r="AA51" i="7"/>
  <c r="AA44" i="7"/>
  <c r="AA19" i="7"/>
  <c r="AA70" i="7"/>
  <c r="AB17" i="7"/>
  <c r="AB63" i="7"/>
  <c r="AB8" i="7"/>
  <c r="AB70" i="7"/>
  <c r="AB7" i="7"/>
  <c r="AB9" i="7"/>
  <c r="AB44" i="7"/>
  <c r="AB51" i="7"/>
  <c r="AB25" i="7"/>
  <c r="AB40" i="7"/>
  <c r="AB33" i="7"/>
  <c r="AB69" i="7"/>
  <c r="AB64" i="7"/>
  <c r="AB60" i="7"/>
  <c r="AB29" i="7"/>
  <c r="AB2" i="7"/>
  <c r="AB71" i="7"/>
  <c r="AB53" i="7"/>
  <c r="AB15" i="7"/>
  <c r="AB79" i="7"/>
  <c r="AB32" i="7"/>
  <c r="AB39" i="7"/>
  <c r="AB50" i="7"/>
  <c r="AB77" i="7"/>
  <c r="AB54" i="7"/>
  <c r="AB76" i="7"/>
  <c r="AB11" i="7"/>
  <c r="AB26" i="7"/>
  <c r="AB42" i="7"/>
  <c r="AB72" i="7"/>
  <c r="AB75" i="7"/>
  <c r="AB31" i="7"/>
  <c r="AB49" i="7"/>
  <c r="AB34" i="7"/>
  <c r="AB5" i="7"/>
  <c r="AB68" i="7"/>
  <c r="AB35" i="7"/>
  <c r="AB62" i="7"/>
  <c r="AB55" i="7"/>
  <c r="AB38" i="7"/>
  <c r="AB16" i="7"/>
  <c r="AB30" i="7"/>
  <c r="AB67" i="7"/>
  <c r="AB13" i="7"/>
  <c r="AB48" i="7"/>
  <c r="AB56" i="7"/>
  <c r="AB65" i="7"/>
  <c r="AB12" i="7"/>
  <c r="AB59" i="7"/>
  <c r="AB73" i="7"/>
  <c r="AB10" i="7"/>
  <c r="AB6" i="7"/>
  <c r="AB3" i="7"/>
  <c r="AB43" i="7"/>
  <c r="AB18" i="7"/>
  <c r="AB20" i="7"/>
  <c r="AB47" i="7"/>
  <c r="AB37" i="7"/>
  <c r="AB24" i="7"/>
  <c r="AB21" i="7"/>
  <c r="AB57" i="7"/>
  <c r="AB14" i="7"/>
  <c r="AB4" i="7"/>
  <c r="AB66" i="7"/>
  <c r="AB61" i="7"/>
  <c r="AB46" i="7"/>
  <c r="AB78" i="7"/>
  <c r="AB58" i="7"/>
  <c r="AB41" i="7"/>
  <c r="AB22" i="7"/>
  <c r="AB27" i="7"/>
  <c r="AB28" i="7"/>
  <c r="AB74" i="7"/>
  <c r="AB45" i="7"/>
  <c r="AB23" i="7"/>
  <c r="AB36" i="7"/>
  <c r="AB19" i="7"/>
  <c r="AB52" i="7"/>
  <c r="AC45" i="7"/>
  <c r="AC36" i="7"/>
  <c r="AC67" i="7"/>
  <c r="AC6" i="7"/>
  <c r="AC35" i="7"/>
  <c r="AC30" i="7"/>
  <c r="AC63" i="7"/>
  <c r="AC55" i="7"/>
  <c r="AC74" i="7"/>
  <c r="AC56" i="7"/>
  <c r="AC27" i="7"/>
  <c r="AC21" i="7"/>
  <c r="AC13" i="7"/>
  <c r="AC23" i="7"/>
  <c r="AC46" i="7"/>
  <c r="AC34" i="7"/>
  <c r="AC43" i="7"/>
  <c r="AC77" i="7"/>
  <c r="AC68" i="7"/>
  <c r="AC4" i="7"/>
  <c r="AC12" i="7"/>
  <c r="AC47" i="7"/>
  <c r="AC20" i="7"/>
  <c r="AC18" i="7"/>
  <c r="AC5" i="7"/>
  <c r="AC76" i="7"/>
  <c r="AC31" i="7"/>
  <c r="AC57" i="7"/>
  <c r="AC62" i="7"/>
  <c r="AC11" i="7"/>
  <c r="AC54" i="7"/>
  <c r="AC73" i="7"/>
  <c r="AC39" i="7"/>
  <c r="AC24" i="7"/>
  <c r="AC79" i="7"/>
  <c r="AC28" i="7"/>
  <c r="AC66" i="7"/>
  <c r="AC38" i="7"/>
  <c r="AC61" i="7"/>
  <c r="AC48" i="7"/>
  <c r="AC64" i="7"/>
  <c r="AC33" i="7"/>
  <c r="AC53" i="7"/>
  <c r="AC78" i="7"/>
  <c r="AC29" i="7"/>
  <c r="AC49" i="7"/>
  <c r="AC69" i="7"/>
  <c r="AC58" i="7"/>
  <c r="AC25" i="7"/>
  <c r="AC7" i="7"/>
  <c r="AC72" i="7"/>
  <c r="AC3" i="7"/>
  <c r="AC19" i="7"/>
  <c r="AC14" i="7"/>
  <c r="AC52" i="7"/>
  <c r="AC70" i="7"/>
  <c r="AC26" i="7"/>
  <c r="AC17" i="7"/>
  <c r="AC16" i="7"/>
  <c r="AC60" i="7"/>
  <c r="AC15" i="7"/>
  <c r="AC42" i="7"/>
  <c r="AC37" i="7"/>
  <c r="AC50" i="7"/>
  <c r="AC22" i="7"/>
  <c r="AC32" i="7"/>
  <c r="AC59" i="7"/>
  <c r="AC75" i="7"/>
  <c r="AC51" i="7"/>
  <c r="AC40" i="7"/>
  <c r="AC41" i="7"/>
  <c r="AC8" i="7"/>
  <c r="AC9" i="7"/>
  <c r="AC44" i="7"/>
  <c r="AC65" i="7"/>
  <c r="AC71" i="7"/>
  <c r="AC2" i="7"/>
  <c r="AC10" i="7"/>
  <c r="AD14" i="7"/>
  <c r="AD45" i="7"/>
  <c r="AD71" i="7"/>
  <c r="AD65" i="7"/>
  <c r="AD44" i="7"/>
  <c r="AD2" i="7"/>
  <c r="AD41" i="7"/>
  <c r="AD75" i="7"/>
  <c r="AD32" i="7"/>
  <c r="AD50" i="7"/>
  <c r="AD22" i="7"/>
  <c r="AD51" i="7"/>
  <c r="AD11" i="7"/>
  <c r="AD8" i="7"/>
  <c r="AD42" i="7"/>
  <c r="AD9" i="7"/>
  <c r="AD60" i="7"/>
  <c r="AD16" i="7"/>
  <c r="AD70" i="7"/>
  <c r="AD35" i="7"/>
  <c r="AD17" i="7"/>
  <c r="AD61" i="7"/>
  <c r="AD26" i="7"/>
  <c r="AD52" i="7"/>
  <c r="AD40" i="7"/>
  <c r="AD3" i="7"/>
  <c r="AD19" i="7"/>
  <c r="AD34" i="7"/>
  <c r="AD25" i="7"/>
  <c r="AD72" i="7"/>
  <c r="AD69" i="7"/>
  <c r="AD58" i="7"/>
  <c r="AD49" i="7"/>
  <c r="AD15" i="7"/>
  <c r="AD29" i="7"/>
  <c r="AD5" i="7"/>
  <c r="AD13" i="7"/>
  <c r="AD78" i="7"/>
  <c r="AD48" i="7"/>
  <c r="AD53" i="7"/>
  <c r="AD64" i="7"/>
  <c r="AD63" i="7"/>
  <c r="AD38" i="7"/>
  <c r="AD66" i="7"/>
  <c r="AD79" i="7"/>
  <c r="AD39" i="7"/>
  <c r="AD12" i="7"/>
  <c r="AD28" i="7"/>
  <c r="AD73" i="7"/>
  <c r="AD54" i="7"/>
  <c r="AD23" i="7"/>
  <c r="AD4" i="7"/>
  <c r="AD57" i="7"/>
  <c r="AD6" i="7"/>
  <c r="AD10" i="7"/>
  <c r="AD62" i="7"/>
  <c r="AD76" i="7"/>
  <c r="AD68" i="7"/>
  <c r="AD18" i="7"/>
  <c r="AD20" i="7"/>
  <c r="AD47" i="7"/>
  <c r="AD77" i="7"/>
  <c r="AD31" i="7"/>
  <c r="AD46" i="7"/>
  <c r="AD7" i="7"/>
  <c r="AD37" i="7"/>
  <c r="AD24" i="7"/>
  <c r="AD21" i="7"/>
  <c r="AD56" i="7"/>
  <c r="AD27" i="7"/>
  <c r="AD43" i="7"/>
  <c r="AD36" i="7"/>
  <c r="AD74" i="7"/>
  <c r="AD55" i="7"/>
  <c r="AD33" i="7"/>
  <c r="AD59" i="7"/>
  <c r="AD67" i="7"/>
  <c r="AD30" i="7"/>
  <c r="AE63" i="7"/>
  <c r="AE64" i="7"/>
  <c r="AE10" i="7"/>
  <c r="AE45" i="7"/>
  <c r="AE59" i="7"/>
  <c r="AE44" i="7"/>
  <c r="AE67" i="7"/>
  <c r="AE32" i="7"/>
  <c r="AE12" i="7"/>
  <c r="AE53" i="7"/>
  <c r="AE14" i="7"/>
  <c r="AE30" i="7"/>
  <c r="AE65" i="7"/>
  <c r="AE51" i="7"/>
  <c r="AE74" i="7"/>
  <c r="AE71" i="7"/>
  <c r="AE27" i="7"/>
  <c r="AE21" i="7"/>
  <c r="AE6" i="7"/>
  <c r="AE8" i="7"/>
  <c r="AE75" i="7"/>
  <c r="AE2" i="7"/>
  <c r="AE61" i="7"/>
  <c r="AE15" i="7"/>
  <c r="AE3" i="7"/>
  <c r="AE46" i="7"/>
  <c r="AE41" i="7"/>
  <c r="AE55" i="7"/>
  <c r="AE5" i="7"/>
  <c r="AE42" i="7"/>
  <c r="AE43" i="7"/>
  <c r="AE56" i="7"/>
  <c r="AE70" i="7"/>
  <c r="AE36" i="7"/>
  <c r="AE77" i="7"/>
  <c r="AE37" i="7"/>
  <c r="AE17" i="7"/>
  <c r="AE25" i="7"/>
  <c r="AE47" i="7"/>
  <c r="AE16" i="7"/>
  <c r="AE31" i="7"/>
  <c r="AE50" i="7"/>
  <c r="AE62" i="7"/>
  <c r="AE18" i="7"/>
  <c r="AE33" i="7"/>
  <c r="AE52" i="7"/>
  <c r="AE68" i="7"/>
  <c r="AE60" i="7"/>
  <c r="AE35" i="7"/>
  <c r="AE4" i="7"/>
  <c r="AE40" i="7"/>
  <c r="AE76" i="7"/>
  <c r="AE20" i="7"/>
  <c r="AE19" i="7"/>
  <c r="AE24" i="7"/>
  <c r="AE11" i="7"/>
  <c r="AE57" i="7"/>
  <c r="AE72" i="7"/>
  <c r="AE49" i="7"/>
  <c r="AE29" i="7"/>
  <c r="AE54" i="7"/>
  <c r="AE13" i="7"/>
  <c r="AE9" i="7"/>
  <c r="AE26" i="7"/>
  <c r="AE73" i="7"/>
  <c r="AE39" i="7"/>
  <c r="AE7" i="7"/>
  <c r="AE69" i="7"/>
  <c r="AE28" i="7"/>
  <c r="AE34" i="7"/>
  <c r="AE58" i="7"/>
  <c r="AE38" i="7"/>
  <c r="AE22" i="7"/>
  <c r="AE66" i="7"/>
  <c r="AE79" i="7"/>
  <c r="AE23" i="7"/>
  <c r="AE78" i="7"/>
  <c r="AE48" i="7"/>
  <c r="AF53" i="7"/>
  <c r="AF44" i="7"/>
  <c r="AF78" i="7"/>
  <c r="AF23" i="7"/>
  <c r="AF79" i="7"/>
  <c r="AF22" i="7"/>
  <c r="AF66" i="7"/>
  <c r="AF13" i="7"/>
  <c r="AF28" i="7"/>
  <c r="AF69" i="7"/>
  <c r="AF39" i="7"/>
  <c r="AF48" i="7"/>
  <c r="AF7" i="7"/>
  <c r="AF26" i="7"/>
  <c r="AF58" i="7"/>
  <c r="AF6" i="7"/>
  <c r="AF73" i="7"/>
  <c r="AF57" i="7"/>
  <c r="AF64" i="7"/>
  <c r="AF54" i="7"/>
  <c r="AF29" i="7"/>
  <c r="AF49" i="7"/>
  <c r="AF72" i="7"/>
  <c r="AF16" i="7"/>
  <c r="AF38" i="7"/>
  <c r="AF3" i="7"/>
  <c r="AF19" i="7"/>
  <c r="AF33" i="7"/>
  <c r="AF12" i="7"/>
  <c r="AF20" i="7"/>
  <c r="AF41" i="7"/>
  <c r="AF61" i="7"/>
  <c r="AF2" i="7"/>
  <c r="AF60" i="7"/>
  <c r="AF40" i="7"/>
  <c r="AF76" i="7"/>
  <c r="AF18" i="7"/>
  <c r="AF68" i="7"/>
  <c r="AF52" i="7"/>
  <c r="AF4" i="7"/>
  <c r="AF8" i="7"/>
  <c r="AF17" i="7"/>
  <c r="AF62" i="7"/>
  <c r="AF47" i="7"/>
  <c r="AF24" i="7"/>
  <c r="AF25" i="7"/>
  <c r="AF77" i="7"/>
  <c r="AF50" i="7"/>
  <c r="AF56" i="7"/>
  <c r="AF70" i="7"/>
  <c r="AF43" i="7"/>
  <c r="AF42" i="7"/>
  <c r="AF37" i="7"/>
  <c r="AF46" i="7"/>
  <c r="AF15" i="7"/>
  <c r="AF55" i="7"/>
  <c r="AF35" i="7"/>
  <c r="AF31" i="7"/>
  <c r="AF75" i="7"/>
  <c r="AF9" i="7"/>
  <c r="AF21" i="7"/>
  <c r="AF11" i="7"/>
  <c r="AF71" i="7"/>
  <c r="AF27" i="7"/>
  <c r="AF51" i="7"/>
  <c r="AF74" i="7"/>
  <c r="AF36" i="7"/>
  <c r="AF34" i="7"/>
  <c r="AF59" i="7"/>
  <c r="AF65" i="7"/>
  <c r="AF30" i="7"/>
  <c r="AF5" i="7"/>
  <c r="AF32" i="7"/>
  <c r="AF67" i="7"/>
  <c r="AF45" i="7"/>
  <c r="AF14" i="7"/>
  <c r="AF63" i="7"/>
  <c r="AF10" i="7"/>
  <c r="AG53" i="7"/>
  <c r="AG39" i="7"/>
  <c r="AG44" i="7"/>
  <c r="AG57" i="7"/>
  <c r="AG45" i="7"/>
  <c r="AG32" i="7"/>
  <c r="AG65" i="7"/>
  <c r="AG59" i="7"/>
  <c r="AG67" i="7"/>
  <c r="AG12" i="7"/>
  <c r="AG51" i="7"/>
  <c r="AG5" i="7"/>
  <c r="AG71" i="7"/>
  <c r="AG63" i="7"/>
  <c r="AG74" i="7"/>
  <c r="AG75" i="7"/>
  <c r="AG76" i="7"/>
  <c r="AG27" i="7"/>
  <c r="AG31" i="7"/>
  <c r="AG25" i="7"/>
  <c r="AG28" i="7"/>
  <c r="AG15" i="7"/>
  <c r="AG42" i="7"/>
  <c r="AG6" i="7"/>
  <c r="AG33" i="7"/>
  <c r="AG7" i="7"/>
  <c r="AG70" i="7"/>
  <c r="AG50" i="7"/>
  <c r="AG11" i="7"/>
  <c r="AG55" i="7"/>
  <c r="AG8" i="7"/>
  <c r="AG34" i="7"/>
  <c r="AG3" i="7"/>
  <c r="AG52" i="7"/>
  <c r="AG20" i="7"/>
  <c r="AG23" i="7"/>
  <c r="AG46" i="7"/>
  <c r="AG2" i="7"/>
  <c r="AG43" i="7"/>
  <c r="AG56" i="7"/>
  <c r="AG37" i="7"/>
  <c r="AG41" i="7"/>
  <c r="AG62" i="7"/>
  <c r="AG4" i="7"/>
  <c r="AG47" i="7"/>
  <c r="AG19" i="7"/>
  <c r="AG60" i="7"/>
  <c r="AG22" i="7"/>
  <c r="AG35" i="7"/>
  <c r="AG68" i="7"/>
  <c r="AG38" i="7"/>
  <c r="AG40" i="7"/>
  <c r="AG72" i="7"/>
  <c r="AG78" i="7"/>
  <c r="AG49" i="7"/>
  <c r="AG10" i="7"/>
  <c r="AG16" i="7"/>
  <c r="AG24" i="7"/>
  <c r="AG30" i="7"/>
  <c r="AG54" i="7"/>
  <c r="AG73" i="7"/>
  <c r="AG64" i="7"/>
  <c r="AG13" i="7"/>
  <c r="AG9" i="7"/>
  <c r="AG17" i="7"/>
  <c r="AG36" i="7"/>
  <c r="AG58" i="7"/>
  <c r="AG14" i="7"/>
  <c r="AG26" i="7"/>
  <c r="AG77" i="7"/>
  <c r="AG79" i="7"/>
  <c r="AG66" i="7"/>
  <c r="AG18" i="7"/>
  <c r="AG21" i="7"/>
  <c r="AG48" i="7"/>
  <c r="AG61" i="7"/>
  <c r="AG69" i="7"/>
  <c r="AG29" i="7"/>
  <c r="AH57" i="7"/>
  <c r="AH31" i="7"/>
  <c r="AH21" i="7"/>
  <c r="AH53" i="7"/>
  <c r="AH69" i="7"/>
  <c r="AH48" i="7"/>
  <c r="AH18" i="7"/>
  <c r="AH26" i="7"/>
  <c r="AH66" i="7"/>
  <c r="AH79" i="7"/>
  <c r="AH14" i="7"/>
  <c r="AH6" i="7"/>
  <c r="AH37" i="7"/>
  <c r="AH58" i="7"/>
  <c r="AH16" i="7"/>
  <c r="AH73" i="7"/>
  <c r="AH64" i="7"/>
  <c r="AH54" i="7"/>
  <c r="AH30" i="7"/>
  <c r="AH77" i="7"/>
  <c r="AH7" i="7"/>
  <c r="AH33" i="7"/>
  <c r="AH40" i="7"/>
  <c r="AH13" i="7"/>
  <c r="AH72" i="7"/>
  <c r="AH68" i="7"/>
  <c r="AH19" i="7"/>
  <c r="AH35" i="7"/>
  <c r="AH60" i="7"/>
  <c r="AH49" i="7"/>
  <c r="AH78" i="7"/>
  <c r="AH47" i="7"/>
  <c r="AH3" i="7"/>
  <c r="AH34" i="7"/>
  <c r="AH56" i="7"/>
  <c r="AH41" i="7"/>
  <c r="AH62" i="7"/>
  <c r="AH52" i="7"/>
  <c r="AH38" i="7"/>
  <c r="AH22" i="7"/>
  <c r="AH39" i="7"/>
  <c r="AH17" i="7"/>
  <c r="AH46" i="7"/>
  <c r="AH2" i="7"/>
  <c r="AH4" i="7"/>
  <c r="AH32" i="7"/>
  <c r="AH20" i="7"/>
  <c r="AH12" i="7"/>
  <c r="AH61" i="7"/>
  <c r="AH55" i="7"/>
  <c r="AH70" i="7"/>
  <c r="AH15" i="7"/>
  <c r="AH24" i="7"/>
  <c r="AH5" i="7"/>
  <c r="AH36" i="7"/>
  <c r="AH50" i="7"/>
  <c r="AH23" i="7"/>
  <c r="AH42" i="7"/>
  <c r="AH25" i="7"/>
  <c r="AH28" i="7"/>
  <c r="AH63" i="7"/>
  <c r="AH10" i="7"/>
  <c r="AH9" i="7"/>
  <c r="AH75" i="7"/>
  <c r="AH74" i="7"/>
  <c r="AH71" i="7"/>
  <c r="AH76" i="7"/>
  <c r="AH51" i="7"/>
  <c r="AH67" i="7"/>
  <c r="AH27" i="7"/>
  <c r="AH65" i="7"/>
  <c r="AH59" i="7"/>
  <c r="AH45" i="7"/>
  <c r="AH11" i="7"/>
  <c r="AH43" i="7"/>
  <c r="AH8" i="7"/>
  <c r="AH29" i="7"/>
  <c r="AH44" i="7"/>
  <c r="AI22" i="7"/>
  <c r="AI20" i="7"/>
  <c r="AI40" i="7"/>
  <c r="AI3" i="7"/>
  <c r="AI74" i="7"/>
  <c r="AI41" i="7"/>
  <c r="AI34" i="7"/>
  <c r="AI28" i="7"/>
  <c r="AI30" i="7"/>
  <c r="AI42" i="7"/>
  <c r="AI73" i="7"/>
  <c r="AI18" i="7"/>
  <c r="AI11" i="7"/>
  <c r="AI43" i="7"/>
  <c r="AI44" i="7"/>
  <c r="AI27" i="7"/>
  <c r="AI45" i="7"/>
  <c r="AI46" i="7"/>
  <c r="AI38" i="7"/>
  <c r="AI47" i="7"/>
  <c r="AI72" i="7"/>
  <c r="AI12" i="7"/>
  <c r="AI24" i="7"/>
  <c r="AI48" i="7"/>
  <c r="AI26" i="7"/>
  <c r="AI49" i="7"/>
  <c r="AI71" i="7"/>
  <c r="AI75" i="7"/>
  <c r="AI4" i="7"/>
  <c r="AI2" i="7"/>
  <c r="AI61" i="7"/>
  <c r="AI50" i="7"/>
  <c r="AI29" i="7"/>
  <c r="AI51" i="7"/>
  <c r="AI9" i="7"/>
  <c r="AI70" i="7"/>
  <c r="AI25" i="7"/>
  <c r="AI32" i="7"/>
  <c r="AI15" i="7"/>
  <c r="AI52" i="7"/>
  <c r="AI5" i="7"/>
  <c r="AI16" i="7"/>
  <c r="AI79" i="7"/>
  <c r="AI53" i="7"/>
  <c r="AI17" i="7"/>
  <c r="AI14" i="7"/>
  <c r="AI35" i="7"/>
  <c r="AI37" i="7"/>
  <c r="AI19" i="7"/>
  <c r="AI54" i="7"/>
  <c r="AI10" i="7"/>
  <c r="AI55" i="7"/>
  <c r="AI31" i="7"/>
  <c r="AI39" i="7"/>
  <c r="AI69" i="7"/>
  <c r="AI33" i="7"/>
  <c r="AI56" i="7"/>
  <c r="AI78" i="7"/>
  <c r="AI7" i="7"/>
  <c r="AI13" i="7"/>
  <c r="AI57" i="7"/>
  <c r="AI23" i="7"/>
  <c r="AI36" i="7"/>
  <c r="AI58" i="7"/>
  <c r="AI68" i="7"/>
  <c r="AI59" i="7"/>
  <c r="AI60" i="7"/>
  <c r="AI76" i="7"/>
  <c r="AI77" i="7"/>
  <c r="AI21" i="7"/>
  <c r="AI62" i="7"/>
  <c r="AI63" i="7"/>
  <c r="AI67" i="7"/>
  <c r="AI6" i="7"/>
  <c r="AI64" i="7"/>
  <c r="AI8" i="7"/>
  <c r="AI65" i="7"/>
  <c r="AI66" i="7"/>
  <c r="AJ39" i="7"/>
  <c r="AJ69" i="7"/>
  <c r="AJ20" i="7"/>
  <c r="AJ31" i="7"/>
  <c r="AJ40" i="7"/>
  <c r="AJ74" i="7"/>
  <c r="AJ41" i="7"/>
  <c r="AJ65" i="7"/>
  <c r="AJ28" i="7"/>
  <c r="AJ73" i="7"/>
  <c r="AJ42" i="7"/>
  <c r="AJ8" i="7"/>
  <c r="AJ18" i="7"/>
  <c r="AJ43" i="7"/>
  <c r="AJ22" i="7"/>
  <c r="AJ64" i="7"/>
  <c r="AJ44" i="7"/>
  <c r="AJ33" i="7"/>
  <c r="AJ27" i="7"/>
  <c r="AJ23" i="7"/>
  <c r="AJ6" i="7"/>
  <c r="AJ63" i="7"/>
  <c r="AJ67" i="7"/>
  <c r="AJ45" i="7"/>
  <c r="AJ46" i="7"/>
  <c r="AJ62" i="7"/>
  <c r="AJ38" i="7"/>
  <c r="AJ34" i="7"/>
  <c r="AJ72" i="7"/>
  <c r="AJ76" i="7"/>
  <c r="AJ77" i="7"/>
  <c r="AJ47" i="7"/>
  <c r="AJ5" i="7"/>
  <c r="AJ21" i="7"/>
  <c r="AJ13" i="7"/>
  <c r="AJ10" i="7"/>
  <c r="AJ48" i="7"/>
  <c r="AJ26" i="7"/>
  <c r="AJ71" i="7"/>
  <c r="AJ49" i="7"/>
  <c r="AJ3" i="7"/>
  <c r="AJ60" i="7"/>
  <c r="AJ75" i="7"/>
  <c r="AJ35" i="7"/>
  <c r="AJ2" i="7"/>
  <c r="AJ61" i="7"/>
  <c r="AJ30" i="7"/>
  <c r="AJ59" i="7"/>
  <c r="AJ50" i="7"/>
  <c r="AJ11" i="7"/>
  <c r="AJ29" i="7"/>
  <c r="AJ51" i="7"/>
  <c r="AJ70" i="7"/>
  <c r="AJ58" i="7"/>
  <c r="AJ68" i="7"/>
  <c r="AJ25" i="7"/>
  <c r="AJ36" i="7"/>
  <c r="AJ4" i="7"/>
  <c r="AJ52" i="7"/>
  <c r="AJ9" i="7"/>
  <c r="AJ16" i="7"/>
  <c r="AJ66" i="7"/>
  <c r="AJ12" i="7"/>
  <c r="AJ79" i="7"/>
  <c r="AJ17" i="7"/>
  <c r="AJ57" i="7"/>
  <c r="AJ7" i="7"/>
  <c r="AJ24" i="7"/>
  <c r="AJ53" i="7"/>
  <c r="AJ32" i="7"/>
  <c r="AJ78" i="7"/>
  <c r="AJ37" i="7"/>
  <c r="AJ14" i="7"/>
  <c r="AJ19" i="7"/>
  <c r="AJ56" i="7"/>
  <c r="AJ54" i="7"/>
  <c r="AJ15" i="7"/>
  <c r="AJ55" i="7"/>
  <c r="AK3" i="7"/>
  <c r="AK49" i="7"/>
  <c r="AK60" i="7"/>
  <c r="AK55" i="7"/>
  <c r="AK69" i="7"/>
  <c r="AK20" i="7"/>
  <c r="AK34" i="7"/>
  <c r="AK40" i="7"/>
  <c r="AK23" i="7"/>
  <c r="AK16" i="7"/>
  <c r="AK32" i="7"/>
  <c r="AK10" i="7"/>
  <c r="AK61" i="7"/>
  <c r="AK14" i="7"/>
  <c r="AK65" i="7"/>
  <c r="AK54" i="7"/>
  <c r="AK19" i="7"/>
  <c r="AK56" i="7"/>
  <c r="AK41" i="7"/>
  <c r="AK30" i="7"/>
  <c r="AK28" i="7"/>
  <c r="AK78" i="7"/>
  <c r="AK73" i="7"/>
  <c r="AK37" i="7"/>
  <c r="AK66" i="7"/>
  <c r="AK42" i="7"/>
  <c r="AK53" i="7"/>
  <c r="AK11" i="7"/>
  <c r="AK57" i="7"/>
  <c r="AK18" i="7"/>
  <c r="AK12" i="7"/>
  <c r="AK17" i="7"/>
  <c r="AK43" i="7"/>
  <c r="AK79" i="7"/>
  <c r="AK64" i="7"/>
  <c r="AK15" i="7"/>
  <c r="AK6" i="7"/>
  <c r="AK44" i="7"/>
  <c r="AK74" i="7"/>
  <c r="AK13" i="7"/>
  <c r="AK27" i="7"/>
  <c r="AK33" i="7"/>
  <c r="AK63" i="7"/>
  <c r="AK52" i="7"/>
  <c r="AK45" i="7"/>
  <c r="AK62" i="7"/>
  <c r="AK24" i="7"/>
  <c r="AK36" i="7"/>
  <c r="AK68" i="7"/>
  <c r="AK25" i="7"/>
  <c r="AK46" i="7"/>
  <c r="AK58" i="7"/>
  <c r="AK9" i="7"/>
  <c r="AK38" i="7"/>
  <c r="AK51" i="7"/>
  <c r="AK22" i="7"/>
  <c r="AK70" i="7"/>
  <c r="AK72" i="7"/>
  <c r="AK29" i="7"/>
  <c r="AK31" i="7"/>
  <c r="AK76" i="7"/>
  <c r="AK77" i="7"/>
  <c r="AK47" i="7"/>
  <c r="AK21" i="7"/>
  <c r="AK50" i="7"/>
  <c r="AK5" i="7"/>
  <c r="AK59" i="7"/>
  <c r="AK7" i="7"/>
  <c r="AK48" i="7"/>
  <c r="AK26" i="7"/>
  <c r="AK75" i="7"/>
  <c r="AK35" i="7"/>
  <c r="AK2" i="7"/>
  <c r="AK71" i="7"/>
  <c r="AK4" i="7"/>
  <c r="AK67" i="7"/>
  <c r="AK39" i="7"/>
  <c r="AK8" i="7"/>
  <c r="AL55" i="7"/>
  <c r="AL74" i="7"/>
  <c r="AL49" i="7"/>
  <c r="AL2" i="7"/>
  <c r="AL7" i="7"/>
  <c r="AL75" i="7"/>
  <c r="AL26" i="7"/>
  <c r="AL48" i="7"/>
  <c r="AL59" i="7"/>
  <c r="AL61" i="7"/>
  <c r="AL71" i="7"/>
  <c r="AL67" i="7"/>
  <c r="AL21" i="7"/>
  <c r="AL50" i="7"/>
  <c r="AL77" i="7"/>
  <c r="AL47" i="7"/>
  <c r="AL70" i="7"/>
  <c r="AL24" i="7"/>
  <c r="AL31" i="7"/>
  <c r="AL29" i="7"/>
  <c r="AL58" i="7"/>
  <c r="AL76" i="7"/>
  <c r="AL51" i="7"/>
  <c r="AL38" i="7"/>
  <c r="AL10" i="7"/>
  <c r="AL46" i="7"/>
  <c r="AL25" i="7"/>
  <c r="AL5" i="7"/>
  <c r="AL72" i="7"/>
  <c r="AL45" i="7"/>
  <c r="AL68" i="7"/>
  <c r="AL62" i="7"/>
  <c r="AL6" i="7"/>
  <c r="AL17" i="7"/>
  <c r="AL63" i="7"/>
  <c r="AL33" i="7"/>
  <c r="AL4" i="7"/>
  <c r="AL27" i="7"/>
  <c r="AL36" i="7"/>
  <c r="AL44" i="7"/>
  <c r="AL9" i="7"/>
  <c r="AL15" i="7"/>
  <c r="AL18" i="7"/>
  <c r="AL79" i="7"/>
  <c r="AL35" i="7"/>
  <c r="AL22" i="7"/>
  <c r="AL43" i="7"/>
  <c r="AL57" i="7"/>
  <c r="AL64" i="7"/>
  <c r="AL12" i="7"/>
  <c r="AL8" i="7"/>
  <c r="AL56" i="7"/>
  <c r="AL11" i="7"/>
  <c r="AL42" i="7"/>
  <c r="AL53" i="7"/>
  <c r="AL66" i="7"/>
  <c r="AL37" i="7"/>
  <c r="AL19" i="7"/>
  <c r="AL30" i="7"/>
  <c r="AL73" i="7"/>
  <c r="AL78" i="7"/>
  <c r="AL28" i="7"/>
  <c r="AL41" i="7"/>
  <c r="AL13" i="7"/>
  <c r="AL54" i="7"/>
  <c r="AL14" i="7"/>
  <c r="AL23" i="7"/>
  <c r="AL16" i="7"/>
  <c r="AL65" i="7"/>
  <c r="AL3" i="7"/>
  <c r="AL40" i="7"/>
  <c r="AL32" i="7"/>
  <c r="AL20" i="7"/>
  <c r="AL69" i="7"/>
  <c r="AL39" i="7"/>
  <c r="AL34" i="7"/>
  <c r="AL52" i="7"/>
  <c r="AL60" i="7"/>
  <c r="AM22" i="7"/>
  <c r="AM6" i="7"/>
  <c r="AM24" i="7"/>
  <c r="AM36" i="7"/>
  <c r="AM31" i="7"/>
  <c r="AM30" i="7"/>
  <c r="AM32" i="7"/>
  <c r="AM35" i="7"/>
  <c r="AM33" i="7"/>
  <c r="AM37" i="7"/>
  <c r="AM29" i="7"/>
  <c r="AM38" i="7"/>
  <c r="AM2" i="7"/>
  <c r="AM3" i="7"/>
  <c r="AM39" i="7"/>
  <c r="AM40" i="7"/>
  <c r="AM41" i="7"/>
  <c r="AM15" i="7"/>
  <c r="AM28" i="7"/>
  <c r="AM79" i="7"/>
  <c r="AM16" i="7"/>
  <c r="AM42" i="7"/>
  <c r="AM43" i="7"/>
  <c r="AM44" i="7"/>
  <c r="AM13" i="7"/>
  <c r="AM78" i="7"/>
  <c r="AM27" i="7"/>
  <c r="AM45" i="7"/>
  <c r="AM77" i="7"/>
  <c r="AM46" i="7"/>
  <c r="AM47" i="7"/>
  <c r="AM76" i="7"/>
  <c r="AM17" i="7"/>
  <c r="AM12" i="7"/>
  <c r="AM26" i="7"/>
  <c r="AM48" i="7"/>
  <c r="AM49" i="7"/>
  <c r="AM4" i="7"/>
  <c r="AM50" i="7"/>
  <c r="AM11" i="7"/>
  <c r="AM25" i="7"/>
  <c r="AM75" i="7"/>
  <c r="AM51" i="7"/>
  <c r="AM9" i="7"/>
  <c r="AM74" i="7"/>
  <c r="AM61" i="7"/>
  <c r="AM52" i="7"/>
  <c r="AM53" i="7"/>
  <c r="AM73" i="7"/>
  <c r="AM18" i="7"/>
  <c r="AM54" i="7"/>
  <c r="AM10" i="7"/>
  <c r="AM55" i="7"/>
  <c r="AM8" i="7"/>
  <c r="AM72" i="7"/>
  <c r="AM56" i="7"/>
  <c r="AM14" i="7"/>
  <c r="AM60" i="7"/>
  <c r="AM71" i="7"/>
  <c r="AM5" i="7"/>
  <c r="AM57" i="7"/>
  <c r="AM23" i="7"/>
  <c r="AM70" i="7"/>
  <c r="AM58" i="7"/>
  <c r="AM59" i="7"/>
  <c r="AM69" i="7"/>
  <c r="AM19" i="7"/>
  <c r="AM21" i="7"/>
  <c r="AM62" i="7"/>
  <c r="AM34" i="7"/>
  <c r="AM7" i="7"/>
  <c r="AM63" i="7"/>
  <c r="AM64" i="7"/>
  <c r="AM68" i="7"/>
  <c r="AM65" i="7"/>
  <c r="AM20" i="7"/>
  <c r="AM67" i="7"/>
  <c r="AM66" i="7"/>
  <c r="AN60" i="7"/>
  <c r="AN50" i="7"/>
  <c r="AN66" i="7"/>
  <c r="AN30" i="7"/>
  <c r="AN67" i="7"/>
  <c r="AN20" i="7"/>
  <c r="AN3" i="7"/>
  <c r="AN65" i="7"/>
  <c r="AN31" i="7"/>
  <c r="AN36" i="7"/>
  <c r="AN23" i="7"/>
  <c r="AN64" i="7"/>
  <c r="AN68" i="7"/>
  <c r="AN8" i="7"/>
  <c r="AN32" i="7"/>
  <c r="AN63" i="7"/>
  <c r="AN22" i="7"/>
  <c r="AN13" i="7"/>
  <c r="AN62" i="7"/>
  <c r="AN37" i="7"/>
  <c r="AN61" i="7"/>
  <c r="AN19" i="7"/>
  <c r="AN21" i="7"/>
  <c r="AN7" i="7"/>
  <c r="AN29" i="7"/>
  <c r="AN24" i="7"/>
  <c r="AN2" i="7"/>
  <c r="AN38" i="7"/>
  <c r="AN59" i="7"/>
  <c r="AN69" i="7"/>
  <c r="AN4" i="7"/>
  <c r="AN58" i="7"/>
  <c r="AN39" i="7"/>
  <c r="AN70" i="7"/>
  <c r="AN40" i="7"/>
  <c r="AN28" i="7"/>
  <c r="AN57" i="7"/>
  <c r="AN41" i="7"/>
  <c r="AN71" i="7"/>
  <c r="AN15" i="7"/>
  <c r="AN14" i="7"/>
  <c r="AN79" i="7"/>
  <c r="AN11" i="7"/>
  <c r="AN16" i="7"/>
  <c r="AN56" i="7"/>
  <c r="AN42" i="7"/>
  <c r="AN33" i="7"/>
  <c r="AN6" i="7"/>
  <c r="AN43" i="7"/>
  <c r="AN44" i="7"/>
  <c r="AN55" i="7"/>
  <c r="AN72" i="7"/>
  <c r="AN34" i="7"/>
  <c r="AN78" i="7"/>
  <c r="AN27" i="7"/>
  <c r="AN77" i="7"/>
  <c r="AN54" i="7"/>
  <c r="AN18" i="7"/>
  <c r="AN35" i="7"/>
  <c r="AN45" i="7"/>
  <c r="AN46" i="7"/>
  <c r="AN53" i="7"/>
  <c r="AN73" i="7"/>
  <c r="AN10" i="7"/>
  <c r="AN52" i="7"/>
  <c r="AN76" i="7"/>
  <c r="AN74" i="7"/>
  <c r="AN9" i="7"/>
  <c r="AN12" i="7"/>
  <c r="AN51" i="7"/>
  <c r="AN17" i="7"/>
  <c r="AN75" i="7"/>
  <c r="AN25" i="7"/>
  <c r="AN47" i="7"/>
  <c r="AN26" i="7"/>
  <c r="AN5" i="7"/>
  <c r="AN48" i="7"/>
  <c r="AN49" i="7"/>
  <c r="AO4" i="7"/>
  <c r="AO14" i="7"/>
  <c r="AO66" i="7"/>
  <c r="AO17" i="7"/>
  <c r="AO48" i="7"/>
  <c r="AO50" i="7"/>
  <c r="AO5" i="7"/>
  <c r="AO25" i="7"/>
  <c r="AO11" i="7"/>
  <c r="AO26" i="7"/>
  <c r="AO47" i="7"/>
  <c r="AO75" i="7"/>
  <c r="AO74" i="7"/>
  <c r="AO51" i="7"/>
  <c r="AO73" i="7"/>
  <c r="AO52" i="7"/>
  <c r="AO46" i="7"/>
  <c r="AO53" i="7"/>
  <c r="AO76" i="7"/>
  <c r="AO45" i="7"/>
  <c r="AO36" i="7"/>
  <c r="AO10" i="7"/>
  <c r="AO77" i="7"/>
  <c r="AO72" i="7"/>
  <c r="AO27" i="7"/>
  <c r="AO44" i="7"/>
  <c r="AO54" i="7"/>
  <c r="AO55" i="7"/>
  <c r="AO78" i="7"/>
  <c r="AO23" i="7"/>
  <c r="AO43" i="7"/>
  <c r="AO8" i="7"/>
  <c r="AO16" i="7"/>
  <c r="AO42" i="7"/>
  <c r="AO18" i="7"/>
  <c r="AO56" i="7"/>
  <c r="AO24" i="7"/>
  <c r="AO71" i="7"/>
  <c r="AO41" i="7"/>
  <c r="AO70" i="7"/>
  <c r="AO79" i="7"/>
  <c r="AO9" i="7"/>
  <c r="AO28" i="7"/>
  <c r="AO40" i="7"/>
  <c r="AO57" i="7"/>
  <c r="AO3" i="7"/>
  <c r="AO39" i="7"/>
  <c r="AO69" i="7"/>
  <c r="AO58" i="7"/>
  <c r="AO38" i="7"/>
  <c r="AO59" i="7"/>
  <c r="AO7" i="7"/>
  <c r="AO2" i="7"/>
  <c r="AO21" i="7"/>
  <c r="AO60" i="7"/>
  <c r="AO37" i="7"/>
  <c r="AO19" i="7"/>
  <c r="AO62" i="7"/>
  <c r="AO12" i="7"/>
  <c r="AO61" i="7"/>
  <c r="AO29" i="7"/>
  <c r="AO35" i="7"/>
  <c r="AO68" i="7"/>
  <c r="AO22" i="7"/>
  <c r="AO33" i="7"/>
  <c r="AO32" i="7"/>
  <c r="AO63" i="7"/>
  <c r="AO64" i="7"/>
  <c r="AO13" i="7"/>
  <c r="AO20" i="7"/>
  <c r="AO31" i="7"/>
  <c r="AO67" i="7"/>
  <c r="AO65" i="7"/>
  <c r="AO6" i="7"/>
  <c r="AO30" i="7"/>
  <c r="AO34" i="7"/>
  <c r="AO15" i="7"/>
  <c r="AO49" i="7"/>
  <c r="AP61" i="7"/>
  <c r="AP52" i="7"/>
  <c r="AP5" i="7"/>
  <c r="AP9" i="7"/>
  <c r="AP23" i="7"/>
  <c r="AP14" i="7"/>
  <c r="AP53" i="7"/>
  <c r="AP13" i="7"/>
  <c r="AP50" i="7"/>
  <c r="AP54" i="7"/>
  <c r="AP15" i="7"/>
  <c r="AP49" i="7"/>
  <c r="AP48" i="7"/>
  <c r="AP16" i="7"/>
  <c r="AP55" i="7"/>
  <c r="AP47" i="7"/>
  <c r="AP17" i="7"/>
  <c r="AP8" i="7"/>
  <c r="AP56" i="7"/>
  <c r="AP57" i="7"/>
  <c r="AP7" i="7"/>
  <c r="AP18" i="7"/>
  <c r="AP6" i="7"/>
  <c r="AP10" i="7"/>
  <c r="AP19" i="7"/>
  <c r="AP4" i="7"/>
  <c r="AP58" i="7"/>
  <c r="AP3" i="7"/>
  <c r="AP20" i="7"/>
  <c r="AP46" i="7"/>
  <c r="AP21" i="7"/>
  <c r="AP59" i="7"/>
  <c r="AP22" i="7"/>
  <c r="AP33" i="7"/>
  <c r="AP45" i="7"/>
  <c r="AP25" i="7"/>
  <c r="AP2" i="7"/>
  <c r="AP44" i="7"/>
  <c r="AP60" i="7"/>
  <c r="AP79" i="7"/>
  <c r="AP24" i="7"/>
  <c r="AP43" i="7"/>
  <c r="AP62" i="7"/>
  <c r="AP42" i="7"/>
  <c r="AP26" i="7"/>
  <c r="AP78" i="7"/>
  <c r="AP63" i="7"/>
  <c r="AP11" i="7"/>
  <c r="AP27" i="7"/>
  <c r="AP77" i="7"/>
  <c r="AP64" i="7"/>
  <c r="AP41" i="7"/>
  <c r="AP65" i="7"/>
  <c r="AP76" i="7"/>
  <c r="AP40" i="7"/>
  <c r="AP28" i="7"/>
  <c r="AP66" i="7"/>
  <c r="AP75" i="7"/>
  <c r="AP29" i="7"/>
  <c r="AP39" i="7"/>
  <c r="AP67" i="7"/>
  <c r="AP38" i="7"/>
  <c r="AP30" i="7"/>
  <c r="AP74" i="7"/>
  <c r="AP68" i="7"/>
  <c r="AP37" i="7"/>
  <c r="AP12" i="7"/>
  <c r="AP73" i="7"/>
  <c r="AP69" i="7"/>
  <c r="AP31" i="7"/>
  <c r="AP36" i="7"/>
  <c r="AP72" i="7"/>
  <c r="AP70" i="7"/>
  <c r="AP32" i="7"/>
  <c r="AP35" i="7"/>
  <c r="AP71" i="7"/>
  <c r="AP34" i="7"/>
  <c r="AP51" i="7"/>
  <c r="E71" i="7"/>
  <c r="E57" i="7"/>
  <c r="E33" i="7"/>
  <c r="E36" i="7"/>
  <c r="E72" i="7"/>
  <c r="E70" i="7"/>
  <c r="E32" i="7"/>
  <c r="E37" i="7"/>
  <c r="E73" i="7"/>
  <c r="E69" i="7"/>
  <c r="E31" i="7"/>
  <c r="E23" i="7"/>
  <c r="E74" i="7"/>
  <c r="E68" i="7"/>
  <c r="E38" i="7"/>
  <c r="E30" i="7"/>
  <c r="E75" i="7"/>
  <c r="E67" i="7"/>
  <c r="E39" i="7"/>
  <c r="E5" i="7"/>
  <c r="E29" i="7"/>
  <c r="E40" i="7"/>
  <c r="E7" i="7"/>
  <c r="E66" i="7"/>
  <c r="E76" i="7"/>
  <c r="E41" i="7"/>
  <c r="E28" i="7"/>
  <c r="E65" i="7"/>
  <c r="E24" i="7"/>
  <c r="E12" i="7"/>
  <c r="E77" i="7"/>
  <c r="E64" i="7"/>
  <c r="E27" i="7"/>
  <c r="E42" i="7"/>
  <c r="E78" i="7"/>
  <c r="E63" i="7"/>
  <c r="E26" i="7"/>
  <c r="E43" i="7"/>
  <c r="E79" i="7"/>
  <c r="E61" i="7"/>
  <c r="E4" i="7"/>
  <c r="E44" i="7"/>
  <c r="E25" i="7"/>
  <c r="E60" i="7"/>
  <c r="E2" i="7"/>
  <c r="E8" i="7"/>
  <c r="E45" i="7"/>
  <c r="E34" i="7"/>
  <c r="E22" i="7"/>
  <c r="E59" i="7"/>
  <c r="E46" i="7"/>
  <c r="E21" i="7"/>
  <c r="E20" i="7"/>
  <c r="E58" i="7"/>
  <c r="E19" i="7"/>
  <c r="E47" i="7"/>
  <c r="E3" i="7"/>
  <c r="E62" i="7"/>
  <c r="E18" i="7"/>
  <c r="E56" i="7"/>
  <c r="E17" i="7"/>
  <c r="E48" i="7"/>
  <c r="E10" i="7"/>
  <c r="E11" i="7"/>
  <c r="E9" i="7"/>
  <c r="E55" i="7"/>
  <c r="E49" i="7"/>
  <c r="E16" i="7"/>
  <c r="E13" i="7"/>
  <c r="E54" i="7"/>
  <c r="E50" i="7"/>
  <c r="E15" i="7"/>
  <c r="E14" i="7"/>
  <c r="E53" i="7"/>
  <c r="E51" i="7"/>
  <c r="E6" i="7"/>
  <c r="E52" i="7"/>
  <c r="E35" i="7"/>
  <c r="AQ51" i="7"/>
  <c r="AQ32" i="7"/>
  <c r="AQ33" i="7"/>
  <c r="AQ52" i="7"/>
  <c r="AQ56" i="7"/>
  <c r="AQ22" i="7"/>
  <c r="AQ14" i="7"/>
  <c r="AQ50" i="7"/>
  <c r="AQ53" i="7"/>
  <c r="AQ35" i="7"/>
  <c r="AQ12" i="7"/>
  <c r="AQ49" i="7"/>
  <c r="AQ54" i="7"/>
  <c r="AQ36" i="7"/>
  <c r="AQ15" i="7"/>
  <c r="AQ48" i="7"/>
  <c r="AQ8" i="7"/>
  <c r="AQ55" i="7"/>
  <c r="AQ10" i="7"/>
  <c r="AQ47" i="7"/>
  <c r="AQ16" i="7"/>
  <c r="AQ57" i="7"/>
  <c r="AQ9" i="7"/>
  <c r="AQ17" i="7"/>
  <c r="AQ18" i="7"/>
  <c r="AQ46" i="7"/>
  <c r="AQ58" i="7"/>
  <c r="AQ19" i="7"/>
  <c r="AQ20" i="7"/>
  <c r="AQ45" i="7"/>
  <c r="AQ59" i="7"/>
  <c r="AQ23" i="7"/>
  <c r="AQ21" i="7"/>
  <c r="AQ44" i="7"/>
  <c r="AQ7" i="7"/>
  <c r="AQ60" i="7"/>
  <c r="AQ24" i="7"/>
  <c r="AQ43" i="7"/>
  <c r="AQ61" i="7"/>
  <c r="AQ62" i="7"/>
  <c r="AQ2" i="7"/>
  <c r="AQ42" i="7"/>
  <c r="AQ25" i="7"/>
  <c r="AQ63" i="7"/>
  <c r="AQ79" i="7"/>
  <c r="AQ11" i="7"/>
  <c r="AQ64" i="7"/>
  <c r="AQ3" i="7"/>
  <c r="AQ41" i="7"/>
  <c r="AQ78" i="7"/>
  <c r="AQ65" i="7"/>
  <c r="AQ26" i="7"/>
  <c r="AQ40" i="7"/>
  <c r="AQ77" i="7"/>
  <c r="AQ6" i="7"/>
  <c r="AQ27" i="7"/>
  <c r="AQ39" i="7"/>
  <c r="AQ66" i="7"/>
  <c r="AQ76" i="7"/>
  <c r="AQ28" i="7"/>
  <c r="AQ38" i="7"/>
  <c r="AQ67" i="7"/>
  <c r="AQ75" i="7"/>
  <c r="AQ4" i="7"/>
  <c r="AQ37" i="7"/>
  <c r="AQ68" i="7"/>
  <c r="AQ29" i="7"/>
  <c r="AQ74" i="7"/>
  <c r="AQ69" i="7"/>
  <c r="AQ30" i="7"/>
  <c r="AQ70" i="7"/>
  <c r="AQ73" i="7"/>
  <c r="AQ34" i="7"/>
  <c r="AQ5" i="7"/>
  <c r="AQ31" i="7"/>
  <c r="AQ71" i="7"/>
  <c r="AQ13" i="7"/>
  <c r="AQ72" i="7"/>
  <c r="D52" i="7"/>
  <c r="D72" i="7"/>
  <c r="D32" i="7"/>
  <c r="D33" i="7"/>
  <c r="D34" i="7"/>
  <c r="D73" i="7"/>
  <c r="D71" i="7"/>
  <c r="D31" i="7"/>
  <c r="D70" i="7"/>
  <c r="D74" i="7"/>
  <c r="D69" i="7"/>
  <c r="D75" i="7"/>
  <c r="D30" i="7"/>
  <c r="D62" i="7"/>
  <c r="D38" i="7"/>
  <c r="D68" i="7"/>
  <c r="D29" i="7"/>
  <c r="D39" i="7"/>
  <c r="D76" i="7"/>
  <c r="D67" i="7"/>
  <c r="D77" i="7"/>
  <c r="D28" i="7"/>
  <c r="D40" i="7"/>
  <c r="D66" i="7"/>
  <c r="D78" i="7"/>
  <c r="D27" i="7"/>
  <c r="D41" i="7"/>
  <c r="D65" i="7"/>
  <c r="D79" i="7"/>
  <c r="D42" i="7"/>
  <c r="D64" i="7"/>
  <c r="D26" i="7"/>
  <c r="D63" i="7"/>
  <c r="D43" i="7"/>
  <c r="D61" i="7"/>
  <c r="D2" i="7"/>
  <c r="D44" i="7"/>
  <c r="D24" i="7"/>
  <c r="D13" i="7"/>
  <c r="D14" i="7"/>
  <c r="D23" i="7"/>
  <c r="D22" i="7"/>
  <c r="D45" i="7"/>
  <c r="D60" i="7"/>
  <c r="D37" i="7"/>
  <c r="D21" i="7"/>
  <c r="D46" i="7"/>
  <c r="D3" i="7"/>
  <c r="D4" i="7"/>
  <c r="D35" i="7"/>
  <c r="D20" i="7"/>
  <c r="D59" i="7"/>
  <c r="D5" i="7"/>
  <c r="D6" i="7"/>
  <c r="D19" i="7"/>
  <c r="D11" i="7"/>
  <c r="D7" i="7"/>
  <c r="D8" i="7"/>
  <c r="D18" i="7"/>
  <c r="D36" i="7"/>
  <c r="D58" i="7"/>
  <c r="D9" i="7"/>
  <c r="D47" i="7"/>
  <c r="D17" i="7"/>
  <c r="D56" i="7"/>
  <c r="D48" i="7"/>
  <c r="D12" i="7"/>
  <c r="D16" i="7"/>
  <c r="D49" i="7"/>
  <c r="D55" i="7"/>
  <c r="D50" i="7"/>
  <c r="D54" i="7"/>
  <c r="D15" i="7"/>
  <c r="D51" i="7"/>
  <c r="D53" i="7"/>
  <c r="D25" i="7"/>
  <c r="D10" i="7"/>
  <c r="D57" i="7"/>
  <c r="K82" i="7" l="1"/>
  <c r="L82" i="7"/>
  <c r="M82" i="7"/>
  <c r="M83" i="7" s="1"/>
  <c r="N82" i="7"/>
  <c r="N83" i="7" s="1"/>
  <c r="O82" i="7"/>
  <c r="O83" i="7" s="1"/>
  <c r="AM82" i="7"/>
  <c r="P82" i="7"/>
  <c r="Q82" i="7"/>
  <c r="R82" i="7"/>
  <c r="R83" i="7" s="1"/>
  <c r="S82" i="7"/>
  <c r="T82" i="7"/>
  <c r="U82" i="7"/>
  <c r="AL82" i="7"/>
  <c r="V82" i="7"/>
  <c r="W82" i="7"/>
  <c r="Y82" i="7"/>
  <c r="Z82" i="7"/>
  <c r="AA82" i="7"/>
  <c r="AB82" i="7"/>
  <c r="AC82" i="7"/>
  <c r="AD82" i="7"/>
  <c r="AD83" i="7" s="1"/>
  <c r="AE82" i="7"/>
  <c r="AE83" i="7" s="1"/>
  <c r="AF82" i="7"/>
  <c r="AF83" i="7" s="1"/>
  <c r="AG82" i="7"/>
  <c r="AG83" i="7" s="1"/>
  <c r="AH82" i="7"/>
  <c r="AH83" i="7" s="1"/>
  <c r="AI82" i="7"/>
  <c r="AJ82" i="7"/>
  <c r="AK82" i="7"/>
  <c r="AK83" i="7" s="1"/>
  <c r="AN82" i="7"/>
  <c r="AO82" i="7"/>
  <c r="AP82" i="7"/>
  <c r="AP83" i="7" s="1"/>
  <c r="E82" i="7"/>
  <c r="AQ82" i="7"/>
  <c r="F82" i="7"/>
  <c r="G82" i="7"/>
  <c r="G83" i="7" s="1"/>
  <c r="H82" i="7"/>
  <c r="I82" i="7"/>
  <c r="J82" i="7"/>
  <c r="D82" i="7"/>
  <c r="C84" i="7"/>
  <c r="C82" i="7"/>
  <c r="C83" i="7" s="1"/>
  <c r="F84" i="7"/>
  <c r="F85" i="7" s="1"/>
  <c r="F83" i="7"/>
  <c r="F116" i="7"/>
  <c r="F114" i="7"/>
  <c r="F115" i="7" s="1"/>
  <c r="F106" i="7"/>
  <c r="F107" i="7" s="1"/>
  <c r="F108" i="7"/>
  <c r="F98" i="7"/>
  <c r="F99" i="7" s="1"/>
  <c r="F100" i="7"/>
  <c r="F90" i="7"/>
  <c r="F91" i="7" s="1"/>
  <c r="F92" i="7"/>
  <c r="G84" i="7"/>
  <c r="G90" i="7"/>
  <c r="G91" i="7" s="1"/>
  <c r="G92" i="7"/>
  <c r="G106" i="7"/>
  <c r="G107" i="7" s="1"/>
  <c r="G108" i="7"/>
  <c r="G98" i="7"/>
  <c r="G99" i="7" s="1"/>
  <c r="G100" i="7"/>
  <c r="G114" i="7"/>
  <c r="G115" i="7" s="1"/>
  <c r="G116" i="7"/>
  <c r="H106" i="7"/>
  <c r="H107" i="7" s="1"/>
  <c r="H108" i="7"/>
  <c r="H100" i="7"/>
  <c r="H98" i="7"/>
  <c r="H99" i="7" s="1"/>
  <c r="H83" i="7"/>
  <c r="H84" i="7"/>
  <c r="H85" i="7" s="1"/>
  <c r="H116" i="7"/>
  <c r="H114" i="7"/>
  <c r="H115" i="7" s="1"/>
  <c r="H90" i="7"/>
  <c r="H91" i="7" s="1"/>
  <c r="H92" i="7"/>
  <c r="I106" i="7"/>
  <c r="I107" i="7" s="1"/>
  <c r="I108" i="7"/>
  <c r="I90" i="7"/>
  <c r="I91" i="7" s="1"/>
  <c r="I92" i="7"/>
  <c r="I116" i="7"/>
  <c r="I114" i="7"/>
  <c r="I115" i="7" s="1"/>
  <c r="I83" i="7"/>
  <c r="I84" i="7"/>
  <c r="I85" i="7" s="1"/>
  <c r="I100" i="7"/>
  <c r="I98" i="7"/>
  <c r="I99" i="7" s="1"/>
  <c r="J98" i="7"/>
  <c r="J99" i="7" s="1"/>
  <c r="J100" i="7"/>
  <c r="J84" i="7"/>
  <c r="J85" i="7" s="1"/>
  <c r="J83" i="7"/>
  <c r="J106" i="7"/>
  <c r="J107" i="7" s="1"/>
  <c r="J108" i="7"/>
  <c r="J114" i="7"/>
  <c r="J115" i="7" s="1"/>
  <c r="J116" i="7"/>
  <c r="J90" i="7"/>
  <c r="J91" i="7" s="1"/>
  <c r="J92" i="7"/>
  <c r="K100" i="7"/>
  <c r="K98" i="7"/>
  <c r="K99" i="7" s="1"/>
  <c r="K84" i="7"/>
  <c r="K85" i="7" s="1"/>
  <c r="K83" i="7"/>
  <c r="K92" i="7"/>
  <c r="K90" i="7"/>
  <c r="K91" i="7" s="1"/>
  <c r="K108" i="7"/>
  <c r="K106" i="7"/>
  <c r="K107" i="7" s="1"/>
  <c r="K114" i="7"/>
  <c r="K115" i="7" s="1"/>
  <c r="K116" i="7"/>
  <c r="L98" i="7"/>
  <c r="L99" i="7" s="1"/>
  <c r="L100" i="7"/>
  <c r="L84" i="7"/>
  <c r="L85" i="7" s="1"/>
  <c r="L83" i="7"/>
  <c r="L114" i="7"/>
  <c r="L115" i="7" s="1"/>
  <c r="L116" i="7"/>
  <c r="L92" i="7"/>
  <c r="L90" i="7"/>
  <c r="L91" i="7" s="1"/>
  <c r="L108" i="7"/>
  <c r="L106" i="7"/>
  <c r="L107" i="7" s="1"/>
  <c r="M100" i="7"/>
  <c r="M98" i="7"/>
  <c r="M99" i="7" s="1"/>
  <c r="M90" i="7"/>
  <c r="M91" i="7" s="1"/>
  <c r="M92" i="7"/>
  <c r="M84" i="7"/>
  <c r="M114" i="7"/>
  <c r="M115" i="7" s="1"/>
  <c r="M116" i="7"/>
  <c r="M108" i="7"/>
  <c r="M106" i="7"/>
  <c r="M107" i="7" s="1"/>
  <c r="N100" i="7"/>
  <c r="N98" i="7"/>
  <c r="N99" i="7" s="1"/>
  <c r="N90" i="7"/>
  <c r="N91" i="7" s="1"/>
  <c r="N92" i="7"/>
  <c r="N84" i="7"/>
  <c r="N114" i="7"/>
  <c r="N115" i="7" s="1"/>
  <c r="N116" i="7"/>
  <c r="N106" i="7"/>
  <c r="N107" i="7" s="1"/>
  <c r="N108" i="7"/>
  <c r="O116" i="7"/>
  <c r="O114" i="7"/>
  <c r="O115" i="7" s="1"/>
  <c r="O90" i="7"/>
  <c r="O91" i="7" s="1"/>
  <c r="O92" i="7"/>
  <c r="O106" i="7"/>
  <c r="O107" i="7" s="1"/>
  <c r="O108" i="7"/>
  <c r="O84" i="7"/>
  <c r="O100" i="7"/>
  <c r="O98" i="7"/>
  <c r="O99" i="7" s="1"/>
  <c r="P92" i="7"/>
  <c r="P90" i="7"/>
  <c r="P91" i="7" s="1"/>
  <c r="P114" i="7"/>
  <c r="P115" i="7" s="1"/>
  <c r="P116" i="7"/>
  <c r="P100" i="7"/>
  <c r="P98" i="7"/>
  <c r="P99" i="7" s="1"/>
  <c r="P84" i="7"/>
  <c r="P85" i="7" s="1"/>
  <c r="P83" i="7"/>
  <c r="P106" i="7"/>
  <c r="P107" i="7" s="1"/>
  <c r="P108" i="7"/>
  <c r="Q84" i="7"/>
  <c r="Q85" i="7" s="1"/>
  <c r="Q83" i="7"/>
  <c r="Q90" i="7"/>
  <c r="Q91" i="7" s="1"/>
  <c r="Q92" i="7"/>
  <c r="Q100" i="7"/>
  <c r="Q98" i="7"/>
  <c r="Q99" i="7" s="1"/>
  <c r="Q114" i="7"/>
  <c r="Q115" i="7" s="1"/>
  <c r="Q116" i="7"/>
  <c r="Q108" i="7"/>
  <c r="Q106" i="7"/>
  <c r="Q107" i="7" s="1"/>
  <c r="R116" i="7"/>
  <c r="R114" i="7"/>
  <c r="R115" i="7" s="1"/>
  <c r="R90" i="7"/>
  <c r="R91" i="7" s="1"/>
  <c r="R92" i="7"/>
  <c r="R84" i="7"/>
  <c r="R98" i="7"/>
  <c r="R99" i="7" s="1"/>
  <c r="R100" i="7"/>
  <c r="R108" i="7"/>
  <c r="R106" i="7"/>
  <c r="R107" i="7" s="1"/>
  <c r="S114" i="7"/>
  <c r="S115" i="7" s="1"/>
  <c r="S116" i="7"/>
  <c r="S84" i="7"/>
  <c r="S85" i="7" s="1"/>
  <c r="S83" i="7"/>
  <c r="S108" i="7"/>
  <c r="S106" i="7"/>
  <c r="S107" i="7" s="1"/>
  <c r="S98" i="7"/>
  <c r="S99" i="7" s="1"/>
  <c r="S100" i="7"/>
  <c r="S90" i="7"/>
  <c r="S91" i="7" s="1"/>
  <c r="S92" i="7"/>
  <c r="T114" i="7"/>
  <c r="T115" i="7" s="1"/>
  <c r="T116" i="7"/>
  <c r="T90" i="7"/>
  <c r="T91" i="7" s="1"/>
  <c r="T92" i="7"/>
  <c r="T108" i="7"/>
  <c r="T106" i="7"/>
  <c r="T107" i="7" s="1"/>
  <c r="T83" i="7"/>
  <c r="T84" i="7"/>
  <c r="T85" i="7" s="1"/>
  <c r="T100" i="7"/>
  <c r="T98" i="7"/>
  <c r="T99" i="7" s="1"/>
  <c r="U92" i="7"/>
  <c r="U90" i="7"/>
  <c r="U91" i="7" s="1"/>
  <c r="U116" i="7"/>
  <c r="U114" i="7"/>
  <c r="U115" i="7" s="1"/>
  <c r="U98" i="7"/>
  <c r="U99" i="7" s="1"/>
  <c r="U100" i="7"/>
  <c r="U108" i="7"/>
  <c r="U106" i="7"/>
  <c r="U107" i="7" s="1"/>
  <c r="U83" i="7"/>
  <c r="U84" i="7"/>
  <c r="U85" i="7" s="1"/>
  <c r="V83" i="7"/>
  <c r="V84" i="7"/>
  <c r="V85" i="7" s="1"/>
  <c r="V108" i="7"/>
  <c r="V106" i="7"/>
  <c r="V107" i="7" s="1"/>
  <c r="V114" i="7"/>
  <c r="V115" i="7" s="1"/>
  <c r="V116" i="7"/>
  <c r="V98" i="7"/>
  <c r="V99" i="7" s="1"/>
  <c r="V100" i="7"/>
  <c r="V90" i="7"/>
  <c r="V91" i="7" s="1"/>
  <c r="V92" i="7"/>
  <c r="W98" i="7"/>
  <c r="W99" i="7" s="1"/>
  <c r="W100" i="7"/>
  <c r="W114" i="7"/>
  <c r="W115" i="7" s="1"/>
  <c r="W116" i="7"/>
  <c r="W84" i="7"/>
  <c r="W85" i="7" s="1"/>
  <c r="W83" i="7"/>
  <c r="W90" i="7"/>
  <c r="W91" i="7" s="1"/>
  <c r="W92" i="7"/>
  <c r="W108" i="7"/>
  <c r="W106" i="7"/>
  <c r="W107" i="7" s="1"/>
  <c r="X98" i="7"/>
  <c r="X99" i="7" s="1"/>
  <c r="X100" i="7"/>
  <c r="X83" i="7"/>
  <c r="X84" i="7"/>
  <c r="X85" i="7" s="1"/>
  <c r="X90" i="7"/>
  <c r="X91" i="7" s="1"/>
  <c r="X92" i="7"/>
  <c r="X108" i="7"/>
  <c r="X106" i="7"/>
  <c r="X107" i="7" s="1"/>
  <c r="X114" i="7"/>
  <c r="X115" i="7" s="1"/>
  <c r="X116" i="7"/>
  <c r="Y114" i="7"/>
  <c r="Y115" i="7" s="1"/>
  <c r="Y116" i="7"/>
  <c r="Y84" i="7"/>
  <c r="Y85" i="7" s="1"/>
  <c r="Y83" i="7"/>
  <c r="Y108" i="7"/>
  <c r="Y106" i="7"/>
  <c r="Y107" i="7" s="1"/>
  <c r="Y100" i="7"/>
  <c r="Y98" i="7"/>
  <c r="Y99" i="7" s="1"/>
  <c r="Y92" i="7"/>
  <c r="Y90" i="7"/>
  <c r="Y91" i="7" s="1"/>
  <c r="Z114" i="7"/>
  <c r="Z115" i="7" s="1"/>
  <c r="Z116" i="7"/>
  <c r="Z84" i="7"/>
  <c r="Z85" i="7" s="1"/>
  <c r="Z83" i="7"/>
  <c r="Z98" i="7"/>
  <c r="Z99" i="7" s="1"/>
  <c r="Z100" i="7"/>
  <c r="Z90" i="7"/>
  <c r="Z91" i="7" s="1"/>
  <c r="Z92" i="7"/>
  <c r="Z106" i="7"/>
  <c r="Z107" i="7" s="1"/>
  <c r="Z108" i="7"/>
  <c r="AA90" i="7"/>
  <c r="AA91" i="7" s="1"/>
  <c r="AA92" i="7"/>
  <c r="AA84" i="7"/>
  <c r="AA85" i="7" s="1"/>
  <c r="AA83" i="7"/>
  <c r="AA108" i="7"/>
  <c r="AA106" i="7"/>
  <c r="AA107" i="7" s="1"/>
  <c r="AA114" i="7"/>
  <c r="AA115" i="7" s="1"/>
  <c r="AA116" i="7"/>
  <c r="AA98" i="7"/>
  <c r="AA99" i="7" s="1"/>
  <c r="AA100" i="7"/>
  <c r="AB90" i="7"/>
  <c r="AB91" i="7" s="1"/>
  <c r="AB92" i="7"/>
  <c r="AB106" i="7"/>
  <c r="AB107" i="7" s="1"/>
  <c r="AB108" i="7"/>
  <c r="AB98" i="7"/>
  <c r="AB99" i="7" s="1"/>
  <c r="AB100" i="7"/>
  <c r="AB114" i="7"/>
  <c r="AB115" i="7" s="1"/>
  <c r="AB116" i="7"/>
  <c r="AB84" i="7"/>
  <c r="AB85" i="7" s="1"/>
  <c r="AB83" i="7"/>
  <c r="AC83" i="7"/>
  <c r="AC84" i="7"/>
  <c r="AC85" i="7" s="1"/>
  <c r="AC90" i="7"/>
  <c r="AC91" i="7" s="1"/>
  <c r="AC92" i="7"/>
  <c r="AC108" i="7"/>
  <c r="AC106" i="7"/>
  <c r="AC107" i="7" s="1"/>
  <c r="AC98" i="7"/>
  <c r="AC99" i="7" s="1"/>
  <c r="AC100" i="7"/>
  <c r="AC114" i="7"/>
  <c r="AC115" i="7" s="1"/>
  <c r="AC116" i="7"/>
  <c r="AD98" i="7"/>
  <c r="AD99" i="7" s="1"/>
  <c r="AD100" i="7"/>
  <c r="AD108" i="7"/>
  <c r="AD106" i="7"/>
  <c r="AD107" i="7" s="1"/>
  <c r="AD84" i="7"/>
  <c r="AD92" i="7"/>
  <c r="AD90" i="7"/>
  <c r="AD91" i="7" s="1"/>
  <c r="AD116" i="7"/>
  <c r="AD114" i="7"/>
  <c r="AD115" i="7" s="1"/>
  <c r="AE92" i="7"/>
  <c r="AE90" i="7"/>
  <c r="AE91" i="7" s="1"/>
  <c r="AE84" i="7"/>
  <c r="AE98" i="7"/>
  <c r="AE99" i="7" s="1"/>
  <c r="AE100" i="7"/>
  <c r="AE106" i="7"/>
  <c r="AE107" i="7" s="1"/>
  <c r="AE108" i="7"/>
  <c r="AE116" i="7"/>
  <c r="AE114" i="7"/>
  <c r="AE115" i="7" s="1"/>
  <c r="AF92" i="7"/>
  <c r="AF90" i="7"/>
  <c r="AF91" i="7" s="1"/>
  <c r="AF108" i="7"/>
  <c r="AF106" i="7"/>
  <c r="AF107" i="7" s="1"/>
  <c r="AF84" i="7"/>
  <c r="AF116" i="7"/>
  <c r="AF114" i="7"/>
  <c r="AF115" i="7" s="1"/>
  <c r="AF100" i="7"/>
  <c r="AF98" i="7"/>
  <c r="AF99" i="7" s="1"/>
  <c r="AG98" i="7"/>
  <c r="AG99" i="7" s="1"/>
  <c r="AG100" i="7"/>
  <c r="AG108" i="7"/>
  <c r="AG106" i="7"/>
  <c r="AG107" i="7" s="1"/>
  <c r="AG92" i="7"/>
  <c r="AG90" i="7"/>
  <c r="AG91" i="7" s="1"/>
  <c r="AG84" i="7"/>
  <c r="AG116" i="7"/>
  <c r="AG114" i="7"/>
  <c r="AG115" i="7" s="1"/>
  <c r="AH114" i="7"/>
  <c r="AH115" i="7" s="1"/>
  <c r="AH116" i="7"/>
  <c r="AH84" i="7"/>
  <c r="AH106" i="7"/>
  <c r="AH107" i="7" s="1"/>
  <c r="AH108" i="7"/>
  <c r="AH100" i="7"/>
  <c r="AH98" i="7"/>
  <c r="AH99" i="7" s="1"/>
  <c r="AH92" i="7"/>
  <c r="AH90" i="7"/>
  <c r="AH91" i="7" s="1"/>
  <c r="AI90" i="7"/>
  <c r="AI91" i="7" s="1"/>
  <c r="AI92" i="7"/>
  <c r="AI98" i="7"/>
  <c r="AI99" i="7" s="1"/>
  <c r="AI100" i="7"/>
  <c r="AI108" i="7"/>
  <c r="AI106" i="7"/>
  <c r="AI107" i="7" s="1"/>
  <c r="AI83" i="7"/>
  <c r="AI84" i="7"/>
  <c r="AI85" i="7" s="1"/>
  <c r="AI114" i="7"/>
  <c r="AI115" i="7" s="1"/>
  <c r="AI116" i="7"/>
  <c r="AJ90" i="7"/>
  <c r="AJ91" i="7" s="1"/>
  <c r="AJ92" i="7"/>
  <c r="AJ83" i="7"/>
  <c r="AJ84" i="7"/>
  <c r="AJ85" i="7" s="1"/>
  <c r="AJ98" i="7"/>
  <c r="AJ99" i="7" s="1"/>
  <c r="AJ100" i="7"/>
  <c r="AJ106" i="7"/>
  <c r="AJ107" i="7" s="1"/>
  <c r="AJ108" i="7"/>
  <c r="AJ114" i="7"/>
  <c r="AJ115" i="7" s="1"/>
  <c r="AJ116" i="7"/>
  <c r="AK84" i="7"/>
  <c r="AK106" i="7"/>
  <c r="AK107" i="7" s="1"/>
  <c r="AK108" i="7"/>
  <c r="AK114" i="7"/>
  <c r="AK115" i="7" s="1"/>
  <c r="AK116" i="7"/>
  <c r="AK92" i="7"/>
  <c r="AK90" i="7"/>
  <c r="AK91" i="7" s="1"/>
  <c r="AK98" i="7"/>
  <c r="AK99" i="7" s="1"/>
  <c r="AK100" i="7"/>
  <c r="AL90" i="7"/>
  <c r="AL91" i="7" s="1"/>
  <c r="AL92" i="7"/>
  <c r="AL108" i="7"/>
  <c r="AL106" i="7"/>
  <c r="AL107" i="7" s="1"/>
  <c r="AL114" i="7"/>
  <c r="AL115" i="7" s="1"/>
  <c r="AL116" i="7"/>
  <c r="AL98" i="7"/>
  <c r="AL99" i="7" s="1"/>
  <c r="AL100" i="7"/>
  <c r="AL84" i="7"/>
  <c r="AL85" i="7" s="1"/>
  <c r="AL83" i="7"/>
  <c r="AM106" i="7"/>
  <c r="AM107" i="7" s="1"/>
  <c r="AM108" i="7"/>
  <c r="AM83" i="7"/>
  <c r="AM84" i="7"/>
  <c r="AM85" i="7" s="1"/>
  <c r="AM98" i="7"/>
  <c r="AM99" i="7" s="1"/>
  <c r="AM100" i="7"/>
  <c r="AM116" i="7"/>
  <c r="AM114" i="7"/>
  <c r="AM115" i="7" s="1"/>
  <c r="AM90" i="7"/>
  <c r="AM91" i="7" s="1"/>
  <c r="AM92" i="7"/>
  <c r="AN84" i="7"/>
  <c r="AN85" i="7" s="1"/>
  <c r="AN83" i="7"/>
  <c r="AN92" i="7"/>
  <c r="AN90" i="7"/>
  <c r="AN91" i="7" s="1"/>
  <c r="AN100" i="7"/>
  <c r="AN98" i="7"/>
  <c r="AN99" i="7" s="1"/>
  <c r="AN114" i="7"/>
  <c r="AN115" i="7" s="1"/>
  <c r="AN116" i="7"/>
  <c r="AN108" i="7"/>
  <c r="AN106" i="7"/>
  <c r="AN107" i="7" s="1"/>
  <c r="AO114" i="7"/>
  <c r="AO115" i="7" s="1"/>
  <c r="AO116" i="7"/>
  <c r="AO100" i="7"/>
  <c r="AO98" i="7"/>
  <c r="AO99" i="7" s="1"/>
  <c r="AO108" i="7"/>
  <c r="AO106" i="7"/>
  <c r="AO107" i="7" s="1"/>
  <c r="AO92" i="7"/>
  <c r="AO90" i="7"/>
  <c r="AO91" i="7" s="1"/>
  <c r="AO84" i="7"/>
  <c r="AO85" i="7" s="1"/>
  <c r="AO83" i="7"/>
  <c r="AP84" i="7"/>
  <c r="AP85" i="7" s="1"/>
  <c r="AP100" i="7"/>
  <c r="AP98" i="7"/>
  <c r="AP99" i="7" s="1"/>
  <c r="AP106" i="7"/>
  <c r="AP107" i="7" s="1"/>
  <c r="AP108" i="7"/>
  <c r="AP114" i="7"/>
  <c r="AP115" i="7" s="1"/>
  <c r="AP116" i="7"/>
  <c r="AP90" i="7"/>
  <c r="AP91" i="7" s="1"/>
  <c r="AP92" i="7"/>
  <c r="E106" i="7"/>
  <c r="E107" i="7" s="1"/>
  <c r="E108" i="7"/>
  <c r="E116" i="7"/>
  <c r="E114" i="7"/>
  <c r="E115" i="7" s="1"/>
  <c r="E100" i="7"/>
  <c r="E98" i="7"/>
  <c r="E99" i="7" s="1"/>
  <c r="E84" i="7"/>
  <c r="E85" i="7" s="1"/>
  <c r="E83" i="7"/>
  <c r="E90" i="7"/>
  <c r="E91" i="7" s="1"/>
  <c r="E92" i="7"/>
  <c r="AQ83" i="7"/>
  <c r="AQ84" i="7"/>
  <c r="AQ85" i="7" s="1"/>
  <c r="AQ108" i="7"/>
  <c r="AQ106" i="7"/>
  <c r="AQ107" i="7" s="1"/>
  <c r="AQ90" i="7"/>
  <c r="AQ91" i="7" s="1"/>
  <c r="AQ92" i="7"/>
  <c r="AQ114" i="7"/>
  <c r="AQ115" i="7" s="1"/>
  <c r="AQ116" i="7"/>
  <c r="AQ98" i="7"/>
  <c r="AQ99" i="7" s="1"/>
  <c r="AQ100" i="7"/>
  <c r="D98" i="7"/>
  <c r="D99" i="7" s="1"/>
  <c r="D100" i="7"/>
  <c r="D114" i="7"/>
  <c r="D115" i="7" s="1"/>
  <c r="D116" i="7"/>
  <c r="D106" i="7"/>
  <c r="D107" i="7" s="1"/>
  <c r="D108" i="7"/>
  <c r="D90" i="7"/>
  <c r="D91" i="7" s="1"/>
  <c r="D92" i="7"/>
  <c r="C92" i="7"/>
  <c r="C90" i="7"/>
  <c r="C91" i="7" s="1"/>
  <c r="C108" i="7"/>
  <c r="C106" i="7"/>
  <c r="C107" i="7" s="1"/>
  <c r="C100" i="7"/>
  <c r="C98" i="7"/>
  <c r="C99" i="7" s="1"/>
  <c r="C116" i="7"/>
  <c r="C114" i="7"/>
  <c r="C115" i="7" s="1"/>
  <c r="D84" i="7"/>
  <c r="D85" i="7" s="1"/>
  <c r="D83" i="7"/>
  <c r="G85" i="7" l="1"/>
  <c r="R85" i="7"/>
  <c r="AK85" i="7"/>
  <c r="M85" i="7"/>
  <c r="N85" i="7"/>
  <c r="O85" i="7"/>
  <c r="AD85" i="7"/>
  <c r="AE85" i="7"/>
  <c r="AF85" i="7"/>
  <c r="AG85" i="7"/>
  <c r="AH85" i="7"/>
  <c r="F86" i="7"/>
  <c r="F117" i="7"/>
  <c r="F118" i="7"/>
  <c r="F109" i="7"/>
  <c r="F110" i="7"/>
  <c r="F102" i="7"/>
  <c r="F101" i="7"/>
  <c r="F93" i="7"/>
  <c r="F94" i="7"/>
  <c r="G86" i="7"/>
  <c r="G93" i="7"/>
  <c r="G94" i="7"/>
  <c r="G109" i="7"/>
  <c r="G110" i="7"/>
  <c r="G102" i="7"/>
  <c r="G101" i="7"/>
  <c r="G118" i="7"/>
  <c r="G117" i="7"/>
  <c r="H110" i="7"/>
  <c r="H109" i="7"/>
  <c r="H102" i="7"/>
  <c r="H101" i="7"/>
  <c r="H86" i="7"/>
  <c r="H117" i="7"/>
  <c r="H118" i="7"/>
  <c r="H93" i="7"/>
  <c r="H94" i="7"/>
  <c r="I109" i="7"/>
  <c r="I110" i="7"/>
  <c r="I93" i="7"/>
  <c r="I94" i="7"/>
  <c r="I117" i="7"/>
  <c r="I118" i="7"/>
  <c r="I86" i="7"/>
  <c r="I102" i="7"/>
  <c r="I101" i="7"/>
  <c r="J102" i="7"/>
  <c r="J101" i="7"/>
  <c r="J86" i="7"/>
  <c r="J109" i="7"/>
  <c r="J110" i="7"/>
  <c r="J117" i="7"/>
  <c r="J118" i="7"/>
  <c r="J93" i="7"/>
  <c r="J94" i="7"/>
  <c r="K101" i="7"/>
  <c r="K102" i="7"/>
  <c r="K86" i="7"/>
  <c r="K93" i="7"/>
  <c r="K94" i="7"/>
  <c r="K109" i="7"/>
  <c r="K110" i="7"/>
  <c r="K117" i="7"/>
  <c r="K118" i="7"/>
  <c r="L101" i="7"/>
  <c r="L102" i="7"/>
  <c r="L86" i="7"/>
  <c r="L117" i="7"/>
  <c r="L118" i="7"/>
  <c r="L93" i="7"/>
  <c r="L94" i="7"/>
  <c r="L109" i="7"/>
  <c r="L110" i="7"/>
  <c r="M102" i="7"/>
  <c r="M101" i="7"/>
  <c r="M93" i="7"/>
  <c r="M94" i="7"/>
  <c r="M86" i="7"/>
  <c r="M117" i="7"/>
  <c r="M118" i="7"/>
  <c r="M109" i="7"/>
  <c r="M110" i="7"/>
  <c r="N102" i="7"/>
  <c r="N101" i="7"/>
  <c r="N93" i="7"/>
  <c r="N94" i="7"/>
  <c r="N86" i="7"/>
  <c r="N117" i="7"/>
  <c r="N118" i="7"/>
  <c r="N109" i="7"/>
  <c r="N110" i="7"/>
  <c r="O117" i="7"/>
  <c r="O118" i="7"/>
  <c r="O93" i="7"/>
  <c r="O94" i="7"/>
  <c r="O109" i="7"/>
  <c r="O110" i="7"/>
  <c r="O86" i="7"/>
  <c r="O102" i="7"/>
  <c r="O101" i="7"/>
  <c r="P93" i="7"/>
  <c r="P94" i="7"/>
  <c r="P117" i="7"/>
  <c r="P118" i="7"/>
  <c r="P101" i="7"/>
  <c r="P102" i="7"/>
  <c r="P86" i="7"/>
  <c r="P109" i="7"/>
  <c r="P110" i="7"/>
  <c r="Q86" i="7"/>
  <c r="Q93" i="7"/>
  <c r="Q94" i="7"/>
  <c r="Q101" i="7"/>
  <c r="Q102" i="7"/>
  <c r="Q117" i="7"/>
  <c r="Q118" i="7"/>
  <c r="Q109" i="7"/>
  <c r="Q110" i="7"/>
  <c r="R117" i="7"/>
  <c r="R118" i="7"/>
  <c r="R93" i="7"/>
  <c r="R94" i="7"/>
  <c r="R86" i="7"/>
  <c r="R102" i="7"/>
  <c r="R101" i="7"/>
  <c r="R109" i="7"/>
  <c r="R110" i="7"/>
  <c r="S117" i="7"/>
  <c r="S118" i="7"/>
  <c r="S86" i="7"/>
  <c r="S109" i="7"/>
  <c r="S110" i="7"/>
  <c r="S101" i="7"/>
  <c r="S102" i="7"/>
  <c r="S93" i="7"/>
  <c r="S94" i="7"/>
  <c r="T117" i="7"/>
  <c r="T118" i="7"/>
  <c r="T93" i="7"/>
  <c r="T94" i="7"/>
  <c r="T109" i="7"/>
  <c r="T110" i="7"/>
  <c r="T86" i="7"/>
  <c r="T101" i="7"/>
  <c r="T102" i="7"/>
  <c r="U93" i="7"/>
  <c r="U94" i="7"/>
  <c r="U118" i="7"/>
  <c r="U117" i="7"/>
  <c r="U102" i="7"/>
  <c r="U101" i="7"/>
  <c r="U109" i="7"/>
  <c r="U110" i="7"/>
  <c r="U86" i="7"/>
  <c r="V86" i="7"/>
  <c r="V109" i="7"/>
  <c r="V110" i="7"/>
  <c r="V117" i="7"/>
  <c r="V118" i="7"/>
  <c r="V101" i="7"/>
  <c r="V102" i="7"/>
  <c r="V93" i="7"/>
  <c r="V94" i="7"/>
  <c r="W102" i="7"/>
  <c r="W101" i="7"/>
  <c r="W117" i="7"/>
  <c r="W118" i="7"/>
  <c r="W86" i="7"/>
  <c r="W93" i="7"/>
  <c r="W94" i="7"/>
  <c r="W109" i="7"/>
  <c r="W110" i="7"/>
  <c r="X102" i="7"/>
  <c r="X101" i="7"/>
  <c r="X86" i="7"/>
  <c r="X93" i="7"/>
  <c r="X94" i="7"/>
  <c r="X109" i="7"/>
  <c r="X110" i="7"/>
  <c r="X117" i="7"/>
  <c r="X118" i="7"/>
  <c r="Y117" i="7"/>
  <c r="Y118" i="7"/>
  <c r="Y86" i="7"/>
  <c r="Y109" i="7"/>
  <c r="Y110" i="7"/>
  <c r="Y102" i="7"/>
  <c r="Y101" i="7"/>
  <c r="Y93" i="7"/>
  <c r="Y94" i="7"/>
  <c r="Z117" i="7"/>
  <c r="Z118" i="7"/>
  <c r="Z86" i="7"/>
  <c r="Z101" i="7"/>
  <c r="Z102" i="7"/>
  <c r="Z93" i="7"/>
  <c r="Z94" i="7"/>
  <c r="Z109" i="7"/>
  <c r="Z110" i="7"/>
  <c r="AA93" i="7"/>
  <c r="AA94" i="7"/>
  <c r="AA86" i="7"/>
  <c r="AA109" i="7"/>
  <c r="AA110" i="7"/>
  <c r="AA117" i="7"/>
  <c r="AA118" i="7"/>
  <c r="AA101" i="7"/>
  <c r="AA102" i="7"/>
  <c r="AB93" i="7"/>
  <c r="AB94" i="7"/>
  <c r="AB109" i="7"/>
  <c r="AB110" i="7"/>
  <c r="AB102" i="7"/>
  <c r="AB101" i="7"/>
  <c r="AB117" i="7"/>
  <c r="AB118" i="7"/>
  <c r="AB86" i="7"/>
  <c r="AC86" i="7"/>
  <c r="AC93" i="7"/>
  <c r="AC94" i="7"/>
  <c r="AC109" i="7"/>
  <c r="AC110" i="7"/>
  <c r="AC102" i="7"/>
  <c r="AC101" i="7"/>
  <c r="AC117" i="7"/>
  <c r="AC118" i="7"/>
  <c r="AD102" i="7"/>
  <c r="AD101" i="7"/>
  <c r="AD109" i="7"/>
  <c r="AD110" i="7"/>
  <c r="AD86" i="7"/>
  <c r="AD93" i="7"/>
  <c r="AD94" i="7"/>
  <c r="AD117" i="7"/>
  <c r="AD118" i="7"/>
  <c r="AE93" i="7"/>
  <c r="AE94" i="7"/>
  <c r="AE86" i="7"/>
  <c r="AE101" i="7"/>
  <c r="AE102" i="7"/>
  <c r="AE109" i="7"/>
  <c r="AE110" i="7"/>
  <c r="AE117" i="7"/>
  <c r="AE118" i="7"/>
  <c r="AF93" i="7"/>
  <c r="AF94" i="7"/>
  <c r="AF109" i="7"/>
  <c r="AF110" i="7"/>
  <c r="AF86" i="7"/>
  <c r="AF117" i="7"/>
  <c r="AF118" i="7"/>
  <c r="AF102" i="7"/>
  <c r="AF101" i="7"/>
  <c r="AG102" i="7"/>
  <c r="AG101" i="7"/>
  <c r="AG109" i="7"/>
  <c r="AG110" i="7"/>
  <c r="AG93" i="7"/>
  <c r="AG94" i="7"/>
  <c r="AG86" i="7"/>
  <c r="AG117" i="7"/>
  <c r="AG118" i="7"/>
  <c r="AH117" i="7"/>
  <c r="AH118" i="7"/>
  <c r="AH86" i="7"/>
  <c r="AH109" i="7"/>
  <c r="AH110" i="7"/>
  <c r="AH102" i="7"/>
  <c r="AH101" i="7"/>
  <c r="AH93" i="7"/>
  <c r="AH94" i="7"/>
  <c r="AI93" i="7"/>
  <c r="AI94" i="7"/>
  <c r="AI101" i="7"/>
  <c r="AI102" i="7"/>
  <c r="AI109" i="7"/>
  <c r="AI110" i="7"/>
  <c r="AI86" i="7"/>
  <c r="AI117" i="7"/>
  <c r="AI118" i="7"/>
  <c r="AJ93" i="7"/>
  <c r="AJ94" i="7"/>
  <c r="AJ86" i="7"/>
  <c r="AJ101" i="7"/>
  <c r="AJ102" i="7"/>
  <c r="AJ109" i="7"/>
  <c r="AJ110" i="7"/>
  <c r="AJ117" i="7"/>
  <c r="AJ118" i="7"/>
  <c r="AK86" i="7"/>
  <c r="AK109" i="7"/>
  <c r="AK110" i="7"/>
  <c r="AK117" i="7"/>
  <c r="AK118" i="7"/>
  <c r="AK93" i="7"/>
  <c r="AK94" i="7"/>
  <c r="AK101" i="7"/>
  <c r="AK102" i="7"/>
  <c r="AL93" i="7"/>
  <c r="AL94" i="7"/>
  <c r="AL109" i="7"/>
  <c r="AL110" i="7"/>
  <c r="AL117" i="7"/>
  <c r="AL118" i="7"/>
  <c r="AL101" i="7"/>
  <c r="AL102" i="7"/>
  <c r="AL86" i="7"/>
  <c r="AM109" i="7"/>
  <c r="AM110" i="7"/>
  <c r="AM86" i="7"/>
  <c r="AM101" i="7"/>
  <c r="AM102" i="7"/>
  <c r="AM117" i="7"/>
  <c r="AM118" i="7"/>
  <c r="AM93" i="7"/>
  <c r="AM94" i="7"/>
  <c r="AN86" i="7"/>
  <c r="AN93" i="7"/>
  <c r="AN94" i="7"/>
  <c r="AN101" i="7"/>
  <c r="AN102" i="7"/>
  <c r="AN117" i="7"/>
  <c r="AN118" i="7"/>
  <c r="AN109" i="7"/>
  <c r="AN110" i="7"/>
  <c r="AO117" i="7"/>
  <c r="AO118" i="7"/>
  <c r="AO101" i="7"/>
  <c r="AO102" i="7"/>
  <c r="AO109" i="7"/>
  <c r="AO110" i="7"/>
  <c r="AO93" i="7"/>
  <c r="AO94" i="7"/>
  <c r="AO86" i="7"/>
  <c r="AP86" i="7"/>
  <c r="AP102" i="7"/>
  <c r="AP101" i="7"/>
  <c r="AP109" i="7"/>
  <c r="AP110" i="7"/>
  <c r="AP117" i="7"/>
  <c r="AP118" i="7"/>
  <c r="AP93" i="7"/>
  <c r="AP94" i="7"/>
  <c r="E109" i="7"/>
  <c r="E110" i="7"/>
  <c r="E117" i="7"/>
  <c r="E118" i="7"/>
  <c r="E102" i="7"/>
  <c r="E101" i="7"/>
  <c r="E86" i="7"/>
  <c r="E93" i="7"/>
  <c r="E94" i="7"/>
  <c r="AQ86" i="7"/>
  <c r="AQ109" i="7"/>
  <c r="AQ110" i="7"/>
  <c r="AQ93" i="7"/>
  <c r="AQ94" i="7"/>
  <c r="AQ117" i="7"/>
  <c r="AQ118" i="7"/>
  <c r="AQ102" i="7"/>
  <c r="AQ101" i="7"/>
  <c r="D101" i="7"/>
  <c r="D102" i="7"/>
  <c r="D117" i="7"/>
  <c r="D118" i="7"/>
  <c r="D109" i="7"/>
  <c r="D110" i="7"/>
  <c r="D93" i="7"/>
  <c r="D94" i="7"/>
  <c r="C86" i="7"/>
  <c r="C85" i="7"/>
  <c r="C93" i="7"/>
  <c r="C94" i="7"/>
  <c r="C110" i="7"/>
  <c r="C109" i="7"/>
  <c r="C102" i="7"/>
  <c r="C101" i="7"/>
  <c r="C118" i="7"/>
  <c r="C117" i="7"/>
  <c r="D86" i="7"/>
</calcChain>
</file>

<file path=xl/sharedStrings.xml><?xml version="1.0" encoding="utf-8"?>
<sst xmlns="http://schemas.openxmlformats.org/spreadsheetml/2006/main" count="711" uniqueCount="166">
  <si>
    <t>Element</t>
  </si>
  <si>
    <t>Li7</t>
  </si>
  <si>
    <t>B11</t>
  </si>
  <si>
    <t>Na23</t>
  </si>
  <si>
    <t>Mg24</t>
  </si>
  <si>
    <t>Al27</t>
  </si>
  <si>
    <t>Si29</t>
  </si>
  <si>
    <t>P31</t>
  </si>
  <si>
    <t>K39</t>
  </si>
  <si>
    <t>Ca43</t>
  </si>
  <si>
    <t>Sc45</t>
  </si>
  <si>
    <t>Ti47</t>
  </si>
  <si>
    <t>V51</t>
  </si>
  <si>
    <t>Mn55</t>
  </si>
  <si>
    <t>Fe57</t>
  </si>
  <si>
    <t>As75</t>
  </si>
  <si>
    <t>Rb85</t>
  </si>
  <si>
    <t>Sr88</t>
  </si>
  <si>
    <t>Y89</t>
  </si>
  <si>
    <t>Zr90</t>
  </si>
  <si>
    <t>Nb93</t>
  </si>
  <si>
    <t>Cs133</t>
  </si>
  <si>
    <t>Ba138</t>
  </si>
  <si>
    <t>La139</t>
  </si>
  <si>
    <t>Ce140</t>
  </si>
  <si>
    <t>Pr141</t>
  </si>
  <si>
    <t>Nd146</t>
  </si>
  <si>
    <t>Sm147</t>
  </si>
  <si>
    <t>Eu151</t>
  </si>
  <si>
    <t>Gd157</t>
  </si>
  <si>
    <t>Tb159</t>
  </si>
  <si>
    <t>Dy163</t>
  </si>
  <si>
    <t>Ho165</t>
  </si>
  <si>
    <t>Er166</t>
  </si>
  <si>
    <t>Tm169</t>
  </si>
  <si>
    <t>Yb172</t>
  </si>
  <si>
    <t>Lu175</t>
  </si>
  <si>
    <t>Hf178</t>
  </si>
  <si>
    <t>Ta181</t>
  </si>
  <si>
    <t>Pb208</t>
  </si>
  <si>
    <t>Th232</t>
  </si>
  <si>
    <t>U238</t>
  </si>
  <si>
    <t>001N612</t>
  </si>
  <si>
    <t>&lt;21.40</t>
  </si>
  <si>
    <t>002N612</t>
  </si>
  <si>
    <t>&lt;21.20</t>
  </si>
  <si>
    <t>003N612</t>
  </si>
  <si>
    <t>&lt;21.54</t>
  </si>
  <si>
    <t>004KL2</t>
  </si>
  <si>
    <t>005KL2</t>
  </si>
  <si>
    <t>006KL2</t>
  </si>
  <si>
    <t>007BM90</t>
  </si>
  <si>
    <t>&lt;24.43</t>
  </si>
  <si>
    <t>008BM90</t>
  </si>
  <si>
    <t>&lt;25.01</t>
  </si>
  <si>
    <t>&lt;0.074</t>
  </si>
  <si>
    <t>&lt;0.0218</t>
  </si>
  <si>
    <t>&lt;0.0062</t>
  </si>
  <si>
    <t>009GOR132</t>
  </si>
  <si>
    <t>010GOR132</t>
  </si>
  <si>
    <t>&lt;0.0051</t>
  </si>
  <si>
    <t>011GOR128</t>
  </si>
  <si>
    <t>&lt;0.0152</t>
  </si>
  <si>
    <t>012GOR128</t>
  </si>
  <si>
    <t>&lt;0.0108</t>
  </si>
  <si>
    <t>&lt;0.0073</t>
  </si>
  <si>
    <t>013BCR2G</t>
  </si>
  <si>
    <t>014BCR2G</t>
  </si>
  <si>
    <t>015MC22-1-16</t>
  </si>
  <si>
    <t>016MC22-1-20</t>
  </si>
  <si>
    <t>017MC22-1-21</t>
  </si>
  <si>
    <t>018MC22-1-26</t>
  </si>
  <si>
    <t>019MC22-1-26B</t>
  </si>
  <si>
    <t>020MC22-1-27</t>
  </si>
  <si>
    <t>021MC22-2-1</t>
  </si>
  <si>
    <t>022MC22-2-5</t>
  </si>
  <si>
    <t>023MC22-2-8</t>
  </si>
  <si>
    <t>024KL2</t>
  </si>
  <si>
    <t>025KL2</t>
  </si>
  <si>
    <t>026KL2</t>
  </si>
  <si>
    <t>027N612</t>
  </si>
  <si>
    <t>028BCR2G</t>
  </si>
  <si>
    <t>029MC22-2-9</t>
  </si>
  <si>
    <t>030MC22-2-23</t>
  </si>
  <si>
    <t>031MC22-2-35</t>
  </si>
  <si>
    <t>032MC22-2-32</t>
  </si>
  <si>
    <t>034MC22-2-30</t>
  </si>
  <si>
    <t>035MC22-2-24</t>
  </si>
  <si>
    <t>036MC22-2-27</t>
  </si>
  <si>
    <t>037MC22-2-28</t>
  </si>
  <si>
    <t>038MC22-2-29</t>
  </si>
  <si>
    <t>039MC22-2-29B</t>
  </si>
  <si>
    <t>040MC22-2-31</t>
  </si>
  <si>
    <t>041MC22-2-40</t>
  </si>
  <si>
    <t>042KL2</t>
  </si>
  <si>
    <t>043GOR132</t>
  </si>
  <si>
    <t>&lt;0.0086</t>
  </si>
  <si>
    <t>044KL2</t>
  </si>
  <si>
    <t>045KL2</t>
  </si>
  <si>
    <t>046KL2</t>
  </si>
  <si>
    <t>047GOR128</t>
  </si>
  <si>
    <t>&lt;0.076</t>
  </si>
  <si>
    <t>&lt;0.0067</t>
  </si>
  <si>
    <t>048MC59-1-2A</t>
  </si>
  <si>
    <t>049MC59-2-1A</t>
  </si>
  <si>
    <t>050MC59-2-6A</t>
  </si>
  <si>
    <t>051MC59-9-1A</t>
  </si>
  <si>
    <t>052MC59-9-1B</t>
  </si>
  <si>
    <t>053MC59-9-1B2</t>
  </si>
  <si>
    <t>054MC59-2-8A</t>
  </si>
  <si>
    <t>055MC59-1-3A</t>
  </si>
  <si>
    <t>056MC59-1-3B</t>
  </si>
  <si>
    <t>057MC59-1-7B</t>
  </si>
  <si>
    <t>058MC82-6</t>
  </si>
  <si>
    <t>059MC82-11</t>
  </si>
  <si>
    <t>060MC82-29</t>
  </si>
  <si>
    <t>061MC82-35</t>
  </si>
  <si>
    <t>062MC82-37</t>
  </si>
  <si>
    <t>063MC82-39</t>
  </si>
  <si>
    <t>064KL2</t>
  </si>
  <si>
    <t>065KL2</t>
  </si>
  <si>
    <t>066KL2</t>
  </si>
  <si>
    <t>067KL2</t>
  </si>
  <si>
    <t>068GOR132</t>
  </si>
  <si>
    <t>&lt;0.0094</t>
  </si>
  <si>
    <t>069GOR128</t>
  </si>
  <si>
    <t>&lt;0.0083</t>
  </si>
  <si>
    <t>070BCR2G</t>
  </si>
  <si>
    <t>071MC82-12</t>
  </si>
  <si>
    <t>072MC82-12B</t>
  </si>
  <si>
    <t>073MC82-19</t>
  </si>
  <si>
    <t>074MC82-21</t>
  </si>
  <si>
    <t>075MC82-28</t>
  </si>
  <si>
    <t>076MC82-32</t>
  </si>
  <si>
    <t>077MC82-40</t>
  </si>
  <si>
    <t>078MC82-5</t>
  </si>
  <si>
    <t>079MC99U-7</t>
  </si>
  <si>
    <t>080MC99U-10</t>
  </si>
  <si>
    <t>081KL2</t>
  </si>
  <si>
    <t>082KL2</t>
  </si>
  <si>
    <t>083KL2</t>
  </si>
  <si>
    <t>084N612</t>
  </si>
  <si>
    <t>&lt;22.90</t>
  </si>
  <si>
    <t>085N612</t>
  </si>
  <si>
    <t>&lt;22.66</t>
  </si>
  <si>
    <t>086N612</t>
  </si>
  <si>
    <t>&lt;23.61</t>
  </si>
  <si>
    <t>Average</t>
  </si>
  <si>
    <t>StdDev</t>
  </si>
  <si>
    <t>2RSD</t>
  </si>
  <si>
    <t>StdDev %</t>
  </si>
  <si>
    <t>KL2-G</t>
  </si>
  <si>
    <t>Slope</t>
  </si>
  <si>
    <t>Intercept</t>
  </si>
  <si>
    <t>&lt;-1.00</t>
  </si>
  <si>
    <t>Average KL2</t>
  </si>
  <si>
    <t>DevFromStd</t>
  </si>
  <si>
    <t>2RSD%</t>
  </si>
  <si>
    <t>BM90/21-G</t>
  </si>
  <si>
    <t>GOR128-G</t>
  </si>
  <si>
    <t>GOR132-G</t>
  </si>
  <si>
    <t>BCR2-G</t>
  </si>
  <si>
    <t>Average BM90</t>
  </si>
  <si>
    <t>Average GOR128</t>
  </si>
  <si>
    <t>Average GOR132</t>
  </si>
  <si>
    <t>Average BCR2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</si>
</sst>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D84"/>
        <bgColor indexed="64"/>
      </patternFill>
    </fill>
    <fill>
      <patternFill patternType="solid">
        <fgColor rgb="FFFF605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9" fontId="0" fillId="0" borderId="0" xfId="1" applyFont="1"/>
    <xf numFmtId="10" fontId="0" fillId="0" borderId="0" xfId="1" applyNumberFormat="1" applyFont="1"/>
    <xf numFmtId="165" fontId="0" fillId="0" borderId="0" xfId="0" applyNumberFormat="1"/>
    <xf numFmtId="0" fontId="3" fillId="0" borderId="0" xfId="0" applyFont="1"/>
    <xf numFmtId="0" fontId="3" fillId="9" borderId="0" xfId="0" applyFont="1" applyFill="1"/>
    <xf numFmtId="0" fontId="0" fillId="9" borderId="0" xfId="0" applyFill="1"/>
    <xf numFmtId="165" fontId="0" fillId="9" borderId="0" xfId="0" applyNumberFormat="1" applyFill="1"/>
    <xf numFmtId="0" fontId="0" fillId="0" borderId="0" xfId="0" applyAlignment="1">
      <alignment horizontal="left"/>
    </xf>
    <xf numFmtId="0" fontId="2" fillId="0" borderId="0" xfId="0" applyFont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3" fillId="11" borderId="0" xfId="0" applyFont="1" applyFill="1"/>
    <xf numFmtId="165" fontId="0" fillId="11" borderId="0" xfId="0" applyNumberFormat="1" applyFill="1"/>
    <xf numFmtId="0" fontId="0" fillId="14" borderId="0" xfId="0" applyFill="1"/>
    <xf numFmtId="9" fontId="2" fillId="0" borderId="0" xfId="1" applyFont="1"/>
    <xf numFmtId="0" fontId="2" fillId="13" borderId="0" xfId="0" applyFont="1" applyFill="1"/>
    <xf numFmtId="0" fontId="0" fillId="0" borderId="0" xfId="0" applyFont="1" applyFill="1"/>
    <xf numFmtId="0" fontId="0" fillId="0" borderId="0" xfId="0" applyFont="1"/>
    <xf numFmtId="0" fontId="0" fillId="12" borderId="0" xfId="0" applyFont="1" applyFill="1"/>
    <xf numFmtId="0" fontId="0" fillId="10" borderId="0" xfId="0" applyFont="1" applyFill="1"/>
    <xf numFmtId="0" fontId="0" fillId="8" borderId="0" xfId="0" applyFont="1" applyFill="1"/>
    <xf numFmtId="0" fontId="0" fillId="13" borderId="0" xfId="0" applyFont="1" applyFill="1"/>
    <xf numFmtId="9" fontId="0" fillId="15" borderId="0" xfId="1" applyFont="1" applyFill="1"/>
    <xf numFmtId="9" fontId="1" fillId="0" borderId="0" xfId="1" applyFont="1"/>
    <xf numFmtId="0" fontId="0" fillId="16" borderId="0" xfId="0" applyFill="1"/>
    <xf numFmtId="0" fontId="2" fillId="5" borderId="0" xfId="0" applyFont="1" applyFill="1"/>
  </cellXfs>
  <cellStyles count="2">
    <cellStyle name="Normal" xfId="0" builtinId="0"/>
    <cellStyle name="Percent" xfId="1" builtinId="5"/>
  </cellStyles>
  <dxfs count="10"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 patternType="solid">
          <fgColor rgb="FFF2CEEF"/>
          <bgColor rgb="FF000000"/>
        </patternFill>
      </fill>
    </dxf>
  </dxfs>
  <tableStyles count="0" defaultTableStyle="TableStyleMedium2" defaultPivotStyle="PivotStyleLight16"/>
  <colors>
    <mruColors>
      <color rgb="FFFFFD84"/>
      <color rgb="FFFF6054"/>
      <color rgb="FFD1FF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Sheet4!$AC$7:$AC$35</c:f>
              <c:numCache>
                <c:formatCode>General</c:formatCode>
                <c:ptCount val="14"/>
                <c:pt idx="0">
                  <c:v>1.91</c:v>
                </c:pt>
                <c:pt idx="1">
                  <c:v>2</c:v>
                </c:pt>
                <c:pt idx="2">
                  <c:v>1.72</c:v>
                </c:pt>
                <c:pt idx="3">
                  <c:v>1.95</c:v>
                </c:pt>
                <c:pt idx="4">
                  <c:v>1.91</c:v>
                </c:pt>
                <c:pt idx="5">
                  <c:v>1.98</c:v>
                </c:pt>
                <c:pt idx="6">
                  <c:v>1.79</c:v>
                </c:pt>
                <c:pt idx="7">
                  <c:v>1.79</c:v>
                </c:pt>
                <c:pt idx="8">
                  <c:v>1.97</c:v>
                </c:pt>
                <c:pt idx="9">
                  <c:v>2.09</c:v>
                </c:pt>
                <c:pt idx="10">
                  <c:v>1.88</c:v>
                </c:pt>
                <c:pt idx="11">
                  <c:v>1.95</c:v>
                </c:pt>
                <c:pt idx="12">
                  <c:v>2.08</c:v>
                </c:pt>
                <c:pt idx="13">
                  <c:v>1.78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C6-4040-B80C-60F4B4C34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9839935"/>
        <c:axId val="1899852479"/>
      </c:scatterChart>
      <c:valAx>
        <c:axId val="1899839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1899852479"/>
        <c:crosses val="autoZero"/>
        <c:crossBetween val="midCat"/>
      </c:valAx>
      <c:valAx>
        <c:axId val="189985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1899839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Sheet4!$G$11:$G$32</c:f>
              <c:numCache>
                <c:formatCode>General</c:formatCode>
                <c:ptCount val="12"/>
                <c:pt idx="0">
                  <c:v>230785.91</c:v>
                </c:pt>
                <c:pt idx="1">
                  <c:v>238980.2</c:v>
                </c:pt>
                <c:pt idx="2">
                  <c:v>240256.08</c:v>
                </c:pt>
                <c:pt idx="3">
                  <c:v>243090.78</c:v>
                </c:pt>
                <c:pt idx="4">
                  <c:v>221212.44</c:v>
                </c:pt>
                <c:pt idx="5">
                  <c:v>244224.97</c:v>
                </c:pt>
                <c:pt idx="6">
                  <c:v>237209.92</c:v>
                </c:pt>
                <c:pt idx="7">
                  <c:v>237350.97</c:v>
                </c:pt>
                <c:pt idx="8">
                  <c:v>227196.58</c:v>
                </c:pt>
                <c:pt idx="9">
                  <c:v>241409.72</c:v>
                </c:pt>
                <c:pt idx="10">
                  <c:v>229585.39</c:v>
                </c:pt>
                <c:pt idx="11">
                  <c:v>226600.16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6D-AE4D-A0C0-98A0B3F5B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209535"/>
        <c:axId val="1316224319"/>
      </c:scatterChart>
      <c:valAx>
        <c:axId val="131620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1316224319"/>
        <c:crosses val="autoZero"/>
        <c:crossBetween val="midCat"/>
      </c:valAx>
      <c:valAx>
        <c:axId val="131622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131620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Calibration!$A$22:$A$32</c:f>
              <c:numCache>
                <c:formatCode>General</c:formatCode>
                <c:ptCount val="11"/>
                <c:pt idx="0">
                  <c:v>2</c:v>
                </c:pt>
                <c:pt idx="1">
                  <c:v>21</c:v>
                </c:pt>
                <c:pt idx="2">
                  <c:v>22</c:v>
                </c:pt>
                <c:pt idx="3">
                  <c:v>37</c:v>
                </c:pt>
                <c:pt idx="4">
                  <c:v>39</c:v>
                </c:pt>
                <c:pt idx="5">
                  <c:v>40</c:v>
                </c:pt>
                <c:pt idx="6">
                  <c:v>59</c:v>
                </c:pt>
                <c:pt idx="7">
                  <c:v>60</c:v>
                </c:pt>
                <c:pt idx="8">
                  <c:v>61</c:v>
                </c:pt>
                <c:pt idx="9">
                  <c:v>76</c:v>
                </c:pt>
                <c:pt idx="10">
                  <c:v>77</c:v>
                </c:pt>
              </c:numCache>
            </c:numRef>
          </c:xVal>
          <c:yVal>
            <c:numRef>
              <c:f>Calibration!$D$22:$D$32</c:f>
              <c:numCache>
                <c:formatCode>General</c:formatCode>
                <c:ptCount val="11"/>
                <c:pt idx="0">
                  <c:v>0.90842490842490842</c:v>
                </c:pt>
                <c:pt idx="1">
                  <c:v>0.97802197802197799</c:v>
                </c:pt>
                <c:pt idx="2">
                  <c:v>0.79487179487179482</c:v>
                </c:pt>
                <c:pt idx="3">
                  <c:v>0.8205128205128206</c:v>
                </c:pt>
                <c:pt idx="4">
                  <c:v>0.83516483516483508</c:v>
                </c:pt>
                <c:pt idx="5">
                  <c:v>0.90476190476190488</c:v>
                </c:pt>
                <c:pt idx="6">
                  <c:v>0.98534798534798529</c:v>
                </c:pt>
                <c:pt idx="7">
                  <c:v>0.8571428571428571</c:v>
                </c:pt>
                <c:pt idx="8">
                  <c:v>0.87179487179487181</c:v>
                </c:pt>
                <c:pt idx="9">
                  <c:v>1.1465201465201464</c:v>
                </c:pt>
                <c:pt idx="10">
                  <c:v>1.2930402930402929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8EC-B74B-ACE0-5D8B205C4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949760"/>
        <c:axId val="622252416"/>
      </c:scatterChart>
      <c:valAx>
        <c:axId val="62094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622252416"/>
        <c:crosses val="autoZero"/>
        <c:crossBetween val="midCat"/>
      </c:valAx>
      <c:valAx>
        <c:axId val="62225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620949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755650</xdr:colOff>
      <xdr:row>41</xdr:row>
      <xdr:rowOff>120650</xdr:rowOff>
    </xdr:from>
    <xdr:to>
      <xdr:col>30</xdr:col>
      <xdr:colOff>374650</xdr:colOff>
      <xdr:row>55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580316-857B-768B-7E09-97BC90565D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273050</xdr:colOff>
      <xdr:row>46</xdr:row>
      <xdr:rowOff>184150</xdr:rowOff>
    </xdr:from>
    <xdr:to>
      <xdr:col>13</xdr:col>
      <xdr:colOff>717550</xdr:colOff>
      <xdr:row>60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E7CF6A-937C-EC6A-9F1C-0BDD76F55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5</xdr:row>
      <xdr:rowOff>29633</xdr:rowOff>
    </xdr:from>
    <xdr:to>
      <xdr:col>11</xdr:col>
      <xdr:colOff>220133</xdr:colOff>
      <xdr:row>18</xdr:row>
      <xdr:rowOff>131233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C0D729-2894-BAB4-9BA5-934C030A2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6F5C4-7FF7-D84B-B8CD-47C6B2AEF8D2}">
  <dimension ref="A1:AP86"/>
  <sheetViews>
    <sheetView workbookViewId="0">
      <selection activeCell="A6" sqref="A6"/>
    </sheetView>
  </sheetViews>
  <sheetFormatPr baseColWidth="10" defaultRowHeight="16" x14ac:dyDescent="0.2"/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s="2" t="s">
        <v>42</v>
      </c>
      <c r="B2" s="2">
        <v>30.66</v>
      </c>
      <c r="C2" s="2">
        <v>17.8</v>
      </c>
      <c r="D2" s="2">
        <v>87723.91</v>
      </c>
      <c r="E2" s="2">
        <v>56.61</v>
      </c>
      <c r="F2" s="2">
        <v>10153.24</v>
      </c>
      <c r="G2" s="2">
        <v>274975.25</v>
      </c>
      <c r="H2" s="2">
        <v>35.11</v>
      </c>
      <c r="I2" s="2" t="s">
        <v>43</v>
      </c>
      <c r="J2" s="2">
        <v>85048.7</v>
      </c>
      <c r="K2" s="2">
        <v>41.82</v>
      </c>
      <c r="L2" s="2">
        <v>47.08</v>
      </c>
      <c r="M2" s="2">
        <v>34.76</v>
      </c>
      <c r="N2" s="2">
        <v>33.94</v>
      </c>
      <c r="O2" s="2">
        <v>174.63</v>
      </c>
      <c r="P2" s="2">
        <v>10.88</v>
      </c>
      <c r="Q2" s="2">
        <v>27.33</v>
      </c>
      <c r="R2" s="2">
        <v>77.66</v>
      </c>
      <c r="S2" s="2">
        <v>42.7</v>
      </c>
      <c r="T2" s="2">
        <v>40.98</v>
      </c>
      <c r="U2" s="2">
        <v>38.69</v>
      </c>
      <c r="V2" s="2">
        <v>37.380000000000003</v>
      </c>
      <c r="W2" s="2">
        <v>37.96</v>
      </c>
      <c r="X2" s="2">
        <v>34.39</v>
      </c>
      <c r="Y2" s="2">
        <v>36.26</v>
      </c>
      <c r="Z2" s="2">
        <v>37.409999999999997</v>
      </c>
      <c r="AA2" s="2">
        <v>37.49</v>
      </c>
      <c r="AB2" s="2">
        <v>36.74</v>
      </c>
      <c r="AC2" s="2">
        <v>36.270000000000003</v>
      </c>
      <c r="AD2" s="2">
        <v>38.4</v>
      </c>
      <c r="AE2" s="2">
        <v>40.22</v>
      </c>
      <c r="AF2" s="2">
        <v>37.82</v>
      </c>
      <c r="AG2" s="2">
        <v>41.37</v>
      </c>
      <c r="AH2" s="2">
        <v>41.73</v>
      </c>
      <c r="AI2" s="2">
        <v>41.02</v>
      </c>
      <c r="AJ2" s="2">
        <v>44.17</v>
      </c>
      <c r="AK2" s="2">
        <v>41.1</v>
      </c>
      <c r="AL2" s="2">
        <v>39.380000000000003</v>
      </c>
      <c r="AM2" s="2">
        <v>41.53</v>
      </c>
      <c r="AN2" s="2">
        <v>34.17</v>
      </c>
      <c r="AO2" s="2">
        <v>41.86</v>
      </c>
      <c r="AP2" s="2">
        <v>35.159999999999997</v>
      </c>
    </row>
    <row r="3" spans="1:42" x14ac:dyDescent="0.2">
      <c r="A3" s="2" t="s">
        <v>44</v>
      </c>
      <c r="B3" s="2">
        <v>30.18</v>
      </c>
      <c r="C3" s="2">
        <v>17.899999999999999</v>
      </c>
      <c r="D3" s="2">
        <v>86950.13</v>
      </c>
      <c r="E3" s="2">
        <v>53.83</v>
      </c>
      <c r="F3" s="2">
        <v>9977.2000000000007</v>
      </c>
      <c r="G3" s="2">
        <v>274332.56</v>
      </c>
      <c r="H3" s="2">
        <v>31.7</v>
      </c>
      <c r="I3" s="2" t="s">
        <v>45</v>
      </c>
      <c r="J3" s="2">
        <v>85048.7</v>
      </c>
      <c r="K3" s="2">
        <v>42.45</v>
      </c>
      <c r="L3" s="2">
        <v>45.56</v>
      </c>
      <c r="M3" s="2">
        <v>35.21</v>
      </c>
      <c r="N3" s="2">
        <v>33.32</v>
      </c>
      <c r="O3" s="2">
        <v>165.55</v>
      </c>
      <c r="P3" s="2">
        <v>10.89</v>
      </c>
      <c r="Q3" s="2">
        <v>27.68</v>
      </c>
      <c r="R3" s="2">
        <v>78.62</v>
      </c>
      <c r="S3" s="2">
        <v>42.83</v>
      </c>
      <c r="T3" s="2">
        <v>41.06</v>
      </c>
      <c r="U3" s="2">
        <v>39.049999999999997</v>
      </c>
      <c r="V3" s="2">
        <v>37.56</v>
      </c>
      <c r="W3" s="2">
        <v>37.79</v>
      </c>
      <c r="X3" s="2">
        <v>34.35</v>
      </c>
      <c r="Y3" s="2">
        <v>36.69</v>
      </c>
      <c r="Z3" s="2">
        <v>38.1</v>
      </c>
      <c r="AA3" s="2">
        <v>36.17</v>
      </c>
      <c r="AB3" s="2">
        <v>37.97</v>
      </c>
      <c r="AC3" s="2">
        <v>35.49</v>
      </c>
      <c r="AD3" s="2">
        <v>39.53</v>
      </c>
      <c r="AE3" s="2">
        <v>40.58</v>
      </c>
      <c r="AF3" s="2">
        <v>39.020000000000003</v>
      </c>
      <c r="AG3" s="2">
        <v>40.369999999999997</v>
      </c>
      <c r="AH3" s="2">
        <v>40.83</v>
      </c>
      <c r="AI3" s="2">
        <v>40.4</v>
      </c>
      <c r="AJ3" s="2">
        <v>43.45</v>
      </c>
      <c r="AK3" s="2">
        <v>41.48</v>
      </c>
      <c r="AL3" s="2">
        <v>39.58</v>
      </c>
      <c r="AM3" s="2">
        <v>41.01</v>
      </c>
      <c r="AN3" s="2">
        <v>34.53</v>
      </c>
      <c r="AO3" s="2">
        <v>41.48</v>
      </c>
      <c r="AP3" s="2">
        <v>35.549999999999997</v>
      </c>
    </row>
    <row r="4" spans="1:42" x14ac:dyDescent="0.2">
      <c r="A4" s="2" t="s">
        <v>46</v>
      </c>
      <c r="B4" s="2">
        <v>29.6</v>
      </c>
      <c r="C4" s="2">
        <v>17.75</v>
      </c>
      <c r="D4" s="2">
        <v>87703.38</v>
      </c>
      <c r="E4" s="2">
        <v>57.83</v>
      </c>
      <c r="F4" s="2">
        <v>10274.379999999999</v>
      </c>
      <c r="G4" s="2">
        <v>277987.40999999997</v>
      </c>
      <c r="H4" s="2">
        <v>34.380000000000003</v>
      </c>
      <c r="I4" s="2" t="s">
        <v>47</v>
      </c>
      <c r="J4" s="2">
        <v>85048.7</v>
      </c>
      <c r="K4" s="2">
        <v>41.36</v>
      </c>
      <c r="L4" s="2">
        <v>44.58</v>
      </c>
      <c r="M4" s="2">
        <v>34.32</v>
      </c>
      <c r="N4" s="2">
        <v>34.39</v>
      </c>
      <c r="O4" s="2">
        <v>170.15</v>
      </c>
      <c r="P4" s="2">
        <v>10.69</v>
      </c>
      <c r="Q4" s="2">
        <v>27.43</v>
      </c>
      <c r="R4" s="2">
        <v>78.83</v>
      </c>
      <c r="S4" s="2">
        <v>43.42</v>
      </c>
      <c r="T4" s="2">
        <v>40.74</v>
      </c>
      <c r="U4" s="2">
        <v>39.450000000000003</v>
      </c>
      <c r="V4" s="2">
        <v>37</v>
      </c>
      <c r="W4" s="2">
        <v>38.64</v>
      </c>
      <c r="X4" s="2">
        <v>34.65</v>
      </c>
      <c r="Y4" s="2">
        <v>37.020000000000003</v>
      </c>
      <c r="Z4" s="2">
        <v>37.479999999999997</v>
      </c>
      <c r="AA4" s="2">
        <v>35.92</v>
      </c>
      <c r="AB4" s="2">
        <v>37.770000000000003</v>
      </c>
      <c r="AC4" s="2">
        <v>35.880000000000003</v>
      </c>
      <c r="AD4" s="2">
        <v>40.25</v>
      </c>
      <c r="AE4" s="2">
        <v>40.35</v>
      </c>
      <c r="AF4" s="2">
        <v>38.119999999999997</v>
      </c>
      <c r="AG4" s="2">
        <v>40.42</v>
      </c>
      <c r="AH4" s="2">
        <v>41.39</v>
      </c>
      <c r="AI4" s="2">
        <v>40.869999999999997</v>
      </c>
      <c r="AJ4" s="2">
        <v>42.62</v>
      </c>
      <c r="AK4" s="2">
        <v>40.340000000000003</v>
      </c>
      <c r="AL4" s="2">
        <v>39.35</v>
      </c>
      <c r="AM4" s="2">
        <v>41.47</v>
      </c>
      <c r="AN4" s="2">
        <v>34.369999999999997</v>
      </c>
      <c r="AO4" s="2">
        <v>40.64</v>
      </c>
      <c r="AP4" s="2">
        <v>34.659999999999997</v>
      </c>
    </row>
    <row r="5" spans="1:42" x14ac:dyDescent="0.2">
      <c r="A5" t="s">
        <v>48</v>
      </c>
      <c r="B5">
        <v>5.21</v>
      </c>
      <c r="C5">
        <v>10.95</v>
      </c>
      <c r="D5">
        <v>17091.78</v>
      </c>
      <c r="E5">
        <v>43329.79</v>
      </c>
      <c r="F5">
        <v>68000.88</v>
      </c>
      <c r="G5">
        <v>227196.58</v>
      </c>
      <c r="H5">
        <v>977.73</v>
      </c>
      <c r="I5">
        <v>4196.2</v>
      </c>
      <c r="J5">
        <v>77901.7</v>
      </c>
      <c r="K5">
        <v>31.16</v>
      </c>
      <c r="L5">
        <v>15566.6</v>
      </c>
      <c r="M5">
        <v>312.43</v>
      </c>
      <c r="N5">
        <v>1303.1099999999999</v>
      </c>
      <c r="O5">
        <v>81991.839999999997</v>
      </c>
      <c r="P5">
        <v>0.16500000000000001</v>
      </c>
      <c r="Q5">
        <v>8.56</v>
      </c>
      <c r="R5">
        <v>351.98</v>
      </c>
      <c r="S5">
        <v>24.42</v>
      </c>
      <c r="T5">
        <v>158.88999999999999</v>
      </c>
      <c r="U5">
        <v>15.42</v>
      </c>
      <c r="V5">
        <v>0.122</v>
      </c>
      <c r="W5">
        <v>122.36</v>
      </c>
      <c r="X5">
        <v>12.99</v>
      </c>
      <c r="Y5">
        <v>33.229999999999997</v>
      </c>
      <c r="Z5">
        <v>4.41</v>
      </c>
      <c r="AA5">
        <v>21.36</v>
      </c>
      <c r="AB5">
        <v>5.49</v>
      </c>
      <c r="AC5">
        <v>1.88</v>
      </c>
      <c r="AD5">
        <v>5.94</v>
      </c>
      <c r="AE5">
        <v>0.84399999999999997</v>
      </c>
      <c r="AF5">
        <v>5.15</v>
      </c>
      <c r="AG5">
        <v>0.94</v>
      </c>
      <c r="AH5">
        <v>2.41</v>
      </c>
      <c r="AI5">
        <v>0.28799999999999998</v>
      </c>
      <c r="AJ5">
        <v>2.1</v>
      </c>
      <c r="AK5">
        <v>0.26100000000000001</v>
      </c>
      <c r="AL5">
        <v>3.72</v>
      </c>
      <c r="AM5">
        <v>0.93400000000000005</v>
      </c>
      <c r="AN5">
        <v>2.06</v>
      </c>
      <c r="AO5">
        <v>0.91300000000000003</v>
      </c>
      <c r="AP5">
        <v>0.63600000000000001</v>
      </c>
    </row>
    <row r="6" spans="1:42" x14ac:dyDescent="0.2">
      <c r="A6" t="s">
        <v>49</v>
      </c>
      <c r="B6">
        <v>5.22</v>
      </c>
      <c r="C6">
        <v>2.48</v>
      </c>
      <c r="D6">
        <v>17245.47</v>
      </c>
      <c r="E6">
        <v>44940.31</v>
      </c>
      <c r="F6">
        <v>69620.05</v>
      </c>
      <c r="G6">
        <v>233055.86</v>
      </c>
      <c r="H6">
        <v>919.53</v>
      </c>
      <c r="I6">
        <v>4019.08</v>
      </c>
      <c r="J6">
        <v>77901.7</v>
      </c>
      <c r="K6">
        <v>31.98</v>
      </c>
      <c r="L6">
        <v>15304.21</v>
      </c>
      <c r="M6">
        <v>310.73</v>
      </c>
      <c r="N6">
        <v>1286.29</v>
      </c>
      <c r="O6">
        <v>82919.679999999993</v>
      </c>
      <c r="P6">
        <v>0.107</v>
      </c>
      <c r="Q6">
        <v>8.89</v>
      </c>
      <c r="R6">
        <v>353.77</v>
      </c>
      <c r="S6">
        <v>24.97</v>
      </c>
      <c r="T6">
        <v>147.91</v>
      </c>
      <c r="U6">
        <v>14.71</v>
      </c>
      <c r="V6">
        <v>0.11</v>
      </c>
      <c r="W6">
        <v>123.03</v>
      </c>
      <c r="X6">
        <v>13.2</v>
      </c>
      <c r="Y6">
        <v>31.48</v>
      </c>
      <c r="Z6">
        <v>4.63</v>
      </c>
      <c r="AA6">
        <v>21.51</v>
      </c>
      <c r="AB6">
        <v>5.69</v>
      </c>
      <c r="AC6">
        <v>1.83</v>
      </c>
      <c r="AD6">
        <v>5.69</v>
      </c>
      <c r="AE6">
        <v>0.88900000000000001</v>
      </c>
      <c r="AF6">
        <v>5.19</v>
      </c>
      <c r="AG6">
        <v>0.96</v>
      </c>
      <c r="AH6">
        <v>2.4900000000000002</v>
      </c>
      <c r="AI6">
        <v>0.33</v>
      </c>
      <c r="AJ6">
        <v>2.08</v>
      </c>
      <c r="AK6">
        <v>0.28799999999999998</v>
      </c>
      <c r="AL6">
        <v>3.69</v>
      </c>
      <c r="AM6">
        <v>0.93600000000000005</v>
      </c>
      <c r="AN6">
        <v>2.08</v>
      </c>
      <c r="AO6">
        <v>0.97699999999999998</v>
      </c>
      <c r="AP6">
        <v>0.55800000000000005</v>
      </c>
    </row>
    <row r="7" spans="1:42" x14ac:dyDescent="0.2">
      <c r="A7" t="s">
        <v>50</v>
      </c>
      <c r="B7">
        <v>5.23</v>
      </c>
      <c r="C7">
        <v>2.0699999999999998</v>
      </c>
      <c r="D7">
        <v>18130.38</v>
      </c>
      <c r="E7">
        <v>46158.29</v>
      </c>
      <c r="F7">
        <v>72111.45</v>
      </c>
      <c r="G7">
        <v>241409.72</v>
      </c>
      <c r="H7">
        <v>956.5</v>
      </c>
      <c r="I7">
        <v>4085.24</v>
      </c>
      <c r="J7">
        <v>77901.7</v>
      </c>
      <c r="K7">
        <v>31.86</v>
      </c>
      <c r="L7">
        <v>15292.14</v>
      </c>
      <c r="M7">
        <v>314.17</v>
      </c>
      <c r="N7">
        <v>1316.63</v>
      </c>
      <c r="O7">
        <v>85107.55</v>
      </c>
      <c r="P7">
        <v>0.19900000000000001</v>
      </c>
      <c r="Q7">
        <v>9.14</v>
      </c>
      <c r="R7">
        <v>362.8</v>
      </c>
      <c r="S7">
        <v>25.12</v>
      </c>
      <c r="T7">
        <v>149.61000000000001</v>
      </c>
      <c r="U7">
        <v>15.33</v>
      </c>
      <c r="V7">
        <v>0.11</v>
      </c>
      <c r="W7">
        <v>123.64</v>
      </c>
      <c r="X7">
        <v>12.47</v>
      </c>
      <c r="Y7">
        <v>32.159999999999997</v>
      </c>
      <c r="Z7">
        <v>4.63</v>
      </c>
      <c r="AA7">
        <v>21.58</v>
      </c>
      <c r="AB7">
        <v>5.58</v>
      </c>
      <c r="AC7">
        <v>1.95</v>
      </c>
      <c r="AD7">
        <v>6.14</v>
      </c>
      <c r="AE7">
        <v>0.90700000000000003</v>
      </c>
      <c r="AF7">
        <v>4.97</v>
      </c>
      <c r="AG7">
        <v>0.85899999999999999</v>
      </c>
      <c r="AH7">
        <v>2.57</v>
      </c>
      <c r="AI7">
        <v>0.34100000000000003</v>
      </c>
      <c r="AJ7">
        <v>2.04</v>
      </c>
      <c r="AK7">
        <v>0.29499999999999998</v>
      </c>
      <c r="AL7">
        <v>3.87</v>
      </c>
      <c r="AM7">
        <v>0.97</v>
      </c>
      <c r="AN7">
        <v>2.11</v>
      </c>
      <c r="AO7">
        <v>1.05</v>
      </c>
      <c r="AP7">
        <v>0.57499999999999996</v>
      </c>
    </row>
    <row r="8" spans="1:42" x14ac:dyDescent="0.2">
      <c r="A8" t="s">
        <v>51</v>
      </c>
      <c r="B8">
        <v>2.02</v>
      </c>
      <c r="C8">
        <v>1.67</v>
      </c>
      <c r="D8">
        <v>872.46</v>
      </c>
      <c r="E8">
        <v>208008.56</v>
      </c>
      <c r="F8">
        <v>12476.81</v>
      </c>
      <c r="G8">
        <v>241693.27</v>
      </c>
      <c r="H8">
        <v>18.41</v>
      </c>
      <c r="I8" t="s">
        <v>52</v>
      </c>
      <c r="J8">
        <v>15008.72</v>
      </c>
      <c r="K8">
        <v>16.53</v>
      </c>
      <c r="L8">
        <v>367.15</v>
      </c>
      <c r="M8">
        <v>56</v>
      </c>
      <c r="N8">
        <v>835.55</v>
      </c>
      <c r="O8">
        <v>56222.92</v>
      </c>
      <c r="P8">
        <v>0.104</v>
      </c>
      <c r="Q8">
        <v>0.26200000000000001</v>
      </c>
      <c r="R8">
        <v>0.66900000000000004</v>
      </c>
      <c r="S8">
        <v>2.21</v>
      </c>
      <c r="T8">
        <v>20.02</v>
      </c>
      <c r="U8">
        <v>2.1999999999999999E-2</v>
      </c>
      <c r="V8">
        <v>0.84</v>
      </c>
      <c r="W8">
        <v>0.46300000000000002</v>
      </c>
      <c r="X8">
        <v>0.215</v>
      </c>
      <c r="Y8">
        <v>0.41399999999999998</v>
      </c>
      <c r="Z8">
        <v>7.8399999999999997E-2</v>
      </c>
      <c r="AA8">
        <v>0.41199999999999998</v>
      </c>
      <c r="AB8">
        <v>0.107</v>
      </c>
      <c r="AC8">
        <v>4.36E-2</v>
      </c>
      <c r="AD8">
        <v>0.28199999999999997</v>
      </c>
      <c r="AE8">
        <v>4.3799999999999999E-2</v>
      </c>
      <c r="AF8">
        <v>0.35899999999999999</v>
      </c>
      <c r="AG8">
        <v>8.4000000000000005E-2</v>
      </c>
      <c r="AH8">
        <v>0.216</v>
      </c>
      <c r="AI8">
        <v>4.2500000000000003E-2</v>
      </c>
      <c r="AJ8">
        <v>0.30099999999999999</v>
      </c>
      <c r="AK8">
        <v>5.6099999999999997E-2</v>
      </c>
      <c r="AL8">
        <v>0.59</v>
      </c>
      <c r="AM8">
        <v>4.5999999999999999E-3</v>
      </c>
      <c r="AN8">
        <v>0.47499999999999998</v>
      </c>
      <c r="AO8">
        <v>5.6000000000000001E-2</v>
      </c>
      <c r="AP8">
        <v>8.5000000000000006E-2</v>
      </c>
    </row>
    <row r="9" spans="1:42" x14ac:dyDescent="0.2">
      <c r="A9" t="s">
        <v>53</v>
      </c>
      <c r="B9">
        <v>1.72</v>
      </c>
      <c r="C9">
        <v>1.76</v>
      </c>
      <c r="D9">
        <v>868.99</v>
      </c>
      <c r="E9">
        <v>208148.02</v>
      </c>
      <c r="F9">
        <v>12030.06</v>
      </c>
      <c r="G9">
        <v>241599.27</v>
      </c>
      <c r="H9">
        <v>17.809999999999999</v>
      </c>
      <c r="I9" t="s">
        <v>54</v>
      </c>
      <c r="J9">
        <v>15008.72</v>
      </c>
      <c r="K9">
        <v>16.46</v>
      </c>
      <c r="L9">
        <v>348.62</v>
      </c>
      <c r="M9">
        <v>55.91</v>
      </c>
      <c r="N9">
        <v>843.48</v>
      </c>
      <c r="O9">
        <v>56710.61</v>
      </c>
      <c r="P9" t="s">
        <v>55</v>
      </c>
      <c r="Q9">
        <v>0.30399999999999999</v>
      </c>
      <c r="R9">
        <v>0.65</v>
      </c>
      <c r="S9">
        <v>2.3199999999999998</v>
      </c>
      <c r="T9">
        <v>19.52</v>
      </c>
      <c r="U9" t="s">
        <v>56</v>
      </c>
      <c r="V9">
        <v>0.9</v>
      </c>
      <c r="W9">
        <v>0.44</v>
      </c>
      <c r="X9">
        <v>0.17699999999999999</v>
      </c>
      <c r="Y9">
        <v>0.443</v>
      </c>
      <c r="Z9">
        <v>7.3400000000000007E-2</v>
      </c>
      <c r="AA9">
        <v>0.38900000000000001</v>
      </c>
      <c r="AB9">
        <v>0.151</v>
      </c>
      <c r="AC9">
        <v>5.2600000000000001E-2</v>
      </c>
      <c r="AD9">
        <v>0.28000000000000003</v>
      </c>
      <c r="AE9">
        <v>4.53E-2</v>
      </c>
      <c r="AF9">
        <v>0.38700000000000001</v>
      </c>
      <c r="AG9">
        <v>9.0999999999999998E-2</v>
      </c>
      <c r="AH9">
        <v>0.25800000000000001</v>
      </c>
      <c r="AI9">
        <v>4.65E-2</v>
      </c>
      <c r="AJ9">
        <v>0.318</v>
      </c>
      <c r="AK9">
        <v>5.4800000000000001E-2</v>
      </c>
      <c r="AL9">
        <v>0.54300000000000004</v>
      </c>
      <c r="AM9" t="s">
        <v>57</v>
      </c>
      <c r="AN9">
        <v>0.47899999999999998</v>
      </c>
      <c r="AO9">
        <v>5.45E-2</v>
      </c>
      <c r="AP9">
        <v>7.1999999999999995E-2</v>
      </c>
    </row>
    <row r="10" spans="1:42" x14ac:dyDescent="0.2">
      <c r="A10" t="s">
        <v>58</v>
      </c>
      <c r="B10">
        <v>8.8699999999999992</v>
      </c>
      <c r="C10">
        <v>11.71</v>
      </c>
      <c r="D10">
        <v>6672.55</v>
      </c>
      <c r="E10">
        <v>142794.01999999999</v>
      </c>
      <c r="F10">
        <v>57438.87</v>
      </c>
      <c r="G10">
        <v>218643.95</v>
      </c>
      <c r="H10">
        <v>118.34</v>
      </c>
      <c r="I10">
        <v>189.71</v>
      </c>
      <c r="J10">
        <v>60392.23</v>
      </c>
      <c r="K10">
        <v>35.590000000000003</v>
      </c>
      <c r="L10">
        <v>1785.51</v>
      </c>
      <c r="M10">
        <v>233.08</v>
      </c>
      <c r="N10">
        <v>1251.49</v>
      </c>
      <c r="O10">
        <v>86376.49</v>
      </c>
      <c r="P10">
        <v>0.14099999999999999</v>
      </c>
      <c r="Q10">
        <v>2.31</v>
      </c>
      <c r="R10">
        <v>15.82</v>
      </c>
      <c r="S10">
        <v>13.19</v>
      </c>
      <c r="T10">
        <v>9.58</v>
      </c>
      <c r="U10">
        <v>6.9000000000000006E-2</v>
      </c>
      <c r="V10">
        <v>8.2100000000000009</v>
      </c>
      <c r="W10">
        <v>0.86799999999999999</v>
      </c>
      <c r="X10">
        <v>9.2999999999999999E-2</v>
      </c>
      <c r="Y10">
        <v>0.34399999999999997</v>
      </c>
      <c r="Z10">
        <v>8.7999999999999995E-2</v>
      </c>
      <c r="AA10">
        <v>0.74299999999999999</v>
      </c>
      <c r="AB10">
        <v>0.48599999999999999</v>
      </c>
      <c r="AC10">
        <v>0.26200000000000001</v>
      </c>
      <c r="AD10">
        <v>1.1399999999999999</v>
      </c>
      <c r="AE10">
        <v>0.215</v>
      </c>
      <c r="AF10">
        <v>2.08</v>
      </c>
      <c r="AG10">
        <v>0.48899999999999999</v>
      </c>
      <c r="AH10">
        <v>1.6</v>
      </c>
      <c r="AI10">
        <v>0.22900000000000001</v>
      </c>
      <c r="AJ10">
        <v>1.42</v>
      </c>
      <c r="AK10">
        <v>0.23200000000000001</v>
      </c>
      <c r="AL10">
        <v>0.34799999999999998</v>
      </c>
      <c r="AM10">
        <v>3.6200000000000003E-2</v>
      </c>
      <c r="AN10">
        <v>22.24</v>
      </c>
      <c r="AO10">
        <v>7.4999999999999997E-3</v>
      </c>
      <c r="AP10">
        <v>5.0999999999999997E-2</v>
      </c>
    </row>
    <row r="11" spans="1:42" x14ac:dyDescent="0.2">
      <c r="A11" t="s">
        <v>59</v>
      </c>
      <c r="B11">
        <v>8.99</v>
      </c>
      <c r="C11">
        <v>11.28</v>
      </c>
      <c r="D11">
        <v>6319.15</v>
      </c>
      <c r="E11">
        <v>138234.5</v>
      </c>
      <c r="F11">
        <v>56407.360000000001</v>
      </c>
      <c r="G11">
        <v>212192.69</v>
      </c>
      <c r="H11">
        <v>111.61</v>
      </c>
      <c r="I11">
        <v>165.22</v>
      </c>
      <c r="J11">
        <v>60392.23</v>
      </c>
      <c r="K11">
        <v>34.880000000000003</v>
      </c>
      <c r="L11">
        <v>1743.55</v>
      </c>
      <c r="M11">
        <v>220.64</v>
      </c>
      <c r="N11">
        <v>1203.94</v>
      </c>
      <c r="O11">
        <v>83189.789999999994</v>
      </c>
      <c r="P11">
        <v>0.107</v>
      </c>
      <c r="Q11">
        <v>2.15</v>
      </c>
      <c r="R11">
        <v>15.1</v>
      </c>
      <c r="S11">
        <v>13.12</v>
      </c>
      <c r="T11">
        <v>9.84</v>
      </c>
      <c r="U11">
        <v>2.63E-2</v>
      </c>
      <c r="V11">
        <v>8.0399999999999991</v>
      </c>
      <c r="W11">
        <v>0.68300000000000005</v>
      </c>
      <c r="X11">
        <v>0.08</v>
      </c>
      <c r="Y11">
        <v>0.311</v>
      </c>
      <c r="Z11">
        <v>8.4699999999999998E-2</v>
      </c>
      <c r="AA11">
        <v>0.60899999999999999</v>
      </c>
      <c r="AB11">
        <v>0.51100000000000001</v>
      </c>
      <c r="AC11">
        <v>0.27800000000000002</v>
      </c>
      <c r="AD11">
        <v>1.27</v>
      </c>
      <c r="AE11">
        <v>0.26400000000000001</v>
      </c>
      <c r="AF11">
        <v>2.0299999999999998</v>
      </c>
      <c r="AG11">
        <v>0.504</v>
      </c>
      <c r="AH11">
        <v>1.55</v>
      </c>
      <c r="AI11">
        <v>0.222</v>
      </c>
      <c r="AJ11">
        <v>1.54</v>
      </c>
      <c r="AK11">
        <v>0.22900000000000001</v>
      </c>
      <c r="AL11">
        <v>0.32300000000000001</v>
      </c>
      <c r="AM11">
        <v>2.5899999999999999E-2</v>
      </c>
      <c r="AN11">
        <v>21.39</v>
      </c>
      <c r="AO11" t="s">
        <v>60</v>
      </c>
      <c r="AP11">
        <v>6.6000000000000003E-2</v>
      </c>
    </row>
    <row r="12" spans="1:42" x14ac:dyDescent="0.2">
      <c r="A12" t="s">
        <v>61</v>
      </c>
      <c r="B12">
        <v>10.119999999999999</v>
      </c>
      <c r="C12">
        <v>14.42</v>
      </c>
      <c r="D12">
        <v>4600.63</v>
      </c>
      <c r="E12">
        <v>147788.48000000001</v>
      </c>
      <c r="F12">
        <v>50541.61</v>
      </c>
      <c r="G12">
        <v>213893.53</v>
      </c>
      <c r="H12">
        <v>86.35</v>
      </c>
      <c r="I12">
        <v>246.9</v>
      </c>
      <c r="J12">
        <v>44597.34</v>
      </c>
      <c r="K12">
        <v>30.37</v>
      </c>
      <c r="L12">
        <v>1671.98</v>
      </c>
      <c r="M12">
        <v>183.08</v>
      </c>
      <c r="N12">
        <v>1441.6</v>
      </c>
      <c r="O12">
        <v>84292.74</v>
      </c>
      <c r="P12">
        <v>0.126</v>
      </c>
      <c r="Q12">
        <v>0.33800000000000002</v>
      </c>
      <c r="R12">
        <v>29.01</v>
      </c>
      <c r="S12">
        <v>11.38</v>
      </c>
      <c r="T12">
        <v>9.33</v>
      </c>
      <c r="U12">
        <v>0.115</v>
      </c>
      <c r="V12">
        <v>0.20799999999999999</v>
      </c>
      <c r="W12">
        <v>0.95599999999999996</v>
      </c>
      <c r="X12">
        <v>0.104</v>
      </c>
      <c r="Y12">
        <v>0.40200000000000002</v>
      </c>
      <c r="Z12">
        <v>9.4E-2</v>
      </c>
      <c r="AA12">
        <v>0.65900000000000003</v>
      </c>
      <c r="AB12">
        <v>0.44400000000000001</v>
      </c>
      <c r="AC12">
        <v>0.27900000000000003</v>
      </c>
      <c r="AD12">
        <v>1.34</v>
      </c>
      <c r="AE12">
        <v>0.224</v>
      </c>
      <c r="AF12">
        <v>1.86</v>
      </c>
      <c r="AG12">
        <v>0.40699999999999997</v>
      </c>
      <c r="AH12">
        <v>1.38</v>
      </c>
      <c r="AI12">
        <v>0.19800000000000001</v>
      </c>
      <c r="AJ12">
        <v>1.21</v>
      </c>
      <c r="AK12">
        <v>0.18099999999999999</v>
      </c>
      <c r="AL12">
        <v>0.34499999999999997</v>
      </c>
      <c r="AM12">
        <v>1.78E-2</v>
      </c>
      <c r="AN12">
        <v>0.308</v>
      </c>
      <c r="AO12" t="s">
        <v>62</v>
      </c>
      <c r="AP12">
        <v>1.09E-2</v>
      </c>
    </row>
    <row r="13" spans="1:42" x14ac:dyDescent="0.2">
      <c r="A13" t="s">
        <v>63</v>
      </c>
      <c r="B13">
        <v>11.13</v>
      </c>
      <c r="C13">
        <v>16.559999999999999</v>
      </c>
      <c r="D13">
        <v>5316.96</v>
      </c>
      <c r="E13">
        <v>203682.8</v>
      </c>
      <c r="F13">
        <v>54948.23</v>
      </c>
      <c r="G13">
        <v>247541.09</v>
      </c>
      <c r="H13">
        <v>94.16</v>
      </c>
      <c r="I13">
        <v>243.42</v>
      </c>
      <c r="J13">
        <v>44597.34</v>
      </c>
      <c r="K13">
        <v>32.090000000000003</v>
      </c>
      <c r="L13">
        <v>1751.93</v>
      </c>
      <c r="M13">
        <v>197.64</v>
      </c>
      <c r="N13">
        <v>1506.44</v>
      </c>
      <c r="O13">
        <v>85512.35</v>
      </c>
      <c r="P13">
        <v>0.21199999999999999</v>
      </c>
      <c r="Q13">
        <v>0.48</v>
      </c>
      <c r="R13">
        <v>31.9</v>
      </c>
      <c r="S13">
        <v>11.45</v>
      </c>
      <c r="T13">
        <v>9.7899999999999991</v>
      </c>
      <c r="U13">
        <v>0.112</v>
      </c>
      <c r="V13">
        <v>0.24099999999999999</v>
      </c>
      <c r="W13">
        <v>1.2</v>
      </c>
      <c r="X13">
        <v>0.106</v>
      </c>
      <c r="Y13">
        <v>0.439</v>
      </c>
      <c r="Z13">
        <v>8.2000000000000003E-2</v>
      </c>
      <c r="AA13">
        <v>0.69599999999999995</v>
      </c>
      <c r="AB13">
        <v>0.50900000000000001</v>
      </c>
      <c r="AC13">
        <v>0.245</v>
      </c>
      <c r="AD13">
        <v>1.1100000000000001</v>
      </c>
      <c r="AE13">
        <v>0.24299999999999999</v>
      </c>
      <c r="AF13">
        <v>1.9</v>
      </c>
      <c r="AG13">
        <v>0.43099999999999999</v>
      </c>
      <c r="AH13">
        <v>1.33</v>
      </c>
      <c r="AI13">
        <v>0.188</v>
      </c>
      <c r="AJ13">
        <v>1.38</v>
      </c>
      <c r="AK13">
        <v>0.20200000000000001</v>
      </c>
      <c r="AL13">
        <v>0.35899999999999999</v>
      </c>
      <c r="AM13">
        <v>1.7600000000000001E-2</v>
      </c>
      <c r="AN13">
        <v>0.307</v>
      </c>
      <c r="AO13" t="s">
        <v>64</v>
      </c>
      <c r="AP13" t="s">
        <v>65</v>
      </c>
    </row>
    <row r="14" spans="1:42" x14ac:dyDescent="0.2">
      <c r="A14" t="s">
        <v>66</v>
      </c>
      <c r="B14">
        <v>7.61</v>
      </c>
      <c r="C14">
        <v>2.89</v>
      </c>
      <c r="D14">
        <v>22549.58</v>
      </c>
      <c r="E14">
        <v>20741.099999999999</v>
      </c>
      <c r="F14">
        <v>71778.97</v>
      </c>
      <c r="G14">
        <v>238369.95</v>
      </c>
      <c r="H14">
        <v>1266</v>
      </c>
      <c r="I14">
        <v>14150.35</v>
      </c>
      <c r="J14">
        <v>50900</v>
      </c>
      <c r="K14">
        <v>34.51</v>
      </c>
      <c r="L14">
        <v>13547.25</v>
      </c>
      <c r="M14">
        <v>401.47</v>
      </c>
      <c r="N14">
        <v>1453.95</v>
      </c>
      <c r="O14">
        <v>87000.51</v>
      </c>
      <c r="P14">
        <v>0.48</v>
      </c>
      <c r="Q14">
        <v>46.32</v>
      </c>
      <c r="R14">
        <v>336.82</v>
      </c>
      <c r="S14">
        <v>36.28</v>
      </c>
      <c r="T14">
        <v>183.53</v>
      </c>
      <c r="U14">
        <v>12.04</v>
      </c>
      <c r="V14">
        <v>1.18</v>
      </c>
      <c r="W14">
        <v>672.95</v>
      </c>
      <c r="X14">
        <v>23.96</v>
      </c>
      <c r="Y14">
        <v>51.39</v>
      </c>
      <c r="Z14">
        <v>6.45</v>
      </c>
      <c r="AA14">
        <v>28.41</v>
      </c>
      <c r="AB14">
        <v>6.08</v>
      </c>
      <c r="AC14">
        <v>1.91</v>
      </c>
      <c r="AD14">
        <v>6.75</v>
      </c>
      <c r="AE14">
        <v>1.008</v>
      </c>
      <c r="AF14">
        <v>6.58</v>
      </c>
      <c r="AG14">
        <v>1.36</v>
      </c>
      <c r="AH14">
        <v>3.72</v>
      </c>
      <c r="AI14">
        <v>0.53500000000000003</v>
      </c>
      <c r="AJ14">
        <v>3.53</v>
      </c>
      <c r="AK14">
        <v>0.498</v>
      </c>
      <c r="AL14">
        <v>5</v>
      </c>
      <c r="AM14">
        <v>0.78800000000000003</v>
      </c>
      <c r="AN14">
        <v>10.52</v>
      </c>
      <c r="AO14">
        <v>6.08</v>
      </c>
      <c r="AP14">
        <v>1.6</v>
      </c>
    </row>
    <row r="15" spans="1:42" x14ac:dyDescent="0.2">
      <c r="A15" t="s">
        <v>67</v>
      </c>
      <c r="B15">
        <v>7.41</v>
      </c>
      <c r="C15">
        <v>3.94</v>
      </c>
      <c r="D15">
        <v>22769.95</v>
      </c>
      <c r="E15">
        <v>20394.13</v>
      </c>
      <c r="F15">
        <v>70870.83</v>
      </c>
      <c r="G15">
        <v>243901.92</v>
      </c>
      <c r="H15">
        <v>1367.88</v>
      </c>
      <c r="I15">
        <v>14391.35</v>
      </c>
      <c r="J15">
        <v>50900</v>
      </c>
      <c r="K15">
        <v>35.090000000000003</v>
      </c>
      <c r="L15">
        <v>13583.31</v>
      </c>
      <c r="M15">
        <v>404.07</v>
      </c>
      <c r="N15">
        <v>1430.87</v>
      </c>
      <c r="O15">
        <v>87447.33</v>
      </c>
      <c r="P15">
        <v>0.53</v>
      </c>
      <c r="Q15">
        <v>46.08</v>
      </c>
      <c r="R15">
        <v>334.46</v>
      </c>
      <c r="S15">
        <v>35.840000000000003</v>
      </c>
      <c r="T15">
        <v>182.19</v>
      </c>
      <c r="U15">
        <v>12.5</v>
      </c>
      <c r="V15">
        <v>1.0900000000000001</v>
      </c>
      <c r="W15">
        <v>660.47</v>
      </c>
      <c r="X15">
        <v>23.92</v>
      </c>
      <c r="Y15">
        <v>50.78</v>
      </c>
      <c r="Z15">
        <v>6.46</v>
      </c>
      <c r="AA15">
        <v>28.55</v>
      </c>
      <c r="AB15">
        <v>6.25</v>
      </c>
      <c r="AC15">
        <v>1.94</v>
      </c>
      <c r="AD15">
        <v>6.73</v>
      </c>
      <c r="AE15">
        <v>1.0349999999999999</v>
      </c>
      <c r="AF15">
        <v>6.31</v>
      </c>
      <c r="AG15">
        <v>1.28</v>
      </c>
      <c r="AH15">
        <v>3.68</v>
      </c>
      <c r="AI15">
        <v>0.54</v>
      </c>
      <c r="AJ15">
        <v>3.52</v>
      </c>
      <c r="AK15">
        <v>0.53900000000000003</v>
      </c>
      <c r="AL15">
        <v>4.9000000000000004</v>
      </c>
      <c r="AM15">
        <v>0.83499999999999996</v>
      </c>
      <c r="AN15">
        <v>11.08</v>
      </c>
      <c r="AO15">
        <v>6.19</v>
      </c>
      <c r="AP15">
        <v>1.72</v>
      </c>
    </row>
    <row r="16" spans="1:42" x14ac:dyDescent="0.2">
      <c r="A16" t="s">
        <v>68</v>
      </c>
      <c r="B16">
        <v>5.0999999999999996</v>
      </c>
      <c r="C16">
        <v>1.22</v>
      </c>
      <c r="D16">
        <v>20562.38</v>
      </c>
      <c r="E16">
        <v>232828.48</v>
      </c>
      <c r="F16">
        <v>68050.399999999994</v>
      </c>
      <c r="G16">
        <v>284910.28000000003</v>
      </c>
      <c r="H16">
        <v>2543.37</v>
      </c>
      <c r="I16">
        <v>9764.58</v>
      </c>
      <c r="J16">
        <v>88337.04</v>
      </c>
      <c r="K16">
        <v>38.06</v>
      </c>
      <c r="L16">
        <v>19325.18</v>
      </c>
      <c r="M16">
        <v>308.06</v>
      </c>
      <c r="N16">
        <v>2454.12</v>
      </c>
      <c r="O16">
        <v>147266.04999999999</v>
      </c>
      <c r="P16">
        <v>0.71</v>
      </c>
      <c r="Q16">
        <v>29.62</v>
      </c>
      <c r="R16">
        <v>887.36</v>
      </c>
      <c r="S16">
        <v>20.75</v>
      </c>
      <c r="T16">
        <v>291.33999999999997</v>
      </c>
      <c r="U16">
        <v>93.89</v>
      </c>
      <c r="V16">
        <v>0.34399999999999997</v>
      </c>
      <c r="W16">
        <v>400.57</v>
      </c>
      <c r="X16">
        <v>62.11</v>
      </c>
      <c r="Y16">
        <v>127.59</v>
      </c>
      <c r="Z16">
        <v>14.66</v>
      </c>
      <c r="AA16">
        <v>57.33</v>
      </c>
      <c r="AB16">
        <v>9.25</v>
      </c>
      <c r="AC16">
        <v>2.88</v>
      </c>
      <c r="AD16">
        <v>6.8</v>
      </c>
      <c r="AE16">
        <v>0.877</v>
      </c>
      <c r="AF16">
        <v>4.62</v>
      </c>
      <c r="AG16">
        <v>0.88</v>
      </c>
      <c r="AH16">
        <v>2.4700000000000002</v>
      </c>
      <c r="AI16">
        <v>0.26200000000000001</v>
      </c>
      <c r="AJ16">
        <v>1.37</v>
      </c>
      <c r="AK16">
        <v>0.28799999999999998</v>
      </c>
      <c r="AL16">
        <v>6.86</v>
      </c>
      <c r="AM16">
        <v>4.96</v>
      </c>
      <c r="AN16">
        <v>11.88</v>
      </c>
      <c r="AO16">
        <v>7.32</v>
      </c>
      <c r="AP16">
        <v>1.88</v>
      </c>
    </row>
    <row r="17" spans="1:42" x14ac:dyDescent="0.2">
      <c r="A17" t="s">
        <v>69</v>
      </c>
      <c r="B17">
        <v>3.67</v>
      </c>
      <c r="C17">
        <v>1.34</v>
      </c>
      <c r="D17">
        <v>19468.77</v>
      </c>
      <c r="E17">
        <v>28620.62</v>
      </c>
      <c r="F17">
        <v>70750.84</v>
      </c>
      <c r="G17">
        <v>168647.69</v>
      </c>
      <c r="H17">
        <v>1732</v>
      </c>
      <c r="I17">
        <v>8132.88</v>
      </c>
      <c r="J17">
        <v>96484.63</v>
      </c>
      <c r="K17">
        <v>36.79</v>
      </c>
      <c r="L17">
        <v>25114.34</v>
      </c>
      <c r="M17">
        <v>373.63</v>
      </c>
      <c r="N17">
        <v>1104.18</v>
      </c>
      <c r="O17">
        <v>64490.9</v>
      </c>
      <c r="P17">
        <v>0.36</v>
      </c>
      <c r="Q17">
        <v>22</v>
      </c>
      <c r="R17">
        <v>748.44</v>
      </c>
      <c r="S17">
        <v>30.41</v>
      </c>
      <c r="T17">
        <v>307.45</v>
      </c>
      <c r="U17">
        <v>63.65</v>
      </c>
      <c r="V17">
        <v>0.249</v>
      </c>
      <c r="W17">
        <v>308.48</v>
      </c>
      <c r="X17">
        <v>42.6</v>
      </c>
      <c r="Y17">
        <v>88.95</v>
      </c>
      <c r="Z17">
        <v>11.22</v>
      </c>
      <c r="AA17">
        <v>52.14</v>
      </c>
      <c r="AB17">
        <v>10.29</v>
      </c>
      <c r="AC17">
        <v>3.08</v>
      </c>
      <c r="AD17">
        <v>7.41</v>
      </c>
      <c r="AE17">
        <v>1.06</v>
      </c>
      <c r="AF17">
        <v>6.56</v>
      </c>
      <c r="AG17">
        <v>1.1599999999999999</v>
      </c>
      <c r="AH17">
        <v>2.98</v>
      </c>
      <c r="AI17">
        <v>0.33600000000000002</v>
      </c>
      <c r="AJ17">
        <v>2.04</v>
      </c>
      <c r="AK17">
        <v>0.375</v>
      </c>
      <c r="AL17">
        <v>7.63</v>
      </c>
      <c r="AM17">
        <v>3.54</v>
      </c>
      <c r="AN17">
        <v>6.07</v>
      </c>
      <c r="AO17">
        <v>4.58</v>
      </c>
      <c r="AP17">
        <v>1.27</v>
      </c>
    </row>
    <row r="18" spans="1:42" x14ac:dyDescent="0.2">
      <c r="A18" t="s">
        <v>70</v>
      </c>
      <c r="B18">
        <v>4.47</v>
      </c>
      <c r="C18">
        <v>0.95</v>
      </c>
      <c r="D18">
        <v>15344.5</v>
      </c>
      <c r="E18">
        <v>107028.45</v>
      </c>
      <c r="F18">
        <v>59117.61</v>
      </c>
      <c r="G18">
        <v>189700.77</v>
      </c>
      <c r="H18">
        <v>1182.82</v>
      </c>
      <c r="I18">
        <v>5739.62</v>
      </c>
      <c r="J18">
        <v>94269.05</v>
      </c>
      <c r="K18">
        <v>33.69</v>
      </c>
      <c r="L18">
        <v>23916.99</v>
      </c>
      <c r="M18">
        <v>287.85000000000002</v>
      </c>
      <c r="N18">
        <v>1806.7</v>
      </c>
      <c r="O18">
        <v>109588.72</v>
      </c>
      <c r="P18">
        <v>0.37</v>
      </c>
      <c r="Q18">
        <v>11.69</v>
      </c>
      <c r="R18">
        <v>3855.13</v>
      </c>
      <c r="S18">
        <v>24.87</v>
      </c>
      <c r="T18">
        <v>275.61</v>
      </c>
      <c r="U18">
        <v>57.6</v>
      </c>
      <c r="V18">
        <v>0.13700000000000001</v>
      </c>
      <c r="W18">
        <v>368.46</v>
      </c>
      <c r="X18">
        <v>37.450000000000003</v>
      </c>
      <c r="Y18">
        <v>78.94</v>
      </c>
      <c r="Z18">
        <v>10.63</v>
      </c>
      <c r="AA18">
        <v>50.12</v>
      </c>
      <c r="AB18">
        <v>9.81</v>
      </c>
      <c r="AC18">
        <v>2.4500000000000002</v>
      </c>
      <c r="AD18">
        <v>6.11</v>
      </c>
      <c r="AE18">
        <v>0.83899999999999997</v>
      </c>
      <c r="AF18">
        <v>6.06</v>
      </c>
      <c r="AG18">
        <v>1.04</v>
      </c>
      <c r="AH18">
        <v>2.46</v>
      </c>
      <c r="AI18">
        <v>0.308</v>
      </c>
      <c r="AJ18">
        <v>1.92</v>
      </c>
      <c r="AK18">
        <v>0.39100000000000001</v>
      </c>
      <c r="AL18">
        <v>5.96</v>
      </c>
      <c r="AM18">
        <v>2.8</v>
      </c>
      <c r="AN18">
        <v>8.99</v>
      </c>
      <c r="AO18">
        <v>4.6500000000000004</v>
      </c>
      <c r="AP18">
        <v>1.17</v>
      </c>
    </row>
    <row r="19" spans="1:42" x14ac:dyDescent="0.2">
      <c r="A19" t="s">
        <v>71</v>
      </c>
      <c r="B19">
        <v>7.33</v>
      </c>
      <c r="C19">
        <v>1.54</v>
      </c>
      <c r="D19">
        <v>30900.85</v>
      </c>
      <c r="E19">
        <v>30189.96</v>
      </c>
      <c r="F19">
        <v>80352.149999999994</v>
      </c>
      <c r="G19">
        <v>207945.72</v>
      </c>
      <c r="H19">
        <v>2456.1799999999998</v>
      </c>
      <c r="I19">
        <v>11276.95</v>
      </c>
      <c r="J19">
        <v>95484.05</v>
      </c>
      <c r="K19">
        <v>30.08</v>
      </c>
      <c r="L19">
        <v>18899.87</v>
      </c>
      <c r="M19">
        <v>284.17</v>
      </c>
      <c r="N19">
        <v>1501.65</v>
      </c>
      <c r="O19">
        <v>82007.19</v>
      </c>
      <c r="P19">
        <v>0.69</v>
      </c>
      <c r="Q19">
        <v>38.32</v>
      </c>
      <c r="R19">
        <v>1183.0999999999999</v>
      </c>
      <c r="S19">
        <v>35.049999999999997</v>
      </c>
      <c r="T19">
        <v>395.12</v>
      </c>
      <c r="U19">
        <v>95.9</v>
      </c>
      <c r="V19">
        <v>0.47</v>
      </c>
      <c r="W19">
        <v>481.34</v>
      </c>
      <c r="X19">
        <v>75.349999999999994</v>
      </c>
      <c r="Y19">
        <v>150.79</v>
      </c>
      <c r="Z19">
        <v>17.47</v>
      </c>
      <c r="AA19">
        <v>67.86</v>
      </c>
      <c r="AB19">
        <v>11.77</v>
      </c>
      <c r="AC19">
        <v>3.56</v>
      </c>
      <c r="AD19">
        <v>10.14</v>
      </c>
      <c r="AE19">
        <v>1.35</v>
      </c>
      <c r="AF19">
        <v>7.44</v>
      </c>
      <c r="AG19">
        <v>1.28</v>
      </c>
      <c r="AH19">
        <v>3.32</v>
      </c>
      <c r="AI19">
        <v>0.46500000000000002</v>
      </c>
      <c r="AJ19">
        <v>2.68</v>
      </c>
      <c r="AK19">
        <v>0.36</v>
      </c>
      <c r="AL19">
        <v>8.82</v>
      </c>
      <c r="AM19">
        <v>5.9</v>
      </c>
      <c r="AN19">
        <v>5.22</v>
      </c>
      <c r="AO19">
        <v>8.82</v>
      </c>
      <c r="AP19">
        <v>2.08</v>
      </c>
    </row>
    <row r="20" spans="1:42" x14ac:dyDescent="0.2">
      <c r="A20" t="s">
        <v>72</v>
      </c>
      <c r="B20">
        <v>7.07</v>
      </c>
      <c r="C20">
        <v>1.82</v>
      </c>
      <c r="D20">
        <v>30029.119999999999</v>
      </c>
      <c r="E20">
        <v>31361.74</v>
      </c>
      <c r="F20">
        <v>78365.78</v>
      </c>
      <c r="G20">
        <v>204026.72</v>
      </c>
      <c r="H20">
        <v>2441.65</v>
      </c>
      <c r="I20">
        <v>11191.87</v>
      </c>
      <c r="J20">
        <v>95484.05</v>
      </c>
      <c r="K20">
        <v>30.82</v>
      </c>
      <c r="L20">
        <v>18538.849999999999</v>
      </c>
      <c r="M20">
        <v>279.02</v>
      </c>
      <c r="N20">
        <v>1483.01</v>
      </c>
      <c r="O20">
        <v>79970.2</v>
      </c>
      <c r="P20">
        <v>0.72</v>
      </c>
      <c r="Q20">
        <v>36.299999999999997</v>
      </c>
      <c r="R20">
        <v>1169.94</v>
      </c>
      <c r="S20">
        <v>35.21</v>
      </c>
      <c r="T20">
        <v>397.16</v>
      </c>
      <c r="U20">
        <v>94.46</v>
      </c>
      <c r="V20">
        <v>0.44</v>
      </c>
      <c r="W20">
        <v>469.34</v>
      </c>
      <c r="X20">
        <v>74.06</v>
      </c>
      <c r="Y20">
        <v>147.83000000000001</v>
      </c>
      <c r="Z20">
        <v>17.53</v>
      </c>
      <c r="AA20">
        <v>67.290000000000006</v>
      </c>
      <c r="AB20">
        <v>11.83</v>
      </c>
      <c r="AC20">
        <v>3.42</v>
      </c>
      <c r="AD20">
        <v>10.119999999999999</v>
      </c>
      <c r="AE20">
        <v>1.38</v>
      </c>
      <c r="AF20">
        <v>7.24</v>
      </c>
      <c r="AG20">
        <v>1.28</v>
      </c>
      <c r="AH20">
        <v>3.09</v>
      </c>
      <c r="AI20">
        <v>0.42899999999999999</v>
      </c>
      <c r="AJ20">
        <v>2.73</v>
      </c>
      <c r="AK20">
        <v>0.38900000000000001</v>
      </c>
      <c r="AL20">
        <v>8.7200000000000006</v>
      </c>
      <c r="AM20">
        <v>5.85</v>
      </c>
      <c r="AN20">
        <v>18.13</v>
      </c>
      <c r="AO20">
        <v>9.01</v>
      </c>
      <c r="AP20">
        <v>1.91</v>
      </c>
    </row>
    <row r="21" spans="1:42" x14ac:dyDescent="0.2">
      <c r="A21" t="s">
        <v>73</v>
      </c>
      <c r="B21">
        <v>5.7</v>
      </c>
      <c r="C21">
        <v>1.57</v>
      </c>
      <c r="D21">
        <v>25121.98</v>
      </c>
      <c r="E21">
        <v>21731.77</v>
      </c>
      <c r="F21">
        <v>70488.98</v>
      </c>
      <c r="G21">
        <v>174514.03</v>
      </c>
      <c r="H21">
        <v>2268.46</v>
      </c>
      <c r="I21">
        <v>12721.8</v>
      </c>
      <c r="J21">
        <v>75615.360000000001</v>
      </c>
      <c r="K21">
        <v>17.93</v>
      </c>
      <c r="L21">
        <v>16016.61</v>
      </c>
      <c r="M21">
        <v>212.8</v>
      </c>
      <c r="N21">
        <v>1259.8800000000001</v>
      </c>
      <c r="O21">
        <v>66244.789999999994</v>
      </c>
      <c r="P21">
        <v>0.72</v>
      </c>
      <c r="Q21">
        <v>39.700000000000003</v>
      </c>
      <c r="R21">
        <v>1241.6099999999999</v>
      </c>
      <c r="S21">
        <v>31.82</v>
      </c>
      <c r="T21">
        <v>372.44</v>
      </c>
      <c r="U21">
        <v>85.9</v>
      </c>
      <c r="V21">
        <v>0.48</v>
      </c>
      <c r="W21">
        <v>453.51</v>
      </c>
      <c r="X21">
        <v>63.43</v>
      </c>
      <c r="Y21">
        <v>144.71</v>
      </c>
      <c r="Z21">
        <v>18.79</v>
      </c>
      <c r="AA21">
        <v>65.849999999999994</v>
      </c>
      <c r="AB21">
        <v>9.82</v>
      </c>
      <c r="AC21">
        <v>2.88</v>
      </c>
      <c r="AD21">
        <v>7.73</v>
      </c>
      <c r="AE21">
        <v>1.26</v>
      </c>
      <c r="AF21">
        <v>6.21</v>
      </c>
      <c r="AG21">
        <v>1.0900000000000001</v>
      </c>
      <c r="AH21">
        <v>2.58</v>
      </c>
      <c r="AI21">
        <v>0.34200000000000003</v>
      </c>
      <c r="AJ21">
        <v>2.4700000000000002</v>
      </c>
      <c r="AK21">
        <v>0.28599999999999998</v>
      </c>
      <c r="AL21">
        <v>6.55</v>
      </c>
      <c r="AM21">
        <v>4.71</v>
      </c>
      <c r="AN21">
        <v>21.82</v>
      </c>
      <c r="AO21">
        <v>7.71</v>
      </c>
      <c r="AP21">
        <v>1.66</v>
      </c>
    </row>
    <row r="22" spans="1:42" x14ac:dyDescent="0.2">
      <c r="A22" t="s">
        <v>74</v>
      </c>
      <c r="B22">
        <v>5.2</v>
      </c>
      <c r="C22">
        <v>0.96</v>
      </c>
      <c r="D22">
        <v>17005.310000000001</v>
      </c>
      <c r="E22">
        <v>519711.91</v>
      </c>
      <c r="F22">
        <v>76921.13</v>
      </c>
      <c r="G22">
        <v>491516.72</v>
      </c>
      <c r="H22">
        <v>1786.53</v>
      </c>
      <c r="I22">
        <v>8273.93</v>
      </c>
      <c r="J22">
        <v>90052.32</v>
      </c>
      <c r="K22">
        <v>47.17</v>
      </c>
      <c r="L22">
        <v>16352.89</v>
      </c>
      <c r="M22">
        <v>214.67</v>
      </c>
      <c r="N22">
        <v>3556.48</v>
      </c>
      <c r="O22">
        <v>219087.5</v>
      </c>
      <c r="P22">
        <v>0.31</v>
      </c>
      <c r="Q22">
        <v>15.78</v>
      </c>
      <c r="R22">
        <v>760.17</v>
      </c>
      <c r="S22">
        <v>29.94</v>
      </c>
      <c r="T22">
        <v>298.39999999999998</v>
      </c>
      <c r="U22">
        <v>48.69</v>
      </c>
      <c r="V22">
        <v>0.17399999999999999</v>
      </c>
      <c r="W22">
        <v>187.02</v>
      </c>
      <c r="X22">
        <v>29.03</v>
      </c>
      <c r="Y22">
        <v>80.209999999999994</v>
      </c>
      <c r="Z22">
        <v>11.87</v>
      </c>
      <c r="AA22">
        <v>50.02</v>
      </c>
      <c r="AB22">
        <v>7.34</v>
      </c>
      <c r="AC22">
        <v>1.91</v>
      </c>
      <c r="AD22">
        <v>5.37</v>
      </c>
      <c r="AE22">
        <v>1.19</v>
      </c>
      <c r="AF22">
        <v>5.18</v>
      </c>
      <c r="AG22">
        <v>0.77</v>
      </c>
      <c r="AH22">
        <v>1.61</v>
      </c>
      <c r="AI22">
        <v>0.22500000000000001</v>
      </c>
      <c r="AJ22">
        <v>2.88</v>
      </c>
      <c r="AK22">
        <v>0.29399999999999998</v>
      </c>
      <c r="AL22">
        <v>5.63</v>
      </c>
      <c r="AM22">
        <v>2.14</v>
      </c>
      <c r="AN22">
        <v>100.83</v>
      </c>
      <c r="AO22">
        <v>3.68</v>
      </c>
      <c r="AP22">
        <v>0.98</v>
      </c>
    </row>
    <row r="23" spans="1:42" x14ac:dyDescent="0.2">
      <c r="A23" t="s">
        <v>75</v>
      </c>
      <c r="B23">
        <v>3.61</v>
      </c>
      <c r="C23">
        <v>0.88</v>
      </c>
      <c r="D23">
        <v>23006.44</v>
      </c>
      <c r="E23">
        <v>31592.42</v>
      </c>
      <c r="F23">
        <v>71867.45</v>
      </c>
      <c r="G23">
        <v>170653.77</v>
      </c>
      <c r="H23">
        <v>1900.95</v>
      </c>
      <c r="I23">
        <v>9979.52</v>
      </c>
      <c r="J23">
        <v>88194.09</v>
      </c>
      <c r="K23">
        <v>31.71</v>
      </c>
      <c r="L23">
        <v>19300.11</v>
      </c>
      <c r="M23">
        <v>286.62</v>
      </c>
      <c r="N23">
        <v>1039.76</v>
      </c>
      <c r="O23">
        <v>64840.56</v>
      </c>
      <c r="P23">
        <v>0.46</v>
      </c>
      <c r="Q23">
        <v>27.29</v>
      </c>
      <c r="R23">
        <v>883.03</v>
      </c>
      <c r="S23">
        <v>25.18</v>
      </c>
      <c r="T23">
        <v>288.92</v>
      </c>
      <c r="U23">
        <v>80.930000000000007</v>
      </c>
      <c r="V23">
        <v>0.30299999999999999</v>
      </c>
      <c r="W23">
        <v>380.46</v>
      </c>
      <c r="X23">
        <v>62.77</v>
      </c>
      <c r="Y23">
        <v>120.21</v>
      </c>
      <c r="Z23">
        <v>13.43</v>
      </c>
      <c r="AA23">
        <v>50.92</v>
      </c>
      <c r="AB23">
        <v>7.93</v>
      </c>
      <c r="AC23">
        <v>2.3199999999999998</v>
      </c>
      <c r="AD23">
        <v>7.15</v>
      </c>
      <c r="AE23">
        <v>1.0349999999999999</v>
      </c>
      <c r="AF23">
        <v>5.13</v>
      </c>
      <c r="AG23">
        <v>0.92</v>
      </c>
      <c r="AH23">
        <v>2.41</v>
      </c>
      <c r="AI23">
        <v>0.29799999999999999</v>
      </c>
      <c r="AJ23">
        <v>2.11</v>
      </c>
      <c r="AK23">
        <v>0.26900000000000002</v>
      </c>
      <c r="AL23">
        <v>6.41</v>
      </c>
      <c r="AM23">
        <v>4.76</v>
      </c>
      <c r="AN23">
        <v>3.72</v>
      </c>
      <c r="AO23">
        <v>6.61</v>
      </c>
      <c r="AP23">
        <v>1.5</v>
      </c>
    </row>
    <row r="24" spans="1:42" x14ac:dyDescent="0.2">
      <c r="A24" t="s">
        <v>76</v>
      </c>
      <c r="B24">
        <v>3.09</v>
      </c>
      <c r="C24">
        <v>5.8</v>
      </c>
      <c r="D24">
        <v>11938.23</v>
      </c>
      <c r="E24">
        <v>136057.78</v>
      </c>
      <c r="F24">
        <v>45683.98</v>
      </c>
      <c r="G24">
        <v>208577.73</v>
      </c>
      <c r="H24">
        <v>1904.76</v>
      </c>
      <c r="I24">
        <v>7952.87</v>
      </c>
      <c r="J24">
        <v>93482.880000000005</v>
      </c>
      <c r="K24">
        <v>28.16</v>
      </c>
      <c r="L24">
        <v>16378.47</v>
      </c>
      <c r="M24">
        <v>241.05</v>
      </c>
      <c r="N24">
        <v>1659.64</v>
      </c>
      <c r="O24">
        <v>107640.5</v>
      </c>
      <c r="P24">
        <v>0.69</v>
      </c>
      <c r="Q24">
        <v>16.059999999999999</v>
      </c>
      <c r="R24">
        <v>742.53</v>
      </c>
      <c r="S24">
        <v>19.86</v>
      </c>
      <c r="T24">
        <v>246.33</v>
      </c>
      <c r="U24">
        <v>86.19</v>
      </c>
      <c r="V24">
        <v>0.16700000000000001</v>
      </c>
      <c r="W24">
        <v>252.32</v>
      </c>
      <c r="X24">
        <v>42.65</v>
      </c>
      <c r="Y24">
        <v>85.75</v>
      </c>
      <c r="Z24">
        <v>12.43</v>
      </c>
      <c r="AA24">
        <v>52.15</v>
      </c>
      <c r="AB24">
        <v>8.0399999999999991</v>
      </c>
      <c r="AC24">
        <v>2.21</v>
      </c>
      <c r="AD24">
        <v>5.0599999999999996</v>
      </c>
      <c r="AE24">
        <v>0.79</v>
      </c>
      <c r="AF24">
        <v>4.63</v>
      </c>
      <c r="AG24">
        <v>0.54100000000000004</v>
      </c>
      <c r="AH24">
        <v>1.92</v>
      </c>
      <c r="AI24">
        <v>0.218</v>
      </c>
      <c r="AJ24">
        <v>1.79</v>
      </c>
      <c r="AK24">
        <v>0.157</v>
      </c>
      <c r="AL24">
        <v>4.03</v>
      </c>
      <c r="AM24">
        <v>3.56</v>
      </c>
      <c r="AN24">
        <v>153.69</v>
      </c>
      <c r="AO24">
        <v>6.04</v>
      </c>
      <c r="AP24">
        <v>1.38</v>
      </c>
    </row>
    <row r="25" spans="1:42" x14ac:dyDescent="0.2">
      <c r="A25" t="s">
        <v>77</v>
      </c>
      <c r="B25">
        <v>5.07</v>
      </c>
      <c r="C25">
        <v>2.67</v>
      </c>
      <c r="D25">
        <v>18232.34</v>
      </c>
      <c r="E25">
        <v>45009.120000000003</v>
      </c>
      <c r="F25">
        <v>73842.78</v>
      </c>
      <c r="G25">
        <v>243282.55</v>
      </c>
      <c r="H25">
        <v>1137.23</v>
      </c>
      <c r="I25">
        <v>3938.91</v>
      </c>
      <c r="J25">
        <v>77901.7</v>
      </c>
      <c r="K25">
        <v>31.33</v>
      </c>
      <c r="L25">
        <v>15301.9</v>
      </c>
      <c r="M25">
        <v>304.17</v>
      </c>
      <c r="N25">
        <v>1274.33</v>
      </c>
      <c r="O25">
        <v>88705.16</v>
      </c>
      <c r="P25">
        <v>0.19</v>
      </c>
      <c r="Q25">
        <v>8.58</v>
      </c>
      <c r="R25">
        <v>359</v>
      </c>
      <c r="S25">
        <v>26.11</v>
      </c>
      <c r="T25">
        <v>154.58000000000001</v>
      </c>
      <c r="U25">
        <v>14.98</v>
      </c>
      <c r="V25">
        <v>0.115</v>
      </c>
      <c r="W25">
        <v>131.63999999999999</v>
      </c>
      <c r="X25">
        <v>14.4</v>
      </c>
      <c r="Y25">
        <v>33.36</v>
      </c>
      <c r="Z25">
        <v>4.6399999999999997</v>
      </c>
      <c r="AA25">
        <v>21.81</v>
      </c>
      <c r="AB25">
        <v>5.53</v>
      </c>
      <c r="AC25">
        <v>1.91</v>
      </c>
      <c r="AD25">
        <v>6.13</v>
      </c>
      <c r="AE25">
        <v>0.93899999999999995</v>
      </c>
      <c r="AF25">
        <v>5.54</v>
      </c>
      <c r="AG25">
        <v>1.03</v>
      </c>
      <c r="AH25">
        <v>2.73</v>
      </c>
      <c r="AI25">
        <v>0.36099999999999999</v>
      </c>
      <c r="AJ25">
        <v>2.14</v>
      </c>
      <c r="AK25">
        <v>0.30499999999999999</v>
      </c>
      <c r="AL25">
        <v>4.51</v>
      </c>
      <c r="AM25">
        <v>1.05</v>
      </c>
      <c r="AN25">
        <v>2.17</v>
      </c>
      <c r="AO25">
        <v>1.0900000000000001</v>
      </c>
      <c r="AP25">
        <v>0.51300000000000001</v>
      </c>
    </row>
    <row r="26" spans="1:42" x14ac:dyDescent="0.2">
      <c r="A26" t="s">
        <v>78</v>
      </c>
      <c r="B26">
        <v>4.99</v>
      </c>
      <c r="C26">
        <v>2.17</v>
      </c>
      <c r="D26">
        <v>16495.439999999999</v>
      </c>
      <c r="E26">
        <v>43181.3</v>
      </c>
      <c r="F26">
        <v>70714.100000000006</v>
      </c>
      <c r="G26">
        <v>235469.27</v>
      </c>
      <c r="H26">
        <v>1106.6199999999999</v>
      </c>
      <c r="I26">
        <v>3869.52</v>
      </c>
      <c r="J26">
        <v>77901.69</v>
      </c>
      <c r="K26">
        <v>31.8</v>
      </c>
      <c r="L26">
        <v>14851.05</v>
      </c>
      <c r="M26">
        <v>294.01</v>
      </c>
      <c r="N26">
        <v>1192.07</v>
      </c>
      <c r="O26">
        <v>76965.73</v>
      </c>
      <c r="P26">
        <v>0.19700000000000001</v>
      </c>
      <c r="Q26">
        <v>8.36</v>
      </c>
      <c r="R26">
        <v>358.73</v>
      </c>
      <c r="S26">
        <v>26.21</v>
      </c>
      <c r="T26">
        <v>153.34</v>
      </c>
      <c r="U26">
        <v>14.44</v>
      </c>
      <c r="V26">
        <v>0.105</v>
      </c>
      <c r="W26">
        <v>118.46</v>
      </c>
      <c r="X26">
        <v>12.9</v>
      </c>
      <c r="Y26">
        <v>32.85</v>
      </c>
      <c r="Z26">
        <v>4.7300000000000004</v>
      </c>
      <c r="AA26">
        <v>21.53</v>
      </c>
      <c r="AB26">
        <v>5.46</v>
      </c>
      <c r="AC26">
        <v>2</v>
      </c>
      <c r="AD26">
        <v>5.65</v>
      </c>
      <c r="AE26">
        <v>0.877</v>
      </c>
      <c r="AF26">
        <v>5.41</v>
      </c>
      <c r="AG26">
        <v>0.99</v>
      </c>
      <c r="AH26">
        <v>2.5499999999999998</v>
      </c>
      <c r="AI26">
        <v>0.36499999999999999</v>
      </c>
      <c r="AJ26">
        <v>2.1</v>
      </c>
      <c r="AK26">
        <v>0.26400000000000001</v>
      </c>
      <c r="AL26">
        <v>3.89</v>
      </c>
      <c r="AM26">
        <v>0.94</v>
      </c>
      <c r="AN26">
        <v>1.97</v>
      </c>
      <c r="AO26">
        <v>1.03</v>
      </c>
      <c r="AP26">
        <v>0.51500000000000001</v>
      </c>
    </row>
    <row r="27" spans="1:42" x14ac:dyDescent="0.2">
      <c r="A27" t="s">
        <v>79</v>
      </c>
      <c r="B27">
        <v>5.01</v>
      </c>
      <c r="C27">
        <v>2.4</v>
      </c>
      <c r="D27">
        <v>18086.45</v>
      </c>
      <c r="E27">
        <v>44651.37</v>
      </c>
      <c r="F27">
        <v>72615.41</v>
      </c>
      <c r="G27">
        <v>229585.39</v>
      </c>
      <c r="H27">
        <v>1066.42</v>
      </c>
      <c r="I27">
        <v>3712.55</v>
      </c>
      <c r="J27">
        <v>77901.7</v>
      </c>
      <c r="K27">
        <v>32.869999999999997</v>
      </c>
      <c r="L27">
        <v>15784.55</v>
      </c>
      <c r="M27">
        <v>322.67</v>
      </c>
      <c r="N27">
        <v>1334.53</v>
      </c>
      <c r="O27">
        <v>87010.06</v>
      </c>
      <c r="P27">
        <v>0.19400000000000001</v>
      </c>
      <c r="Q27">
        <v>8.6999999999999993</v>
      </c>
      <c r="R27">
        <v>368.16</v>
      </c>
      <c r="S27">
        <v>26.9</v>
      </c>
      <c r="T27">
        <v>155.58000000000001</v>
      </c>
      <c r="U27">
        <v>15.11</v>
      </c>
      <c r="V27">
        <v>0.13</v>
      </c>
      <c r="W27">
        <v>128.28</v>
      </c>
      <c r="X27">
        <v>14.03</v>
      </c>
      <c r="Y27">
        <v>33.15</v>
      </c>
      <c r="Z27">
        <v>4.76</v>
      </c>
      <c r="AA27">
        <v>22.94</v>
      </c>
      <c r="AB27">
        <v>5.83</v>
      </c>
      <c r="AC27">
        <v>2.08</v>
      </c>
      <c r="AD27">
        <v>6.34</v>
      </c>
      <c r="AE27">
        <v>0.95</v>
      </c>
      <c r="AF27">
        <v>5.61</v>
      </c>
      <c r="AG27">
        <v>1.07</v>
      </c>
      <c r="AH27">
        <v>2.66</v>
      </c>
      <c r="AI27">
        <v>0.33300000000000002</v>
      </c>
      <c r="AJ27">
        <v>2.27</v>
      </c>
      <c r="AK27">
        <v>0.29699999999999999</v>
      </c>
      <c r="AL27">
        <v>4.33</v>
      </c>
      <c r="AM27">
        <v>1.05</v>
      </c>
      <c r="AN27">
        <v>2.0499999999999998</v>
      </c>
      <c r="AO27">
        <v>1.1299999999999999</v>
      </c>
      <c r="AP27">
        <v>0.57099999999999995</v>
      </c>
    </row>
    <row r="28" spans="1:42" x14ac:dyDescent="0.2">
      <c r="A28" s="2" t="s">
        <v>80</v>
      </c>
      <c r="B28" s="2">
        <v>30.08</v>
      </c>
      <c r="C28" s="2">
        <v>38.42</v>
      </c>
      <c r="D28" s="2">
        <v>90517.38</v>
      </c>
      <c r="E28" s="2">
        <v>63.4</v>
      </c>
      <c r="F28" s="2">
        <v>9521.14</v>
      </c>
      <c r="G28" s="2">
        <v>271647.69</v>
      </c>
      <c r="H28" s="2">
        <v>38.869999999999997</v>
      </c>
      <c r="I28" s="2">
        <v>144.99</v>
      </c>
      <c r="J28" s="2">
        <v>85048.7</v>
      </c>
      <c r="K28" s="2">
        <v>38.47</v>
      </c>
      <c r="L28" s="2">
        <v>46.68</v>
      </c>
      <c r="M28" s="2">
        <v>35.700000000000003</v>
      </c>
      <c r="N28" s="2">
        <v>33.14</v>
      </c>
      <c r="O28" s="2">
        <v>155.07</v>
      </c>
      <c r="P28" s="2">
        <v>14.1</v>
      </c>
      <c r="Q28" s="2">
        <v>28.33</v>
      </c>
      <c r="R28" s="2">
        <v>78.41</v>
      </c>
      <c r="S28" s="2">
        <v>38.799999999999997</v>
      </c>
      <c r="T28" s="2">
        <v>36.979999999999997</v>
      </c>
      <c r="U28" s="2">
        <v>38.06</v>
      </c>
      <c r="V28" s="2">
        <v>36.979999999999997</v>
      </c>
      <c r="W28" s="2">
        <v>38.76</v>
      </c>
      <c r="X28" s="2">
        <v>33.35</v>
      </c>
      <c r="Y28" s="2">
        <v>36.700000000000003</v>
      </c>
      <c r="Z28" s="2">
        <v>36.630000000000003</v>
      </c>
      <c r="AA28" s="2">
        <v>35.020000000000003</v>
      </c>
      <c r="AB28" s="2">
        <v>34.94</v>
      </c>
      <c r="AC28" s="2">
        <v>34.17</v>
      </c>
      <c r="AD28" s="2">
        <v>35.57</v>
      </c>
      <c r="AE28" s="2">
        <v>36.72</v>
      </c>
      <c r="AF28" s="2">
        <v>34.53</v>
      </c>
      <c r="AG28" s="2">
        <v>36.79</v>
      </c>
      <c r="AH28" s="2">
        <v>37.28</v>
      </c>
      <c r="AI28" s="2">
        <v>36.29</v>
      </c>
      <c r="AJ28" s="2">
        <v>38.880000000000003</v>
      </c>
      <c r="AK28" s="2">
        <v>36.67</v>
      </c>
      <c r="AL28" s="2">
        <v>35.71</v>
      </c>
      <c r="AM28" s="2">
        <v>38.04</v>
      </c>
      <c r="AN28" s="2">
        <v>36.28</v>
      </c>
      <c r="AO28" s="2">
        <v>36.44</v>
      </c>
      <c r="AP28" s="2">
        <v>34.28</v>
      </c>
    </row>
    <row r="29" spans="1:42" x14ac:dyDescent="0.2">
      <c r="A29" t="s">
        <v>81</v>
      </c>
      <c r="B29">
        <v>7.73</v>
      </c>
      <c r="C29">
        <v>3.59</v>
      </c>
      <c r="D29">
        <v>23688.53</v>
      </c>
      <c r="E29">
        <v>21307.9</v>
      </c>
      <c r="F29">
        <v>72180.73</v>
      </c>
      <c r="G29">
        <v>249400.41</v>
      </c>
      <c r="H29">
        <v>1345.38</v>
      </c>
      <c r="I29">
        <v>14725.34</v>
      </c>
      <c r="J29">
        <v>50900</v>
      </c>
      <c r="K29">
        <v>34.049999999999997</v>
      </c>
      <c r="L29">
        <v>13594.67</v>
      </c>
      <c r="M29">
        <v>417.59</v>
      </c>
      <c r="N29">
        <v>1529.86</v>
      </c>
      <c r="O29">
        <v>93053.38</v>
      </c>
      <c r="P29">
        <v>0.52</v>
      </c>
      <c r="Q29">
        <v>47.08</v>
      </c>
      <c r="R29">
        <v>332.07</v>
      </c>
      <c r="S29">
        <v>34.99</v>
      </c>
      <c r="T29">
        <v>181.6</v>
      </c>
      <c r="U29">
        <v>12.72</v>
      </c>
      <c r="V29">
        <v>1.18</v>
      </c>
      <c r="W29">
        <v>666.44</v>
      </c>
      <c r="X29">
        <v>24.39</v>
      </c>
      <c r="Y29">
        <v>50.39</v>
      </c>
      <c r="Z29">
        <v>6.35</v>
      </c>
      <c r="AA29">
        <v>27.53</v>
      </c>
      <c r="AB29">
        <v>5.77</v>
      </c>
      <c r="AC29">
        <v>1.94</v>
      </c>
      <c r="AD29">
        <v>6.35</v>
      </c>
      <c r="AE29">
        <v>1.0049999999999999</v>
      </c>
      <c r="AF29">
        <v>6.22</v>
      </c>
      <c r="AG29">
        <v>1.29</v>
      </c>
      <c r="AH29">
        <v>3.79</v>
      </c>
      <c r="AI29">
        <v>0.51600000000000001</v>
      </c>
      <c r="AJ29">
        <v>3.68</v>
      </c>
      <c r="AK29">
        <v>0.503</v>
      </c>
      <c r="AL29">
        <v>4.96</v>
      </c>
      <c r="AM29">
        <v>0.81100000000000005</v>
      </c>
      <c r="AN29">
        <v>11.14</v>
      </c>
      <c r="AO29">
        <v>6.13</v>
      </c>
      <c r="AP29">
        <v>1.75</v>
      </c>
    </row>
    <row r="30" spans="1:42" x14ac:dyDescent="0.2">
      <c r="A30" t="s">
        <v>82</v>
      </c>
      <c r="B30">
        <v>4.79</v>
      </c>
      <c r="C30">
        <v>1.21</v>
      </c>
      <c r="D30">
        <v>24704.21</v>
      </c>
      <c r="E30">
        <v>34818.71</v>
      </c>
      <c r="F30">
        <v>75205.460000000006</v>
      </c>
      <c r="G30">
        <v>198089.83</v>
      </c>
      <c r="H30">
        <v>2563.5100000000002</v>
      </c>
      <c r="I30">
        <v>12653.72</v>
      </c>
      <c r="J30">
        <v>85907.06</v>
      </c>
      <c r="K30">
        <v>29.94</v>
      </c>
      <c r="L30">
        <v>20038.05</v>
      </c>
      <c r="M30">
        <v>308.83999999999997</v>
      </c>
      <c r="N30">
        <v>1278.03</v>
      </c>
      <c r="O30">
        <v>78422.77</v>
      </c>
      <c r="P30">
        <v>0.68</v>
      </c>
      <c r="Q30">
        <v>33.25</v>
      </c>
      <c r="R30">
        <v>954.8</v>
      </c>
      <c r="S30">
        <v>27.66</v>
      </c>
      <c r="T30">
        <v>314.64</v>
      </c>
      <c r="U30">
        <v>94.26</v>
      </c>
      <c r="V30">
        <v>0.36899999999999999</v>
      </c>
      <c r="W30">
        <v>415.94</v>
      </c>
      <c r="X30">
        <v>67.98</v>
      </c>
      <c r="Y30">
        <v>135.28</v>
      </c>
      <c r="Z30">
        <v>15.82</v>
      </c>
      <c r="AA30">
        <v>62.71</v>
      </c>
      <c r="AB30">
        <v>10.33</v>
      </c>
      <c r="AC30">
        <v>3.06</v>
      </c>
      <c r="AD30">
        <v>8.5500000000000007</v>
      </c>
      <c r="AE30">
        <v>1.07</v>
      </c>
      <c r="AF30">
        <v>5.79</v>
      </c>
      <c r="AG30">
        <v>1.02</v>
      </c>
      <c r="AH30">
        <v>2.4500000000000002</v>
      </c>
      <c r="AI30">
        <v>0.314</v>
      </c>
      <c r="AJ30">
        <v>2.21</v>
      </c>
      <c r="AK30">
        <v>0.25600000000000001</v>
      </c>
      <c r="AL30">
        <v>7.28</v>
      </c>
      <c r="AM30">
        <v>5.55</v>
      </c>
      <c r="AN30">
        <v>3.78</v>
      </c>
      <c r="AO30">
        <v>7.19</v>
      </c>
      <c r="AP30">
        <v>1.87</v>
      </c>
    </row>
    <row r="31" spans="1:42" x14ac:dyDescent="0.2">
      <c r="A31" t="s">
        <v>83</v>
      </c>
      <c r="B31">
        <v>4.58</v>
      </c>
      <c r="C31">
        <v>1.74</v>
      </c>
      <c r="D31">
        <v>24710.27</v>
      </c>
      <c r="E31">
        <v>31051.54</v>
      </c>
      <c r="F31">
        <v>78683.25</v>
      </c>
      <c r="G31">
        <v>203731.45</v>
      </c>
      <c r="H31">
        <v>3003.66</v>
      </c>
      <c r="I31">
        <v>10543.19</v>
      </c>
      <c r="J31">
        <v>95555.520000000004</v>
      </c>
      <c r="K31">
        <v>34.24</v>
      </c>
      <c r="L31">
        <v>20719.46</v>
      </c>
      <c r="M31">
        <v>351.13</v>
      </c>
      <c r="N31">
        <v>1166.8</v>
      </c>
      <c r="O31">
        <v>74768.539999999994</v>
      </c>
      <c r="P31">
        <v>0.72</v>
      </c>
      <c r="Q31">
        <v>33.83</v>
      </c>
      <c r="R31">
        <v>884.07</v>
      </c>
      <c r="S31">
        <v>27.48</v>
      </c>
      <c r="T31">
        <v>304.27</v>
      </c>
      <c r="U31">
        <v>82.81</v>
      </c>
      <c r="V31">
        <v>0.39400000000000002</v>
      </c>
      <c r="W31">
        <v>393.21</v>
      </c>
      <c r="X31">
        <v>56.3</v>
      </c>
      <c r="Y31">
        <v>112.61</v>
      </c>
      <c r="Z31">
        <v>12.74</v>
      </c>
      <c r="AA31">
        <v>48.65</v>
      </c>
      <c r="AB31">
        <v>8.5299999999999994</v>
      </c>
      <c r="AC31">
        <v>2.73</v>
      </c>
      <c r="AD31">
        <v>7.85</v>
      </c>
      <c r="AE31">
        <v>1.08</v>
      </c>
      <c r="AF31">
        <v>5.58</v>
      </c>
      <c r="AG31">
        <v>1.05</v>
      </c>
      <c r="AH31">
        <v>2.72</v>
      </c>
      <c r="AI31">
        <v>0.33300000000000002</v>
      </c>
      <c r="AJ31">
        <v>2.23</v>
      </c>
      <c r="AK31">
        <v>0.30599999999999999</v>
      </c>
      <c r="AL31">
        <v>7.43</v>
      </c>
      <c r="AM31">
        <v>5.24</v>
      </c>
      <c r="AN31">
        <v>4.2</v>
      </c>
      <c r="AO31">
        <v>6.56</v>
      </c>
      <c r="AP31">
        <v>1.69</v>
      </c>
    </row>
    <row r="32" spans="1:42" x14ac:dyDescent="0.2">
      <c r="A32" t="s">
        <v>84</v>
      </c>
      <c r="B32">
        <v>5.38</v>
      </c>
      <c r="C32">
        <v>3.24</v>
      </c>
      <c r="D32">
        <v>22292.03</v>
      </c>
      <c r="E32">
        <v>339160.94</v>
      </c>
      <c r="F32">
        <v>80013.440000000002</v>
      </c>
      <c r="G32">
        <v>363795.75</v>
      </c>
      <c r="H32">
        <v>1659.47</v>
      </c>
      <c r="I32">
        <v>7549.2</v>
      </c>
      <c r="J32">
        <v>86049.99</v>
      </c>
      <c r="K32">
        <v>38.25</v>
      </c>
      <c r="L32">
        <v>19023.78</v>
      </c>
      <c r="M32">
        <v>290.69</v>
      </c>
      <c r="N32">
        <v>3497.18</v>
      </c>
      <c r="O32">
        <v>220236.08</v>
      </c>
      <c r="P32">
        <v>0.72</v>
      </c>
      <c r="Q32">
        <v>21.91</v>
      </c>
      <c r="R32">
        <v>765.68</v>
      </c>
      <c r="S32">
        <v>28.81</v>
      </c>
      <c r="T32">
        <v>265.76</v>
      </c>
      <c r="U32">
        <v>59.08</v>
      </c>
      <c r="V32">
        <v>0.23300000000000001</v>
      </c>
      <c r="W32">
        <v>324.98</v>
      </c>
      <c r="X32">
        <v>46.1</v>
      </c>
      <c r="Y32">
        <v>95.72</v>
      </c>
      <c r="Z32">
        <v>11.13</v>
      </c>
      <c r="AA32">
        <v>44.95</v>
      </c>
      <c r="AB32">
        <v>7.84</v>
      </c>
      <c r="AC32">
        <v>2.5</v>
      </c>
      <c r="AD32">
        <v>7.9</v>
      </c>
      <c r="AE32">
        <v>1.08</v>
      </c>
      <c r="AF32">
        <v>5.32</v>
      </c>
      <c r="AG32">
        <v>1.03</v>
      </c>
      <c r="AH32">
        <v>2.82</v>
      </c>
      <c r="AI32">
        <v>0.36199999999999999</v>
      </c>
      <c r="AJ32">
        <v>2.35</v>
      </c>
      <c r="AK32">
        <v>0.24099999999999999</v>
      </c>
      <c r="AL32">
        <v>6.2</v>
      </c>
      <c r="AM32">
        <v>3.91</v>
      </c>
      <c r="AN32">
        <v>74.48</v>
      </c>
      <c r="AO32">
        <v>4.6399999999999997</v>
      </c>
      <c r="AP32">
        <v>0.96</v>
      </c>
    </row>
    <row r="33" spans="1:42" x14ac:dyDescent="0.2">
      <c r="A33" t="s">
        <v>85</v>
      </c>
      <c r="B33">
        <v>3.95</v>
      </c>
      <c r="C33">
        <v>1.51</v>
      </c>
      <c r="D33">
        <v>22092.54</v>
      </c>
      <c r="E33">
        <v>56044.2</v>
      </c>
      <c r="F33">
        <v>77315.710000000006</v>
      </c>
      <c r="G33">
        <v>201766.55</v>
      </c>
      <c r="H33">
        <v>1787.11</v>
      </c>
      <c r="I33">
        <v>8870.85</v>
      </c>
      <c r="J33">
        <v>84692.06</v>
      </c>
      <c r="K33">
        <v>27.32</v>
      </c>
      <c r="L33">
        <v>17378.57</v>
      </c>
      <c r="M33">
        <v>263.02999999999997</v>
      </c>
      <c r="N33">
        <v>1319.15</v>
      </c>
      <c r="O33">
        <v>83160.84</v>
      </c>
      <c r="P33">
        <v>0.52</v>
      </c>
      <c r="Q33">
        <v>22.83</v>
      </c>
      <c r="R33">
        <v>797.7</v>
      </c>
      <c r="S33">
        <v>29.27</v>
      </c>
      <c r="T33">
        <v>272.43</v>
      </c>
      <c r="U33">
        <v>71.44</v>
      </c>
      <c r="V33">
        <v>0.28699999999999998</v>
      </c>
      <c r="W33">
        <v>307.12</v>
      </c>
      <c r="X33">
        <v>49.32</v>
      </c>
      <c r="Y33">
        <v>98.47</v>
      </c>
      <c r="Z33">
        <v>11.87</v>
      </c>
      <c r="AA33">
        <v>49.3</v>
      </c>
      <c r="AB33">
        <v>8.6999999999999993</v>
      </c>
      <c r="AC33">
        <v>2.6</v>
      </c>
      <c r="AD33">
        <v>7.38</v>
      </c>
      <c r="AE33">
        <v>1.1599999999999999</v>
      </c>
      <c r="AF33">
        <v>5.99</v>
      </c>
      <c r="AG33">
        <v>0.95</v>
      </c>
      <c r="AH33">
        <v>2.4</v>
      </c>
      <c r="AI33">
        <v>0.40699999999999997</v>
      </c>
      <c r="AJ33">
        <v>2.08</v>
      </c>
      <c r="AK33">
        <v>0.38200000000000001</v>
      </c>
      <c r="AL33">
        <v>5.03</v>
      </c>
      <c r="AM33">
        <v>4.25</v>
      </c>
      <c r="AN33">
        <v>2.58</v>
      </c>
      <c r="AO33">
        <v>5.83</v>
      </c>
      <c r="AP33">
        <v>1.27</v>
      </c>
    </row>
    <row r="34" spans="1:42" x14ac:dyDescent="0.2">
      <c r="A34" t="s">
        <v>86</v>
      </c>
      <c r="B34">
        <v>8.81</v>
      </c>
      <c r="C34">
        <v>3.47</v>
      </c>
      <c r="D34">
        <v>20665.05</v>
      </c>
      <c r="E34">
        <v>934193.31</v>
      </c>
      <c r="F34">
        <v>76804.52</v>
      </c>
      <c r="G34">
        <v>785817.88</v>
      </c>
      <c r="H34">
        <v>1494.25</v>
      </c>
      <c r="I34">
        <v>8564.73</v>
      </c>
      <c r="J34">
        <v>92696.71</v>
      </c>
      <c r="K34">
        <v>62.21</v>
      </c>
      <c r="L34">
        <v>16003.47</v>
      </c>
      <c r="M34">
        <v>192.41</v>
      </c>
      <c r="N34">
        <v>7135.28</v>
      </c>
      <c r="O34">
        <v>433401.66</v>
      </c>
      <c r="P34">
        <v>0.89</v>
      </c>
      <c r="Q34">
        <v>22.48</v>
      </c>
      <c r="R34">
        <v>723.17</v>
      </c>
      <c r="S34">
        <v>28.26</v>
      </c>
      <c r="T34">
        <v>275.98</v>
      </c>
      <c r="U34">
        <v>54.46</v>
      </c>
      <c r="V34">
        <v>0.20799999999999999</v>
      </c>
      <c r="W34">
        <v>280.27999999999997</v>
      </c>
      <c r="X34">
        <v>38.67</v>
      </c>
      <c r="Y34">
        <v>86.5</v>
      </c>
      <c r="Z34">
        <v>9.9700000000000006</v>
      </c>
      <c r="AA34">
        <v>43.22</v>
      </c>
      <c r="AB34">
        <v>8.2799999999999994</v>
      </c>
      <c r="AC34">
        <v>2.3199999999999998</v>
      </c>
      <c r="AD34">
        <v>6.54</v>
      </c>
      <c r="AE34">
        <v>1.1200000000000001</v>
      </c>
      <c r="AF34">
        <v>5.3</v>
      </c>
      <c r="AG34">
        <v>0.97</v>
      </c>
      <c r="AH34">
        <v>2.57</v>
      </c>
      <c r="AI34">
        <v>0.22800000000000001</v>
      </c>
      <c r="AJ34">
        <v>2.35</v>
      </c>
      <c r="AK34">
        <v>0.28199999999999997</v>
      </c>
      <c r="AL34">
        <v>5.8</v>
      </c>
      <c r="AM34">
        <v>3.22</v>
      </c>
      <c r="AN34">
        <v>210.04</v>
      </c>
      <c r="AO34">
        <v>3.6</v>
      </c>
      <c r="AP34">
        <v>0.87</v>
      </c>
    </row>
    <row r="35" spans="1:42" x14ac:dyDescent="0.2">
      <c r="A35" t="s">
        <v>87</v>
      </c>
      <c r="B35">
        <v>6.83</v>
      </c>
      <c r="C35">
        <v>2.23</v>
      </c>
      <c r="D35">
        <v>21858.63</v>
      </c>
      <c r="E35">
        <v>171186.28</v>
      </c>
      <c r="F35">
        <v>56704.34</v>
      </c>
      <c r="G35">
        <v>255527.78</v>
      </c>
      <c r="H35">
        <v>2668.76</v>
      </c>
      <c r="I35">
        <v>10868.67</v>
      </c>
      <c r="J35">
        <v>83048.25</v>
      </c>
      <c r="K35">
        <v>24.5</v>
      </c>
      <c r="L35">
        <v>15787.53</v>
      </c>
      <c r="M35">
        <v>247.06</v>
      </c>
      <c r="N35">
        <v>2780.67</v>
      </c>
      <c r="O35">
        <v>144333.51999999999</v>
      </c>
      <c r="P35">
        <v>0.98</v>
      </c>
      <c r="Q35">
        <v>33.590000000000003</v>
      </c>
      <c r="R35">
        <v>1135.25</v>
      </c>
      <c r="S35">
        <v>33.21</v>
      </c>
      <c r="T35">
        <v>359.99</v>
      </c>
      <c r="U35">
        <v>107.88</v>
      </c>
      <c r="V35">
        <v>0.41</v>
      </c>
      <c r="W35">
        <v>519.37</v>
      </c>
      <c r="X35">
        <v>76.7</v>
      </c>
      <c r="Y35">
        <v>162.44999999999999</v>
      </c>
      <c r="Z35">
        <v>18.940000000000001</v>
      </c>
      <c r="AA35">
        <v>67.08</v>
      </c>
      <c r="AB35">
        <v>11.54</v>
      </c>
      <c r="AC35">
        <v>3.39</v>
      </c>
      <c r="AD35">
        <v>8.3800000000000008</v>
      </c>
      <c r="AE35">
        <v>1.1100000000000001</v>
      </c>
      <c r="AF35">
        <v>5.61</v>
      </c>
      <c r="AG35">
        <v>1.2</v>
      </c>
      <c r="AH35">
        <v>2.98</v>
      </c>
      <c r="AI35">
        <v>0.48099999999999998</v>
      </c>
      <c r="AJ35">
        <v>2.63</v>
      </c>
      <c r="AK35">
        <v>0.32200000000000001</v>
      </c>
      <c r="AL35">
        <v>7.83</v>
      </c>
      <c r="AM35">
        <v>5.64</v>
      </c>
      <c r="AN35">
        <v>6.3</v>
      </c>
      <c r="AO35">
        <v>8.66</v>
      </c>
      <c r="AP35">
        <v>2.2000000000000002</v>
      </c>
    </row>
    <row r="36" spans="1:42" x14ac:dyDescent="0.2">
      <c r="A36" t="s">
        <v>88</v>
      </c>
      <c r="B36">
        <v>4</v>
      </c>
      <c r="C36">
        <v>2.16</v>
      </c>
      <c r="D36">
        <v>23147.86</v>
      </c>
      <c r="E36">
        <v>30517.71</v>
      </c>
      <c r="F36">
        <v>70238.509999999995</v>
      </c>
      <c r="G36">
        <v>188885.25</v>
      </c>
      <c r="H36">
        <v>2002.68</v>
      </c>
      <c r="I36">
        <v>9947.73</v>
      </c>
      <c r="J36">
        <v>91696.13</v>
      </c>
      <c r="K36">
        <v>29.19</v>
      </c>
      <c r="L36">
        <v>17651.560000000001</v>
      </c>
      <c r="M36">
        <v>300.63</v>
      </c>
      <c r="N36">
        <v>1021.94</v>
      </c>
      <c r="O36">
        <v>66192.479999999996</v>
      </c>
      <c r="P36">
        <v>0.55000000000000004</v>
      </c>
      <c r="Q36">
        <v>28.96</v>
      </c>
      <c r="R36">
        <v>811.48</v>
      </c>
      <c r="S36">
        <v>27.23</v>
      </c>
      <c r="T36">
        <v>262.64</v>
      </c>
      <c r="U36">
        <v>80.48</v>
      </c>
      <c r="V36">
        <v>0.35199999999999998</v>
      </c>
      <c r="W36">
        <v>352.6</v>
      </c>
      <c r="X36">
        <v>61.1</v>
      </c>
      <c r="Y36">
        <v>112.73</v>
      </c>
      <c r="Z36">
        <v>13.31</v>
      </c>
      <c r="AA36">
        <v>54.41</v>
      </c>
      <c r="AB36">
        <v>8.23</v>
      </c>
      <c r="AC36">
        <v>2.73</v>
      </c>
      <c r="AD36">
        <v>7.48</v>
      </c>
      <c r="AE36">
        <v>0.99</v>
      </c>
      <c r="AF36">
        <v>5.69</v>
      </c>
      <c r="AG36">
        <v>0.91</v>
      </c>
      <c r="AH36">
        <v>2.37</v>
      </c>
      <c r="AI36">
        <v>0.28899999999999998</v>
      </c>
      <c r="AJ36">
        <v>2.2799999999999998</v>
      </c>
      <c r="AK36">
        <v>0.26700000000000002</v>
      </c>
      <c r="AL36">
        <v>5.94</v>
      </c>
      <c r="AM36">
        <v>4.38</v>
      </c>
      <c r="AN36">
        <v>6.21</v>
      </c>
      <c r="AO36">
        <v>6.38</v>
      </c>
      <c r="AP36">
        <v>1.57</v>
      </c>
    </row>
    <row r="37" spans="1:42" x14ac:dyDescent="0.2">
      <c r="A37" t="s">
        <v>89</v>
      </c>
      <c r="B37">
        <v>3.85</v>
      </c>
      <c r="C37">
        <v>1.84</v>
      </c>
      <c r="D37">
        <v>22209.82</v>
      </c>
      <c r="E37">
        <v>47221.54</v>
      </c>
      <c r="F37">
        <v>79121.88</v>
      </c>
      <c r="G37">
        <v>179522.22</v>
      </c>
      <c r="H37">
        <v>2518.96</v>
      </c>
      <c r="I37">
        <v>11851.35</v>
      </c>
      <c r="J37">
        <v>86836.160000000003</v>
      </c>
      <c r="K37">
        <v>33.33</v>
      </c>
      <c r="L37">
        <v>19434.41</v>
      </c>
      <c r="M37">
        <v>299.57</v>
      </c>
      <c r="N37">
        <v>1335.51</v>
      </c>
      <c r="O37">
        <v>75912.84</v>
      </c>
      <c r="P37">
        <v>0.78</v>
      </c>
      <c r="Q37">
        <v>34.97</v>
      </c>
      <c r="R37">
        <v>1063.01</v>
      </c>
      <c r="S37">
        <v>26.08</v>
      </c>
      <c r="T37">
        <v>371.67</v>
      </c>
      <c r="U37">
        <v>103.89</v>
      </c>
      <c r="V37">
        <v>0.42</v>
      </c>
      <c r="W37">
        <v>485.18</v>
      </c>
      <c r="X37">
        <v>83.25</v>
      </c>
      <c r="Y37">
        <v>155.76</v>
      </c>
      <c r="Z37">
        <v>16.920000000000002</v>
      </c>
      <c r="AA37">
        <v>66.680000000000007</v>
      </c>
      <c r="AB37">
        <v>11.41</v>
      </c>
      <c r="AC37">
        <v>3.56</v>
      </c>
      <c r="AD37">
        <v>8.6300000000000008</v>
      </c>
      <c r="AE37">
        <v>1.06</v>
      </c>
      <c r="AF37">
        <v>5.7</v>
      </c>
      <c r="AG37">
        <v>0.96</v>
      </c>
      <c r="AH37">
        <v>2.8</v>
      </c>
      <c r="AI37">
        <v>0.33100000000000002</v>
      </c>
      <c r="AJ37">
        <v>1.7</v>
      </c>
      <c r="AK37">
        <v>0.28399999999999997</v>
      </c>
      <c r="AL37">
        <v>8.43</v>
      </c>
      <c r="AM37">
        <v>6.26</v>
      </c>
      <c r="AN37">
        <v>4.55</v>
      </c>
      <c r="AO37">
        <v>8.85</v>
      </c>
      <c r="AP37">
        <v>2.21</v>
      </c>
    </row>
    <row r="38" spans="1:42" x14ac:dyDescent="0.2">
      <c r="A38" t="s">
        <v>90</v>
      </c>
      <c r="B38">
        <v>8.7200000000000006</v>
      </c>
      <c r="C38">
        <v>3.28</v>
      </c>
      <c r="D38">
        <v>22005.23</v>
      </c>
      <c r="E38">
        <v>345789.88</v>
      </c>
      <c r="F38">
        <v>89052.79</v>
      </c>
      <c r="G38">
        <v>367506.34</v>
      </c>
      <c r="H38">
        <v>1779.55</v>
      </c>
      <c r="I38">
        <v>8443.4599999999991</v>
      </c>
      <c r="J38">
        <v>104346.32</v>
      </c>
      <c r="K38">
        <v>43.86</v>
      </c>
      <c r="L38">
        <v>24643.11</v>
      </c>
      <c r="M38">
        <v>413.84</v>
      </c>
      <c r="N38">
        <v>3291.38</v>
      </c>
      <c r="O38">
        <v>214254.89</v>
      </c>
      <c r="P38">
        <v>0.45</v>
      </c>
      <c r="Q38">
        <v>22.96</v>
      </c>
      <c r="R38">
        <v>829.22</v>
      </c>
      <c r="S38">
        <v>32</v>
      </c>
      <c r="T38">
        <v>306.02999999999997</v>
      </c>
      <c r="U38">
        <v>62.87</v>
      </c>
      <c r="V38">
        <v>0.29899999999999999</v>
      </c>
      <c r="W38">
        <v>332.29</v>
      </c>
      <c r="X38">
        <v>47.08</v>
      </c>
      <c r="Y38">
        <v>101.16</v>
      </c>
      <c r="Z38">
        <v>12</v>
      </c>
      <c r="AA38">
        <v>49.76</v>
      </c>
      <c r="AB38">
        <v>9.42</v>
      </c>
      <c r="AC38">
        <v>2.99</v>
      </c>
      <c r="AD38">
        <v>8.49</v>
      </c>
      <c r="AE38">
        <v>1.1599999999999999</v>
      </c>
      <c r="AF38">
        <v>6.47</v>
      </c>
      <c r="AG38">
        <v>1.22</v>
      </c>
      <c r="AH38">
        <v>3.58</v>
      </c>
      <c r="AI38">
        <v>0.45200000000000001</v>
      </c>
      <c r="AJ38">
        <v>2.29</v>
      </c>
      <c r="AK38">
        <v>0.44600000000000001</v>
      </c>
      <c r="AL38">
        <v>6.9</v>
      </c>
      <c r="AM38">
        <v>4.28</v>
      </c>
      <c r="AN38">
        <v>63.2</v>
      </c>
      <c r="AO38">
        <v>4.7300000000000004</v>
      </c>
      <c r="AP38">
        <v>1.35</v>
      </c>
    </row>
    <row r="39" spans="1:42" x14ac:dyDescent="0.2">
      <c r="A39" t="s">
        <v>91</v>
      </c>
      <c r="B39">
        <v>5.53</v>
      </c>
      <c r="C39">
        <v>1.79</v>
      </c>
      <c r="D39">
        <v>22480.66</v>
      </c>
      <c r="E39">
        <v>396552.41</v>
      </c>
      <c r="F39">
        <v>99547.46</v>
      </c>
      <c r="G39">
        <v>386394.97</v>
      </c>
      <c r="H39">
        <v>1638.87</v>
      </c>
      <c r="I39">
        <v>7412.55</v>
      </c>
      <c r="J39">
        <v>104346.32</v>
      </c>
      <c r="K39">
        <v>37.92</v>
      </c>
      <c r="L39">
        <v>17688.560000000001</v>
      </c>
      <c r="M39">
        <v>256.10000000000002</v>
      </c>
      <c r="N39">
        <v>3018.95</v>
      </c>
      <c r="O39">
        <v>214394.05</v>
      </c>
      <c r="P39">
        <v>0.61</v>
      </c>
      <c r="Q39">
        <v>26.68</v>
      </c>
      <c r="R39">
        <v>1036.08</v>
      </c>
      <c r="S39">
        <v>40.340000000000003</v>
      </c>
      <c r="T39">
        <v>349.85</v>
      </c>
      <c r="U39">
        <v>58.66</v>
      </c>
      <c r="V39">
        <v>0.26100000000000001</v>
      </c>
      <c r="W39">
        <v>338.6</v>
      </c>
      <c r="X39">
        <v>55.32</v>
      </c>
      <c r="Y39">
        <v>123.79</v>
      </c>
      <c r="Z39">
        <v>14.14</v>
      </c>
      <c r="AA39">
        <v>49.57</v>
      </c>
      <c r="AB39">
        <v>8.94</v>
      </c>
      <c r="AC39">
        <v>2.77</v>
      </c>
      <c r="AD39">
        <v>12.35</v>
      </c>
      <c r="AE39">
        <v>1.58</v>
      </c>
      <c r="AF39">
        <v>6.42</v>
      </c>
      <c r="AG39">
        <v>1.0900000000000001</v>
      </c>
      <c r="AH39">
        <v>3.17</v>
      </c>
      <c r="AI39">
        <v>0.5</v>
      </c>
      <c r="AJ39">
        <v>2.96</v>
      </c>
      <c r="AK39">
        <v>0.38500000000000001</v>
      </c>
      <c r="AL39">
        <v>6.91</v>
      </c>
      <c r="AM39">
        <v>4.4800000000000004</v>
      </c>
      <c r="AN39">
        <v>67.150000000000006</v>
      </c>
      <c r="AO39">
        <v>5.41</v>
      </c>
      <c r="AP39">
        <v>1.1299999999999999</v>
      </c>
    </row>
    <row r="40" spans="1:42" x14ac:dyDescent="0.2">
      <c r="A40" t="s">
        <v>92</v>
      </c>
      <c r="B40">
        <v>6.83</v>
      </c>
      <c r="C40">
        <v>0.98</v>
      </c>
      <c r="D40">
        <v>25126.95</v>
      </c>
      <c r="E40">
        <v>41962.77</v>
      </c>
      <c r="F40">
        <v>91401.65</v>
      </c>
      <c r="G40">
        <v>215230.17</v>
      </c>
      <c r="H40">
        <v>313.7</v>
      </c>
      <c r="I40">
        <v>2382.0300000000002</v>
      </c>
      <c r="J40">
        <v>105203.96</v>
      </c>
      <c r="K40">
        <v>42</v>
      </c>
      <c r="L40">
        <v>39363.47</v>
      </c>
      <c r="M40">
        <v>446.91</v>
      </c>
      <c r="N40">
        <v>1632.27</v>
      </c>
      <c r="O40">
        <v>85203.74</v>
      </c>
      <c r="P40">
        <v>0.34</v>
      </c>
      <c r="Q40">
        <v>9.9600000000000009</v>
      </c>
      <c r="R40">
        <v>239.14</v>
      </c>
      <c r="S40">
        <v>35.340000000000003</v>
      </c>
      <c r="T40">
        <v>177.26</v>
      </c>
      <c r="U40">
        <v>25.47</v>
      </c>
      <c r="V40">
        <v>0.121</v>
      </c>
      <c r="W40">
        <v>86.38</v>
      </c>
      <c r="X40">
        <v>17.440000000000001</v>
      </c>
      <c r="Y40">
        <v>48.62</v>
      </c>
      <c r="Z40">
        <v>7.89</v>
      </c>
      <c r="AA40">
        <v>34.83</v>
      </c>
      <c r="AB40">
        <v>11.72</v>
      </c>
      <c r="AC40">
        <v>5.29</v>
      </c>
      <c r="AD40">
        <v>12.55</v>
      </c>
      <c r="AE40">
        <v>1.53</v>
      </c>
      <c r="AF40">
        <v>6.87</v>
      </c>
      <c r="AG40">
        <v>1.76</v>
      </c>
      <c r="AH40">
        <v>5.55</v>
      </c>
      <c r="AI40">
        <v>0.56000000000000005</v>
      </c>
      <c r="AJ40">
        <v>2.61</v>
      </c>
      <c r="AK40">
        <v>0.34799999999999998</v>
      </c>
      <c r="AL40">
        <v>4.71</v>
      </c>
      <c r="AM40">
        <v>2</v>
      </c>
      <c r="AN40">
        <v>5.12</v>
      </c>
      <c r="AO40">
        <v>0.73</v>
      </c>
      <c r="AP40">
        <v>0.36099999999999999</v>
      </c>
    </row>
    <row r="41" spans="1:42" x14ac:dyDescent="0.2">
      <c r="A41" t="s">
        <v>93</v>
      </c>
      <c r="B41">
        <v>4.92</v>
      </c>
      <c r="C41">
        <v>2.2200000000000002</v>
      </c>
      <c r="D41">
        <v>26567.15</v>
      </c>
      <c r="E41">
        <v>35922.89</v>
      </c>
      <c r="F41">
        <v>78532.41</v>
      </c>
      <c r="G41">
        <v>210859.67</v>
      </c>
      <c r="H41">
        <v>2333.7600000000002</v>
      </c>
      <c r="I41">
        <v>10033.14</v>
      </c>
      <c r="J41">
        <v>86478.8</v>
      </c>
      <c r="K41">
        <v>31.45</v>
      </c>
      <c r="L41">
        <v>18796.189999999999</v>
      </c>
      <c r="M41">
        <v>266.58999999999997</v>
      </c>
      <c r="N41">
        <v>1221.1600000000001</v>
      </c>
      <c r="O41">
        <v>77237.990000000005</v>
      </c>
      <c r="P41">
        <v>0.75</v>
      </c>
      <c r="Q41">
        <v>28.07</v>
      </c>
      <c r="R41">
        <v>799.57</v>
      </c>
      <c r="S41">
        <v>28.16</v>
      </c>
      <c r="T41">
        <v>290.88</v>
      </c>
      <c r="U41">
        <v>67.48</v>
      </c>
      <c r="V41">
        <v>0.3</v>
      </c>
      <c r="W41">
        <v>351.95</v>
      </c>
      <c r="X41">
        <v>48.43</v>
      </c>
      <c r="Y41">
        <v>102.62</v>
      </c>
      <c r="Z41">
        <v>12.34</v>
      </c>
      <c r="AA41">
        <v>50.27</v>
      </c>
      <c r="AB41">
        <v>9.86</v>
      </c>
      <c r="AC41">
        <v>3.03</v>
      </c>
      <c r="AD41">
        <v>8.26</v>
      </c>
      <c r="AE41">
        <v>1.1100000000000001</v>
      </c>
      <c r="AF41">
        <v>6.07</v>
      </c>
      <c r="AG41">
        <v>1.05</v>
      </c>
      <c r="AH41">
        <v>2.73</v>
      </c>
      <c r="AI41">
        <v>0.376</v>
      </c>
      <c r="AJ41">
        <v>2.02</v>
      </c>
      <c r="AK41">
        <v>0.25800000000000001</v>
      </c>
      <c r="AL41">
        <v>6.93</v>
      </c>
      <c r="AM41">
        <v>4.0999999999999996</v>
      </c>
      <c r="AN41">
        <v>18.829999999999998</v>
      </c>
      <c r="AO41">
        <v>4.9800000000000004</v>
      </c>
      <c r="AP41">
        <v>1.32</v>
      </c>
    </row>
    <row r="42" spans="1:42" x14ac:dyDescent="0.2">
      <c r="A42" t="s">
        <v>94</v>
      </c>
      <c r="B42">
        <v>4.4800000000000004</v>
      </c>
      <c r="C42">
        <v>2.2400000000000002</v>
      </c>
      <c r="D42">
        <v>16538.59</v>
      </c>
      <c r="E42">
        <v>41223.550000000003</v>
      </c>
      <c r="F42">
        <v>67925.31</v>
      </c>
      <c r="G42">
        <v>230785.91</v>
      </c>
      <c r="H42">
        <v>963.73</v>
      </c>
      <c r="I42">
        <v>4043.26</v>
      </c>
      <c r="J42">
        <v>77901.69</v>
      </c>
      <c r="K42">
        <v>31.62</v>
      </c>
      <c r="L42">
        <v>14438.25</v>
      </c>
      <c r="M42">
        <v>281.27</v>
      </c>
      <c r="N42">
        <v>1156.76</v>
      </c>
      <c r="O42">
        <v>75409.52</v>
      </c>
      <c r="P42">
        <v>0.124</v>
      </c>
      <c r="Q42">
        <v>8.5</v>
      </c>
      <c r="R42">
        <v>341</v>
      </c>
      <c r="S42">
        <v>26.36</v>
      </c>
      <c r="T42">
        <v>155.91999999999999</v>
      </c>
      <c r="U42">
        <v>13.88</v>
      </c>
      <c r="V42">
        <v>0.127</v>
      </c>
      <c r="W42">
        <v>107.87</v>
      </c>
      <c r="X42">
        <v>11.96</v>
      </c>
      <c r="Y42">
        <v>29.97</v>
      </c>
      <c r="Z42">
        <v>4.4000000000000004</v>
      </c>
      <c r="AA42">
        <v>21</v>
      </c>
      <c r="AB42">
        <v>5.39</v>
      </c>
      <c r="AC42">
        <v>1.72</v>
      </c>
      <c r="AD42">
        <v>5.81</v>
      </c>
      <c r="AE42">
        <v>0.84199999999999997</v>
      </c>
      <c r="AF42">
        <v>5.2</v>
      </c>
      <c r="AG42">
        <v>0.9</v>
      </c>
      <c r="AH42">
        <v>2.23</v>
      </c>
      <c r="AI42">
        <v>0.315</v>
      </c>
      <c r="AJ42">
        <v>2.23</v>
      </c>
      <c r="AK42">
        <v>0.29199999999999998</v>
      </c>
      <c r="AL42">
        <v>3.91</v>
      </c>
      <c r="AM42">
        <v>0.89</v>
      </c>
      <c r="AN42">
        <v>1.88</v>
      </c>
      <c r="AO42">
        <v>1.02</v>
      </c>
      <c r="AP42">
        <v>0.438</v>
      </c>
    </row>
    <row r="43" spans="1:42" x14ac:dyDescent="0.2">
      <c r="A43" t="s">
        <v>95</v>
      </c>
      <c r="B43">
        <v>8.93</v>
      </c>
      <c r="C43">
        <v>15</v>
      </c>
      <c r="D43">
        <v>6291.95</v>
      </c>
      <c r="E43">
        <v>139167.44</v>
      </c>
      <c r="F43">
        <v>56518.28</v>
      </c>
      <c r="G43">
        <v>210152.63</v>
      </c>
      <c r="H43">
        <v>125.28</v>
      </c>
      <c r="I43">
        <v>175.82</v>
      </c>
      <c r="J43">
        <v>60392.23</v>
      </c>
      <c r="K43">
        <v>33.479999999999997</v>
      </c>
      <c r="L43">
        <v>1809.47</v>
      </c>
      <c r="M43">
        <v>228.15</v>
      </c>
      <c r="N43">
        <v>1230.28</v>
      </c>
      <c r="O43">
        <v>81603.91</v>
      </c>
      <c r="P43">
        <v>0.14499999999999999</v>
      </c>
      <c r="Q43">
        <v>2.04</v>
      </c>
      <c r="R43">
        <v>15.38</v>
      </c>
      <c r="S43">
        <v>12.05</v>
      </c>
      <c r="T43">
        <v>9.11</v>
      </c>
      <c r="U43">
        <v>4.3999999999999997E-2</v>
      </c>
      <c r="V43">
        <v>7.8</v>
      </c>
      <c r="W43">
        <v>0.81100000000000005</v>
      </c>
      <c r="X43">
        <v>7.9000000000000001E-2</v>
      </c>
      <c r="Y43">
        <v>0.35399999999999998</v>
      </c>
      <c r="Z43">
        <v>8.48E-2</v>
      </c>
      <c r="AA43">
        <v>0.56299999999999994</v>
      </c>
      <c r="AB43">
        <v>0.48099999999999998</v>
      </c>
      <c r="AC43">
        <v>0.254</v>
      </c>
      <c r="AD43">
        <v>1.1100000000000001</v>
      </c>
      <c r="AE43">
        <v>0.23100000000000001</v>
      </c>
      <c r="AF43">
        <v>2.13</v>
      </c>
      <c r="AG43">
        <v>0.44600000000000001</v>
      </c>
      <c r="AH43">
        <v>1.42</v>
      </c>
      <c r="AI43">
        <v>0.22600000000000001</v>
      </c>
      <c r="AJ43">
        <v>1.42</v>
      </c>
      <c r="AK43">
        <v>0.20399999999999999</v>
      </c>
      <c r="AL43">
        <v>0.36199999999999999</v>
      </c>
      <c r="AM43">
        <v>2.0199999999999999E-2</v>
      </c>
      <c r="AN43">
        <v>21.97</v>
      </c>
      <c r="AO43" t="s">
        <v>96</v>
      </c>
      <c r="AP43">
        <v>5.0999999999999997E-2</v>
      </c>
    </row>
    <row r="44" spans="1:42" x14ac:dyDescent="0.2">
      <c r="A44" t="s">
        <v>97</v>
      </c>
      <c r="B44">
        <v>5.07</v>
      </c>
      <c r="C44">
        <v>2.2799999999999998</v>
      </c>
      <c r="D44">
        <v>17274.14</v>
      </c>
      <c r="E44">
        <v>43054.39</v>
      </c>
      <c r="F44">
        <v>68768.38</v>
      </c>
      <c r="G44">
        <v>238980.2</v>
      </c>
      <c r="H44">
        <v>1008.25</v>
      </c>
      <c r="I44">
        <v>4070.78</v>
      </c>
      <c r="J44">
        <v>77901.679999999993</v>
      </c>
      <c r="K44">
        <v>32.54</v>
      </c>
      <c r="L44">
        <v>15758.94</v>
      </c>
      <c r="M44">
        <v>313.24</v>
      </c>
      <c r="N44">
        <v>1277.02</v>
      </c>
      <c r="O44">
        <v>82468.350000000006</v>
      </c>
      <c r="P44">
        <v>0.22</v>
      </c>
      <c r="Q44">
        <v>8.7899999999999991</v>
      </c>
      <c r="R44">
        <v>347.28</v>
      </c>
      <c r="S44">
        <v>25.28</v>
      </c>
      <c r="T44">
        <v>146.94</v>
      </c>
      <c r="U44">
        <v>15.23</v>
      </c>
      <c r="V44">
        <v>0.13200000000000001</v>
      </c>
      <c r="W44">
        <v>122.1</v>
      </c>
      <c r="X44">
        <v>13.01</v>
      </c>
      <c r="Y44">
        <v>31.82</v>
      </c>
      <c r="Z44">
        <v>4.59</v>
      </c>
      <c r="AA44">
        <v>21.38</v>
      </c>
      <c r="AB44">
        <v>5.44</v>
      </c>
      <c r="AC44">
        <v>1.95</v>
      </c>
      <c r="AD44">
        <v>6.02</v>
      </c>
      <c r="AE44">
        <v>0.87</v>
      </c>
      <c r="AF44">
        <v>5.0599999999999996</v>
      </c>
      <c r="AG44">
        <v>1</v>
      </c>
      <c r="AH44">
        <v>2.5299999999999998</v>
      </c>
      <c r="AI44">
        <v>0.32</v>
      </c>
      <c r="AJ44">
        <v>1.97</v>
      </c>
      <c r="AK44">
        <v>0.28499999999999998</v>
      </c>
      <c r="AL44">
        <v>4.1399999999999997</v>
      </c>
      <c r="AM44">
        <v>0.92</v>
      </c>
      <c r="AN44">
        <v>2.13</v>
      </c>
      <c r="AO44">
        <v>1.01</v>
      </c>
      <c r="AP44">
        <v>0.47399999999999998</v>
      </c>
    </row>
    <row r="45" spans="1:42" x14ac:dyDescent="0.2">
      <c r="A45" t="s">
        <v>98</v>
      </c>
      <c r="B45">
        <v>4.99</v>
      </c>
      <c r="C45">
        <v>2.4700000000000002</v>
      </c>
      <c r="D45">
        <v>17742.599999999999</v>
      </c>
      <c r="E45">
        <v>43981.13</v>
      </c>
      <c r="F45">
        <v>69712.149999999994</v>
      </c>
      <c r="G45">
        <v>240256.08</v>
      </c>
      <c r="H45">
        <v>1042.94</v>
      </c>
      <c r="I45">
        <v>3973.53</v>
      </c>
      <c r="J45">
        <v>77901.69</v>
      </c>
      <c r="K45">
        <v>31.49</v>
      </c>
      <c r="L45">
        <v>15681.25</v>
      </c>
      <c r="M45">
        <v>310.45999999999998</v>
      </c>
      <c r="N45">
        <v>1267.8599999999999</v>
      </c>
      <c r="O45">
        <v>84367.95</v>
      </c>
      <c r="P45">
        <v>0.155</v>
      </c>
      <c r="Q45">
        <v>8.93</v>
      </c>
      <c r="R45">
        <v>352.89</v>
      </c>
      <c r="S45">
        <v>24.92</v>
      </c>
      <c r="T45">
        <v>148.61000000000001</v>
      </c>
      <c r="U45">
        <v>14.96</v>
      </c>
      <c r="V45">
        <v>0.126</v>
      </c>
      <c r="W45">
        <v>119.61</v>
      </c>
      <c r="X45">
        <v>12.62</v>
      </c>
      <c r="Y45">
        <v>32.14</v>
      </c>
      <c r="Z45">
        <v>4.4400000000000004</v>
      </c>
      <c r="AA45">
        <v>20.11</v>
      </c>
      <c r="AB45">
        <v>5.31</v>
      </c>
      <c r="AC45">
        <v>1.91</v>
      </c>
      <c r="AD45">
        <v>5.7</v>
      </c>
      <c r="AE45">
        <v>0.86399999999999999</v>
      </c>
      <c r="AF45">
        <v>5.03</v>
      </c>
      <c r="AG45">
        <v>0.9</v>
      </c>
      <c r="AH45">
        <v>2.5499999999999998</v>
      </c>
      <c r="AI45">
        <v>0.34</v>
      </c>
      <c r="AJ45">
        <v>2.06</v>
      </c>
      <c r="AK45">
        <v>0.32300000000000001</v>
      </c>
      <c r="AL45">
        <v>3.97</v>
      </c>
      <c r="AM45">
        <v>0.9</v>
      </c>
      <c r="AN45">
        <v>2.06</v>
      </c>
      <c r="AO45">
        <v>1.03</v>
      </c>
      <c r="AP45">
        <v>0.502</v>
      </c>
    </row>
    <row r="46" spans="1:42" x14ac:dyDescent="0.2">
      <c r="A46" t="s">
        <v>99</v>
      </c>
      <c r="B46">
        <v>5.13</v>
      </c>
      <c r="C46">
        <v>2.9</v>
      </c>
      <c r="D46">
        <v>17731.5</v>
      </c>
      <c r="E46">
        <v>44485.9</v>
      </c>
      <c r="F46">
        <v>68889.89</v>
      </c>
      <c r="G46">
        <v>237803.67</v>
      </c>
      <c r="H46">
        <v>1026.99</v>
      </c>
      <c r="I46">
        <v>4027.16</v>
      </c>
      <c r="J46">
        <v>77901.69</v>
      </c>
      <c r="K46">
        <v>31.07</v>
      </c>
      <c r="L46">
        <v>15243.38</v>
      </c>
      <c r="M46">
        <v>309.66000000000003</v>
      </c>
      <c r="N46">
        <v>1275.52</v>
      </c>
      <c r="O46">
        <v>85911.7</v>
      </c>
      <c r="P46">
        <v>0.16500000000000001</v>
      </c>
      <c r="Q46">
        <v>8.64</v>
      </c>
      <c r="R46">
        <v>350.88</v>
      </c>
      <c r="S46">
        <v>24.52</v>
      </c>
      <c r="T46">
        <v>148.25</v>
      </c>
      <c r="U46">
        <v>14.96</v>
      </c>
      <c r="V46">
        <v>0.10199999999999999</v>
      </c>
      <c r="W46">
        <v>120.9</v>
      </c>
      <c r="X46">
        <v>12.85</v>
      </c>
      <c r="Y46">
        <v>31.96</v>
      </c>
      <c r="Z46">
        <v>4.43</v>
      </c>
      <c r="AA46">
        <v>20.59</v>
      </c>
      <c r="AB46">
        <v>5.16</v>
      </c>
      <c r="AC46">
        <v>1.86</v>
      </c>
      <c r="AD46">
        <v>6.07</v>
      </c>
      <c r="AE46">
        <v>0.85399999999999998</v>
      </c>
      <c r="AF46">
        <v>4.7699999999999996</v>
      </c>
      <c r="AG46">
        <v>0.93</v>
      </c>
      <c r="AH46">
        <v>2.5299999999999998</v>
      </c>
      <c r="AI46">
        <v>0.315</v>
      </c>
      <c r="AJ46">
        <v>2.0699999999999998</v>
      </c>
      <c r="AK46">
        <v>0.25600000000000001</v>
      </c>
      <c r="AL46">
        <v>3.59</v>
      </c>
      <c r="AM46">
        <v>0.92</v>
      </c>
      <c r="AN46">
        <v>2.09</v>
      </c>
      <c r="AO46">
        <v>1</v>
      </c>
      <c r="AP46">
        <v>0.51400000000000001</v>
      </c>
    </row>
    <row r="47" spans="1:42" x14ac:dyDescent="0.2">
      <c r="A47" t="s">
        <v>100</v>
      </c>
      <c r="B47">
        <v>9.24</v>
      </c>
      <c r="C47">
        <v>17.88</v>
      </c>
      <c r="D47">
        <v>4404.8999999999996</v>
      </c>
      <c r="E47">
        <v>141464.01999999999</v>
      </c>
      <c r="F47">
        <v>52126.84</v>
      </c>
      <c r="G47">
        <v>197711.66</v>
      </c>
      <c r="H47">
        <v>80.03</v>
      </c>
      <c r="I47">
        <v>206.4</v>
      </c>
      <c r="J47">
        <v>44597.33</v>
      </c>
      <c r="K47">
        <v>29.57</v>
      </c>
      <c r="L47">
        <v>1726.76</v>
      </c>
      <c r="M47">
        <v>186.72</v>
      </c>
      <c r="N47">
        <v>1363.61</v>
      </c>
      <c r="O47">
        <v>76592.479999999996</v>
      </c>
      <c r="P47" t="s">
        <v>101</v>
      </c>
      <c r="Q47">
        <v>0.36399999999999999</v>
      </c>
      <c r="R47">
        <v>29.94</v>
      </c>
      <c r="S47">
        <v>11</v>
      </c>
      <c r="T47">
        <v>8.98</v>
      </c>
      <c r="U47">
        <v>9.7000000000000003E-2</v>
      </c>
      <c r="V47">
        <v>0.19400000000000001</v>
      </c>
      <c r="W47">
        <v>1.02</v>
      </c>
      <c r="X47">
        <v>0.113</v>
      </c>
      <c r="Y47">
        <v>0.45300000000000001</v>
      </c>
      <c r="Z47">
        <v>7.6700000000000004E-2</v>
      </c>
      <c r="AA47">
        <v>0.72399999999999998</v>
      </c>
      <c r="AB47">
        <v>0.505</v>
      </c>
      <c r="AC47">
        <v>0.27100000000000002</v>
      </c>
      <c r="AD47">
        <v>1.0900000000000001</v>
      </c>
      <c r="AE47">
        <v>0.23400000000000001</v>
      </c>
      <c r="AF47">
        <v>1.82</v>
      </c>
      <c r="AG47">
        <v>0.40100000000000002</v>
      </c>
      <c r="AH47">
        <v>1.32</v>
      </c>
      <c r="AI47">
        <v>0.156</v>
      </c>
      <c r="AJ47">
        <v>1.18</v>
      </c>
      <c r="AK47">
        <v>0.16700000000000001</v>
      </c>
      <c r="AL47">
        <v>0.34399999999999997</v>
      </c>
      <c r="AM47">
        <v>1.66E-2</v>
      </c>
      <c r="AN47">
        <v>0.31</v>
      </c>
      <c r="AO47" t="s">
        <v>102</v>
      </c>
      <c r="AP47">
        <v>9.4999999999999998E-3</v>
      </c>
    </row>
    <row r="48" spans="1:42" x14ac:dyDescent="0.2">
      <c r="A48" t="s">
        <v>103</v>
      </c>
      <c r="B48">
        <v>9.7899999999999991</v>
      </c>
      <c r="C48">
        <v>2.62</v>
      </c>
      <c r="D48">
        <v>44626.879999999997</v>
      </c>
      <c r="E48">
        <v>59173.95</v>
      </c>
      <c r="F48">
        <v>106219.51</v>
      </c>
      <c r="G48">
        <v>253006.88</v>
      </c>
      <c r="H48">
        <v>3797.93</v>
      </c>
      <c r="I48">
        <v>22731.52</v>
      </c>
      <c r="J48">
        <v>64751.9</v>
      </c>
      <c r="K48">
        <v>16.170000000000002</v>
      </c>
      <c r="L48">
        <v>20015.580000000002</v>
      </c>
      <c r="M48">
        <v>176.06</v>
      </c>
      <c r="N48">
        <v>1745.18</v>
      </c>
      <c r="O48">
        <v>77952.2</v>
      </c>
      <c r="P48">
        <v>1.01</v>
      </c>
      <c r="Q48">
        <v>69.05</v>
      </c>
      <c r="R48">
        <v>1197.3599999999999</v>
      </c>
      <c r="S48">
        <v>39.479999999999997</v>
      </c>
      <c r="T48">
        <v>460.83</v>
      </c>
      <c r="U48">
        <v>143.83000000000001</v>
      </c>
      <c r="V48">
        <v>0.57999999999999996</v>
      </c>
      <c r="W48">
        <v>697.19</v>
      </c>
      <c r="X48">
        <v>111.63</v>
      </c>
      <c r="Y48">
        <v>237.74</v>
      </c>
      <c r="Z48">
        <v>26.36</v>
      </c>
      <c r="AA48">
        <v>92</v>
      </c>
      <c r="AB48">
        <v>13.79</v>
      </c>
      <c r="AC48">
        <v>4.3499999999999996</v>
      </c>
      <c r="AD48">
        <v>11.63</v>
      </c>
      <c r="AE48">
        <v>1.68</v>
      </c>
      <c r="AF48">
        <v>8.1</v>
      </c>
      <c r="AG48">
        <v>1.43</v>
      </c>
      <c r="AH48">
        <v>3.5</v>
      </c>
      <c r="AI48">
        <v>0.53</v>
      </c>
      <c r="AJ48">
        <v>3.58</v>
      </c>
      <c r="AK48">
        <v>0.42699999999999999</v>
      </c>
      <c r="AL48">
        <v>8.2100000000000009</v>
      </c>
      <c r="AM48">
        <v>8.65</v>
      </c>
      <c r="AN48">
        <v>10.37</v>
      </c>
      <c r="AO48">
        <v>11.27</v>
      </c>
      <c r="AP48">
        <v>2.9</v>
      </c>
    </row>
    <row r="49" spans="1:42" x14ac:dyDescent="0.2">
      <c r="A49" t="s">
        <v>104</v>
      </c>
      <c r="B49">
        <v>4.3</v>
      </c>
      <c r="C49">
        <v>2.3199999999999998</v>
      </c>
      <c r="D49">
        <v>27329.81</v>
      </c>
      <c r="E49">
        <v>21154.34</v>
      </c>
      <c r="F49">
        <v>81745.2</v>
      </c>
      <c r="G49">
        <v>190084.97</v>
      </c>
      <c r="H49">
        <v>4388.04</v>
      </c>
      <c r="I49">
        <v>8578.81</v>
      </c>
      <c r="J49">
        <v>114137.73</v>
      </c>
      <c r="K49">
        <v>34.869999999999997</v>
      </c>
      <c r="L49">
        <v>23252.36</v>
      </c>
      <c r="M49">
        <v>350.26</v>
      </c>
      <c r="N49">
        <v>966.41</v>
      </c>
      <c r="O49">
        <v>58572.9</v>
      </c>
      <c r="P49">
        <v>0.4</v>
      </c>
      <c r="Q49">
        <v>22.02</v>
      </c>
      <c r="R49">
        <v>633.70000000000005</v>
      </c>
      <c r="S49">
        <v>28.57</v>
      </c>
      <c r="T49">
        <v>224.41</v>
      </c>
      <c r="U49">
        <v>41.96</v>
      </c>
      <c r="V49">
        <v>0.28100000000000003</v>
      </c>
      <c r="W49">
        <v>275.02999999999997</v>
      </c>
      <c r="X49">
        <v>27.44</v>
      </c>
      <c r="Y49">
        <v>64.62</v>
      </c>
      <c r="Z49">
        <v>9.07</v>
      </c>
      <c r="AA49">
        <v>41.34</v>
      </c>
      <c r="AB49">
        <v>9.3000000000000007</v>
      </c>
      <c r="AC49">
        <v>2.94</v>
      </c>
      <c r="AD49">
        <v>8.1300000000000008</v>
      </c>
      <c r="AE49">
        <v>1.08</v>
      </c>
      <c r="AF49">
        <v>5.86</v>
      </c>
      <c r="AG49">
        <v>1.17</v>
      </c>
      <c r="AH49">
        <v>2.71</v>
      </c>
      <c r="AI49">
        <v>0.41799999999999998</v>
      </c>
      <c r="AJ49">
        <v>2.34</v>
      </c>
      <c r="AK49">
        <v>0.309</v>
      </c>
      <c r="AL49">
        <v>5.44</v>
      </c>
      <c r="AM49">
        <v>2.56</v>
      </c>
      <c r="AN49">
        <v>2.8</v>
      </c>
      <c r="AO49">
        <v>2.4</v>
      </c>
      <c r="AP49">
        <v>0.86</v>
      </c>
    </row>
    <row r="50" spans="1:42" x14ac:dyDescent="0.2">
      <c r="A50" t="s">
        <v>105</v>
      </c>
      <c r="B50">
        <v>6.87</v>
      </c>
      <c r="C50">
        <v>3.75</v>
      </c>
      <c r="D50">
        <v>33087.269999999997</v>
      </c>
      <c r="E50">
        <v>40047.360000000001</v>
      </c>
      <c r="F50">
        <v>96657.41</v>
      </c>
      <c r="G50">
        <v>224707.58</v>
      </c>
      <c r="H50">
        <v>6166.63</v>
      </c>
      <c r="I50">
        <v>35982.239999999998</v>
      </c>
      <c r="J50">
        <v>76830.34</v>
      </c>
      <c r="K50">
        <v>22.48</v>
      </c>
      <c r="L50">
        <v>13132.22</v>
      </c>
      <c r="M50">
        <v>313.52</v>
      </c>
      <c r="N50">
        <v>1453.86</v>
      </c>
      <c r="O50">
        <v>74932.47</v>
      </c>
      <c r="P50">
        <v>1.45</v>
      </c>
      <c r="Q50">
        <v>121.2</v>
      </c>
      <c r="R50">
        <v>2279.12</v>
      </c>
      <c r="S50">
        <v>32.229999999999997</v>
      </c>
      <c r="T50">
        <v>459.44</v>
      </c>
      <c r="U50">
        <v>250.89</v>
      </c>
      <c r="V50">
        <v>1.49</v>
      </c>
      <c r="W50">
        <v>1424.14</v>
      </c>
      <c r="X50">
        <v>133.38999999999999</v>
      </c>
      <c r="Y50">
        <v>199.02</v>
      </c>
      <c r="Z50">
        <v>19.07</v>
      </c>
      <c r="AA50">
        <v>63.42</v>
      </c>
      <c r="AB50">
        <v>10.39</v>
      </c>
      <c r="AC50">
        <v>3.22</v>
      </c>
      <c r="AD50">
        <v>8</v>
      </c>
      <c r="AE50">
        <v>1.03</v>
      </c>
      <c r="AF50">
        <v>6.2</v>
      </c>
      <c r="AG50">
        <v>1.27</v>
      </c>
      <c r="AH50">
        <v>3.54</v>
      </c>
      <c r="AI50">
        <v>0.47</v>
      </c>
      <c r="AJ50">
        <v>3.54</v>
      </c>
      <c r="AK50">
        <v>0.51500000000000001</v>
      </c>
      <c r="AL50">
        <v>10.88</v>
      </c>
      <c r="AM50">
        <v>16.64</v>
      </c>
      <c r="AN50">
        <v>11.58</v>
      </c>
      <c r="AO50">
        <v>22.82</v>
      </c>
      <c r="AP50">
        <v>5.63</v>
      </c>
    </row>
    <row r="51" spans="1:42" x14ac:dyDescent="0.2">
      <c r="A51" t="s">
        <v>106</v>
      </c>
      <c r="B51">
        <v>5.87</v>
      </c>
      <c r="C51">
        <v>2.75</v>
      </c>
      <c r="D51">
        <v>30135.31</v>
      </c>
      <c r="E51">
        <v>32786.870000000003</v>
      </c>
      <c r="F51">
        <v>86921.61</v>
      </c>
      <c r="G51">
        <v>211769.61</v>
      </c>
      <c r="H51">
        <v>1809.58</v>
      </c>
      <c r="I51">
        <v>9777.27</v>
      </c>
      <c r="J51">
        <v>108420.13</v>
      </c>
      <c r="K51">
        <v>35.08</v>
      </c>
      <c r="L51">
        <v>21476.94</v>
      </c>
      <c r="M51">
        <v>331.23</v>
      </c>
      <c r="N51">
        <v>1091.1099999999999</v>
      </c>
      <c r="O51">
        <v>64955.32</v>
      </c>
      <c r="P51">
        <v>0.94</v>
      </c>
      <c r="Q51">
        <v>37.14</v>
      </c>
      <c r="R51">
        <v>1083.29</v>
      </c>
      <c r="S51">
        <v>28.8</v>
      </c>
      <c r="T51">
        <v>374.14</v>
      </c>
      <c r="U51">
        <v>109.45</v>
      </c>
      <c r="V51">
        <v>0.52</v>
      </c>
      <c r="W51">
        <v>486.48</v>
      </c>
      <c r="X51">
        <v>81.540000000000006</v>
      </c>
      <c r="Y51">
        <v>158.46</v>
      </c>
      <c r="Z51">
        <v>16.78</v>
      </c>
      <c r="AA51">
        <v>60.77</v>
      </c>
      <c r="AB51">
        <v>9.9499999999999993</v>
      </c>
      <c r="AC51">
        <v>3.32</v>
      </c>
      <c r="AD51">
        <v>8.51</v>
      </c>
      <c r="AE51">
        <v>1.0900000000000001</v>
      </c>
      <c r="AF51">
        <v>6.53</v>
      </c>
      <c r="AG51">
        <v>1.1399999999999999</v>
      </c>
      <c r="AH51">
        <v>2.66</v>
      </c>
      <c r="AI51">
        <v>0.371</v>
      </c>
      <c r="AJ51">
        <v>2.31</v>
      </c>
      <c r="AK51">
        <v>0.28199999999999997</v>
      </c>
      <c r="AL51">
        <v>8.81</v>
      </c>
      <c r="AM51">
        <v>6.35</v>
      </c>
      <c r="AN51">
        <v>3.79</v>
      </c>
      <c r="AO51">
        <v>9.51</v>
      </c>
      <c r="AP51">
        <v>2.63</v>
      </c>
    </row>
    <row r="52" spans="1:42" x14ac:dyDescent="0.2">
      <c r="A52" t="s">
        <v>107</v>
      </c>
      <c r="B52">
        <v>5.53</v>
      </c>
      <c r="C52">
        <v>2.92</v>
      </c>
      <c r="D52">
        <v>31089.67</v>
      </c>
      <c r="E52">
        <v>87649.75</v>
      </c>
      <c r="F52">
        <v>86524.04</v>
      </c>
      <c r="G52">
        <v>258177.17</v>
      </c>
      <c r="H52">
        <v>1951.97</v>
      </c>
      <c r="I52">
        <v>10592.96</v>
      </c>
      <c r="J52">
        <v>112350.98</v>
      </c>
      <c r="K52">
        <v>41.18</v>
      </c>
      <c r="L52">
        <v>20577.349999999999</v>
      </c>
      <c r="M52">
        <v>301.14</v>
      </c>
      <c r="N52">
        <v>1535.05</v>
      </c>
      <c r="O52">
        <v>113570.77</v>
      </c>
      <c r="P52">
        <v>0.96</v>
      </c>
      <c r="Q52">
        <v>37.590000000000003</v>
      </c>
      <c r="R52">
        <v>990.34</v>
      </c>
      <c r="S52">
        <v>26.62</v>
      </c>
      <c r="T52">
        <v>390.05</v>
      </c>
      <c r="U52">
        <v>96.9</v>
      </c>
      <c r="V52">
        <v>0.51</v>
      </c>
      <c r="W52">
        <v>480.95</v>
      </c>
      <c r="X52">
        <v>89.43</v>
      </c>
      <c r="Y52">
        <v>154.11000000000001</v>
      </c>
      <c r="Z52">
        <v>16.670000000000002</v>
      </c>
      <c r="AA52">
        <v>61.77</v>
      </c>
      <c r="AB52">
        <v>9.27</v>
      </c>
      <c r="AC52">
        <v>2.86</v>
      </c>
      <c r="AD52">
        <v>9.6199999999999992</v>
      </c>
      <c r="AE52">
        <v>1.0900000000000001</v>
      </c>
      <c r="AF52">
        <v>6.77</v>
      </c>
      <c r="AG52">
        <v>1.36</v>
      </c>
      <c r="AH52">
        <v>3.48</v>
      </c>
      <c r="AI52">
        <v>0.42</v>
      </c>
      <c r="AJ52">
        <v>1.93</v>
      </c>
      <c r="AK52">
        <v>0.38300000000000001</v>
      </c>
      <c r="AL52">
        <v>10.54</v>
      </c>
      <c r="AM52">
        <v>6.91</v>
      </c>
      <c r="AN52">
        <v>4.26</v>
      </c>
      <c r="AO52">
        <v>10.029999999999999</v>
      </c>
      <c r="AP52">
        <v>2.4</v>
      </c>
    </row>
    <row r="53" spans="1:42" x14ac:dyDescent="0.2">
      <c r="A53" t="s">
        <v>108</v>
      </c>
      <c r="B53">
        <v>6.25</v>
      </c>
      <c r="C53">
        <v>3.88</v>
      </c>
      <c r="D53">
        <v>40759.39</v>
      </c>
      <c r="E53">
        <v>50641.32</v>
      </c>
      <c r="F53">
        <v>94393.63</v>
      </c>
      <c r="G53">
        <v>310093.81</v>
      </c>
      <c r="H53">
        <v>2735.54</v>
      </c>
      <c r="I53">
        <v>13822.55</v>
      </c>
      <c r="J53">
        <v>112350.98</v>
      </c>
      <c r="K53">
        <v>38.86</v>
      </c>
      <c r="L53">
        <v>20957.25</v>
      </c>
      <c r="M53">
        <v>383.45</v>
      </c>
      <c r="N53">
        <v>1403.14</v>
      </c>
      <c r="O53">
        <v>102356.7</v>
      </c>
      <c r="P53">
        <v>1.28</v>
      </c>
      <c r="Q53">
        <v>52.98</v>
      </c>
      <c r="R53">
        <v>1188.79</v>
      </c>
      <c r="S53">
        <v>31.9</v>
      </c>
      <c r="T53">
        <v>453.19</v>
      </c>
      <c r="U53">
        <v>133.69</v>
      </c>
      <c r="V53">
        <v>0.69</v>
      </c>
      <c r="W53">
        <v>554.89</v>
      </c>
      <c r="X53">
        <v>93.78</v>
      </c>
      <c r="Y53">
        <v>182.51</v>
      </c>
      <c r="Z53">
        <v>19.36</v>
      </c>
      <c r="AA53">
        <v>70.78</v>
      </c>
      <c r="AB53">
        <v>10.85</v>
      </c>
      <c r="AC53">
        <v>3.47</v>
      </c>
      <c r="AD53">
        <v>9.9499999999999993</v>
      </c>
      <c r="AE53">
        <v>1.27</v>
      </c>
      <c r="AF53">
        <v>6.49</v>
      </c>
      <c r="AG53">
        <v>1.27</v>
      </c>
      <c r="AH53">
        <v>3.5</v>
      </c>
      <c r="AI53">
        <v>0.36299999999999999</v>
      </c>
      <c r="AJ53">
        <v>2.59</v>
      </c>
      <c r="AK53">
        <v>0.307</v>
      </c>
      <c r="AL53">
        <v>10.28</v>
      </c>
      <c r="AM53">
        <v>7.11</v>
      </c>
      <c r="AN53">
        <v>6.63</v>
      </c>
      <c r="AO53">
        <v>11.19</v>
      </c>
      <c r="AP53">
        <v>3.18</v>
      </c>
    </row>
    <row r="54" spans="1:42" x14ac:dyDescent="0.2">
      <c r="A54" t="s">
        <v>109</v>
      </c>
      <c r="B54">
        <v>3.95</v>
      </c>
      <c r="C54">
        <v>0.72</v>
      </c>
      <c r="D54">
        <v>23829.33</v>
      </c>
      <c r="E54">
        <v>116898.38</v>
      </c>
      <c r="F54">
        <v>89292.41</v>
      </c>
      <c r="G54">
        <v>237802.3</v>
      </c>
      <c r="H54">
        <v>1646.56</v>
      </c>
      <c r="I54">
        <v>8239.2099999999991</v>
      </c>
      <c r="J54">
        <v>113280.09</v>
      </c>
      <c r="K54">
        <v>36.76</v>
      </c>
      <c r="L54">
        <v>18960.86</v>
      </c>
      <c r="M54">
        <v>305.44</v>
      </c>
      <c r="N54">
        <v>1290.7</v>
      </c>
      <c r="O54">
        <v>79327.91</v>
      </c>
      <c r="P54">
        <v>0.7</v>
      </c>
      <c r="Q54">
        <v>22.08</v>
      </c>
      <c r="R54">
        <v>844.19</v>
      </c>
      <c r="S54">
        <v>29.47</v>
      </c>
      <c r="T54">
        <v>281.83999999999997</v>
      </c>
      <c r="U54">
        <v>59.65</v>
      </c>
      <c r="V54">
        <v>0.21299999999999999</v>
      </c>
      <c r="W54">
        <v>329.55</v>
      </c>
      <c r="X54">
        <v>44.13</v>
      </c>
      <c r="Y54">
        <v>98.57</v>
      </c>
      <c r="Z54">
        <v>12.46</v>
      </c>
      <c r="AA54">
        <v>49.66</v>
      </c>
      <c r="AB54">
        <v>8.51</v>
      </c>
      <c r="AC54">
        <v>2.86</v>
      </c>
      <c r="AD54">
        <v>7.39</v>
      </c>
      <c r="AE54">
        <v>1.1100000000000001</v>
      </c>
      <c r="AF54">
        <v>5.51</v>
      </c>
      <c r="AG54">
        <v>1.02</v>
      </c>
      <c r="AH54">
        <v>2.5</v>
      </c>
      <c r="AI54">
        <v>0.33300000000000002</v>
      </c>
      <c r="AJ54">
        <v>2.4500000000000002</v>
      </c>
      <c r="AK54">
        <v>0.252</v>
      </c>
      <c r="AL54">
        <v>5.66</v>
      </c>
      <c r="AM54">
        <v>3.75</v>
      </c>
      <c r="AN54">
        <v>6.19</v>
      </c>
      <c r="AO54">
        <v>4.4000000000000004</v>
      </c>
      <c r="AP54">
        <v>1.22</v>
      </c>
    </row>
    <row r="55" spans="1:42" x14ac:dyDescent="0.2">
      <c r="A55" t="s">
        <v>110</v>
      </c>
      <c r="B55">
        <v>4.0199999999999996</v>
      </c>
      <c r="C55">
        <v>2.71</v>
      </c>
      <c r="D55">
        <v>29689.55</v>
      </c>
      <c r="E55">
        <v>220437.08</v>
      </c>
      <c r="F55">
        <v>102801.8</v>
      </c>
      <c r="G55">
        <v>307653.09000000003</v>
      </c>
      <c r="H55">
        <v>1631.29</v>
      </c>
      <c r="I55">
        <v>8241.64</v>
      </c>
      <c r="J55">
        <v>112636.85</v>
      </c>
      <c r="K55">
        <v>37.07</v>
      </c>
      <c r="L55">
        <v>20528.77</v>
      </c>
      <c r="M55">
        <v>356.1</v>
      </c>
      <c r="N55">
        <v>2041.39</v>
      </c>
      <c r="O55">
        <v>127461.78</v>
      </c>
      <c r="P55">
        <v>0.38</v>
      </c>
      <c r="Q55">
        <v>27.24</v>
      </c>
      <c r="R55">
        <v>996.57</v>
      </c>
      <c r="S55">
        <v>30.58</v>
      </c>
      <c r="T55">
        <v>286.60000000000002</v>
      </c>
      <c r="U55">
        <v>68.31</v>
      </c>
      <c r="V55">
        <v>0.23799999999999999</v>
      </c>
      <c r="W55">
        <v>355.64</v>
      </c>
      <c r="X55">
        <v>63.08</v>
      </c>
      <c r="Y55">
        <v>132.63999999999999</v>
      </c>
      <c r="Z55">
        <v>14.48</v>
      </c>
      <c r="AA55">
        <v>56.93</v>
      </c>
      <c r="AB55">
        <v>10.029999999999999</v>
      </c>
      <c r="AC55">
        <v>3.39</v>
      </c>
      <c r="AD55">
        <v>8.9</v>
      </c>
      <c r="AE55">
        <v>1.2</v>
      </c>
      <c r="AF55">
        <v>7.48</v>
      </c>
      <c r="AG55">
        <v>1.29</v>
      </c>
      <c r="AH55">
        <v>3.73</v>
      </c>
      <c r="AI55">
        <v>0.54</v>
      </c>
      <c r="AJ55">
        <v>2.77</v>
      </c>
      <c r="AK55">
        <v>0.35899999999999999</v>
      </c>
      <c r="AL55">
        <v>7.5</v>
      </c>
      <c r="AM55">
        <v>4.63</v>
      </c>
      <c r="AN55">
        <v>5.89</v>
      </c>
      <c r="AO55">
        <v>4.92</v>
      </c>
      <c r="AP55">
        <v>1.46</v>
      </c>
    </row>
    <row r="56" spans="1:42" x14ac:dyDescent="0.2">
      <c r="A56" t="s">
        <v>111</v>
      </c>
      <c r="B56">
        <v>4.59</v>
      </c>
      <c r="C56">
        <v>2.4700000000000002</v>
      </c>
      <c r="D56">
        <v>29368.58</v>
      </c>
      <c r="E56">
        <v>39620.71</v>
      </c>
      <c r="F56">
        <v>99742.35</v>
      </c>
      <c r="G56">
        <v>207311.67</v>
      </c>
      <c r="H56">
        <v>3121.11</v>
      </c>
      <c r="I56">
        <v>13489.34</v>
      </c>
      <c r="J56">
        <v>106990.72</v>
      </c>
      <c r="K56">
        <v>27.33</v>
      </c>
      <c r="L56">
        <v>18286.2</v>
      </c>
      <c r="M56">
        <v>387.83</v>
      </c>
      <c r="N56">
        <v>1138.03</v>
      </c>
      <c r="O56">
        <v>67592.09</v>
      </c>
      <c r="P56">
        <v>0.82</v>
      </c>
      <c r="Q56">
        <v>44.77</v>
      </c>
      <c r="R56">
        <v>1363.1</v>
      </c>
      <c r="S56">
        <v>36.47</v>
      </c>
      <c r="T56">
        <v>402.56</v>
      </c>
      <c r="U56">
        <v>125.36</v>
      </c>
      <c r="V56">
        <v>0.38</v>
      </c>
      <c r="W56">
        <v>614.54</v>
      </c>
      <c r="X56">
        <v>111.66</v>
      </c>
      <c r="Y56">
        <v>208.29</v>
      </c>
      <c r="Z56">
        <v>22.16</v>
      </c>
      <c r="AA56">
        <v>79.099999999999994</v>
      </c>
      <c r="AB56">
        <v>12.42</v>
      </c>
      <c r="AC56">
        <v>3.7</v>
      </c>
      <c r="AD56">
        <v>10.79</v>
      </c>
      <c r="AE56">
        <v>1.45</v>
      </c>
      <c r="AF56">
        <v>7.34</v>
      </c>
      <c r="AG56">
        <v>1.43</v>
      </c>
      <c r="AH56">
        <v>3.6</v>
      </c>
      <c r="AI56">
        <v>0.53</v>
      </c>
      <c r="AJ56">
        <v>2.95</v>
      </c>
      <c r="AK56">
        <v>0.32700000000000001</v>
      </c>
      <c r="AL56">
        <v>8.49</v>
      </c>
      <c r="AM56">
        <v>8.1999999999999993</v>
      </c>
      <c r="AN56">
        <v>21.06</v>
      </c>
      <c r="AO56">
        <v>10.43</v>
      </c>
      <c r="AP56">
        <v>2.56</v>
      </c>
    </row>
    <row r="57" spans="1:42" x14ac:dyDescent="0.2">
      <c r="A57" t="s">
        <v>112</v>
      </c>
      <c r="B57">
        <v>5.68</v>
      </c>
      <c r="C57">
        <v>2.2400000000000002</v>
      </c>
      <c r="D57">
        <v>33654.76</v>
      </c>
      <c r="E57">
        <v>27416.9</v>
      </c>
      <c r="F57">
        <v>87475.92</v>
      </c>
      <c r="G57">
        <v>220188.77</v>
      </c>
      <c r="H57">
        <v>2094.34</v>
      </c>
      <c r="I57">
        <v>9918.6</v>
      </c>
      <c r="J57">
        <v>103274.27</v>
      </c>
      <c r="K57">
        <v>29.87</v>
      </c>
      <c r="L57">
        <v>26801.64</v>
      </c>
      <c r="M57">
        <v>324.94</v>
      </c>
      <c r="N57">
        <v>1412.79</v>
      </c>
      <c r="O57">
        <v>83581.31</v>
      </c>
      <c r="P57">
        <v>0.56000000000000005</v>
      </c>
      <c r="Q57">
        <v>24.34</v>
      </c>
      <c r="R57">
        <v>1011.95</v>
      </c>
      <c r="S57">
        <v>36.51</v>
      </c>
      <c r="T57">
        <v>403.85</v>
      </c>
      <c r="U57">
        <v>67.260000000000005</v>
      </c>
      <c r="V57">
        <v>0.28799999999999998</v>
      </c>
      <c r="W57">
        <v>313.33999999999997</v>
      </c>
      <c r="X57">
        <v>54.96</v>
      </c>
      <c r="Y57">
        <v>128.80000000000001</v>
      </c>
      <c r="Z57">
        <v>16.25</v>
      </c>
      <c r="AA57">
        <v>69.73</v>
      </c>
      <c r="AB57">
        <v>13.98</v>
      </c>
      <c r="AC57">
        <v>4</v>
      </c>
      <c r="AD57">
        <v>11.1</v>
      </c>
      <c r="AE57">
        <v>1.56</v>
      </c>
      <c r="AF57">
        <v>8.0299999999999994</v>
      </c>
      <c r="AG57">
        <v>1.37</v>
      </c>
      <c r="AH57">
        <v>3.44</v>
      </c>
      <c r="AI57">
        <v>0.44600000000000001</v>
      </c>
      <c r="AJ57">
        <v>2.75</v>
      </c>
      <c r="AK57">
        <v>0.35899999999999999</v>
      </c>
      <c r="AL57">
        <v>10.11</v>
      </c>
      <c r="AM57">
        <v>4.01</v>
      </c>
      <c r="AN57">
        <v>4.07</v>
      </c>
      <c r="AO57">
        <v>5.07</v>
      </c>
      <c r="AP57">
        <v>1.39</v>
      </c>
    </row>
    <row r="58" spans="1:42" x14ac:dyDescent="0.2">
      <c r="A58" t="s">
        <v>113</v>
      </c>
      <c r="B58">
        <v>4.03</v>
      </c>
      <c r="C58">
        <v>1.67</v>
      </c>
      <c r="D58">
        <v>21856.55</v>
      </c>
      <c r="E58">
        <v>22635.95</v>
      </c>
      <c r="F58">
        <v>77475.990000000005</v>
      </c>
      <c r="G58">
        <v>170249.72</v>
      </c>
      <c r="H58">
        <v>1855.71</v>
      </c>
      <c r="I58">
        <v>8862.9</v>
      </c>
      <c r="J58">
        <v>91982.01</v>
      </c>
      <c r="K58">
        <v>28.02</v>
      </c>
      <c r="L58">
        <v>19205.7</v>
      </c>
      <c r="M58">
        <v>283.39999999999998</v>
      </c>
      <c r="N58">
        <v>1100.03</v>
      </c>
      <c r="O58">
        <v>65180.92</v>
      </c>
      <c r="P58">
        <v>0.44</v>
      </c>
      <c r="Q58">
        <v>25.19</v>
      </c>
      <c r="R58">
        <v>855.26</v>
      </c>
      <c r="S58">
        <v>29.09</v>
      </c>
      <c r="T58">
        <v>281.52999999999997</v>
      </c>
      <c r="U58">
        <v>70.099999999999994</v>
      </c>
      <c r="V58">
        <v>0.28100000000000003</v>
      </c>
      <c r="W58">
        <v>300.27999999999997</v>
      </c>
      <c r="X58">
        <v>51.95</v>
      </c>
      <c r="Y58">
        <v>108.26</v>
      </c>
      <c r="Z58">
        <v>12.95</v>
      </c>
      <c r="AA58">
        <v>52.23</v>
      </c>
      <c r="AB58">
        <v>8.6300000000000008</v>
      </c>
      <c r="AC58">
        <v>2.71</v>
      </c>
      <c r="AD58">
        <v>8.26</v>
      </c>
      <c r="AE58">
        <v>1.19</v>
      </c>
      <c r="AF58">
        <v>6.12</v>
      </c>
      <c r="AG58">
        <v>0.96</v>
      </c>
      <c r="AH58">
        <v>2.4500000000000002</v>
      </c>
      <c r="AI58">
        <v>0.39300000000000002</v>
      </c>
      <c r="AJ58">
        <v>2.11</v>
      </c>
      <c r="AK58">
        <v>0.27900000000000003</v>
      </c>
      <c r="AL58">
        <v>5.59</v>
      </c>
      <c r="AM58">
        <v>3.75</v>
      </c>
      <c r="AN58">
        <v>3.8</v>
      </c>
      <c r="AO58">
        <v>6.02</v>
      </c>
      <c r="AP58">
        <v>1.24</v>
      </c>
    </row>
    <row r="59" spans="1:42" x14ac:dyDescent="0.2">
      <c r="A59" t="s">
        <v>114</v>
      </c>
      <c r="B59">
        <v>4.4400000000000004</v>
      </c>
      <c r="C59">
        <v>2.42</v>
      </c>
      <c r="D59">
        <v>24432.84</v>
      </c>
      <c r="E59">
        <v>68036.59</v>
      </c>
      <c r="F59">
        <v>90426.33</v>
      </c>
      <c r="G59">
        <v>228742.73</v>
      </c>
      <c r="H59">
        <v>2794.03</v>
      </c>
      <c r="I59">
        <v>12290.9</v>
      </c>
      <c r="J59">
        <v>112065.09</v>
      </c>
      <c r="K59">
        <v>38.56</v>
      </c>
      <c r="L59">
        <v>23168.01</v>
      </c>
      <c r="M59">
        <v>379.06</v>
      </c>
      <c r="N59">
        <v>1558.23</v>
      </c>
      <c r="O59">
        <v>93138.12</v>
      </c>
      <c r="P59">
        <v>0.71</v>
      </c>
      <c r="Q59">
        <v>32.75</v>
      </c>
      <c r="R59">
        <v>1159.21</v>
      </c>
      <c r="S59">
        <v>37.82</v>
      </c>
      <c r="T59">
        <v>393.95</v>
      </c>
      <c r="U59">
        <v>112.51</v>
      </c>
      <c r="V59">
        <v>0.44</v>
      </c>
      <c r="W59">
        <v>460.62</v>
      </c>
      <c r="X59">
        <v>83.92</v>
      </c>
      <c r="Y59">
        <v>168.57</v>
      </c>
      <c r="Z59">
        <v>19.920000000000002</v>
      </c>
      <c r="AA59">
        <v>81.260000000000005</v>
      </c>
      <c r="AB59">
        <v>12.37</v>
      </c>
      <c r="AC59">
        <v>3.2</v>
      </c>
      <c r="AD59">
        <v>9.8000000000000007</v>
      </c>
      <c r="AE59">
        <v>1.47</v>
      </c>
      <c r="AF59">
        <v>7.49</v>
      </c>
      <c r="AG59">
        <v>1.21</v>
      </c>
      <c r="AH59">
        <v>3.23</v>
      </c>
      <c r="AI59">
        <v>0.47</v>
      </c>
      <c r="AJ59">
        <v>3.12</v>
      </c>
      <c r="AK59">
        <v>0.41099999999999998</v>
      </c>
      <c r="AL59">
        <v>8.33</v>
      </c>
      <c r="AM59">
        <v>6.09</v>
      </c>
      <c r="AN59">
        <v>5.5</v>
      </c>
      <c r="AO59">
        <v>9.5500000000000007</v>
      </c>
      <c r="AP59">
        <v>2.06</v>
      </c>
    </row>
    <row r="60" spans="1:42" x14ac:dyDescent="0.2">
      <c r="A60" t="s">
        <v>115</v>
      </c>
      <c r="B60">
        <v>4.4800000000000004</v>
      </c>
      <c r="C60">
        <v>2.2000000000000002</v>
      </c>
      <c r="D60">
        <v>25210.27</v>
      </c>
      <c r="E60">
        <v>24785.24</v>
      </c>
      <c r="F60">
        <v>82505.89</v>
      </c>
      <c r="G60">
        <v>205127.7</v>
      </c>
      <c r="H60">
        <v>2136.64</v>
      </c>
      <c r="I60">
        <v>9901.99</v>
      </c>
      <c r="J60">
        <v>97914.02</v>
      </c>
      <c r="K60">
        <v>35.1</v>
      </c>
      <c r="L60">
        <v>21484.75</v>
      </c>
      <c r="M60">
        <v>352.63</v>
      </c>
      <c r="N60">
        <v>1302.4100000000001</v>
      </c>
      <c r="O60">
        <v>81086.649999999994</v>
      </c>
      <c r="P60">
        <v>0.64</v>
      </c>
      <c r="Q60">
        <v>27.45</v>
      </c>
      <c r="R60">
        <v>919.46</v>
      </c>
      <c r="S60">
        <v>28.75</v>
      </c>
      <c r="T60">
        <v>292.13</v>
      </c>
      <c r="U60">
        <v>72.81</v>
      </c>
      <c r="V60">
        <v>0.307</v>
      </c>
      <c r="W60">
        <v>354.65</v>
      </c>
      <c r="X60">
        <v>57.17</v>
      </c>
      <c r="Y60">
        <v>118.29</v>
      </c>
      <c r="Z60">
        <v>13.95</v>
      </c>
      <c r="AA60">
        <v>55.2</v>
      </c>
      <c r="AB60">
        <v>10.24</v>
      </c>
      <c r="AC60">
        <v>3.06</v>
      </c>
      <c r="AD60">
        <v>8.86</v>
      </c>
      <c r="AE60">
        <v>1.1599999999999999</v>
      </c>
      <c r="AF60">
        <v>6.46</v>
      </c>
      <c r="AG60">
        <v>1.0900000000000001</v>
      </c>
      <c r="AH60">
        <v>2.67</v>
      </c>
      <c r="AI60">
        <v>0.34899999999999998</v>
      </c>
      <c r="AJ60">
        <v>2.5099999999999998</v>
      </c>
      <c r="AK60">
        <v>0.36099999999999999</v>
      </c>
      <c r="AL60">
        <v>6.56</v>
      </c>
      <c r="AM60">
        <v>4.2699999999999996</v>
      </c>
      <c r="AN60">
        <v>4.2699999999999996</v>
      </c>
      <c r="AO60">
        <v>6.02</v>
      </c>
      <c r="AP60">
        <v>1.39</v>
      </c>
    </row>
    <row r="61" spans="1:42" x14ac:dyDescent="0.2">
      <c r="A61" t="s">
        <v>116</v>
      </c>
      <c r="B61">
        <v>7.15</v>
      </c>
      <c r="C61">
        <v>3.29</v>
      </c>
      <c r="D61">
        <v>34271.96</v>
      </c>
      <c r="E61">
        <v>25914.26</v>
      </c>
      <c r="F61">
        <v>79049.42</v>
      </c>
      <c r="G61">
        <v>209438.59</v>
      </c>
      <c r="H61">
        <v>3149.96</v>
      </c>
      <c r="I61">
        <v>16326.79</v>
      </c>
      <c r="J61">
        <v>71613.03</v>
      </c>
      <c r="K61">
        <v>17.57</v>
      </c>
      <c r="L61">
        <v>23436.37</v>
      </c>
      <c r="M61">
        <v>283.63</v>
      </c>
      <c r="N61">
        <v>1824.73</v>
      </c>
      <c r="O61">
        <v>96400.74</v>
      </c>
      <c r="P61">
        <v>0.97</v>
      </c>
      <c r="Q61">
        <v>46.47</v>
      </c>
      <c r="R61">
        <v>887.08</v>
      </c>
      <c r="S61">
        <v>36.36</v>
      </c>
      <c r="T61">
        <v>389.88</v>
      </c>
      <c r="U61">
        <v>119.2</v>
      </c>
      <c r="V61">
        <v>0.56000000000000005</v>
      </c>
      <c r="W61">
        <v>537.44000000000005</v>
      </c>
      <c r="X61">
        <v>86.84</v>
      </c>
      <c r="Y61">
        <v>168.57</v>
      </c>
      <c r="Z61">
        <v>19.54</v>
      </c>
      <c r="AA61">
        <v>75.86</v>
      </c>
      <c r="AB61">
        <v>13.43</v>
      </c>
      <c r="AC61">
        <v>4.08</v>
      </c>
      <c r="AD61">
        <v>11.13</v>
      </c>
      <c r="AE61">
        <v>1.38</v>
      </c>
      <c r="AF61">
        <v>7.81</v>
      </c>
      <c r="AG61">
        <v>1.39</v>
      </c>
      <c r="AH61">
        <v>3.64</v>
      </c>
      <c r="AI61">
        <v>0.48</v>
      </c>
      <c r="AJ61">
        <v>2.87</v>
      </c>
      <c r="AK61">
        <v>0.38300000000000001</v>
      </c>
      <c r="AL61">
        <v>7.99</v>
      </c>
      <c r="AM61">
        <v>6.96</v>
      </c>
      <c r="AN61">
        <v>6.92</v>
      </c>
      <c r="AO61">
        <v>9.34</v>
      </c>
      <c r="AP61">
        <v>2.4900000000000002</v>
      </c>
    </row>
    <row r="62" spans="1:42" x14ac:dyDescent="0.2">
      <c r="A62" t="s">
        <v>117</v>
      </c>
      <c r="B62">
        <v>4.68</v>
      </c>
      <c r="C62">
        <v>1.44</v>
      </c>
      <c r="D62">
        <v>25016.44</v>
      </c>
      <c r="E62">
        <v>36726.699999999997</v>
      </c>
      <c r="F62">
        <v>79341.87</v>
      </c>
      <c r="G62">
        <v>183280.25</v>
      </c>
      <c r="H62">
        <v>1869.98</v>
      </c>
      <c r="I62">
        <v>8985.74</v>
      </c>
      <c r="J62">
        <v>91124.37</v>
      </c>
      <c r="K62">
        <v>29.62</v>
      </c>
      <c r="L62">
        <v>22759.58</v>
      </c>
      <c r="M62">
        <v>324.17</v>
      </c>
      <c r="N62">
        <v>1414.21</v>
      </c>
      <c r="O62">
        <v>84523.58</v>
      </c>
      <c r="P62">
        <v>0.52</v>
      </c>
      <c r="Q62">
        <v>24.87</v>
      </c>
      <c r="R62">
        <v>879.25</v>
      </c>
      <c r="S62">
        <v>28.99</v>
      </c>
      <c r="T62">
        <v>291.56</v>
      </c>
      <c r="U62">
        <v>70.38</v>
      </c>
      <c r="V62">
        <v>0.27100000000000002</v>
      </c>
      <c r="W62">
        <v>337.82</v>
      </c>
      <c r="X62">
        <v>54.36</v>
      </c>
      <c r="Y62">
        <v>110.17</v>
      </c>
      <c r="Z62">
        <v>13.03</v>
      </c>
      <c r="AA62">
        <v>51.48</v>
      </c>
      <c r="AB62">
        <v>10.26</v>
      </c>
      <c r="AC62">
        <v>3.08</v>
      </c>
      <c r="AD62">
        <v>8.51</v>
      </c>
      <c r="AE62">
        <v>1.1299999999999999</v>
      </c>
      <c r="AF62">
        <v>6.8</v>
      </c>
      <c r="AG62">
        <v>1.07</v>
      </c>
      <c r="AH62">
        <v>2.91</v>
      </c>
      <c r="AI62">
        <v>0.35399999999999998</v>
      </c>
      <c r="AJ62">
        <v>2.4500000000000002</v>
      </c>
      <c r="AK62">
        <v>0.33</v>
      </c>
      <c r="AL62">
        <v>7.03</v>
      </c>
      <c r="AM62">
        <v>4.3600000000000003</v>
      </c>
      <c r="AN62">
        <v>7.17</v>
      </c>
      <c r="AO62">
        <v>5.58</v>
      </c>
      <c r="AP62">
        <v>1.35</v>
      </c>
    </row>
    <row r="63" spans="1:42" x14ac:dyDescent="0.2">
      <c r="A63" t="s">
        <v>118</v>
      </c>
      <c r="B63">
        <v>5.16</v>
      </c>
      <c r="C63">
        <v>1.71</v>
      </c>
      <c r="D63">
        <v>26481.02</v>
      </c>
      <c r="E63">
        <v>35184.269999999997</v>
      </c>
      <c r="F63">
        <v>78976.800000000003</v>
      </c>
      <c r="G63">
        <v>197955.20000000001</v>
      </c>
      <c r="H63">
        <v>1965.41</v>
      </c>
      <c r="I63">
        <v>9931.9599999999991</v>
      </c>
      <c r="J63">
        <v>86407.33</v>
      </c>
      <c r="K63">
        <v>29.48</v>
      </c>
      <c r="L63">
        <v>21104.23</v>
      </c>
      <c r="M63">
        <v>330.94</v>
      </c>
      <c r="N63">
        <v>1430.17</v>
      </c>
      <c r="O63">
        <v>86428.34</v>
      </c>
      <c r="P63">
        <v>0.59</v>
      </c>
      <c r="Q63">
        <v>27.05</v>
      </c>
      <c r="R63">
        <v>843.76</v>
      </c>
      <c r="S63">
        <v>27.44</v>
      </c>
      <c r="T63">
        <v>280.99</v>
      </c>
      <c r="U63">
        <v>71.459999999999994</v>
      </c>
      <c r="V63">
        <v>0.27100000000000002</v>
      </c>
      <c r="W63">
        <v>356.86</v>
      </c>
      <c r="X63">
        <v>53.55</v>
      </c>
      <c r="Y63">
        <v>106.65</v>
      </c>
      <c r="Z63">
        <v>12.84</v>
      </c>
      <c r="AA63">
        <v>51.57</v>
      </c>
      <c r="AB63">
        <v>9.25</v>
      </c>
      <c r="AC63">
        <v>2.85</v>
      </c>
      <c r="AD63">
        <v>8.08</v>
      </c>
      <c r="AE63">
        <v>1.07</v>
      </c>
      <c r="AF63">
        <v>5.72</v>
      </c>
      <c r="AG63">
        <v>1.03</v>
      </c>
      <c r="AH63">
        <v>2.69</v>
      </c>
      <c r="AI63">
        <v>0.34699999999999998</v>
      </c>
      <c r="AJ63">
        <v>2.2000000000000002</v>
      </c>
      <c r="AK63">
        <v>0.28199999999999997</v>
      </c>
      <c r="AL63">
        <v>6.4</v>
      </c>
      <c r="AM63">
        <v>4.2</v>
      </c>
      <c r="AN63">
        <v>4.45</v>
      </c>
      <c r="AO63">
        <v>5.53</v>
      </c>
      <c r="AP63">
        <v>1.52</v>
      </c>
    </row>
    <row r="64" spans="1:42" x14ac:dyDescent="0.2">
      <c r="A64" t="s">
        <v>119</v>
      </c>
      <c r="B64">
        <v>5.36</v>
      </c>
      <c r="C64">
        <v>2.69</v>
      </c>
      <c r="D64">
        <v>18456.32</v>
      </c>
      <c r="E64">
        <v>47137.7</v>
      </c>
      <c r="F64">
        <v>72412.02</v>
      </c>
      <c r="G64">
        <v>243090.78</v>
      </c>
      <c r="H64">
        <v>1039.77</v>
      </c>
      <c r="I64">
        <v>4065</v>
      </c>
      <c r="J64">
        <v>77901.69</v>
      </c>
      <c r="K64">
        <v>32.49</v>
      </c>
      <c r="L64">
        <v>15717.06</v>
      </c>
      <c r="M64">
        <v>323.55</v>
      </c>
      <c r="N64">
        <v>1378.75</v>
      </c>
      <c r="O64">
        <v>85458.8</v>
      </c>
      <c r="P64">
        <v>0.108</v>
      </c>
      <c r="Q64">
        <v>9.07</v>
      </c>
      <c r="R64">
        <v>354.72</v>
      </c>
      <c r="S64">
        <v>25.77</v>
      </c>
      <c r="T64">
        <v>152.74</v>
      </c>
      <c r="U64">
        <v>15.93</v>
      </c>
      <c r="V64">
        <v>0.11799999999999999</v>
      </c>
      <c r="W64">
        <v>127.28</v>
      </c>
      <c r="X64">
        <v>13.73</v>
      </c>
      <c r="Y64">
        <v>33.71</v>
      </c>
      <c r="Z64">
        <v>4.59</v>
      </c>
      <c r="AA64">
        <v>22.88</v>
      </c>
      <c r="AB64">
        <v>5.57</v>
      </c>
      <c r="AC64">
        <v>1.98</v>
      </c>
      <c r="AD64">
        <v>5.73</v>
      </c>
      <c r="AE64">
        <v>0.93</v>
      </c>
      <c r="AF64">
        <v>5.27</v>
      </c>
      <c r="AG64">
        <v>1.06</v>
      </c>
      <c r="AH64">
        <v>2.65</v>
      </c>
      <c r="AI64">
        <v>0.38800000000000001</v>
      </c>
      <c r="AJ64">
        <v>2.15</v>
      </c>
      <c r="AK64">
        <v>0.28299999999999997</v>
      </c>
      <c r="AL64">
        <v>3.91</v>
      </c>
      <c r="AM64">
        <v>1.01</v>
      </c>
      <c r="AN64">
        <v>1.94</v>
      </c>
      <c r="AO64">
        <v>0.97</v>
      </c>
      <c r="AP64">
        <v>0.56999999999999995</v>
      </c>
    </row>
    <row r="65" spans="1:42" x14ac:dyDescent="0.2">
      <c r="A65" t="s">
        <v>120</v>
      </c>
      <c r="B65">
        <v>4.9800000000000004</v>
      </c>
      <c r="C65">
        <v>2.34</v>
      </c>
      <c r="D65">
        <v>16459.330000000002</v>
      </c>
      <c r="E65">
        <v>41467.129999999997</v>
      </c>
      <c r="F65">
        <v>66350.84</v>
      </c>
      <c r="G65">
        <v>221212.44</v>
      </c>
      <c r="H65">
        <v>1014.12</v>
      </c>
      <c r="I65">
        <v>3966.92</v>
      </c>
      <c r="J65">
        <v>77901.69</v>
      </c>
      <c r="K65">
        <v>32.270000000000003</v>
      </c>
      <c r="L65">
        <v>15465.77</v>
      </c>
      <c r="M65">
        <v>305.41000000000003</v>
      </c>
      <c r="N65">
        <v>1261.6500000000001</v>
      </c>
      <c r="O65">
        <v>78220.009999999995</v>
      </c>
      <c r="P65">
        <v>0.17</v>
      </c>
      <c r="Q65">
        <v>8.06</v>
      </c>
      <c r="R65">
        <v>336.72</v>
      </c>
      <c r="S65">
        <v>25.2</v>
      </c>
      <c r="T65">
        <v>151.9</v>
      </c>
      <c r="U65">
        <v>14.9</v>
      </c>
      <c r="V65">
        <v>0.126</v>
      </c>
      <c r="W65">
        <v>116.28</v>
      </c>
      <c r="X65">
        <v>12.11</v>
      </c>
      <c r="Y65">
        <v>30.23</v>
      </c>
      <c r="Z65">
        <v>4.5</v>
      </c>
      <c r="AA65">
        <v>21.77</v>
      </c>
      <c r="AB65">
        <v>5.66</v>
      </c>
      <c r="AC65">
        <v>1.79</v>
      </c>
      <c r="AD65">
        <v>5.68</v>
      </c>
      <c r="AE65">
        <v>0.85</v>
      </c>
      <c r="AF65">
        <v>5.3</v>
      </c>
      <c r="AG65">
        <v>0.95</v>
      </c>
      <c r="AH65">
        <v>2.35</v>
      </c>
      <c r="AI65">
        <v>0.29499999999999998</v>
      </c>
      <c r="AJ65">
        <v>2.1</v>
      </c>
      <c r="AK65">
        <v>0.30399999999999999</v>
      </c>
      <c r="AL65">
        <v>3.84</v>
      </c>
      <c r="AM65">
        <v>0.95</v>
      </c>
      <c r="AN65">
        <v>2.0099999999999998</v>
      </c>
      <c r="AO65">
        <v>1.03</v>
      </c>
      <c r="AP65">
        <v>0.57999999999999996</v>
      </c>
    </row>
    <row r="66" spans="1:42" x14ac:dyDescent="0.2">
      <c r="A66" t="s">
        <v>121</v>
      </c>
      <c r="B66">
        <v>4.54</v>
      </c>
      <c r="C66">
        <v>2.38</v>
      </c>
      <c r="D66">
        <v>16297.88</v>
      </c>
      <c r="E66">
        <v>42843.3</v>
      </c>
      <c r="F66">
        <v>70661.759999999995</v>
      </c>
      <c r="G66">
        <v>244224.97</v>
      </c>
      <c r="H66">
        <v>1003.72</v>
      </c>
      <c r="I66">
        <v>4069.83</v>
      </c>
      <c r="J66">
        <v>77901.69</v>
      </c>
      <c r="K66">
        <v>30.45</v>
      </c>
      <c r="L66">
        <v>14316.11</v>
      </c>
      <c r="M66">
        <v>280.62</v>
      </c>
      <c r="N66">
        <v>1159.78</v>
      </c>
      <c r="O66">
        <v>79249.73</v>
      </c>
      <c r="P66">
        <v>0.16</v>
      </c>
      <c r="Q66">
        <v>8.4600000000000009</v>
      </c>
      <c r="R66">
        <v>357.21</v>
      </c>
      <c r="S66">
        <v>25.5</v>
      </c>
      <c r="T66">
        <v>155.97</v>
      </c>
      <c r="U66">
        <v>14.37</v>
      </c>
      <c r="V66">
        <v>0.10299999999999999</v>
      </c>
      <c r="W66">
        <v>115.17</v>
      </c>
      <c r="X66">
        <v>12.3</v>
      </c>
      <c r="Y66">
        <v>32.25</v>
      </c>
      <c r="Z66">
        <v>4.75</v>
      </c>
      <c r="AA66">
        <v>22.75</v>
      </c>
      <c r="AB66">
        <v>5.37</v>
      </c>
      <c r="AC66">
        <v>1.79</v>
      </c>
      <c r="AD66">
        <v>5.45</v>
      </c>
      <c r="AE66">
        <v>0.9</v>
      </c>
      <c r="AF66">
        <v>5.1100000000000003</v>
      </c>
      <c r="AG66">
        <v>0.91</v>
      </c>
      <c r="AH66">
        <v>2.2999999999999998</v>
      </c>
      <c r="AI66">
        <v>0.32300000000000001</v>
      </c>
      <c r="AJ66">
        <v>2.2000000000000002</v>
      </c>
      <c r="AK66">
        <v>0.28299999999999997</v>
      </c>
      <c r="AL66">
        <v>3.68</v>
      </c>
      <c r="AM66">
        <v>0.92</v>
      </c>
      <c r="AN66">
        <v>2.13</v>
      </c>
      <c r="AO66">
        <v>1.06</v>
      </c>
      <c r="AP66">
        <v>0.53</v>
      </c>
    </row>
    <row r="67" spans="1:42" x14ac:dyDescent="0.2">
      <c r="A67" t="s">
        <v>122</v>
      </c>
      <c r="B67">
        <v>4.63</v>
      </c>
      <c r="C67">
        <v>2.33</v>
      </c>
      <c r="D67">
        <v>15818.21</v>
      </c>
      <c r="E67">
        <v>41401.93</v>
      </c>
      <c r="F67">
        <v>66749.8</v>
      </c>
      <c r="G67">
        <v>226600.16</v>
      </c>
      <c r="H67">
        <v>923.15</v>
      </c>
      <c r="I67">
        <v>3958.82</v>
      </c>
      <c r="J67">
        <v>77901.69</v>
      </c>
      <c r="K67">
        <v>31.02</v>
      </c>
      <c r="L67">
        <v>14623.09</v>
      </c>
      <c r="M67">
        <v>290.86</v>
      </c>
      <c r="N67">
        <v>1183.6199999999999</v>
      </c>
      <c r="O67">
        <v>79138.84</v>
      </c>
      <c r="P67">
        <v>0.15</v>
      </c>
      <c r="Q67">
        <v>8.19</v>
      </c>
      <c r="R67">
        <v>353.12</v>
      </c>
      <c r="S67">
        <v>25.86</v>
      </c>
      <c r="T67">
        <v>153.05000000000001</v>
      </c>
      <c r="U67">
        <v>14.34</v>
      </c>
      <c r="V67">
        <v>0.13</v>
      </c>
      <c r="W67">
        <v>114.44</v>
      </c>
      <c r="X67">
        <v>12.83</v>
      </c>
      <c r="Y67">
        <v>30.74</v>
      </c>
      <c r="Z67">
        <v>4.5599999999999996</v>
      </c>
      <c r="AA67">
        <v>20.61</v>
      </c>
      <c r="AB67">
        <v>5.36</v>
      </c>
      <c r="AC67">
        <v>1.78</v>
      </c>
      <c r="AD67">
        <v>5.37</v>
      </c>
      <c r="AE67">
        <v>0.89</v>
      </c>
      <c r="AF67">
        <v>4.9400000000000004</v>
      </c>
      <c r="AG67">
        <v>0.93</v>
      </c>
      <c r="AH67">
        <v>2.29</v>
      </c>
      <c r="AI67">
        <v>0.33500000000000002</v>
      </c>
      <c r="AJ67">
        <v>1.91</v>
      </c>
      <c r="AK67">
        <v>0.27</v>
      </c>
      <c r="AL67">
        <v>3.8</v>
      </c>
      <c r="AM67">
        <v>0.85</v>
      </c>
      <c r="AN67">
        <v>2</v>
      </c>
      <c r="AO67">
        <v>1.03</v>
      </c>
      <c r="AP67">
        <v>0.52</v>
      </c>
    </row>
    <row r="68" spans="1:42" x14ac:dyDescent="0.2">
      <c r="A68" t="s">
        <v>123</v>
      </c>
      <c r="B68">
        <v>9.08</v>
      </c>
      <c r="C68">
        <v>19.34</v>
      </c>
      <c r="D68">
        <v>6606.55</v>
      </c>
      <c r="E68">
        <v>145912.07999999999</v>
      </c>
      <c r="F68">
        <v>58787.34</v>
      </c>
      <c r="G68">
        <v>204403.08</v>
      </c>
      <c r="H68">
        <v>109.8</v>
      </c>
      <c r="I68">
        <v>165.11</v>
      </c>
      <c r="J68">
        <v>60392.23</v>
      </c>
      <c r="K68">
        <v>36.729999999999997</v>
      </c>
      <c r="L68">
        <v>1783.36</v>
      </c>
      <c r="M68">
        <v>224.85</v>
      </c>
      <c r="N68">
        <v>1262.49</v>
      </c>
      <c r="O68">
        <v>83573.19</v>
      </c>
      <c r="P68">
        <v>0.19</v>
      </c>
      <c r="Q68">
        <v>2.1800000000000002</v>
      </c>
      <c r="R68">
        <v>15.13</v>
      </c>
      <c r="S68">
        <v>13.46</v>
      </c>
      <c r="T68">
        <v>9.98</v>
      </c>
      <c r="U68">
        <v>4.4999999999999998E-2</v>
      </c>
      <c r="V68">
        <v>7.73</v>
      </c>
      <c r="W68">
        <v>0.72</v>
      </c>
      <c r="X68">
        <v>0.10299999999999999</v>
      </c>
      <c r="Y68">
        <v>0.34599999999999997</v>
      </c>
      <c r="Z68">
        <v>8.5999999999999993E-2</v>
      </c>
      <c r="AA68">
        <v>0.55300000000000005</v>
      </c>
      <c r="AB68">
        <v>0.53500000000000003</v>
      </c>
      <c r="AC68">
        <v>0.26</v>
      </c>
      <c r="AD68">
        <v>1.1599999999999999</v>
      </c>
      <c r="AE68">
        <v>0.26800000000000002</v>
      </c>
      <c r="AF68">
        <v>2.14</v>
      </c>
      <c r="AG68">
        <v>0.51400000000000001</v>
      </c>
      <c r="AH68">
        <v>1.64</v>
      </c>
      <c r="AI68">
        <v>0.23300000000000001</v>
      </c>
      <c r="AJ68">
        <v>1.48</v>
      </c>
      <c r="AK68">
        <v>0.24199999999999999</v>
      </c>
      <c r="AL68">
        <v>0.38700000000000001</v>
      </c>
      <c r="AM68">
        <v>1.7500000000000002E-2</v>
      </c>
      <c r="AN68">
        <v>21.83</v>
      </c>
      <c r="AO68" t="s">
        <v>124</v>
      </c>
      <c r="AP68">
        <v>5.7000000000000002E-2</v>
      </c>
    </row>
    <row r="69" spans="1:42" x14ac:dyDescent="0.2">
      <c r="A69" t="s">
        <v>125</v>
      </c>
      <c r="B69">
        <v>9.64</v>
      </c>
      <c r="C69">
        <v>23.5</v>
      </c>
      <c r="D69">
        <v>4570.7700000000004</v>
      </c>
      <c r="E69">
        <v>172213.22</v>
      </c>
      <c r="F69">
        <v>55151.23</v>
      </c>
      <c r="G69">
        <v>212924.61</v>
      </c>
      <c r="H69">
        <v>75.83</v>
      </c>
      <c r="I69">
        <v>207.78</v>
      </c>
      <c r="J69">
        <v>44597.33</v>
      </c>
      <c r="K69">
        <v>32.630000000000003</v>
      </c>
      <c r="L69">
        <v>1718.38</v>
      </c>
      <c r="M69">
        <v>187.1</v>
      </c>
      <c r="N69">
        <v>1413.19</v>
      </c>
      <c r="O69">
        <v>77758.509999999995</v>
      </c>
      <c r="P69">
        <v>9.6000000000000002E-2</v>
      </c>
      <c r="Q69">
        <v>0.42</v>
      </c>
      <c r="R69">
        <v>30.22</v>
      </c>
      <c r="S69">
        <v>11.94</v>
      </c>
      <c r="T69">
        <v>9.86</v>
      </c>
      <c r="U69">
        <v>7.8E-2</v>
      </c>
      <c r="V69">
        <v>0.2</v>
      </c>
      <c r="W69">
        <v>1.07</v>
      </c>
      <c r="X69">
        <v>0.11600000000000001</v>
      </c>
      <c r="Y69">
        <v>0.45900000000000002</v>
      </c>
      <c r="Z69">
        <v>9.7000000000000003E-2</v>
      </c>
      <c r="AA69">
        <v>0.77</v>
      </c>
      <c r="AB69">
        <v>0.55000000000000004</v>
      </c>
      <c r="AC69">
        <v>0.26200000000000001</v>
      </c>
      <c r="AD69">
        <v>1.22</v>
      </c>
      <c r="AE69">
        <v>0.23499999999999999</v>
      </c>
      <c r="AF69">
        <v>1.92</v>
      </c>
      <c r="AG69">
        <v>0.47199999999999998</v>
      </c>
      <c r="AH69">
        <v>1.39</v>
      </c>
      <c r="AI69">
        <v>0.224</v>
      </c>
      <c r="AJ69">
        <v>1.38</v>
      </c>
      <c r="AK69">
        <v>0.23499999999999999</v>
      </c>
      <c r="AL69">
        <v>0.42899999999999999</v>
      </c>
      <c r="AM69">
        <v>1.7000000000000001E-2</v>
      </c>
      <c r="AN69">
        <v>0.3</v>
      </c>
      <c r="AO69">
        <v>1.23E-2</v>
      </c>
      <c r="AP69" t="s">
        <v>126</v>
      </c>
    </row>
    <row r="70" spans="1:42" x14ac:dyDescent="0.2">
      <c r="A70" t="s">
        <v>127</v>
      </c>
      <c r="B70">
        <v>21.43</v>
      </c>
      <c r="C70">
        <v>18.36</v>
      </c>
      <c r="D70">
        <v>35441.449999999997</v>
      </c>
      <c r="E70">
        <v>31575.06</v>
      </c>
      <c r="F70">
        <v>127426.41</v>
      </c>
      <c r="G70">
        <v>350929.59</v>
      </c>
      <c r="H70">
        <v>3219.99</v>
      </c>
      <c r="I70">
        <v>52128.09</v>
      </c>
      <c r="J70">
        <v>71470.09</v>
      </c>
      <c r="K70">
        <v>34.26</v>
      </c>
      <c r="L70">
        <v>7467.19</v>
      </c>
      <c r="M70">
        <v>267.99</v>
      </c>
      <c r="N70">
        <v>2042.17</v>
      </c>
      <c r="O70">
        <v>92144.83</v>
      </c>
      <c r="P70">
        <v>0.76</v>
      </c>
      <c r="Q70">
        <v>203.2</v>
      </c>
      <c r="R70">
        <v>1889.72</v>
      </c>
      <c r="S70">
        <v>33.76</v>
      </c>
      <c r="T70">
        <v>332.32</v>
      </c>
      <c r="U70">
        <v>41.39</v>
      </c>
      <c r="V70">
        <v>4.0999999999999996</v>
      </c>
      <c r="W70">
        <v>1382.04</v>
      </c>
      <c r="X70">
        <v>62.7</v>
      </c>
      <c r="Y70">
        <v>125.86</v>
      </c>
      <c r="Z70">
        <v>14.44</v>
      </c>
      <c r="AA70">
        <v>56.48</v>
      </c>
      <c r="AB70">
        <v>9.75</v>
      </c>
      <c r="AC70">
        <v>2.58</v>
      </c>
      <c r="AD70">
        <v>8.49</v>
      </c>
      <c r="AE70">
        <v>1.1100000000000001</v>
      </c>
      <c r="AF70">
        <v>6.49</v>
      </c>
      <c r="AG70">
        <v>1.28</v>
      </c>
      <c r="AH70">
        <v>3.56</v>
      </c>
      <c r="AI70">
        <v>0.54</v>
      </c>
      <c r="AJ70">
        <v>3.81</v>
      </c>
      <c r="AK70">
        <v>0.57999999999999996</v>
      </c>
      <c r="AL70">
        <v>8.4499999999999993</v>
      </c>
      <c r="AM70">
        <v>2.21</v>
      </c>
      <c r="AN70">
        <v>25.64</v>
      </c>
      <c r="AO70">
        <v>21.51</v>
      </c>
      <c r="AP70">
        <v>6.18</v>
      </c>
    </row>
    <row r="71" spans="1:42" x14ac:dyDescent="0.2">
      <c r="A71" t="s">
        <v>128</v>
      </c>
      <c r="B71">
        <v>6.74</v>
      </c>
      <c r="C71">
        <v>2.96</v>
      </c>
      <c r="D71">
        <v>28808.95</v>
      </c>
      <c r="E71">
        <v>28147.19</v>
      </c>
      <c r="F71">
        <v>74092.800000000003</v>
      </c>
      <c r="G71">
        <v>203042.41</v>
      </c>
      <c r="H71">
        <v>2617.9699999999998</v>
      </c>
      <c r="I71">
        <v>11925.48</v>
      </c>
      <c r="J71">
        <v>89552.02</v>
      </c>
      <c r="K71">
        <v>29.1</v>
      </c>
      <c r="L71">
        <v>21538.21</v>
      </c>
      <c r="M71">
        <v>305.05</v>
      </c>
      <c r="N71">
        <v>1387.24</v>
      </c>
      <c r="O71">
        <v>81253.88</v>
      </c>
      <c r="P71">
        <v>0.81</v>
      </c>
      <c r="Q71">
        <v>27.56</v>
      </c>
      <c r="R71">
        <v>897.93</v>
      </c>
      <c r="S71">
        <v>28.81</v>
      </c>
      <c r="T71">
        <v>303.43</v>
      </c>
      <c r="U71">
        <v>82.3</v>
      </c>
      <c r="V71">
        <v>0.32</v>
      </c>
      <c r="W71">
        <v>331.83</v>
      </c>
      <c r="X71">
        <v>51.64</v>
      </c>
      <c r="Y71">
        <v>104.1</v>
      </c>
      <c r="Z71">
        <v>13.82</v>
      </c>
      <c r="AA71">
        <v>55.23</v>
      </c>
      <c r="AB71">
        <v>9.6199999999999992</v>
      </c>
      <c r="AC71">
        <v>2.98</v>
      </c>
      <c r="AD71">
        <v>7.7</v>
      </c>
      <c r="AE71">
        <v>1.07</v>
      </c>
      <c r="AF71">
        <v>6.25</v>
      </c>
      <c r="AG71">
        <v>1.1299999999999999</v>
      </c>
      <c r="AH71">
        <v>2.4300000000000002</v>
      </c>
      <c r="AI71">
        <v>0.32500000000000001</v>
      </c>
      <c r="AJ71">
        <v>2.2400000000000002</v>
      </c>
      <c r="AK71">
        <v>0.33400000000000002</v>
      </c>
      <c r="AL71">
        <v>6.17</v>
      </c>
      <c r="AM71">
        <v>4.09</v>
      </c>
      <c r="AN71">
        <v>4.5199999999999996</v>
      </c>
      <c r="AO71">
        <v>6.1</v>
      </c>
      <c r="AP71">
        <v>1.54</v>
      </c>
    </row>
    <row r="72" spans="1:42" x14ac:dyDescent="0.2">
      <c r="A72" t="s">
        <v>129</v>
      </c>
      <c r="B72">
        <v>6.79</v>
      </c>
      <c r="C72">
        <v>1.82</v>
      </c>
      <c r="D72">
        <v>28897.83</v>
      </c>
      <c r="E72">
        <v>28282.02</v>
      </c>
      <c r="F72">
        <v>72967.48</v>
      </c>
      <c r="G72">
        <v>192714.38</v>
      </c>
      <c r="H72">
        <v>2454.9499999999998</v>
      </c>
      <c r="I72">
        <v>11654.02</v>
      </c>
      <c r="J72">
        <v>89552.02</v>
      </c>
      <c r="K72">
        <v>26.47</v>
      </c>
      <c r="L72">
        <v>18242.11</v>
      </c>
      <c r="M72">
        <v>268.08999999999997</v>
      </c>
      <c r="N72">
        <v>1297.77</v>
      </c>
      <c r="O72">
        <v>76865.91</v>
      </c>
      <c r="P72">
        <v>0.57999999999999996</v>
      </c>
      <c r="Q72">
        <v>28.16</v>
      </c>
      <c r="R72">
        <v>876.34</v>
      </c>
      <c r="S72">
        <v>26.42</v>
      </c>
      <c r="T72">
        <v>282.16000000000003</v>
      </c>
      <c r="U72">
        <v>76.27</v>
      </c>
      <c r="V72">
        <v>0.28599999999999998</v>
      </c>
      <c r="W72">
        <v>324.29000000000002</v>
      </c>
      <c r="X72">
        <v>49.27</v>
      </c>
      <c r="Y72">
        <v>102.33</v>
      </c>
      <c r="Z72">
        <v>13.3</v>
      </c>
      <c r="AA72">
        <v>53.14</v>
      </c>
      <c r="AB72">
        <v>9.99</v>
      </c>
      <c r="AC72">
        <v>2.5499999999999998</v>
      </c>
      <c r="AD72">
        <v>7.17</v>
      </c>
      <c r="AE72">
        <v>1.06</v>
      </c>
      <c r="AF72">
        <v>6.22</v>
      </c>
      <c r="AG72">
        <v>1</v>
      </c>
      <c r="AH72">
        <v>2.38</v>
      </c>
      <c r="AI72">
        <v>0.32800000000000001</v>
      </c>
      <c r="AJ72">
        <v>1.94</v>
      </c>
      <c r="AK72">
        <v>0.29199999999999998</v>
      </c>
      <c r="AL72">
        <v>6</v>
      </c>
      <c r="AM72">
        <v>4.1399999999999997</v>
      </c>
      <c r="AN72">
        <v>3.66</v>
      </c>
      <c r="AO72">
        <v>5.92</v>
      </c>
      <c r="AP72">
        <v>1.41</v>
      </c>
    </row>
    <row r="73" spans="1:42" x14ac:dyDescent="0.2">
      <c r="A73" t="s">
        <v>130</v>
      </c>
      <c r="B73">
        <v>5.55</v>
      </c>
      <c r="C73">
        <v>2.67</v>
      </c>
      <c r="D73">
        <v>21350.03</v>
      </c>
      <c r="E73">
        <v>295328.94</v>
      </c>
      <c r="F73">
        <v>69446.66</v>
      </c>
      <c r="G73">
        <v>342625.63</v>
      </c>
      <c r="H73">
        <v>2344.0300000000002</v>
      </c>
      <c r="I73">
        <v>9813.51</v>
      </c>
      <c r="J73">
        <v>97628.13</v>
      </c>
      <c r="K73">
        <v>40.450000000000003</v>
      </c>
      <c r="L73">
        <v>18942.48</v>
      </c>
      <c r="M73">
        <v>315.25</v>
      </c>
      <c r="N73">
        <v>3642.78</v>
      </c>
      <c r="O73">
        <v>218632.84</v>
      </c>
      <c r="P73">
        <v>0.56999999999999995</v>
      </c>
      <c r="Q73">
        <v>25.03</v>
      </c>
      <c r="R73">
        <v>830.98</v>
      </c>
      <c r="S73">
        <v>27.62</v>
      </c>
      <c r="T73">
        <v>281.26</v>
      </c>
      <c r="U73">
        <v>83.58</v>
      </c>
      <c r="V73">
        <v>0.35</v>
      </c>
      <c r="W73">
        <v>332.08</v>
      </c>
      <c r="X73">
        <v>56.89</v>
      </c>
      <c r="Y73">
        <v>115.19</v>
      </c>
      <c r="Z73">
        <v>13.58</v>
      </c>
      <c r="AA73">
        <v>58.86</v>
      </c>
      <c r="AB73">
        <v>9.08</v>
      </c>
      <c r="AC73">
        <v>2.4500000000000002</v>
      </c>
      <c r="AD73">
        <v>6.56</v>
      </c>
      <c r="AE73">
        <v>1.1200000000000001</v>
      </c>
      <c r="AF73">
        <v>6.23</v>
      </c>
      <c r="AG73">
        <v>1.1000000000000001</v>
      </c>
      <c r="AH73">
        <v>2.29</v>
      </c>
      <c r="AI73">
        <v>0.32800000000000001</v>
      </c>
      <c r="AJ73">
        <v>2.58</v>
      </c>
      <c r="AK73">
        <v>0.29199999999999998</v>
      </c>
      <c r="AL73">
        <v>5.33</v>
      </c>
      <c r="AM73">
        <v>4.3499999999999996</v>
      </c>
      <c r="AN73">
        <v>4.3099999999999996</v>
      </c>
      <c r="AO73">
        <v>7.45</v>
      </c>
      <c r="AP73">
        <v>1.49</v>
      </c>
    </row>
    <row r="74" spans="1:42" x14ac:dyDescent="0.2">
      <c r="A74" t="s">
        <v>131</v>
      </c>
      <c r="B74">
        <v>4.2</v>
      </c>
      <c r="C74">
        <v>2.17</v>
      </c>
      <c r="D74">
        <v>20251.099999999999</v>
      </c>
      <c r="E74">
        <v>22454.33</v>
      </c>
      <c r="F74">
        <v>72580.84</v>
      </c>
      <c r="G74">
        <v>195269.75</v>
      </c>
      <c r="H74">
        <v>2062.1799999999998</v>
      </c>
      <c r="I74">
        <v>8294.77</v>
      </c>
      <c r="J74">
        <v>97699.61</v>
      </c>
      <c r="K74">
        <v>29.46</v>
      </c>
      <c r="L74">
        <v>19831.37</v>
      </c>
      <c r="M74">
        <v>277.48</v>
      </c>
      <c r="N74">
        <v>1150.49</v>
      </c>
      <c r="O74">
        <v>64504.45</v>
      </c>
      <c r="P74">
        <v>0.5</v>
      </c>
      <c r="Q74">
        <v>20.170000000000002</v>
      </c>
      <c r="R74">
        <v>788.63</v>
      </c>
      <c r="S74">
        <v>23.34</v>
      </c>
      <c r="T74">
        <v>223.02</v>
      </c>
      <c r="U74">
        <v>61.87</v>
      </c>
      <c r="V74">
        <v>0.183</v>
      </c>
      <c r="W74">
        <v>273.29000000000002</v>
      </c>
      <c r="X74">
        <v>39.94</v>
      </c>
      <c r="Y74">
        <v>90.41</v>
      </c>
      <c r="Z74">
        <v>11.97</v>
      </c>
      <c r="AA74">
        <v>46.67</v>
      </c>
      <c r="AB74">
        <v>8.92</v>
      </c>
      <c r="AC74">
        <v>2.73</v>
      </c>
      <c r="AD74">
        <v>6.3</v>
      </c>
      <c r="AE74">
        <v>0.96</v>
      </c>
      <c r="AF74">
        <v>5.43</v>
      </c>
      <c r="AG74">
        <v>0.78</v>
      </c>
      <c r="AH74">
        <v>2.11</v>
      </c>
      <c r="AI74">
        <v>0.30099999999999999</v>
      </c>
      <c r="AJ74">
        <v>2</v>
      </c>
      <c r="AK74">
        <v>0.22800000000000001</v>
      </c>
      <c r="AL74">
        <v>4.66</v>
      </c>
      <c r="AM74">
        <v>3.07</v>
      </c>
      <c r="AN74">
        <v>55.49</v>
      </c>
      <c r="AO74">
        <v>4.4800000000000004</v>
      </c>
      <c r="AP74">
        <v>1.31</v>
      </c>
    </row>
    <row r="75" spans="1:42" x14ac:dyDescent="0.2">
      <c r="A75" t="s">
        <v>132</v>
      </c>
      <c r="B75">
        <v>6.89</v>
      </c>
      <c r="C75">
        <v>11.73</v>
      </c>
      <c r="D75">
        <v>62656.69</v>
      </c>
      <c r="E75">
        <v>47689.06</v>
      </c>
      <c r="F75">
        <v>146801.04999999999</v>
      </c>
      <c r="G75">
        <v>288315.84000000003</v>
      </c>
      <c r="H75">
        <v>3722.46</v>
      </c>
      <c r="I75">
        <v>17658.439999999999</v>
      </c>
      <c r="J75">
        <v>71970.38</v>
      </c>
      <c r="K75">
        <v>15.14</v>
      </c>
      <c r="L75">
        <v>20235.099999999999</v>
      </c>
      <c r="M75">
        <v>218.75</v>
      </c>
      <c r="N75">
        <v>1959.33</v>
      </c>
      <c r="O75">
        <v>121283</v>
      </c>
      <c r="P75">
        <v>2.83</v>
      </c>
      <c r="Q75">
        <v>85.1</v>
      </c>
      <c r="R75">
        <v>1599.46</v>
      </c>
      <c r="S75">
        <v>43.16</v>
      </c>
      <c r="T75">
        <v>388.93</v>
      </c>
      <c r="U75">
        <v>98.65</v>
      </c>
      <c r="V75">
        <v>0.43</v>
      </c>
      <c r="W75">
        <v>832.48</v>
      </c>
      <c r="X75">
        <v>157.62</v>
      </c>
      <c r="Y75">
        <v>334.69</v>
      </c>
      <c r="Z75">
        <v>27.26</v>
      </c>
      <c r="AA75">
        <v>77.61</v>
      </c>
      <c r="AB75">
        <v>10.45</v>
      </c>
      <c r="AC75">
        <v>4.84</v>
      </c>
      <c r="AD75">
        <v>19.71</v>
      </c>
      <c r="AE75">
        <v>1.62</v>
      </c>
      <c r="AF75">
        <v>6.88</v>
      </c>
      <c r="AG75">
        <v>1.17</v>
      </c>
      <c r="AH75">
        <v>4.33</v>
      </c>
      <c r="AI75">
        <v>0.76</v>
      </c>
      <c r="AJ75">
        <v>4.0599999999999996</v>
      </c>
      <c r="AK75">
        <v>0.28999999999999998</v>
      </c>
      <c r="AL75">
        <v>8.25</v>
      </c>
      <c r="AM75">
        <v>11.12</v>
      </c>
      <c r="AN75">
        <v>1846.88</v>
      </c>
      <c r="AO75">
        <v>9.25</v>
      </c>
      <c r="AP75">
        <v>2.11</v>
      </c>
    </row>
    <row r="76" spans="1:42" x14ac:dyDescent="0.2">
      <c r="A76" t="s">
        <v>133</v>
      </c>
      <c r="B76">
        <v>2.41</v>
      </c>
      <c r="C76">
        <v>1.23</v>
      </c>
      <c r="D76">
        <v>14642.34</v>
      </c>
      <c r="E76">
        <v>16258.56</v>
      </c>
      <c r="F76">
        <v>50176.17</v>
      </c>
      <c r="G76">
        <v>143550.42000000001</v>
      </c>
      <c r="H76">
        <v>1920.85</v>
      </c>
      <c r="I76">
        <v>11675.49</v>
      </c>
      <c r="J76">
        <v>90909.95</v>
      </c>
      <c r="K76">
        <v>23.85</v>
      </c>
      <c r="L76">
        <v>13812.56</v>
      </c>
      <c r="M76">
        <v>175.79</v>
      </c>
      <c r="N76">
        <v>713.79</v>
      </c>
      <c r="O76">
        <v>40814.19</v>
      </c>
      <c r="P76">
        <v>0.37</v>
      </c>
      <c r="Q76">
        <v>16.3</v>
      </c>
      <c r="R76">
        <v>632.34</v>
      </c>
      <c r="S76">
        <v>21.85</v>
      </c>
      <c r="T76">
        <v>248.83</v>
      </c>
      <c r="U76">
        <v>57.25</v>
      </c>
      <c r="V76">
        <v>0.20399999999999999</v>
      </c>
      <c r="W76">
        <v>187.03</v>
      </c>
      <c r="X76">
        <v>30.53</v>
      </c>
      <c r="Y76">
        <v>67.680000000000007</v>
      </c>
      <c r="Z76">
        <v>10.64</v>
      </c>
      <c r="AA76">
        <v>50.19</v>
      </c>
      <c r="AB76">
        <v>7.59</v>
      </c>
      <c r="AC76">
        <v>1.74</v>
      </c>
      <c r="AD76">
        <v>4.6399999999999997</v>
      </c>
      <c r="AE76">
        <v>0.8</v>
      </c>
      <c r="AF76">
        <v>5.2</v>
      </c>
      <c r="AG76">
        <v>0.68</v>
      </c>
      <c r="AH76">
        <v>1.32</v>
      </c>
      <c r="AI76">
        <v>0.20699999999999999</v>
      </c>
      <c r="AJ76">
        <v>1.75</v>
      </c>
      <c r="AK76">
        <v>0.22500000000000001</v>
      </c>
      <c r="AL76">
        <v>3.35</v>
      </c>
      <c r="AM76">
        <v>2.42</v>
      </c>
      <c r="AN76">
        <v>3.09</v>
      </c>
      <c r="AO76">
        <v>5.01</v>
      </c>
      <c r="AP76">
        <v>0.92</v>
      </c>
    </row>
    <row r="77" spans="1:42" x14ac:dyDescent="0.2">
      <c r="A77" t="s">
        <v>134</v>
      </c>
      <c r="B77">
        <v>4.8499999999999996</v>
      </c>
      <c r="C77">
        <v>2.5</v>
      </c>
      <c r="D77">
        <v>27177.84</v>
      </c>
      <c r="E77">
        <v>33307.82</v>
      </c>
      <c r="F77">
        <v>87502.42</v>
      </c>
      <c r="G77">
        <v>208005.63</v>
      </c>
      <c r="H77">
        <v>2330.29</v>
      </c>
      <c r="I77">
        <v>11159.31</v>
      </c>
      <c r="J77">
        <v>96627.55</v>
      </c>
      <c r="K77">
        <v>34.61</v>
      </c>
      <c r="L77">
        <v>20709.349999999999</v>
      </c>
      <c r="M77">
        <v>347.87</v>
      </c>
      <c r="N77">
        <v>1361.39</v>
      </c>
      <c r="O77">
        <v>80868.11</v>
      </c>
      <c r="P77">
        <v>0.63</v>
      </c>
      <c r="Q77">
        <v>30.9</v>
      </c>
      <c r="R77">
        <v>863.95</v>
      </c>
      <c r="S77">
        <v>26.76</v>
      </c>
      <c r="T77">
        <v>262.93</v>
      </c>
      <c r="U77">
        <v>75.180000000000007</v>
      </c>
      <c r="V77">
        <v>0.34</v>
      </c>
      <c r="W77">
        <v>382.25</v>
      </c>
      <c r="X77">
        <v>53.22</v>
      </c>
      <c r="Y77">
        <v>109.48</v>
      </c>
      <c r="Z77">
        <v>12.91</v>
      </c>
      <c r="AA77">
        <v>48.18</v>
      </c>
      <c r="AB77">
        <v>9.1999999999999993</v>
      </c>
      <c r="AC77">
        <v>2.91</v>
      </c>
      <c r="AD77">
        <v>8.1999999999999993</v>
      </c>
      <c r="AE77">
        <v>1.04</v>
      </c>
      <c r="AF77">
        <v>6.02</v>
      </c>
      <c r="AG77">
        <v>1.1100000000000001</v>
      </c>
      <c r="AH77">
        <v>2.76</v>
      </c>
      <c r="AI77">
        <v>0.42</v>
      </c>
      <c r="AJ77">
        <v>2.0299999999999998</v>
      </c>
      <c r="AK77">
        <v>0.32</v>
      </c>
      <c r="AL77">
        <v>6.2</v>
      </c>
      <c r="AM77">
        <v>4.66</v>
      </c>
      <c r="AN77">
        <v>4.0999999999999996</v>
      </c>
      <c r="AO77">
        <v>5.85</v>
      </c>
      <c r="AP77">
        <v>1.45</v>
      </c>
    </row>
    <row r="78" spans="1:42" x14ac:dyDescent="0.2">
      <c r="A78" t="s">
        <v>135</v>
      </c>
      <c r="B78">
        <v>7.51</v>
      </c>
      <c r="C78">
        <v>12.2</v>
      </c>
      <c r="D78">
        <v>32447.35</v>
      </c>
      <c r="E78">
        <v>23898.080000000002</v>
      </c>
      <c r="F78">
        <v>84062.66</v>
      </c>
      <c r="G78">
        <v>188322.47</v>
      </c>
      <c r="H78">
        <v>3384.98</v>
      </c>
      <c r="I78">
        <v>14287.32</v>
      </c>
      <c r="J78">
        <v>63751.32</v>
      </c>
      <c r="K78">
        <v>16.190000000000001</v>
      </c>
      <c r="L78">
        <v>18514.169999999998</v>
      </c>
      <c r="M78">
        <v>372.46</v>
      </c>
      <c r="N78">
        <v>1279.45</v>
      </c>
      <c r="O78">
        <v>43578.31</v>
      </c>
      <c r="P78">
        <v>1.28</v>
      </c>
      <c r="Q78">
        <v>40.93</v>
      </c>
      <c r="R78">
        <v>1527.33</v>
      </c>
      <c r="S78">
        <v>30.64</v>
      </c>
      <c r="T78">
        <v>357.99</v>
      </c>
      <c r="U78">
        <v>122.29</v>
      </c>
      <c r="V78">
        <v>0.44</v>
      </c>
      <c r="W78">
        <v>622.62</v>
      </c>
      <c r="X78">
        <v>97.11</v>
      </c>
      <c r="Y78">
        <v>186.89</v>
      </c>
      <c r="Z78">
        <v>20.83</v>
      </c>
      <c r="AA78">
        <v>75.569999999999993</v>
      </c>
      <c r="AB78">
        <v>11.68</v>
      </c>
      <c r="AC78">
        <v>3.54</v>
      </c>
      <c r="AD78">
        <v>9.59</v>
      </c>
      <c r="AE78">
        <v>1.18</v>
      </c>
      <c r="AF78">
        <v>6.35</v>
      </c>
      <c r="AG78">
        <v>1.2</v>
      </c>
      <c r="AH78">
        <v>2.82</v>
      </c>
      <c r="AI78">
        <v>0.43</v>
      </c>
      <c r="AJ78">
        <v>2.54</v>
      </c>
      <c r="AK78">
        <v>0.33200000000000002</v>
      </c>
      <c r="AL78">
        <v>7.53</v>
      </c>
      <c r="AM78">
        <v>7.1</v>
      </c>
      <c r="AN78">
        <v>1714.57</v>
      </c>
      <c r="AO78">
        <v>9.7899999999999991</v>
      </c>
      <c r="AP78">
        <v>2.5299999999999998</v>
      </c>
    </row>
    <row r="79" spans="1:42" x14ac:dyDescent="0.2">
      <c r="A79" t="s">
        <v>136</v>
      </c>
      <c r="B79">
        <v>6.87</v>
      </c>
      <c r="C79">
        <v>4.87</v>
      </c>
      <c r="D79">
        <v>26100.17</v>
      </c>
      <c r="E79">
        <v>177851.2</v>
      </c>
      <c r="F79">
        <v>86904.08</v>
      </c>
      <c r="G79">
        <v>301774.65999999997</v>
      </c>
      <c r="H79">
        <v>3891.53</v>
      </c>
      <c r="I79">
        <v>12325.35</v>
      </c>
      <c r="J79">
        <v>97199.32</v>
      </c>
      <c r="K79">
        <v>38.5</v>
      </c>
      <c r="L79">
        <v>12992.25</v>
      </c>
      <c r="M79">
        <v>224.58</v>
      </c>
      <c r="N79">
        <v>2143.81</v>
      </c>
      <c r="O79">
        <v>124466.71</v>
      </c>
      <c r="P79">
        <v>1.26</v>
      </c>
      <c r="Q79">
        <v>50.88</v>
      </c>
      <c r="R79">
        <v>1458.3</v>
      </c>
      <c r="S79">
        <v>27.55</v>
      </c>
      <c r="T79">
        <v>471.34</v>
      </c>
      <c r="U79">
        <v>130.94</v>
      </c>
      <c r="V79">
        <v>0.62</v>
      </c>
      <c r="W79">
        <v>624.44000000000005</v>
      </c>
      <c r="X79">
        <v>116.25</v>
      </c>
      <c r="Y79">
        <v>227.12</v>
      </c>
      <c r="Z79">
        <v>23.85</v>
      </c>
      <c r="AA79">
        <v>81.89</v>
      </c>
      <c r="AB79">
        <v>10.87</v>
      </c>
      <c r="AC79">
        <v>2.98</v>
      </c>
      <c r="AD79">
        <v>8.33</v>
      </c>
      <c r="AE79">
        <v>1.06</v>
      </c>
      <c r="AF79">
        <v>5.53</v>
      </c>
      <c r="AG79">
        <v>1.03</v>
      </c>
      <c r="AH79">
        <v>2.57</v>
      </c>
      <c r="AI79">
        <v>0.34399999999999997</v>
      </c>
      <c r="AJ79">
        <v>2.13</v>
      </c>
      <c r="AK79">
        <v>0.32800000000000001</v>
      </c>
      <c r="AL79">
        <v>9.58</v>
      </c>
      <c r="AM79">
        <v>8.01</v>
      </c>
      <c r="AN79">
        <v>7.72</v>
      </c>
      <c r="AO79">
        <v>12.51</v>
      </c>
      <c r="AP79">
        <v>2.91</v>
      </c>
    </row>
    <row r="80" spans="1:42" x14ac:dyDescent="0.2">
      <c r="A80" t="s">
        <v>137</v>
      </c>
      <c r="B80">
        <v>5.03</v>
      </c>
      <c r="C80">
        <v>1.62</v>
      </c>
      <c r="D80">
        <v>20926.3</v>
      </c>
      <c r="E80">
        <v>130308.17</v>
      </c>
      <c r="F80">
        <v>87380.28</v>
      </c>
      <c r="G80">
        <v>259355.51999999999</v>
      </c>
      <c r="H80">
        <v>1964.47</v>
      </c>
      <c r="I80">
        <v>9553.02</v>
      </c>
      <c r="J80">
        <v>115638.6</v>
      </c>
      <c r="K80">
        <v>41.81</v>
      </c>
      <c r="L80">
        <v>24132.6</v>
      </c>
      <c r="M80">
        <v>343.74</v>
      </c>
      <c r="N80">
        <v>1800.64</v>
      </c>
      <c r="O80">
        <v>105340.88</v>
      </c>
      <c r="P80">
        <v>0.6</v>
      </c>
      <c r="Q80">
        <v>26.73</v>
      </c>
      <c r="R80">
        <v>861.6</v>
      </c>
      <c r="S80">
        <v>31.26</v>
      </c>
      <c r="T80">
        <v>283.20999999999998</v>
      </c>
      <c r="U80">
        <v>79.81</v>
      </c>
      <c r="V80">
        <v>0.31</v>
      </c>
      <c r="W80">
        <v>367.12</v>
      </c>
      <c r="X80">
        <v>57.52</v>
      </c>
      <c r="Y80">
        <v>110.53</v>
      </c>
      <c r="Z80">
        <v>13.45</v>
      </c>
      <c r="AA80">
        <v>52.91</v>
      </c>
      <c r="AB80">
        <v>10.01</v>
      </c>
      <c r="AC80">
        <v>2.71</v>
      </c>
      <c r="AD80">
        <v>8.32</v>
      </c>
      <c r="AE80">
        <v>1.1000000000000001</v>
      </c>
      <c r="AF80">
        <v>6.55</v>
      </c>
      <c r="AG80">
        <v>1.0900000000000001</v>
      </c>
      <c r="AH80">
        <v>2.75</v>
      </c>
      <c r="AI80">
        <v>0.4</v>
      </c>
      <c r="AJ80">
        <v>2.0699999999999998</v>
      </c>
      <c r="AK80">
        <v>0.34100000000000003</v>
      </c>
      <c r="AL80">
        <v>6.92</v>
      </c>
      <c r="AM80">
        <v>4.3499999999999996</v>
      </c>
      <c r="AN80">
        <v>7.37</v>
      </c>
      <c r="AO80">
        <v>6.2</v>
      </c>
      <c r="AP80">
        <v>1.55</v>
      </c>
    </row>
    <row r="81" spans="1:42" x14ac:dyDescent="0.2">
      <c r="A81" t="s">
        <v>138</v>
      </c>
      <c r="B81">
        <v>5.09</v>
      </c>
      <c r="C81">
        <v>3.13</v>
      </c>
      <c r="D81">
        <v>16812.689999999999</v>
      </c>
      <c r="E81">
        <v>43846.64</v>
      </c>
      <c r="F81">
        <v>68025.53</v>
      </c>
      <c r="G81">
        <v>237209.92</v>
      </c>
      <c r="H81">
        <v>977.62</v>
      </c>
      <c r="I81">
        <v>4045.55</v>
      </c>
      <c r="J81">
        <v>77901.69</v>
      </c>
      <c r="K81">
        <v>32.549999999999997</v>
      </c>
      <c r="L81">
        <v>15526.99</v>
      </c>
      <c r="M81">
        <v>314.20999999999998</v>
      </c>
      <c r="N81">
        <v>1283.19</v>
      </c>
      <c r="O81">
        <v>83340.62</v>
      </c>
      <c r="P81">
        <v>0.16</v>
      </c>
      <c r="Q81">
        <v>8.73</v>
      </c>
      <c r="R81">
        <v>351.57</v>
      </c>
      <c r="S81">
        <v>24.99</v>
      </c>
      <c r="T81">
        <v>148.12</v>
      </c>
      <c r="U81">
        <v>14.77</v>
      </c>
      <c r="V81">
        <v>8.4000000000000005E-2</v>
      </c>
      <c r="W81">
        <v>120.24</v>
      </c>
      <c r="X81">
        <v>12.75</v>
      </c>
      <c r="Y81">
        <v>32.01</v>
      </c>
      <c r="Z81">
        <v>4.5999999999999996</v>
      </c>
      <c r="AA81">
        <v>21.52</v>
      </c>
      <c r="AB81">
        <v>5.12</v>
      </c>
      <c r="AC81">
        <v>1.97</v>
      </c>
      <c r="AD81">
        <v>5.85</v>
      </c>
      <c r="AE81">
        <v>0.84</v>
      </c>
      <c r="AF81">
        <v>5.0999999999999996</v>
      </c>
      <c r="AG81">
        <v>0.91</v>
      </c>
      <c r="AH81">
        <v>2.36</v>
      </c>
      <c r="AI81">
        <v>0.34200000000000003</v>
      </c>
      <c r="AJ81">
        <v>2</v>
      </c>
      <c r="AK81">
        <v>0.252</v>
      </c>
      <c r="AL81">
        <v>3.71</v>
      </c>
      <c r="AM81">
        <v>0.88</v>
      </c>
      <c r="AN81">
        <v>2.04</v>
      </c>
      <c r="AO81">
        <v>0.98</v>
      </c>
      <c r="AP81">
        <v>0.55000000000000004</v>
      </c>
    </row>
    <row r="82" spans="1:42" x14ac:dyDescent="0.2">
      <c r="A82" t="s">
        <v>139</v>
      </c>
      <c r="B82">
        <v>5.49</v>
      </c>
      <c r="C82">
        <v>3.53</v>
      </c>
      <c r="D82">
        <v>18660.55</v>
      </c>
      <c r="E82">
        <v>46127.8</v>
      </c>
      <c r="F82">
        <v>72836.210000000006</v>
      </c>
      <c r="G82">
        <v>237350.97</v>
      </c>
      <c r="H82">
        <v>959.57</v>
      </c>
      <c r="I82">
        <v>3855.19</v>
      </c>
      <c r="J82">
        <v>77901.69</v>
      </c>
      <c r="K82">
        <v>32.119999999999997</v>
      </c>
      <c r="L82">
        <v>15658.33</v>
      </c>
      <c r="M82">
        <v>320.51</v>
      </c>
      <c r="N82">
        <v>1318.09</v>
      </c>
      <c r="O82">
        <v>86902.23</v>
      </c>
      <c r="P82">
        <v>0.24</v>
      </c>
      <c r="Q82">
        <v>9.0299999999999994</v>
      </c>
      <c r="R82">
        <v>371.1</v>
      </c>
      <c r="S82">
        <v>25.1</v>
      </c>
      <c r="T82">
        <v>154.41</v>
      </c>
      <c r="U82">
        <v>15.3</v>
      </c>
      <c r="V82">
        <v>0.106</v>
      </c>
      <c r="W82">
        <v>135.31</v>
      </c>
      <c r="X82">
        <v>14.25</v>
      </c>
      <c r="Y82">
        <v>33.57</v>
      </c>
      <c r="Z82">
        <v>4.57</v>
      </c>
      <c r="AA82">
        <v>21.58</v>
      </c>
      <c r="AB82">
        <v>5.77</v>
      </c>
      <c r="AC82">
        <v>2.09</v>
      </c>
      <c r="AD82">
        <v>6.29</v>
      </c>
      <c r="AE82">
        <v>0.9</v>
      </c>
      <c r="AF82">
        <v>5.09</v>
      </c>
      <c r="AG82">
        <v>0.99</v>
      </c>
      <c r="AH82">
        <v>2.69</v>
      </c>
      <c r="AI82">
        <v>0.32</v>
      </c>
      <c r="AJ82">
        <v>2.14</v>
      </c>
      <c r="AK82">
        <v>0.30099999999999999</v>
      </c>
      <c r="AL82">
        <v>4.25</v>
      </c>
      <c r="AM82">
        <v>1.04</v>
      </c>
      <c r="AN82">
        <v>2.17</v>
      </c>
      <c r="AO82">
        <v>0.99</v>
      </c>
      <c r="AP82">
        <v>0.6</v>
      </c>
    </row>
    <row r="83" spans="1:42" x14ac:dyDescent="0.2">
      <c r="A83" t="s">
        <v>140</v>
      </c>
      <c r="B83">
        <v>5.32</v>
      </c>
      <c r="C83">
        <v>3.69</v>
      </c>
      <c r="D83">
        <v>18344.55</v>
      </c>
      <c r="E83">
        <v>47033.02</v>
      </c>
      <c r="F83">
        <v>74728.289999999994</v>
      </c>
      <c r="G83">
        <v>234139.11</v>
      </c>
      <c r="H83">
        <v>987.47</v>
      </c>
      <c r="I83">
        <v>4088.98</v>
      </c>
      <c r="J83">
        <v>77901.7</v>
      </c>
      <c r="K83">
        <v>31</v>
      </c>
      <c r="L83">
        <v>15255.21</v>
      </c>
      <c r="M83">
        <v>314.08</v>
      </c>
      <c r="N83">
        <v>1325.92</v>
      </c>
      <c r="O83">
        <v>86456.66</v>
      </c>
      <c r="P83">
        <v>0.14000000000000001</v>
      </c>
      <c r="Q83">
        <v>9.19</v>
      </c>
      <c r="R83">
        <v>374.86</v>
      </c>
      <c r="S83">
        <v>25.76</v>
      </c>
      <c r="T83">
        <v>153.81</v>
      </c>
      <c r="U83">
        <v>15.07</v>
      </c>
      <c r="V83">
        <v>0.14000000000000001</v>
      </c>
      <c r="W83">
        <v>128.81</v>
      </c>
      <c r="X83">
        <v>13.81</v>
      </c>
      <c r="Y83">
        <v>33.85</v>
      </c>
      <c r="Z83">
        <v>4.71</v>
      </c>
      <c r="AA83">
        <v>21.04</v>
      </c>
      <c r="AB83">
        <v>5.95</v>
      </c>
      <c r="AC83">
        <v>1.91</v>
      </c>
      <c r="AD83">
        <v>6.31</v>
      </c>
      <c r="AE83">
        <v>0.96</v>
      </c>
      <c r="AF83">
        <v>5.54</v>
      </c>
      <c r="AG83">
        <v>0.94</v>
      </c>
      <c r="AH83">
        <v>2.84</v>
      </c>
      <c r="AI83">
        <v>0.34599999999999997</v>
      </c>
      <c r="AJ83">
        <v>2.09</v>
      </c>
      <c r="AK83">
        <v>0.27800000000000002</v>
      </c>
      <c r="AL83">
        <v>3.95</v>
      </c>
      <c r="AM83">
        <v>1</v>
      </c>
      <c r="AN83">
        <v>2.11</v>
      </c>
      <c r="AO83">
        <v>1.03</v>
      </c>
      <c r="AP83">
        <v>0.56000000000000005</v>
      </c>
    </row>
    <row r="84" spans="1:42" x14ac:dyDescent="0.2">
      <c r="A84" s="2" t="s">
        <v>141</v>
      </c>
      <c r="B84" s="2">
        <v>32.19</v>
      </c>
      <c r="C84" s="2">
        <v>40.590000000000003</v>
      </c>
      <c r="D84" s="2">
        <v>93191.73</v>
      </c>
      <c r="E84" s="2">
        <v>57.97</v>
      </c>
      <c r="F84" s="2">
        <v>10051.950000000001</v>
      </c>
      <c r="G84" s="2">
        <v>275897.90999999997</v>
      </c>
      <c r="H84" s="2">
        <v>38.71</v>
      </c>
      <c r="I84" s="2" t="s">
        <v>142</v>
      </c>
      <c r="J84" s="2">
        <v>85048.69</v>
      </c>
      <c r="K84" s="2">
        <v>41.56</v>
      </c>
      <c r="L84" s="2">
        <v>44.49</v>
      </c>
      <c r="M84" s="2">
        <v>35.92</v>
      </c>
      <c r="N84" s="2">
        <v>35.42</v>
      </c>
      <c r="O84" s="2">
        <v>124.92</v>
      </c>
      <c r="P84" s="2">
        <v>13.5</v>
      </c>
      <c r="Q84" s="2">
        <v>27.21</v>
      </c>
      <c r="R84" s="2">
        <v>76.61</v>
      </c>
      <c r="S84" s="2">
        <v>41.11</v>
      </c>
      <c r="T84" s="2">
        <v>40.520000000000003</v>
      </c>
      <c r="U84" s="2">
        <v>39.659999999999997</v>
      </c>
      <c r="V84" s="2">
        <v>36.299999999999997</v>
      </c>
      <c r="W84" s="2">
        <v>39.78</v>
      </c>
      <c r="X84" s="2">
        <v>37.950000000000003</v>
      </c>
      <c r="Y84" s="2">
        <v>37.58</v>
      </c>
      <c r="Z84" s="2">
        <v>37.869999999999997</v>
      </c>
      <c r="AA84" s="2">
        <v>37.9</v>
      </c>
      <c r="AB84" s="2">
        <v>39.97</v>
      </c>
      <c r="AC84" s="2">
        <v>37.090000000000003</v>
      </c>
      <c r="AD84" s="2">
        <v>41.07</v>
      </c>
      <c r="AE84" s="2">
        <v>39.880000000000003</v>
      </c>
      <c r="AF84" s="2">
        <v>39.35</v>
      </c>
      <c r="AG84" s="2">
        <v>42.13</v>
      </c>
      <c r="AH84" s="2">
        <v>41.7</v>
      </c>
      <c r="AI84" s="2">
        <v>41.11</v>
      </c>
      <c r="AJ84" s="2">
        <v>43.98</v>
      </c>
      <c r="AK84" s="2">
        <v>42.04</v>
      </c>
      <c r="AL84" s="2">
        <v>39.979999999999997</v>
      </c>
      <c r="AM84" s="2">
        <v>42.67</v>
      </c>
      <c r="AN84" s="2">
        <v>37.28</v>
      </c>
      <c r="AO84" s="2">
        <v>41.36</v>
      </c>
      <c r="AP84" s="2">
        <v>36.01</v>
      </c>
    </row>
    <row r="85" spans="1:42" x14ac:dyDescent="0.2">
      <c r="A85" s="2" t="s">
        <v>143</v>
      </c>
      <c r="B85" s="2">
        <v>31.72</v>
      </c>
      <c r="C85" s="2">
        <v>39.96</v>
      </c>
      <c r="D85" s="2">
        <v>91708.27</v>
      </c>
      <c r="E85" s="2">
        <v>58.19</v>
      </c>
      <c r="F85" s="2">
        <v>10354.5</v>
      </c>
      <c r="G85" s="2">
        <v>274690.59000000003</v>
      </c>
      <c r="H85" s="2">
        <v>36.79</v>
      </c>
      <c r="I85" s="2" t="s">
        <v>144</v>
      </c>
      <c r="J85" s="2">
        <v>85048.7</v>
      </c>
      <c r="K85" s="2">
        <v>42.7</v>
      </c>
      <c r="L85" s="2">
        <v>45.03</v>
      </c>
      <c r="M85" s="2">
        <v>35.65</v>
      </c>
      <c r="N85" s="2">
        <v>34.81</v>
      </c>
      <c r="O85" s="2">
        <v>134.02000000000001</v>
      </c>
      <c r="P85" s="2">
        <v>12.75</v>
      </c>
      <c r="Q85" s="2">
        <v>26.89</v>
      </c>
      <c r="R85" s="2">
        <v>77.59</v>
      </c>
      <c r="S85" s="2">
        <v>41.42</v>
      </c>
      <c r="T85" s="2">
        <v>41.42</v>
      </c>
      <c r="U85" s="2">
        <v>39.799999999999997</v>
      </c>
      <c r="V85" s="2">
        <v>36.479999999999997</v>
      </c>
      <c r="W85" s="2">
        <v>39.33</v>
      </c>
      <c r="X85" s="2">
        <v>37.79</v>
      </c>
      <c r="Y85" s="2">
        <v>37.92</v>
      </c>
      <c r="Z85" s="2">
        <v>38.44</v>
      </c>
      <c r="AA85" s="2">
        <v>36.6</v>
      </c>
      <c r="AB85" s="2">
        <v>38.65</v>
      </c>
      <c r="AC85" s="2">
        <v>36.04</v>
      </c>
      <c r="AD85" s="2">
        <v>41.02</v>
      </c>
      <c r="AE85" s="2">
        <v>40.520000000000003</v>
      </c>
      <c r="AF85" s="2">
        <v>39.340000000000003</v>
      </c>
      <c r="AG85" s="2">
        <v>42.21</v>
      </c>
      <c r="AH85" s="2">
        <v>41.09</v>
      </c>
      <c r="AI85" s="2">
        <v>41.04</v>
      </c>
      <c r="AJ85" s="2">
        <v>44.3</v>
      </c>
      <c r="AK85" s="2">
        <v>41.69</v>
      </c>
      <c r="AL85" s="2">
        <v>40.31</v>
      </c>
      <c r="AM85" s="2">
        <v>42.16</v>
      </c>
      <c r="AN85" s="2">
        <v>38.479999999999997</v>
      </c>
      <c r="AO85" s="2">
        <v>41.74</v>
      </c>
      <c r="AP85" s="2">
        <v>35.97</v>
      </c>
    </row>
    <row r="86" spans="1:42" x14ac:dyDescent="0.2">
      <c r="A86" s="2" t="s">
        <v>145</v>
      </c>
      <c r="B86" s="2">
        <v>33.01</v>
      </c>
      <c r="C86" s="2">
        <v>42.84</v>
      </c>
      <c r="D86" s="2">
        <v>98988.63</v>
      </c>
      <c r="E86" s="2">
        <v>61.54</v>
      </c>
      <c r="F86" s="2">
        <v>10939.4</v>
      </c>
      <c r="G86" s="2">
        <v>297299.65999999997</v>
      </c>
      <c r="H86" s="2">
        <v>37.64</v>
      </c>
      <c r="I86" s="2" t="s">
        <v>146</v>
      </c>
      <c r="J86" s="2">
        <v>85048.7</v>
      </c>
      <c r="K86" s="2">
        <v>42.03</v>
      </c>
      <c r="L86" s="2">
        <v>45.38</v>
      </c>
      <c r="M86" s="2">
        <v>35.76</v>
      </c>
      <c r="N86" s="2">
        <v>36.6</v>
      </c>
      <c r="O86" s="2">
        <v>145.43</v>
      </c>
      <c r="P86" s="2">
        <v>14</v>
      </c>
      <c r="Q86" s="2">
        <v>28.76</v>
      </c>
      <c r="R86" s="2">
        <v>82.36</v>
      </c>
      <c r="S86" s="2">
        <v>42.18</v>
      </c>
      <c r="T86" s="2">
        <v>40.96</v>
      </c>
      <c r="U86" s="2">
        <v>39.46</v>
      </c>
      <c r="V86" s="2">
        <v>36.42</v>
      </c>
      <c r="W86" s="2">
        <v>41.14</v>
      </c>
      <c r="X86" s="2">
        <v>40.119999999999997</v>
      </c>
      <c r="Y86" s="2">
        <v>40.090000000000003</v>
      </c>
      <c r="Z86" s="2">
        <v>39.799999999999997</v>
      </c>
      <c r="AA86" s="2">
        <v>36.090000000000003</v>
      </c>
      <c r="AB86" s="2">
        <v>39.49</v>
      </c>
      <c r="AC86" s="2">
        <v>38.44</v>
      </c>
      <c r="AD86" s="2">
        <v>43.4</v>
      </c>
      <c r="AE86" s="2">
        <v>41.27</v>
      </c>
      <c r="AF86" s="2">
        <v>38.29</v>
      </c>
      <c r="AG86" s="2">
        <v>43.17</v>
      </c>
      <c r="AH86" s="2">
        <v>43.34</v>
      </c>
      <c r="AI86" s="2">
        <v>43.44</v>
      </c>
      <c r="AJ86" s="2">
        <v>43.93</v>
      </c>
      <c r="AK86" s="2">
        <v>41.32</v>
      </c>
      <c r="AL86" s="2">
        <v>40.96</v>
      </c>
      <c r="AM86" s="2">
        <v>45.11</v>
      </c>
      <c r="AN86" s="2">
        <v>39.659999999999997</v>
      </c>
      <c r="AO86" s="2">
        <v>41.44</v>
      </c>
      <c r="AP86" s="2">
        <v>36.340000000000003</v>
      </c>
    </row>
  </sheetData>
  <autoFilter ref="A1:AP86" xr:uid="{E786F5C4-7FF7-D84B-B8CD-47C6B2AEF8D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EABB1-BF9C-6541-805F-EA32E642D56F}">
  <dimension ref="A1:AQ79"/>
  <sheetViews>
    <sheetView workbookViewId="0">
      <selection activeCell="D13" sqref="D13"/>
    </sheetView>
  </sheetViews>
  <sheetFormatPr baseColWidth="10" defaultRowHeight="16" x14ac:dyDescent="0.2"/>
  <sheetData>
    <row r="1" spans="1:4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x14ac:dyDescent="0.2">
      <c r="A2">
        <v>1</v>
      </c>
      <c r="B2" t="s">
        <v>48</v>
      </c>
      <c r="C2">
        <v>5.21</v>
      </c>
      <c r="D2">
        <v>10.95</v>
      </c>
      <c r="E2">
        <v>17091.78</v>
      </c>
      <c r="F2">
        <v>43329.79</v>
      </c>
      <c r="G2">
        <v>68000.88</v>
      </c>
      <c r="H2">
        <v>227196.58</v>
      </c>
      <c r="I2">
        <v>977.73</v>
      </c>
      <c r="J2">
        <v>4196.2</v>
      </c>
      <c r="K2">
        <v>77901.7</v>
      </c>
      <c r="L2">
        <v>31.16</v>
      </c>
      <c r="M2">
        <v>15566.6</v>
      </c>
      <c r="N2">
        <v>312.43</v>
      </c>
      <c r="O2">
        <v>1303.1099999999999</v>
      </c>
      <c r="P2">
        <v>81991.839999999997</v>
      </c>
      <c r="Q2">
        <v>0.16500000000000001</v>
      </c>
      <c r="R2">
        <v>8.56</v>
      </c>
      <c r="S2">
        <v>351.98</v>
      </c>
      <c r="T2">
        <v>24.42</v>
      </c>
      <c r="U2">
        <v>158.88999999999999</v>
      </c>
      <c r="V2">
        <v>15.42</v>
      </c>
      <c r="W2">
        <v>0.122</v>
      </c>
      <c r="X2">
        <v>122.36</v>
      </c>
      <c r="Y2">
        <v>12.99</v>
      </c>
      <c r="Z2">
        <v>33.229999999999997</v>
      </c>
      <c r="AA2">
        <v>4.41</v>
      </c>
      <c r="AB2">
        <v>21.36</v>
      </c>
      <c r="AC2">
        <v>5.49</v>
      </c>
      <c r="AD2">
        <v>1.88</v>
      </c>
      <c r="AE2">
        <v>5.94</v>
      </c>
      <c r="AF2">
        <v>0.84399999999999997</v>
      </c>
      <c r="AG2">
        <v>5.15</v>
      </c>
      <c r="AH2">
        <v>0.94</v>
      </c>
      <c r="AI2">
        <v>2.41</v>
      </c>
      <c r="AJ2">
        <v>0.28799999999999998</v>
      </c>
      <c r="AK2">
        <v>2.1</v>
      </c>
      <c r="AL2">
        <v>0.26100000000000001</v>
      </c>
      <c r="AM2">
        <v>3.72</v>
      </c>
      <c r="AN2">
        <v>0.93400000000000005</v>
      </c>
      <c r="AO2">
        <v>2.06</v>
      </c>
      <c r="AP2">
        <v>0.91300000000000003</v>
      </c>
      <c r="AQ2">
        <v>0.63600000000000001</v>
      </c>
    </row>
    <row r="3" spans="1:43" x14ac:dyDescent="0.2">
      <c r="A3">
        <v>2</v>
      </c>
      <c r="B3" t="s">
        <v>49</v>
      </c>
      <c r="C3">
        <v>5.22</v>
      </c>
      <c r="D3">
        <v>2.48</v>
      </c>
      <c r="E3">
        <v>17245.47</v>
      </c>
      <c r="F3">
        <v>44940.31</v>
      </c>
      <c r="G3">
        <v>69620.05</v>
      </c>
      <c r="H3">
        <v>233055.86</v>
      </c>
      <c r="I3">
        <v>919.53</v>
      </c>
      <c r="J3">
        <v>4019.08</v>
      </c>
      <c r="K3">
        <v>77901.7</v>
      </c>
      <c r="L3">
        <v>31.98</v>
      </c>
      <c r="M3">
        <v>15304.21</v>
      </c>
      <c r="N3">
        <v>310.73</v>
      </c>
      <c r="O3">
        <v>1286.29</v>
      </c>
      <c r="P3">
        <v>82919.679999999993</v>
      </c>
      <c r="Q3">
        <v>0.107</v>
      </c>
      <c r="R3">
        <v>8.89</v>
      </c>
      <c r="S3">
        <v>353.77</v>
      </c>
      <c r="T3">
        <v>24.97</v>
      </c>
      <c r="U3">
        <v>147.91</v>
      </c>
      <c r="V3">
        <v>14.71</v>
      </c>
      <c r="W3">
        <v>0.11</v>
      </c>
      <c r="X3">
        <v>123.03</v>
      </c>
      <c r="Y3">
        <v>13.2</v>
      </c>
      <c r="Z3">
        <v>31.48</v>
      </c>
      <c r="AA3">
        <v>4.63</v>
      </c>
      <c r="AB3">
        <v>21.51</v>
      </c>
      <c r="AC3">
        <v>5.69</v>
      </c>
      <c r="AD3">
        <v>1.83</v>
      </c>
      <c r="AE3">
        <v>5.69</v>
      </c>
      <c r="AF3">
        <v>0.88900000000000001</v>
      </c>
      <c r="AG3">
        <v>5.19</v>
      </c>
      <c r="AH3">
        <v>0.96</v>
      </c>
      <c r="AI3">
        <v>2.4900000000000002</v>
      </c>
      <c r="AJ3">
        <v>0.33</v>
      </c>
      <c r="AK3">
        <v>2.08</v>
      </c>
      <c r="AL3">
        <v>0.28799999999999998</v>
      </c>
      <c r="AM3">
        <v>3.69</v>
      </c>
      <c r="AN3">
        <v>0.93600000000000005</v>
      </c>
      <c r="AO3">
        <v>2.08</v>
      </c>
      <c r="AP3">
        <v>0.97699999999999998</v>
      </c>
      <c r="AQ3">
        <v>0.55800000000000005</v>
      </c>
    </row>
    <row r="4" spans="1:43" x14ac:dyDescent="0.2">
      <c r="A4">
        <v>3</v>
      </c>
      <c r="B4" t="s">
        <v>50</v>
      </c>
      <c r="C4">
        <v>5.23</v>
      </c>
      <c r="D4">
        <v>2.0699999999999998</v>
      </c>
      <c r="E4">
        <v>18130.38</v>
      </c>
      <c r="F4">
        <v>46158.29</v>
      </c>
      <c r="G4">
        <v>72111.45</v>
      </c>
      <c r="H4">
        <v>241409.72</v>
      </c>
      <c r="I4">
        <v>956.5</v>
      </c>
      <c r="J4">
        <v>4085.24</v>
      </c>
      <c r="K4">
        <v>77901.7</v>
      </c>
      <c r="L4">
        <v>31.86</v>
      </c>
      <c r="M4">
        <v>15292.14</v>
      </c>
      <c r="N4">
        <v>314.17</v>
      </c>
      <c r="O4">
        <v>1316.63</v>
      </c>
      <c r="P4">
        <v>85107.55</v>
      </c>
      <c r="Q4">
        <v>0.19900000000000001</v>
      </c>
      <c r="R4">
        <v>9.14</v>
      </c>
      <c r="S4">
        <v>362.8</v>
      </c>
      <c r="T4">
        <v>25.12</v>
      </c>
      <c r="U4">
        <v>149.61000000000001</v>
      </c>
      <c r="V4">
        <v>15.33</v>
      </c>
      <c r="W4">
        <v>0.11</v>
      </c>
      <c r="X4">
        <v>123.64</v>
      </c>
      <c r="Y4">
        <v>12.47</v>
      </c>
      <c r="Z4">
        <v>32.159999999999997</v>
      </c>
      <c r="AA4">
        <v>4.63</v>
      </c>
      <c r="AB4">
        <v>21.58</v>
      </c>
      <c r="AC4">
        <v>5.58</v>
      </c>
      <c r="AD4">
        <v>1.95</v>
      </c>
      <c r="AE4">
        <v>6.14</v>
      </c>
      <c r="AF4">
        <v>0.90700000000000003</v>
      </c>
      <c r="AG4">
        <v>4.97</v>
      </c>
      <c r="AH4">
        <v>0.85899999999999999</v>
      </c>
      <c r="AI4">
        <v>2.57</v>
      </c>
      <c r="AJ4">
        <v>0.34100000000000003</v>
      </c>
      <c r="AK4">
        <v>2.04</v>
      </c>
      <c r="AL4">
        <v>0.29499999999999998</v>
      </c>
      <c r="AM4">
        <v>3.87</v>
      </c>
      <c r="AN4">
        <v>0.97</v>
      </c>
      <c r="AO4">
        <v>2.11</v>
      </c>
      <c r="AP4">
        <v>1.05</v>
      </c>
      <c r="AQ4">
        <v>0.57499999999999996</v>
      </c>
    </row>
    <row r="5" spans="1:43" x14ac:dyDescent="0.2">
      <c r="A5">
        <v>4</v>
      </c>
      <c r="B5" t="s">
        <v>51</v>
      </c>
      <c r="C5">
        <v>2.02</v>
      </c>
      <c r="D5">
        <v>1.67</v>
      </c>
      <c r="E5">
        <v>872.46</v>
      </c>
      <c r="F5">
        <v>208008.56</v>
      </c>
      <c r="G5">
        <v>12476.81</v>
      </c>
      <c r="H5">
        <v>241693.27</v>
      </c>
      <c r="I5">
        <v>18.41</v>
      </c>
      <c r="J5" t="s">
        <v>154</v>
      </c>
      <c r="K5">
        <v>15008.72</v>
      </c>
      <c r="L5">
        <v>16.53</v>
      </c>
      <c r="M5">
        <v>367.15</v>
      </c>
      <c r="N5">
        <v>56</v>
      </c>
      <c r="O5">
        <v>835.55</v>
      </c>
      <c r="P5">
        <v>56222.92</v>
      </c>
      <c r="Q5">
        <v>0.104</v>
      </c>
      <c r="R5">
        <v>0.26200000000000001</v>
      </c>
      <c r="S5">
        <v>0.66900000000000004</v>
      </c>
      <c r="T5">
        <v>2.21</v>
      </c>
      <c r="U5">
        <v>20.02</v>
      </c>
      <c r="V5">
        <v>2.1999999999999999E-2</v>
      </c>
      <c r="W5">
        <v>0.84</v>
      </c>
      <c r="X5">
        <v>0.46300000000000002</v>
      </c>
      <c r="Y5">
        <v>0.215</v>
      </c>
      <c r="Z5">
        <v>0.41399999999999998</v>
      </c>
      <c r="AA5">
        <v>7.8399999999999997E-2</v>
      </c>
      <c r="AB5">
        <v>0.41199999999999998</v>
      </c>
      <c r="AC5">
        <v>0.107</v>
      </c>
      <c r="AD5">
        <v>4.36E-2</v>
      </c>
      <c r="AE5">
        <v>0.28199999999999997</v>
      </c>
      <c r="AF5">
        <v>4.3799999999999999E-2</v>
      </c>
      <c r="AG5">
        <v>0.35899999999999999</v>
      </c>
      <c r="AH5">
        <v>8.4000000000000005E-2</v>
      </c>
      <c r="AI5">
        <v>0.216</v>
      </c>
      <c r="AJ5">
        <v>4.2500000000000003E-2</v>
      </c>
      <c r="AK5">
        <v>0.30099999999999999</v>
      </c>
      <c r="AL5">
        <v>5.6099999999999997E-2</v>
      </c>
      <c r="AM5">
        <v>0.59</v>
      </c>
      <c r="AN5">
        <v>4.5999999999999999E-3</v>
      </c>
      <c r="AO5">
        <v>0.47499999999999998</v>
      </c>
      <c r="AP5">
        <v>5.6000000000000001E-2</v>
      </c>
      <c r="AQ5">
        <v>8.5000000000000006E-2</v>
      </c>
    </row>
    <row r="6" spans="1:43" x14ac:dyDescent="0.2">
      <c r="A6">
        <v>5</v>
      </c>
      <c r="B6" t="s">
        <v>53</v>
      </c>
      <c r="C6">
        <v>1.72</v>
      </c>
      <c r="D6">
        <v>1.76</v>
      </c>
      <c r="E6">
        <v>868.99</v>
      </c>
      <c r="F6">
        <v>208148.02</v>
      </c>
      <c r="G6">
        <v>12030.06</v>
      </c>
      <c r="H6">
        <v>241599.27</v>
      </c>
      <c r="I6">
        <v>17.809999999999999</v>
      </c>
      <c r="J6" t="s">
        <v>154</v>
      </c>
      <c r="K6">
        <v>15008.72</v>
      </c>
      <c r="L6">
        <v>16.46</v>
      </c>
      <c r="M6">
        <v>348.62</v>
      </c>
      <c r="N6">
        <v>55.91</v>
      </c>
      <c r="O6">
        <v>843.48</v>
      </c>
      <c r="P6">
        <v>56710.61</v>
      </c>
      <c r="Q6">
        <v>7.2999999999999995E-2</v>
      </c>
      <c r="R6">
        <v>0.30399999999999999</v>
      </c>
      <c r="S6">
        <v>0.65</v>
      </c>
      <c r="T6">
        <v>2.3199999999999998</v>
      </c>
      <c r="U6">
        <v>19.52</v>
      </c>
      <c r="V6">
        <v>6.0000000000000001E-3</v>
      </c>
      <c r="W6">
        <v>0.9</v>
      </c>
      <c r="X6">
        <v>0.44</v>
      </c>
      <c r="Y6">
        <v>0.17699999999999999</v>
      </c>
      <c r="Z6">
        <v>0.443</v>
      </c>
      <c r="AA6">
        <v>7.3400000000000007E-2</v>
      </c>
      <c r="AB6">
        <v>0.38900000000000001</v>
      </c>
      <c r="AC6">
        <v>0.151</v>
      </c>
      <c r="AD6">
        <v>5.2600000000000001E-2</v>
      </c>
      <c r="AE6">
        <v>0.28000000000000003</v>
      </c>
      <c r="AF6">
        <v>4.53E-2</v>
      </c>
      <c r="AG6">
        <v>0.38700000000000001</v>
      </c>
      <c r="AH6">
        <v>9.0999999999999998E-2</v>
      </c>
      <c r="AI6">
        <v>0.25800000000000001</v>
      </c>
      <c r="AJ6">
        <v>4.65E-2</v>
      </c>
      <c r="AK6">
        <v>0.318</v>
      </c>
      <c r="AL6">
        <v>5.4800000000000001E-2</v>
      </c>
      <c r="AM6">
        <v>0.54300000000000004</v>
      </c>
      <c r="AN6">
        <v>2.3999999999999998E-3</v>
      </c>
      <c r="AO6">
        <v>0.47899999999999998</v>
      </c>
      <c r="AP6">
        <v>5.45E-2</v>
      </c>
      <c r="AQ6">
        <v>7.1999999999999995E-2</v>
      </c>
    </row>
    <row r="7" spans="1:43" x14ac:dyDescent="0.2">
      <c r="A7">
        <v>6</v>
      </c>
      <c r="B7" t="s">
        <v>58</v>
      </c>
      <c r="C7">
        <v>8.8699999999999992</v>
      </c>
      <c r="D7">
        <v>11.71</v>
      </c>
      <c r="E7">
        <v>6672.55</v>
      </c>
      <c r="F7">
        <v>142794.01999999999</v>
      </c>
      <c r="G7">
        <v>57438.87</v>
      </c>
      <c r="H7">
        <v>218643.95</v>
      </c>
      <c r="I7">
        <v>118.34</v>
      </c>
      <c r="J7">
        <v>189.71</v>
      </c>
      <c r="K7">
        <v>60392.23</v>
      </c>
      <c r="L7">
        <v>35.590000000000003</v>
      </c>
      <c r="M7">
        <v>1785.51</v>
      </c>
      <c r="N7">
        <v>233.08</v>
      </c>
      <c r="O7">
        <v>1251.49</v>
      </c>
      <c r="P7">
        <v>86376.49</v>
      </c>
      <c r="Q7">
        <v>0.14099999999999999</v>
      </c>
      <c r="R7">
        <v>2.31</v>
      </c>
      <c r="S7">
        <v>15.82</v>
      </c>
      <c r="T7">
        <v>13.19</v>
      </c>
      <c r="U7">
        <v>9.58</v>
      </c>
      <c r="V7">
        <v>6.9000000000000006E-2</v>
      </c>
      <c r="W7">
        <v>8.2100000000000009</v>
      </c>
      <c r="X7">
        <v>0.86799999999999999</v>
      </c>
      <c r="Y7">
        <v>9.2999999999999999E-2</v>
      </c>
      <c r="Z7">
        <v>0.34399999999999997</v>
      </c>
      <c r="AA7">
        <v>8.7999999999999995E-2</v>
      </c>
      <c r="AB7">
        <v>0.74299999999999999</v>
      </c>
      <c r="AC7">
        <v>0.48599999999999999</v>
      </c>
      <c r="AD7">
        <v>0.26200000000000001</v>
      </c>
      <c r="AE7">
        <v>1.1399999999999999</v>
      </c>
      <c r="AF7">
        <v>0.215</v>
      </c>
      <c r="AG7">
        <v>2.08</v>
      </c>
      <c r="AH7">
        <v>0.48899999999999999</v>
      </c>
      <c r="AI7">
        <v>1.6</v>
      </c>
      <c r="AJ7">
        <v>0.22900000000000001</v>
      </c>
      <c r="AK7">
        <v>1.42</v>
      </c>
      <c r="AL7">
        <v>0.23200000000000001</v>
      </c>
      <c r="AM7">
        <v>0.34799999999999998</v>
      </c>
      <c r="AN7">
        <v>3.6200000000000003E-2</v>
      </c>
      <c r="AO7">
        <v>22.24</v>
      </c>
      <c r="AP7">
        <v>7.4999999999999997E-3</v>
      </c>
      <c r="AQ7">
        <v>5.0999999999999997E-2</v>
      </c>
    </row>
    <row r="8" spans="1:43" x14ac:dyDescent="0.2">
      <c r="A8">
        <v>7</v>
      </c>
      <c r="B8" t="s">
        <v>59</v>
      </c>
      <c r="C8">
        <v>8.99</v>
      </c>
      <c r="D8">
        <v>11.28</v>
      </c>
      <c r="E8">
        <v>6319.15</v>
      </c>
      <c r="F8">
        <v>138234.5</v>
      </c>
      <c r="G8">
        <v>56407.360000000001</v>
      </c>
      <c r="H8">
        <v>212192.69</v>
      </c>
      <c r="I8">
        <v>111.61</v>
      </c>
      <c r="J8">
        <v>165.22</v>
      </c>
      <c r="K8">
        <v>60392.23</v>
      </c>
      <c r="L8">
        <v>34.880000000000003</v>
      </c>
      <c r="M8">
        <v>1743.55</v>
      </c>
      <c r="N8">
        <v>220.64</v>
      </c>
      <c r="O8">
        <v>1203.94</v>
      </c>
      <c r="P8">
        <v>83189.789999999994</v>
      </c>
      <c r="Q8">
        <v>0.107</v>
      </c>
      <c r="R8">
        <v>2.15</v>
      </c>
      <c r="S8">
        <v>15.1</v>
      </c>
      <c r="T8">
        <v>13.12</v>
      </c>
      <c r="U8">
        <v>9.84</v>
      </c>
      <c r="V8">
        <v>2.63E-2</v>
      </c>
      <c r="W8">
        <v>8.0399999999999991</v>
      </c>
      <c r="X8">
        <v>0.68300000000000005</v>
      </c>
      <c r="Y8">
        <v>0.08</v>
      </c>
      <c r="Z8">
        <v>0.311</v>
      </c>
      <c r="AA8">
        <v>8.4699999999999998E-2</v>
      </c>
      <c r="AB8">
        <v>0.60899999999999999</v>
      </c>
      <c r="AC8">
        <v>0.51100000000000001</v>
      </c>
      <c r="AD8">
        <v>0.27800000000000002</v>
      </c>
      <c r="AE8">
        <v>1.27</v>
      </c>
      <c r="AF8">
        <v>0.26400000000000001</v>
      </c>
      <c r="AG8">
        <v>2.0299999999999998</v>
      </c>
      <c r="AH8">
        <v>0.504</v>
      </c>
      <c r="AI8">
        <v>1.55</v>
      </c>
      <c r="AJ8">
        <v>0.222</v>
      </c>
      <c r="AK8">
        <v>1.54</v>
      </c>
      <c r="AL8">
        <v>0.22900000000000001</v>
      </c>
      <c r="AM8">
        <v>0.32300000000000001</v>
      </c>
      <c r="AN8">
        <v>2.5899999999999999E-2</v>
      </c>
      <c r="AO8">
        <v>21.39</v>
      </c>
      <c r="AP8">
        <v>1.8E-3</v>
      </c>
      <c r="AQ8">
        <v>6.6000000000000003E-2</v>
      </c>
    </row>
    <row r="9" spans="1:43" x14ac:dyDescent="0.2">
      <c r="A9">
        <v>8</v>
      </c>
      <c r="B9" t="s">
        <v>61</v>
      </c>
      <c r="C9">
        <v>10.119999999999999</v>
      </c>
      <c r="D9">
        <v>14.42</v>
      </c>
      <c r="E9">
        <v>4600.63</v>
      </c>
      <c r="F9">
        <v>147788.48000000001</v>
      </c>
      <c r="G9">
        <v>50541.61</v>
      </c>
      <c r="H9">
        <v>213893.53</v>
      </c>
      <c r="I9">
        <v>86.35</v>
      </c>
      <c r="J9">
        <v>246.9</v>
      </c>
      <c r="K9">
        <v>44597.34</v>
      </c>
      <c r="L9">
        <v>30.37</v>
      </c>
      <c r="M9">
        <v>1671.98</v>
      </c>
      <c r="N9">
        <v>183.08</v>
      </c>
      <c r="O9">
        <v>1441.6</v>
      </c>
      <c r="P9">
        <v>84292.74</v>
      </c>
      <c r="Q9">
        <v>0.126</v>
      </c>
      <c r="R9">
        <v>0.33800000000000002</v>
      </c>
      <c r="S9">
        <v>29.01</v>
      </c>
      <c r="T9">
        <v>11.38</v>
      </c>
      <c r="U9">
        <v>9.33</v>
      </c>
      <c r="V9">
        <v>0.115</v>
      </c>
      <c r="W9">
        <v>0.20799999999999999</v>
      </c>
      <c r="X9">
        <v>0.95599999999999996</v>
      </c>
      <c r="Y9">
        <v>0.104</v>
      </c>
      <c r="Z9">
        <v>0.40200000000000002</v>
      </c>
      <c r="AA9">
        <v>9.4E-2</v>
      </c>
      <c r="AB9">
        <v>0.65900000000000003</v>
      </c>
      <c r="AC9">
        <v>0.44400000000000001</v>
      </c>
      <c r="AD9">
        <v>0.27900000000000003</v>
      </c>
      <c r="AE9">
        <v>1.34</v>
      </c>
      <c r="AF9">
        <v>0.224</v>
      </c>
      <c r="AG9">
        <v>1.86</v>
      </c>
      <c r="AH9">
        <v>0.40699999999999997</v>
      </c>
      <c r="AI9">
        <v>1.38</v>
      </c>
      <c r="AJ9">
        <v>0.19800000000000001</v>
      </c>
      <c r="AK9">
        <v>1.21</v>
      </c>
      <c r="AL9">
        <v>0.18099999999999999</v>
      </c>
      <c r="AM9">
        <v>0.34499999999999997</v>
      </c>
      <c r="AN9">
        <v>1.78E-2</v>
      </c>
      <c r="AO9">
        <v>0.308</v>
      </c>
      <c r="AP9">
        <v>-4.4000000000000003E-3</v>
      </c>
      <c r="AQ9">
        <v>1.09E-2</v>
      </c>
    </row>
    <row r="10" spans="1:43" x14ac:dyDescent="0.2">
      <c r="A10">
        <v>9</v>
      </c>
      <c r="B10" t="s">
        <v>63</v>
      </c>
      <c r="C10">
        <v>11.13</v>
      </c>
      <c r="D10">
        <v>16.559999999999999</v>
      </c>
      <c r="E10">
        <v>5316.96</v>
      </c>
      <c r="F10">
        <v>203682.8</v>
      </c>
      <c r="G10">
        <v>54948.23</v>
      </c>
      <c r="H10">
        <v>247541.09</v>
      </c>
      <c r="I10">
        <v>94.16</v>
      </c>
      <c r="J10">
        <v>243.42</v>
      </c>
      <c r="K10">
        <v>44597.34</v>
      </c>
      <c r="L10">
        <v>32.090000000000003</v>
      </c>
      <c r="M10">
        <v>1751.93</v>
      </c>
      <c r="N10">
        <v>197.64</v>
      </c>
      <c r="O10">
        <v>1506.44</v>
      </c>
      <c r="P10">
        <v>85512.35</v>
      </c>
      <c r="Q10">
        <v>0.21199999999999999</v>
      </c>
      <c r="R10">
        <v>0.48</v>
      </c>
      <c r="S10">
        <v>31.9</v>
      </c>
      <c r="T10">
        <v>11.45</v>
      </c>
      <c r="U10">
        <v>9.7899999999999991</v>
      </c>
      <c r="V10">
        <v>0.112</v>
      </c>
      <c r="W10">
        <v>0.24099999999999999</v>
      </c>
      <c r="X10">
        <v>1.2</v>
      </c>
      <c r="Y10">
        <v>0.106</v>
      </c>
      <c r="Z10">
        <v>0.439</v>
      </c>
      <c r="AA10">
        <v>8.2000000000000003E-2</v>
      </c>
      <c r="AB10">
        <v>0.69599999999999995</v>
      </c>
      <c r="AC10">
        <v>0.50900000000000001</v>
      </c>
      <c r="AD10">
        <v>0.245</v>
      </c>
      <c r="AE10">
        <v>1.1100000000000001</v>
      </c>
      <c r="AF10">
        <v>0.24299999999999999</v>
      </c>
      <c r="AG10">
        <v>1.9</v>
      </c>
      <c r="AH10">
        <v>0.43099999999999999</v>
      </c>
      <c r="AI10">
        <v>1.33</v>
      </c>
      <c r="AJ10">
        <v>0.188</v>
      </c>
      <c r="AK10">
        <v>1.38</v>
      </c>
      <c r="AL10">
        <v>0.20200000000000001</v>
      </c>
      <c r="AM10">
        <v>0.35899999999999999</v>
      </c>
      <c r="AN10">
        <v>1.7600000000000001E-2</v>
      </c>
      <c r="AO10">
        <v>0.307</v>
      </c>
      <c r="AP10">
        <v>3.8999999999999998E-3</v>
      </c>
      <c r="AQ10">
        <v>6.0000000000000001E-3</v>
      </c>
    </row>
    <row r="11" spans="1:43" x14ac:dyDescent="0.2">
      <c r="A11">
        <v>10</v>
      </c>
      <c r="B11" t="s">
        <v>66</v>
      </c>
      <c r="C11">
        <v>7.61</v>
      </c>
      <c r="D11">
        <v>2.89</v>
      </c>
      <c r="E11">
        <v>22549.58</v>
      </c>
      <c r="F11">
        <v>20741.099999999999</v>
      </c>
      <c r="G11">
        <v>71778.97</v>
      </c>
      <c r="H11">
        <v>238369.95</v>
      </c>
      <c r="I11">
        <v>1266</v>
      </c>
      <c r="J11">
        <v>14150.35</v>
      </c>
      <c r="K11">
        <v>50900</v>
      </c>
      <c r="L11">
        <v>34.51</v>
      </c>
      <c r="M11">
        <v>13547.25</v>
      </c>
      <c r="N11">
        <v>401.47</v>
      </c>
      <c r="O11">
        <v>1453.95</v>
      </c>
      <c r="P11">
        <v>87000.51</v>
      </c>
      <c r="Q11">
        <v>0.48</v>
      </c>
      <c r="R11">
        <v>46.32</v>
      </c>
      <c r="S11">
        <v>336.82</v>
      </c>
      <c r="T11">
        <v>36.28</v>
      </c>
      <c r="U11">
        <v>183.53</v>
      </c>
      <c r="V11">
        <v>12.04</v>
      </c>
      <c r="W11">
        <v>1.18</v>
      </c>
      <c r="X11">
        <v>672.95</v>
      </c>
      <c r="Y11">
        <v>23.96</v>
      </c>
      <c r="Z11">
        <v>51.39</v>
      </c>
      <c r="AA11">
        <v>6.45</v>
      </c>
      <c r="AB11">
        <v>28.41</v>
      </c>
      <c r="AC11">
        <v>6.08</v>
      </c>
      <c r="AD11">
        <v>1.91</v>
      </c>
      <c r="AE11">
        <v>6.75</v>
      </c>
      <c r="AF11">
        <v>1.008</v>
      </c>
      <c r="AG11">
        <v>6.58</v>
      </c>
      <c r="AH11">
        <v>1.36</v>
      </c>
      <c r="AI11">
        <v>3.72</v>
      </c>
      <c r="AJ11">
        <v>0.53500000000000003</v>
      </c>
      <c r="AK11">
        <v>3.53</v>
      </c>
      <c r="AL11">
        <v>0.498</v>
      </c>
      <c r="AM11">
        <v>5</v>
      </c>
      <c r="AN11">
        <v>0.78800000000000003</v>
      </c>
      <c r="AO11">
        <v>10.52</v>
      </c>
      <c r="AP11">
        <v>6.08</v>
      </c>
      <c r="AQ11">
        <v>1.6</v>
      </c>
    </row>
    <row r="12" spans="1:43" x14ac:dyDescent="0.2">
      <c r="A12">
        <v>11</v>
      </c>
      <c r="B12" t="s">
        <v>67</v>
      </c>
      <c r="C12">
        <v>7.41</v>
      </c>
      <c r="D12">
        <v>3.94</v>
      </c>
      <c r="E12">
        <v>22769.95</v>
      </c>
      <c r="F12">
        <v>20394.13</v>
      </c>
      <c r="G12">
        <v>70870.83</v>
      </c>
      <c r="H12">
        <v>243901.92</v>
      </c>
      <c r="I12">
        <v>1367.88</v>
      </c>
      <c r="J12">
        <v>14391.35</v>
      </c>
      <c r="K12">
        <v>50900</v>
      </c>
      <c r="L12">
        <v>35.090000000000003</v>
      </c>
      <c r="M12">
        <v>13583.31</v>
      </c>
      <c r="N12">
        <v>404.07</v>
      </c>
      <c r="O12">
        <v>1430.87</v>
      </c>
      <c r="P12">
        <v>87447.33</v>
      </c>
      <c r="Q12">
        <v>0.53</v>
      </c>
      <c r="R12">
        <v>46.08</v>
      </c>
      <c r="S12">
        <v>334.46</v>
      </c>
      <c r="T12">
        <v>35.840000000000003</v>
      </c>
      <c r="U12">
        <v>182.19</v>
      </c>
      <c r="V12">
        <v>12.5</v>
      </c>
      <c r="W12">
        <v>1.0900000000000001</v>
      </c>
      <c r="X12">
        <v>660.47</v>
      </c>
      <c r="Y12">
        <v>23.92</v>
      </c>
      <c r="Z12">
        <v>50.78</v>
      </c>
      <c r="AA12">
        <v>6.46</v>
      </c>
      <c r="AB12">
        <v>28.55</v>
      </c>
      <c r="AC12">
        <v>6.25</v>
      </c>
      <c r="AD12">
        <v>1.94</v>
      </c>
      <c r="AE12">
        <v>6.73</v>
      </c>
      <c r="AF12">
        <v>1.0349999999999999</v>
      </c>
      <c r="AG12">
        <v>6.31</v>
      </c>
      <c r="AH12">
        <v>1.28</v>
      </c>
      <c r="AI12">
        <v>3.68</v>
      </c>
      <c r="AJ12">
        <v>0.54</v>
      </c>
      <c r="AK12">
        <v>3.52</v>
      </c>
      <c r="AL12">
        <v>0.53900000000000003</v>
      </c>
      <c r="AM12">
        <v>4.9000000000000004</v>
      </c>
      <c r="AN12">
        <v>0.83499999999999996</v>
      </c>
      <c r="AO12">
        <v>11.08</v>
      </c>
      <c r="AP12">
        <v>6.19</v>
      </c>
      <c r="AQ12">
        <v>1.72</v>
      </c>
    </row>
    <row r="13" spans="1:43" x14ac:dyDescent="0.2">
      <c r="A13">
        <v>12</v>
      </c>
      <c r="B13" t="s">
        <v>68</v>
      </c>
      <c r="C13">
        <v>5.0999999999999996</v>
      </c>
      <c r="D13">
        <v>1.22</v>
      </c>
      <c r="E13">
        <v>20562.38</v>
      </c>
      <c r="F13">
        <v>232828.48</v>
      </c>
      <c r="G13">
        <v>68050.399999999994</v>
      </c>
      <c r="H13">
        <v>284910.28000000003</v>
      </c>
      <c r="I13">
        <v>2543.37</v>
      </c>
      <c r="J13">
        <v>9764.58</v>
      </c>
      <c r="K13">
        <v>88337.04</v>
      </c>
      <c r="L13">
        <v>38.06</v>
      </c>
      <c r="M13">
        <v>19325.18</v>
      </c>
      <c r="N13">
        <v>308.06</v>
      </c>
      <c r="O13">
        <v>2454.12</v>
      </c>
      <c r="P13">
        <v>147266.04999999999</v>
      </c>
      <c r="Q13">
        <v>0.71</v>
      </c>
      <c r="R13">
        <v>29.62</v>
      </c>
      <c r="S13">
        <v>887.36</v>
      </c>
      <c r="T13">
        <v>20.75</v>
      </c>
      <c r="U13">
        <v>291.33999999999997</v>
      </c>
      <c r="V13">
        <v>93.89</v>
      </c>
      <c r="W13">
        <v>0.34399999999999997</v>
      </c>
      <c r="X13">
        <v>400.57</v>
      </c>
      <c r="Y13">
        <v>62.11</v>
      </c>
      <c r="Z13">
        <v>127.59</v>
      </c>
      <c r="AA13">
        <v>14.66</v>
      </c>
      <c r="AB13">
        <v>57.33</v>
      </c>
      <c r="AC13">
        <v>9.25</v>
      </c>
      <c r="AD13">
        <v>2.88</v>
      </c>
      <c r="AE13">
        <v>6.8</v>
      </c>
      <c r="AF13">
        <v>0.877</v>
      </c>
      <c r="AG13">
        <v>4.62</v>
      </c>
      <c r="AH13">
        <v>0.88</v>
      </c>
      <c r="AI13">
        <v>2.4700000000000002</v>
      </c>
      <c r="AJ13">
        <v>0.26200000000000001</v>
      </c>
      <c r="AK13">
        <v>1.37</v>
      </c>
      <c r="AL13">
        <v>0.28799999999999998</v>
      </c>
      <c r="AM13">
        <v>6.86</v>
      </c>
      <c r="AN13">
        <v>4.96</v>
      </c>
      <c r="AO13">
        <v>11.88</v>
      </c>
      <c r="AP13">
        <v>7.32</v>
      </c>
      <c r="AQ13">
        <v>1.88</v>
      </c>
    </row>
    <row r="14" spans="1:43" x14ac:dyDescent="0.2">
      <c r="A14">
        <v>13</v>
      </c>
      <c r="B14" t="s">
        <v>69</v>
      </c>
      <c r="C14">
        <v>3.67</v>
      </c>
      <c r="D14">
        <v>1.34</v>
      </c>
      <c r="E14">
        <v>19468.77</v>
      </c>
      <c r="F14">
        <v>28620.62</v>
      </c>
      <c r="G14">
        <v>70750.84</v>
      </c>
      <c r="H14">
        <v>168647.69</v>
      </c>
      <c r="I14">
        <v>1732</v>
      </c>
      <c r="J14">
        <v>8132.88</v>
      </c>
      <c r="K14">
        <v>96484.63</v>
      </c>
      <c r="L14">
        <v>36.79</v>
      </c>
      <c r="M14">
        <v>25114.34</v>
      </c>
      <c r="N14">
        <v>373.63</v>
      </c>
      <c r="O14">
        <v>1104.18</v>
      </c>
      <c r="P14">
        <v>64490.9</v>
      </c>
      <c r="Q14">
        <v>0.36</v>
      </c>
      <c r="R14">
        <v>22</v>
      </c>
      <c r="S14">
        <v>748.44</v>
      </c>
      <c r="T14">
        <v>30.41</v>
      </c>
      <c r="U14">
        <v>307.45</v>
      </c>
      <c r="V14">
        <v>63.65</v>
      </c>
      <c r="W14">
        <v>0.249</v>
      </c>
      <c r="X14">
        <v>308.48</v>
      </c>
      <c r="Y14">
        <v>42.6</v>
      </c>
      <c r="Z14">
        <v>88.95</v>
      </c>
      <c r="AA14">
        <v>11.22</v>
      </c>
      <c r="AB14">
        <v>52.14</v>
      </c>
      <c r="AC14">
        <v>10.29</v>
      </c>
      <c r="AD14">
        <v>3.08</v>
      </c>
      <c r="AE14">
        <v>7.41</v>
      </c>
      <c r="AF14">
        <v>1.06</v>
      </c>
      <c r="AG14">
        <v>6.56</v>
      </c>
      <c r="AH14">
        <v>1.1599999999999999</v>
      </c>
      <c r="AI14">
        <v>2.98</v>
      </c>
      <c r="AJ14">
        <v>0.33600000000000002</v>
      </c>
      <c r="AK14">
        <v>2.04</v>
      </c>
      <c r="AL14">
        <v>0.375</v>
      </c>
      <c r="AM14">
        <v>7.63</v>
      </c>
      <c r="AN14">
        <v>3.54</v>
      </c>
      <c r="AO14">
        <v>6.07</v>
      </c>
      <c r="AP14">
        <v>4.58</v>
      </c>
      <c r="AQ14">
        <v>1.27</v>
      </c>
    </row>
    <row r="15" spans="1:43" x14ac:dyDescent="0.2">
      <c r="A15">
        <v>14</v>
      </c>
      <c r="B15" t="s">
        <v>70</v>
      </c>
      <c r="C15">
        <v>4.47</v>
      </c>
      <c r="D15">
        <v>0.95</v>
      </c>
      <c r="E15">
        <v>15344.5</v>
      </c>
      <c r="F15">
        <v>107028.45</v>
      </c>
      <c r="G15">
        <v>59117.61</v>
      </c>
      <c r="H15">
        <v>189700.77</v>
      </c>
      <c r="I15">
        <v>1182.82</v>
      </c>
      <c r="J15">
        <v>5739.62</v>
      </c>
      <c r="K15">
        <v>94269.05</v>
      </c>
      <c r="L15">
        <v>33.69</v>
      </c>
      <c r="M15">
        <v>23916.99</v>
      </c>
      <c r="N15">
        <v>287.85000000000002</v>
      </c>
      <c r="O15">
        <v>1806.7</v>
      </c>
      <c r="P15">
        <v>109588.72</v>
      </c>
      <c r="Q15">
        <v>0.37</v>
      </c>
      <c r="R15">
        <v>11.69</v>
      </c>
      <c r="S15">
        <v>3855.13</v>
      </c>
      <c r="T15">
        <v>24.87</v>
      </c>
      <c r="U15">
        <v>275.61</v>
      </c>
      <c r="V15">
        <v>57.6</v>
      </c>
      <c r="W15">
        <v>0.13700000000000001</v>
      </c>
      <c r="X15">
        <v>368.46</v>
      </c>
      <c r="Y15">
        <v>37.450000000000003</v>
      </c>
      <c r="Z15">
        <v>78.94</v>
      </c>
      <c r="AA15">
        <v>10.63</v>
      </c>
      <c r="AB15">
        <v>50.12</v>
      </c>
      <c r="AC15">
        <v>9.81</v>
      </c>
      <c r="AD15">
        <v>2.4500000000000002</v>
      </c>
      <c r="AE15">
        <v>6.11</v>
      </c>
      <c r="AF15">
        <v>0.83899999999999997</v>
      </c>
      <c r="AG15">
        <v>6.06</v>
      </c>
      <c r="AH15">
        <v>1.04</v>
      </c>
      <c r="AI15">
        <v>2.46</v>
      </c>
      <c r="AJ15">
        <v>0.308</v>
      </c>
      <c r="AK15">
        <v>1.92</v>
      </c>
      <c r="AL15">
        <v>0.39100000000000001</v>
      </c>
      <c r="AM15">
        <v>5.96</v>
      </c>
      <c r="AN15">
        <v>2.8</v>
      </c>
      <c r="AO15">
        <v>8.99</v>
      </c>
      <c r="AP15">
        <v>4.6500000000000004</v>
      </c>
      <c r="AQ15">
        <v>1.17</v>
      </c>
    </row>
    <row r="16" spans="1:43" x14ac:dyDescent="0.2">
      <c r="A16">
        <v>15</v>
      </c>
      <c r="B16" t="s">
        <v>71</v>
      </c>
      <c r="C16">
        <v>7.33</v>
      </c>
      <c r="D16">
        <v>1.54</v>
      </c>
      <c r="E16">
        <v>30900.85</v>
      </c>
      <c r="F16">
        <v>30189.96</v>
      </c>
      <c r="G16">
        <v>80352.149999999994</v>
      </c>
      <c r="H16">
        <v>207945.72</v>
      </c>
      <c r="I16">
        <v>2456.1799999999998</v>
      </c>
      <c r="J16">
        <v>11276.95</v>
      </c>
      <c r="K16">
        <v>95484.05</v>
      </c>
      <c r="L16">
        <v>30.08</v>
      </c>
      <c r="M16">
        <v>18899.87</v>
      </c>
      <c r="N16">
        <v>284.17</v>
      </c>
      <c r="O16">
        <v>1501.65</v>
      </c>
      <c r="P16">
        <v>82007.19</v>
      </c>
      <c r="Q16">
        <v>0.69</v>
      </c>
      <c r="R16">
        <v>38.32</v>
      </c>
      <c r="S16">
        <v>1183.0999999999999</v>
      </c>
      <c r="T16">
        <v>35.049999999999997</v>
      </c>
      <c r="U16">
        <v>395.12</v>
      </c>
      <c r="V16">
        <v>95.9</v>
      </c>
      <c r="W16">
        <v>0.47</v>
      </c>
      <c r="X16">
        <v>481.34</v>
      </c>
      <c r="Y16">
        <v>75.349999999999994</v>
      </c>
      <c r="Z16">
        <v>150.79</v>
      </c>
      <c r="AA16">
        <v>17.47</v>
      </c>
      <c r="AB16">
        <v>67.86</v>
      </c>
      <c r="AC16">
        <v>11.77</v>
      </c>
      <c r="AD16">
        <v>3.56</v>
      </c>
      <c r="AE16">
        <v>10.14</v>
      </c>
      <c r="AF16">
        <v>1.35</v>
      </c>
      <c r="AG16">
        <v>7.44</v>
      </c>
      <c r="AH16">
        <v>1.28</v>
      </c>
      <c r="AI16">
        <v>3.32</v>
      </c>
      <c r="AJ16">
        <v>0.46500000000000002</v>
      </c>
      <c r="AK16">
        <v>2.68</v>
      </c>
      <c r="AL16">
        <v>0.36</v>
      </c>
      <c r="AM16">
        <v>8.82</v>
      </c>
      <c r="AN16">
        <v>5.9</v>
      </c>
      <c r="AO16">
        <v>5.22</v>
      </c>
      <c r="AP16">
        <v>8.82</v>
      </c>
      <c r="AQ16">
        <v>2.08</v>
      </c>
    </row>
    <row r="17" spans="1:43" x14ac:dyDescent="0.2">
      <c r="A17">
        <v>16</v>
      </c>
      <c r="B17" t="s">
        <v>72</v>
      </c>
      <c r="C17">
        <v>7.07</v>
      </c>
      <c r="D17">
        <v>1.82</v>
      </c>
      <c r="E17">
        <v>30029.119999999999</v>
      </c>
      <c r="F17">
        <v>31361.74</v>
      </c>
      <c r="G17">
        <v>78365.78</v>
      </c>
      <c r="H17">
        <v>204026.72</v>
      </c>
      <c r="I17">
        <v>2441.65</v>
      </c>
      <c r="J17">
        <v>11191.87</v>
      </c>
      <c r="K17">
        <v>95484.05</v>
      </c>
      <c r="L17">
        <v>30.82</v>
      </c>
      <c r="M17">
        <v>18538.849999999999</v>
      </c>
      <c r="N17">
        <v>279.02</v>
      </c>
      <c r="O17">
        <v>1483.01</v>
      </c>
      <c r="P17">
        <v>79970.2</v>
      </c>
      <c r="Q17">
        <v>0.72</v>
      </c>
      <c r="R17">
        <v>36.299999999999997</v>
      </c>
      <c r="S17">
        <v>1169.94</v>
      </c>
      <c r="T17">
        <v>35.21</v>
      </c>
      <c r="U17">
        <v>397.16</v>
      </c>
      <c r="V17">
        <v>94.46</v>
      </c>
      <c r="W17">
        <v>0.44</v>
      </c>
      <c r="X17">
        <v>469.34</v>
      </c>
      <c r="Y17">
        <v>74.06</v>
      </c>
      <c r="Z17">
        <v>147.83000000000001</v>
      </c>
      <c r="AA17">
        <v>17.53</v>
      </c>
      <c r="AB17">
        <v>67.290000000000006</v>
      </c>
      <c r="AC17">
        <v>11.83</v>
      </c>
      <c r="AD17">
        <v>3.42</v>
      </c>
      <c r="AE17">
        <v>10.119999999999999</v>
      </c>
      <c r="AF17">
        <v>1.38</v>
      </c>
      <c r="AG17">
        <v>7.24</v>
      </c>
      <c r="AH17">
        <v>1.28</v>
      </c>
      <c r="AI17">
        <v>3.09</v>
      </c>
      <c r="AJ17">
        <v>0.42899999999999999</v>
      </c>
      <c r="AK17">
        <v>2.73</v>
      </c>
      <c r="AL17">
        <v>0.38900000000000001</v>
      </c>
      <c r="AM17">
        <v>8.7200000000000006</v>
      </c>
      <c r="AN17">
        <v>5.85</v>
      </c>
      <c r="AO17">
        <v>18.13</v>
      </c>
      <c r="AP17">
        <v>9.01</v>
      </c>
      <c r="AQ17">
        <v>1.91</v>
      </c>
    </row>
    <row r="18" spans="1:43" x14ac:dyDescent="0.2">
      <c r="A18">
        <v>17</v>
      </c>
      <c r="B18" t="s">
        <v>73</v>
      </c>
      <c r="C18">
        <v>5.7</v>
      </c>
      <c r="D18">
        <v>1.57</v>
      </c>
      <c r="E18">
        <v>25121.98</v>
      </c>
      <c r="F18">
        <v>21731.77</v>
      </c>
      <c r="G18">
        <v>70488.98</v>
      </c>
      <c r="H18">
        <v>174514.03</v>
      </c>
      <c r="I18">
        <v>2268.46</v>
      </c>
      <c r="J18">
        <v>12721.8</v>
      </c>
      <c r="K18">
        <v>75615.360000000001</v>
      </c>
      <c r="L18">
        <v>17.93</v>
      </c>
      <c r="M18">
        <v>16016.61</v>
      </c>
      <c r="N18">
        <v>212.8</v>
      </c>
      <c r="O18">
        <v>1259.8800000000001</v>
      </c>
      <c r="P18">
        <v>66244.789999999994</v>
      </c>
      <c r="Q18">
        <v>0.72</v>
      </c>
      <c r="R18">
        <v>39.700000000000003</v>
      </c>
      <c r="S18">
        <v>1241.6099999999999</v>
      </c>
      <c r="T18">
        <v>31.82</v>
      </c>
      <c r="U18">
        <v>372.44</v>
      </c>
      <c r="V18">
        <v>85.9</v>
      </c>
      <c r="W18">
        <v>0.48</v>
      </c>
      <c r="X18">
        <v>453.51</v>
      </c>
      <c r="Y18">
        <v>63.43</v>
      </c>
      <c r="Z18">
        <v>144.71</v>
      </c>
      <c r="AA18">
        <v>18.79</v>
      </c>
      <c r="AB18">
        <v>65.849999999999994</v>
      </c>
      <c r="AC18">
        <v>9.82</v>
      </c>
      <c r="AD18">
        <v>2.88</v>
      </c>
      <c r="AE18">
        <v>7.73</v>
      </c>
      <c r="AF18">
        <v>1.26</v>
      </c>
      <c r="AG18">
        <v>6.21</v>
      </c>
      <c r="AH18">
        <v>1.0900000000000001</v>
      </c>
      <c r="AI18">
        <v>2.58</v>
      </c>
      <c r="AJ18">
        <v>0.34200000000000003</v>
      </c>
      <c r="AK18">
        <v>2.4700000000000002</v>
      </c>
      <c r="AL18">
        <v>0.28599999999999998</v>
      </c>
      <c r="AM18">
        <v>6.55</v>
      </c>
      <c r="AN18">
        <v>4.71</v>
      </c>
      <c r="AO18">
        <v>21.82</v>
      </c>
      <c r="AP18">
        <v>7.71</v>
      </c>
      <c r="AQ18">
        <v>1.66</v>
      </c>
    </row>
    <row r="19" spans="1:43" x14ac:dyDescent="0.2">
      <c r="A19">
        <v>18</v>
      </c>
      <c r="B19" t="s">
        <v>74</v>
      </c>
      <c r="C19">
        <v>5.2</v>
      </c>
      <c r="D19">
        <v>0.96</v>
      </c>
      <c r="E19">
        <v>17005.310000000001</v>
      </c>
      <c r="F19">
        <v>519711.91</v>
      </c>
      <c r="G19">
        <v>76921.13</v>
      </c>
      <c r="H19">
        <v>491516.72</v>
      </c>
      <c r="I19">
        <v>1786.53</v>
      </c>
      <c r="J19">
        <v>8273.93</v>
      </c>
      <c r="K19">
        <v>90052.32</v>
      </c>
      <c r="L19">
        <v>47.17</v>
      </c>
      <c r="M19">
        <v>16352.89</v>
      </c>
      <c r="N19">
        <v>214.67</v>
      </c>
      <c r="O19">
        <v>3556.48</v>
      </c>
      <c r="P19">
        <v>219087.5</v>
      </c>
      <c r="Q19">
        <v>0.31</v>
      </c>
      <c r="R19">
        <v>15.78</v>
      </c>
      <c r="S19">
        <v>760.17</v>
      </c>
      <c r="T19">
        <v>29.94</v>
      </c>
      <c r="U19">
        <v>298.39999999999998</v>
      </c>
      <c r="V19">
        <v>48.69</v>
      </c>
      <c r="W19">
        <v>0.17399999999999999</v>
      </c>
      <c r="X19">
        <v>187.02</v>
      </c>
      <c r="Y19">
        <v>29.03</v>
      </c>
      <c r="Z19">
        <v>80.209999999999994</v>
      </c>
      <c r="AA19">
        <v>11.87</v>
      </c>
      <c r="AB19">
        <v>50.02</v>
      </c>
      <c r="AC19">
        <v>7.34</v>
      </c>
      <c r="AD19">
        <v>1.91</v>
      </c>
      <c r="AE19">
        <v>5.37</v>
      </c>
      <c r="AF19">
        <v>1.19</v>
      </c>
      <c r="AG19">
        <v>5.18</v>
      </c>
      <c r="AH19">
        <v>0.77</v>
      </c>
      <c r="AI19">
        <v>1.61</v>
      </c>
      <c r="AJ19">
        <v>0.22500000000000001</v>
      </c>
      <c r="AK19">
        <v>2.88</v>
      </c>
      <c r="AL19">
        <v>0.29399999999999998</v>
      </c>
      <c r="AM19">
        <v>5.63</v>
      </c>
      <c r="AN19">
        <v>2.14</v>
      </c>
      <c r="AO19">
        <v>100.83</v>
      </c>
      <c r="AP19">
        <v>3.68</v>
      </c>
      <c r="AQ19">
        <v>0.98</v>
      </c>
    </row>
    <row r="20" spans="1:43" x14ac:dyDescent="0.2">
      <c r="A20">
        <v>19</v>
      </c>
      <c r="B20" t="s">
        <v>75</v>
      </c>
      <c r="C20">
        <v>3.61</v>
      </c>
      <c r="D20">
        <v>0.88</v>
      </c>
      <c r="E20">
        <v>23006.44</v>
      </c>
      <c r="F20">
        <v>31592.42</v>
      </c>
      <c r="G20">
        <v>71867.45</v>
      </c>
      <c r="H20">
        <v>170653.77</v>
      </c>
      <c r="I20">
        <v>1900.95</v>
      </c>
      <c r="J20">
        <v>9979.52</v>
      </c>
      <c r="K20">
        <v>88194.09</v>
      </c>
      <c r="L20">
        <v>31.71</v>
      </c>
      <c r="M20">
        <v>19300.11</v>
      </c>
      <c r="N20">
        <v>286.62</v>
      </c>
      <c r="O20">
        <v>1039.76</v>
      </c>
      <c r="P20">
        <v>64840.56</v>
      </c>
      <c r="Q20">
        <v>0.46</v>
      </c>
      <c r="R20">
        <v>27.29</v>
      </c>
      <c r="S20">
        <v>883.03</v>
      </c>
      <c r="T20">
        <v>25.18</v>
      </c>
      <c r="U20">
        <v>288.92</v>
      </c>
      <c r="V20">
        <v>80.930000000000007</v>
      </c>
      <c r="W20">
        <v>0.30299999999999999</v>
      </c>
      <c r="X20">
        <v>380.46</v>
      </c>
      <c r="Y20">
        <v>62.77</v>
      </c>
      <c r="Z20">
        <v>120.21</v>
      </c>
      <c r="AA20">
        <v>13.43</v>
      </c>
      <c r="AB20">
        <v>50.92</v>
      </c>
      <c r="AC20">
        <v>7.93</v>
      </c>
      <c r="AD20">
        <v>2.3199999999999998</v>
      </c>
      <c r="AE20">
        <v>7.15</v>
      </c>
      <c r="AF20">
        <v>1.0349999999999999</v>
      </c>
      <c r="AG20">
        <v>5.13</v>
      </c>
      <c r="AH20">
        <v>0.92</v>
      </c>
      <c r="AI20">
        <v>2.41</v>
      </c>
      <c r="AJ20">
        <v>0.29799999999999999</v>
      </c>
      <c r="AK20">
        <v>2.11</v>
      </c>
      <c r="AL20">
        <v>0.26900000000000002</v>
      </c>
      <c r="AM20">
        <v>6.41</v>
      </c>
      <c r="AN20">
        <v>4.76</v>
      </c>
      <c r="AO20">
        <v>3.72</v>
      </c>
      <c r="AP20">
        <v>6.61</v>
      </c>
      <c r="AQ20">
        <v>1.5</v>
      </c>
    </row>
    <row r="21" spans="1:43" x14ac:dyDescent="0.2">
      <c r="A21">
        <v>20</v>
      </c>
      <c r="B21" t="s">
        <v>76</v>
      </c>
      <c r="C21">
        <v>3.09</v>
      </c>
      <c r="D21">
        <v>5.8</v>
      </c>
      <c r="E21">
        <v>11938.23</v>
      </c>
      <c r="F21">
        <v>136057.78</v>
      </c>
      <c r="G21">
        <v>45683.98</v>
      </c>
      <c r="H21">
        <v>208577.73</v>
      </c>
      <c r="I21">
        <v>1904.76</v>
      </c>
      <c r="J21">
        <v>7952.87</v>
      </c>
      <c r="K21">
        <v>93482.880000000005</v>
      </c>
      <c r="L21">
        <v>28.16</v>
      </c>
      <c r="M21">
        <v>16378.47</v>
      </c>
      <c r="N21">
        <v>241.05</v>
      </c>
      <c r="O21">
        <v>1659.64</v>
      </c>
      <c r="P21">
        <v>107640.5</v>
      </c>
      <c r="Q21">
        <v>0.69</v>
      </c>
      <c r="R21">
        <v>16.059999999999999</v>
      </c>
      <c r="S21">
        <v>742.53</v>
      </c>
      <c r="T21">
        <v>19.86</v>
      </c>
      <c r="U21">
        <v>246.33</v>
      </c>
      <c r="V21">
        <v>86.19</v>
      </c>
      <c r="W21">
        <v>0.16700000000000001</v>
      </c>
      <c r="X21">
        <v>252.32</v>
      </c>
      <c r="Y21">
        <v>42.65</v>
      </c>
      <c r="Z21">
        <v>85.75</v>
      </c>
      <c r="AA21">
        <v>12.43</v>
      </c>
      <c r="AB21">
        <v>52.15</v>
      </c>
      <c r="AC21">
        <v>8.0399999999999991</v>
      </c>
      <c r="AD21">
        <v>2.21</v>
      </c>
      <c r="AE21">
        <v>5.0599999999999996</v>
      </c>
      <c r="AF21">
        <v>0.79</v>
      </c>
      <c r="AG21">
        <v>4.63</v>
      </c>
      <c r="AH21">
        <v>0.54100000000000004</v>
      </c>
      <c r="AI21">
        <v>1.92</v>
      </c>
      <c r="AJ21">
        <v>0.218</v>
      </c>
      <c r="AK21">
        <v>1.79</v>
      </c>
      <c r="AL21">
        <v>0.157</v>
      </c>
      <c r="AM21">
        <v>4.03</v>
      </c>
      <c r="AN21">
        <v>3.56</v>
      </c>
      <c r="AO21">
        <v>153.69</v>
      </c>
      <c r="AP21">
        <v>6.04</v>
      </c>
      <c r="AQ21">
        <v>1.38</v>
      </c>
    </row>
    <row r="22" spans="1:43" x14ac:dyDescent="0.2">
      <c r="A22">
        <v>21</v>
      </c>
      <c r="B22" t="s">
        <v>77</v>
      </c>
      <c r="C22">
        <v>5.07</v>
      </c>
      <c r="D22">
        <v>2.67</v>
      </c>
      <c r="E22">
        <v>18232.34</v>
      </c>
      <c r="F22">
        <v>45009.120000000003</v>
      </c>
      <c r="G22">
        <v>73842.78</v>
      </c>
      <c r="H22">
        <v>243282.55</v>
      </c>
      <c r="I22">
        <v>1137.23</v>
      </c>
      <c r="J22">
        <v>3938.91</v>
      </c>
      <c r="K22">
        <v>77901.7</v>
      </c>
      <c r="L22">
        <v>31.33</v>
      </c>
      <c r="M22">
        <v>15301.9</v>
      </c>
      <c r="N22">
        <v>304.17</v>
      </c>
      <c r="O22">
        <v>1274.33</v>
      </c>
      <c r="P22">
        <v>88705.16</v>
      </c>
      <c r="Q22">
        <v>0.19</v>
      </c>
      <c r="R22">
        <v>8.58</v>
      </c>
      <c r="S22">
        <v>359</v>
      </c>
      <c r="T22">
        <v>26.11</v>
      </c>
      <c r="U22">
        <v>154.58000000000001</v>
      </c>
      <c r="V22">
        <v>14.98</v>
      </c>
      <c r="W22">
        <v>0.115</v>
      </c>
      <c r="X22">
        <v>131.63999999999999</v>
      </c>
      <c r="Y22">
        <v>14.4</v>
      </c>
      <c r="Z22">
        <v>33.36</v>
      </c>
      <c r="AA22">
        <v>4.6399999999999997</v>
      </c>
      <c r="AB22">
        <v>21.81</v>
      </c>
      <c r="AC22">
        <v>5.53</v>
      </c>
      <c r="AD22">
        <v>1.91</v>
      </c>
      <c r="AE22">
        <v>6.13</v>
      </c>
      <c r="AF22">
        <v>0.93899999999999995</v>
      </c>
      <c r="AG22">
        <v>5.54</v>
      </c>
      <c r="AH22">
        <v>1.03</v>
      </c>
      <c r="AI22">
        <v>2.73</v>
      </c>
      <c r="AJ22">
        <v>0.36099999999999999</v>
      </c>
      <c r="AK22">
        <v>2.14</v>
      </c>
      <c r="AL22">
        <v>0.30499999999999999</v>
      </c>
      <c r="AM22">
        <v>4.51</v>
      </c>
      <c r="AN22">
        <v>1.05</v>
      </c>
      <c r="AO22">
        <v>2.17</v>
      </c>
      <c r="AP22">
        <v>1.0900000000000001</v>
      </c>
      <c r="AQ22">
        <v>0.51300000000000001</v>
      </c>
    </row>
    <row r="23" spans="1:43" x14ac:dyDescent="0.2">
      <c r="A23">
        <v>22</v>
      </c>
      <c r="B23" t="s">
        <v>78</v>
      </c>
      <c r="C23">
        <v>4.99</v>
      </c>
      <c r="D23">
        <v>2.17</v>
      </c>
      <c r="E23">
        <v>16495.439999999999</v>
      </c>
      <c r="F23">
        <v>43181.3</v>
      </c>
      <c r="G23">
        <v>70714.100000000006</v>
      </c>
      <c r="H23">
        <v>235469.27</v>
      </c>
      <c r="I23">
        <v>1106.6199999999999</v>
      </c>
      <c r="J23">
        <v>3869.52</v>
      </c>
      <c r="K23">
        <v>77901.69</v>
      </c>
      <c r="L23">
        <v>31.8</v>
      </c>
      <c r="M23">
        <v>14851.05</v>
      </c>
      <c r="N23">
        <v>294.01</v>
      </c>
      <c r="O23">
        <v>1192.07</v>
      </c>
      <c r="P23">
        <v>76965.73</v>
      </c>
      <c r="Q23">
        <v>0.19700000000000001</v>
      </c>
      <c r="R23">
        <v>8.36</v>
      </c>
      <c r="S23">
        <v>358.73</v>
      </c>
      <c r="T23">
        <v>26.21</v>
      </c>
      <c r="U23">
        <v>153.34</v>
      </c>
      <c r="V23">
        <v>14.44</v>
      </c>
      <c r="W23">
        <v>0.105</v>
      </c>
      <c r="X23">
        <v>118.46</v>
      </c>
      <c r="Y23">
        <v>12.9</v>
      </c>
      <c r="Z23">
        <v>32.85</v>
      </c>
      <c r="AA23">
        <v>4.7300000000000004</v>
      </c>
      <c r="AB23">
        <v>21.53</v>
      </c>
      <c r="AC23">
        <v>5.46</v>
      </c>
      <c r="AD23">
        <v>2</v>
      </c>
      <c r="AE23">
        <v>5.65</v>
      </c>
      <c r="AF23">
        <v>0.877</v>
      </c>
      <c r="AG23">
        <v>5.41</v>
      </c>
      <c r="AH23">
        <v>0.99</v>
      </c>
      <c r="AI23">
        <v>2.5499999999999998</v>
      </c>
      <c r="AJ23">
        <v>0.36499999999999999</v>
      </c>
      <c r="AK23">
        <v>2.1</v>
      </c>
      <c r="AL23">
        <v>0.26400000000000001</v>
      </c>
      <c r="AM23">
        <v>3.89</v>
      </c>
      <c r="AN23">
        <v>0.94</v>
      </c>
      <c r="AO23">
        <v>1.97</v>
      </c>
      <c r="AP23">
        <v>1.03</v>
      </c>
      <c r="AQ23">
        <v>0.51500000000000001</v>
      </c>
    </row>
    <row r="24" spans="1:43" x14ac:dyDescent="0.2">
      <c r="A24">
        <v>23</v>
      </c>
      <c r="B24" t="s">
        <v>79</v>
      </c>
      <c r="C24">
        <v>5.01</v>
      </c>
      <c r="D24">
        <v>2.4</v>
      </c>
      <c r="E24">
        <v>18086.45</v>
      </c>
      <c r="F24">
        <v>44651.37</v>
      </c>
      <c r="G24">
        <v>72615.41</v>
      </c>
      <c r="H24">
        <v>229585.39</v>
      </c>
      <c r="I24">
        <v>1066.42</v>
      </c>
      <c r="J24">
        <v>3712.55</v>
      </c>
      <c r="K24">
        <v>77901.7</v>
      </c>
      <c r="L24">
        <v>32.869999999999997</v>
      </c>
      <c r="M24">
        <v>15784.55</v>
      </c>
      <c r="N24">
        <v>322.67</v>
      </c>
      <c r="O24">
        <v>1334.53</v>
      </c>
      <c r="P24">
        <v>87010.06</v>
      </c>
      <c r="Q24">
        <v>0.19400000000000001</v>
      </c>
      <c r="R24">
        <v>8.6999999999999993</v>
      </c>
      <c r="S24">
        <v>368.16</v>
      </c>
      <c r="T24">
        <v>26.9</v>
      </c>
      <c r="U24">
        <v>155.58000000000001</v>
      </c>
      <c r="V24">
        <v>15.11</v>
      </c>
      <c r="W24">
        <v>0.13</v>
      </c>
      <c r="X24">
        <v>128.28</v>
      </c>
      <c r="Y24">
        <v>14.03</v>
      </c>
      <c r="Z24">
        <v>33.15</v>
      </c>
      <c r="AA24">
        <v>4.76</v>
      </c>
      <c r="AB24">
        <v>22.94</v>
      </c>
      <c r="AC24">
        <v>5.83</v>
      </c>
      <c r="AD24">
        <v>2.08</v>
      </c>
      <c r="AE24">
        <v>6.34</v>
      </c>
      <c r="AF24">
        <v>0.95</v>
      </c>
      <c r="AG24">
        <v>5.61</v>
      </c>
      <c r="AH24">
        <v>1.07</v>
      </c>
      <c r="AI24">
        <v>2.66</v>
      </c>
      <c r="AJ24">
        <v>0.33300000000000002</v>
      </c>
      <c r="AK24">
        <v>2.27</v>
      </c>
      <c r="AL24">
        <v>0.29699999999999999</v>
      </c>
      <c r="AM24">
        <v>4.33</v>
      </c>
      <c r="AN24">
        <v>1.05</v>
      </c>
      <c r="AO24">
        <v>2.0499999999999998</v>
      </c>
      <c r="AP24">
        <v>1.1299999999999999</v>
      </c>
      <c r="AQ24">
        <v>0.57099999999999995</v>
      </c>
    </row>
    <row r="25" spans="1:43" x14ac:dyDescent="0.2">
      <c r="A25">
        <v>24</v>
      </c>
      <c r="B25" t="s">
        <v>81</v>
      </c>
      <c r="C25">
        <v>7.73</v>
      </c>
      <c r="D25">
        <v>3.59</v>
      </c>
      <c r="E25">
        <v>23688.53</v>
      </c>
      <c r="F25">
        <v>21307.9</v>
      </c>
      <c r="G25">
        <v>72180.73</v>
      </c>
      <c r="H25">
        <v>249400.41</v>
      </c>
      <c r="I25">
        <v>1345.38</v>
      </c>
      <c r="J25">
        <v>14725.34</v>
      </c>
      <c r="K25">
        <v>50900</v>
      </c>
      <c r="L25">
        <v>34.049999999999997</v>
      </c>
      <c r="M25">
        <v>13594.67</v>
      </c>
      <c r="N25">
        <v>417.59</v>
      </c>
      <c r="O25">
        <v>1529.86</v>
      </c>
      <c r="P25">
        <v>93053.38</v>
      </c>
      <c r="Q25">
        <v>0.52</v>
      </c>
      <c r="R25">
        <v>47.08</v>
      </c>
      <c r="S25">
        <v>332.07</v>
      </c>
      <c r="T25">
        <v>34.99</v>
      </c>
      <c r="U25">
        <v>181.6</v>
      </c>
      <c r="V25">
        <v>12.72</v>
      </c>
      <c r="W25">
        <v>1.18</v>
      </c>
      <c r="X25">
        <v>666.44</v>
      </c>
      <c r="Y25">
        <v>24.39</v>
      </c>
      <c r="Z25">
        <v>50.39</v>
      </c>
      <c r="AA25">
        <v>6.35</v>
      </c>
      <c r="AB25">
        <v>27.53</v>
      </c>
      <c r="AC25">
        <v>5.77</v>
      </c>
      <c r="AD25">
        <v>1.94</v>
      </c>
      <c r="AE25">
        <v>6.35</v>
      </c>
      <c r="AF25">
        <v>1.0049999999999999</v>
      </c>
      <c r="AG25">
        <v>6.22</v>
      </c>
      <c r="AH25">
        <v>1.29</v>
      </c>
      <c r="AI25">
        <v>3.79</v>
      </c>
      <c r="AJ25">
        <v>0.51600000000000001</v>
      </c>
      <c r="AK25">
        <v>3.68</v>
      </c>
      <c r="AL25">
        <v>0.503</v>
      </c>
      <c r="AM25">
        <v>4.96</v>
      </c>
      <c r="AN25">
        <v>0.81100000000000005</v>
      </c>
      <c r="AO25">
        <v>11.14</v>
      </c>
      <c r="AP25">
        <v>6.13</v>
      </c>
      <c r="AQ25">
        <v>1.75</v>
      </c>
    </row>
    <row r="26" spans="1:43" x14ac:dyDescent="0.2">
      <c r="A26">
        <v>25</v>
      </c>
      <c r="B26" t="s">
        <v>82</v>
      </c>
      <c r="C26">
        <v>4.79</v>
      </c>
      <c r="D26">
        <v>1.21</v>
      </c>
      <c r="E26">
        <v>24704.21</v>
      </c>
      <c r="F26">
        <v>34818.71</v>
      </c>
      <c r="G26">
        <v>75205.460000000006</v>
      </c>
      <c r="H26">
        <v>198089.83</v>
      </c>
      <c r="I26">
        <v>2563.5100000000002</v>
      </c>
      <c r="J26">
        <v>12653.72</v>
      </c>
      <c r="K26">
        <v>85907.06</v>
      </c>
      <c r="L26">
        <v>29.94</v>
      </c>
      <c r="M26">
        <v>20038.05</v>
      </c>
      <c r="N26">
        <v>308.83999999999997</v>
      </c>
      <c r="O26">
        <v>1278.03</v>
      </c>
      <c r="P26">
        <v>78422.77</v>
      </c>
      <c r="Q26">
        <v>0.68</v>
      </c>
      <c r="R26">
        <v>33.25</v>
      </c>
      <c r="S26">
        <v>954.8</v>
      </c>
      <c r="T26">
        <v>27.66</v>
      </c>
      <c r="U26">
        <v>314.64</v>
      </c>
      <c r="V26">
        <v>94.26</v>
      </c>
      <c r="W26">
        <v>0.36899999999999999</v>
      </c>
      <c r="X26">
        <v>415.94</v>
      </c>
      <c r="Y26">
        <v>67.98</v>
      </c>
      <c r="Z26">
        <v>135.28</v>
      </c>
      <c r="AA26">
        <v>15.82</v>
      </c>
      <c r="AB26">
        <v>62.71</v>
      </c>
      <c r="AC26">
        <v>10.33</v>
      </c>
      <c r="AD26">
        <v>3.06</v>
      </c>
      <c r="AE26">
        <v>8.5500000000000007</v>
      </c>
      <c r="AF26">
        <v>1.07</v>
      </c>
      <c r="AG26">
        <v>5.79</v>
      </c>
      <c r="AH26">
        <v>1.02</v>
      </c>
      <c r="AI26">
        <v>2.4500000000000002</v>
      </c>
      <c r="AJ26">
        <v>0.314</v>
      </c>
      <c r="AK26">
        <v>2.21</v>
      </c>
      <c r="AL26">
        <v>0.25600000000000001</v>
      </c>
      <c r="AM26">
        <v>7.28</v>
      </c>
      <c r="AN26">
        <v>5.55</v>
      </c>
      <c r="AO26">
        <v>3.78</v>
      </c>
      <c r="AP26">
        <v>7.19</v>
      </c>
      <c r="AQ26">
        <v>1.87</v>
      </c>
    </row>
    <row r="27" spans="1:43" x14ac:dyDescent="0.2">
      <c r="A27">
        <v>26</v>
      </c>
      <c r="B27" t="s">
        <v>83</v>
      </c>
      <c r="C27">
        <v>4.58</v>
      </c>
      <c r="D27">
        <v>1.74</v>
      </c>
      <c r="E27">
        <v>24710.27</v>
      </c>
      <c r="F27">
        <v>31051.54</v>
      </c>
      <c r="G27">
        <v>78683.25</v>
      </c>
      <c r="H27">
        <v>203731.45</v>
      </c>
      <c r="I27">
        <v>3003.66</v>
      </c>
      <c r="J27">
        <v>10543.19</v>
      </c>
      <c r="K27">
        <v>95555.520000000004</v>
      </c>
      <c r="L27">
        <v>34.24</v>
      </c>
      <c r="M27">
        <v>20719.46</v>
      </c>
      <c r="N27">
        <v>351.13</v>
      </c>
      <c r="O27">
        <v>1166.8</v>
      </c>
      <c r="P27">
        <v>74768.539999999994</v>
      </c>
      <c r="Q27">
        <v>0.72</v>
      </c>
      <c r="R27">
        <v>33.83</v>
      </c>
      <c r="S27">
        <v>884.07</v>
      </c>
      <c r="T27">
        <v>27.48</v>
      </c>
      <c r="U27">
        <v>304.27</v>
      </c>
      <c r="V27">
        <v>82.81</v>
      </c>
      <c r="W27">
        <v>0.39400000000000002</v>
      </c>
      <c r="X27">
        <v>393.21</v>
      </c>
      <c r="Y27">
        <v>56.3</v>
      </c>
      <c r="Z27">
        <v>112.61</v>
      </c>
      <c r="AA27">
        <v>12.74</v>
      </c>
      <c r="AB27">
        <v>48.65</v>
      </c>
      <c r="AC27">
        <v>8.5299999999999994</v>
      </c>
      <c r="AD27">
        <v>2.73</v>
      </c>
      <c r="AE27">
        <v>7.85</v>
      </c>
      <c r="AF27">
        <v>1.08</v>
      </c>
      <c r="AG27">
        <v>5.58</v>
      </c>
      <c r="AH27">
        <v>1.05</v>
      </c>
      <c r="AI27">
        <v>2.72</v>
      </c>
      <c r="AJ27">
        <v>0.33300000000000002</v>
      </c>
      <c r="AK27">
        <v>2.23</v>
      </c>
      <c r="AL27">
        <v>0.30599999999999999</v>
      </c>
      <c r="AM27">
        <v>7.43</v>
      </c>
      <c r="AN27">
        <v>5.24</v>
      </c>
      <c r="AO27">
        <v>4.2</v>
      </c>
      <c r="AP27">
        <v>6.56</v>
      </c>
      <c r="AQ27">
        <v>1.69</v>
      </c>
    </row>
    <row r="28" spans="1:43" x14ac:dyDescent="0.2">
      <c r="A28">
        <v>27</v>
      </c>
      <c r="B28" t="s">
        <v>84</v>
      </c>
      <c r="C28">
        <v>5.38</v>
      </c>
      <c r="D28">
        <v>3.24</v>
      </c>
      <c r="E28">
        <v>22292.03</v>
      </c>
      <c r="F28">
        <v>339160.94</v>
      </c>
      <c r="G28">
        <v>80013.440000000002</v>
      </c>
      <c r="H28">
        <v>363795.75</v>
      </c>
      <c r="I28">
        <v>1659.47</v>
      </c>
      <c r="J28">
        <v>7549.2</v>
      </c>
      <c r="K28">
        <v>86049.99</v>
      </c>
      <c r="L28">
        <v>38.25</v>
      </c>
      <c r="M28">
        <v>19023.78</v>
      </c>
      <c r="N28">
        <v>290.69</v>
      </c>
      <c r="O28">
        <v>3497.18</v>
      </c>
      <c r="P28">
        <v>220236.08</v>
      </c>
      <c r="Q28">
        <v>0.72</v>
      </c>
      <c r="R28">
        <v>21.91</v>
      </c>
      <c r="S28">
        <v>765.68</v>
      </c>
      <c r="T28">
        <v>28.81</v>
      </c>
      <c r="U28">
        <v>265.76</v>
      </c>
      <c r="V28">
        <v>59.08</v>
      </c>
      <c r="W28">
        <v>0.23300000000000001</v>
      </c>
      <c r="X28">
        <v>324.98</v>
      </c>
      <c r="Y28">
        <v>46.1</v>
      </c>
      <c r="Z28">
        <v>95.72</v>
      </c>
      <c r="AA28">
        <v>11.13</v>
      </c>
      <c r="AB28">
        <v>44.95</v>
      </c>
      <c r="AC28">
        <v>7.84</v>
      </c>
      <c r="AD28">
        <v>2.5</v>
      </c>
      <c r="AE28">
        <v>7.9</v>
      </c>
      <c r="AF28">
        <v>1.08</v>
      </c>
      <c r="AG28">
        <v>5.32</v>
      </c>
      <c r="AH28">
        <v>1.03</v>
      </c>
      <c r="AI28">
        <v>2.82</v>
      </c>
      <c r="AJ28">
        <v>0.36199999999999999</v>
      </c>
      <c r="AK28">
        <v>2.35</v>
      </c>
      <c r="AL28">
        <v>0.24099999999999999</v>
      </c>
      <c r="AM28">
        <v>6.2</v>
      </c>
      <c r="AN28">
        <v>3.91</v>
      </c>
      <c r="AO28">
        <v>74.48</v>
      </c>
      <c r="AP28">
        <v>4.6399999999999997</v>
      </c>
      <c r="AQ28">
        <v>0.96</v>
      </c>
    </row>
    <row r="29" spans="1:43" x14ac:dyDescent="0.2">
      <c r="A29">
        <v>28</v>
      </c>
      <c r="B29" t="s">
        <v>85</v>
      </c>
      <c r="C29">
        <v>3.95</v>
      </c>
      <c r="D29">
        <v>1.51</v>
      </c>
      <c r="E29">
        <v>22092.54</v>
      </c>
      <c r="F29">
        <v>56044.2</v>
      </c>
      <c r="G29">
        <v>77315.710000000006</v>
      </c>
      <c r="H29">
        <v>201766.55</v>
      </c>
      <c r="I29">
        <v>1787.11</v>
      </c>
      <c r="J29">
        <v>8870.85</v>
      </c>
      <c r="K29">
        <v>84692.06</v>
      </c>
      <c r="L29">
        <v>27.32</v>
      </c>
      <c r="M29">
        <v>17378.57</v>
      </c>
      <c r="N29">
        <v>263.02999999999997</v>
      </c>
      <c r="O29">
        <v>1319.15</v>
      </c>
      <c r="P29">
        <v>83160.84</v>
      </c>
      <c r="Q29">
        <v>0.52</v>
      </c>
      <c r="R29">
        <v>22.83</v>
      </c>
      <c r="S29">
        <v>797.7</v>
      </c>
      <c r="T29">
        <v>29.27</v>
      </c>
      <c r="U29">
        <v>272.43</v>
      </c>
      <c r="V29">
        <v>71.44</v>
      </c>
      <c r="W29">
        <v>0.28699999999999998</v>
      </c>
      <c r="X29">
        <v>307.12</v>
      </c>
      <c r="Y29">
        <v>49.32</v>
      </c>
      <c r="Z29">
        <v>98.47</v>
      </c>
      <c r="AA29">
        <v>11.87</v>
      </c>
      <c r="AB29">
        <v>49.3</v>
      </c>
      <c r="AC29">
        <v>8.6999999999999993</v>
      </c>
      <c r="AD29">
        <v>2.6</v>
      </c>
      <c r="AE29">
        <v>7.38</v>
      </c>
      <c r="AF29">
        <v>1.1599999999999999</v>
      </c>
      <c r="AG29">
        <v>5.99</v>
      </c>
      <c r="AH29">
        <v>0.95</v>
      </c>
      <c r="AI29">
        <v>2.4</v>
      </c>
      <c r="AJ29">
        <v>0.40699999999999997</v>
      </c>
      <c r="AK29">
        <v>2.08</v>
      </c>
      <c r="AL29">
        <v>0.38200000000000001</v>
      </c>
      <c r="AM29">
        <v>5.03</v>
      </c>
      <c r="AN29">
        <v>4.25</v>
      </c>
      <c r="AO29">
        <v>2.58</v>
      </c>
      <c r="AP29">
        <v>5.83</v>
      </c>
      <c r="AQ29">
        <v>1.27</v>
      </c>
    </row>
    <row r="30" spans="1:43" x14ac:dyDescent="0.2">
      <c r="A30">
        <v>29</v>
      </c>
      <c r="B30" t="s">
        <v>86</v>
      </c>
      <c r="C30">
        <v>8.81</v>
      </c>
      <c r="D30">
        <v>3.47</v>
      </c>
      <c r="E30">
        <v>20665.05</v>
      </c>
      <c r="F30">
        <v>934193.31</v>
      </c>
      <c r="G30">
        <v>76804.52</v>
      </c>
      <c r="H30">
        <v>785817.88</v>
      </c>
      <c r="I30">
        <v>1494.25</v>
      </c>
      <c r="J30">
        <v>8564.73</v>
      </c>
      <c r="K30">
        <v>92696.71</v>
      </c>
      <c r="L30">
        <v>62.21</v>
      </c>
      <c r="M30">
        <v>16003.47</v>
      </c>
      <c r="N30">
        <v>192.41</v>
      </c>
      <c r="O30">
        <v>7135.28</v>
      </c>
      <c r="P30">
        <v>433401.66</v>
      </c>
      <c r="Q30">
        <v>0.89</v>
      </c>
      <c r="R30">
        <v>22.48</v>
      </c>
      <c r="S30">
        <v>723.17</v>
      </c>
      <c r="T30">
        <v>28.26</v>
      </c>
      <c r="U30">
        <v>275.98</v>
      </c>
      <c r="V30">
        <v>54.46</v>
      </c>
      <c r="W30">
        <v>0.20799999999999999</v>
      </c>
      <c r="X30">
        <v>280.27999999999997</v>
      </c>
      <c r="Y30">
        <v>38.67</v>
      </c>
      <c r="Z30">
        <v>86.5</v>
      </c>
      <c r="AA30">
        <v>9.9700000000000006</v>
      </c>
      <c r="AB30">
        <v>43.22</v>
      </c>
      <c r="AC30">
        <v>8.2799999999999994</v>
      </c>
      <c r="AD30">
        <v>2.3199999999999998</v>
      </c>
      <c r="AE30">
        <v>6.54</v>
      </c>
      <c r="AF30">
        <v>1.1200000000000001</v>
      </c>
      <c r="AG30">
        <v>5.3</v>
      </c>
      <c r="AH30">
        <v>0.97</v>
      </c>
      <c r="AI30">
        <v>2.57</v>
      </c>
      <c r="AJ30">
        <v>0.22800000000000001</v>
      </c>
      <c r="AK30">
        <v>2.35</v>
      </c>
      <c r="AL30">
        <v>0.28199999999999997</v>
      </c>
      <c r="AM30">
        <v>5.8</v>
      </c>
      <c r="AN30">
        <v>3.22</v>
      </c>
      <c r="AO30">
        <v>210.04</v>
      </c>
      <c r="AP30">
        <v>3.6</v>
      </c>
      <c r="AQ30">
        <v>0.87</v>
      </c>
    </row>
    <row r="31" spans="1:43" x14ac:dyDescent="0.2">
      <c r="A31">
        <v>30</v>
      </c>
      <c r="B31" t="s">
        <v>87</v>
      </c>
      <c r="C31">
        <v>6.83</v>
      </c>
      <c r="D31">
        <v>2.23</v>
      </c>
      <c r="E31">
        <v>21858.63</v>
      </c>
      <c r="F31">
        <v>171186.28</v>
      </c>
      <c r="G31">
        <v>56704.34</v>
      </c>
      <c r="H31">
        <v>255527.78</v>
      </c>
      <c r="I31">
        <v>2668.76</v>
      </c>
      <c r="J31">
        <v>10868.67</v>
      </c>
      <c r="K31">
        <v>83048.25</v>
      </c>
      <c r="L31">
        <v>24.5</v>
      </c>
      <c r="M31">
        <v>15787.53</v>
      </c>
      <c r="N31">
        <v>247.06</v>
      </c>
      <c r="O31">
        <v>2780.67</v>
      </c>
      <c r="P31">
        <v>144333.51999999999</v>
      </c>
      <c r="Q31">
        <v>0.98</v>
      </c>
      <c r="R31">
        <v>33.590000000000003</v>
      </c>
      <c r="S31">
        <v>1135.25</v>
      </c>
      <c r="T31">
        <v>33.21</v>
      </c>
      <c r="U31">
        <v>359.99</v>
      </c>
      <c r="V31">
        <v>107.88</v>
      </c>
      <c r="W31">
        <v>0.41</v>
      </c>
      <c r="X31">
        <v>519.37</v>
      </c>
      <c r="Y31">
        <v>76.7</v>
      </c>
      <c r="Z31">
        <v>162.44999999999999</v>
      </c>
      <c r="AA31">
        <v>18.940000000000001</v>
      </c>
      <c r="AB31">
        <v>67.08</v>
      </c>
      <c r="AC31">
        <v>11.54</v>
      </c>
      <c r="AD31">
        <v>3.39</v>
      </c>
      <c r="AE31">
        <v>8.3800000000000008</v>
      </c>
      <c r="AF31">
        <v>1.1100000000000001</v>
      </c>
      <c r="AG31">
        <v>5.61</v>
      </c>
      <c r="AH31">
        <v>1.2</v>
      </c>
      <c r="AI31">
        <v>2.98</v>
      </c>
      <c r="AJ31">
        <v>0.48099999999999998</v>
      </c>
      <c r="AK31">
        <v>2.63</v>
      </c>
      <c r="AL31">
        <v>0.32200000000000001</v>
      </c>
      <c r="AM31">
        <v>7.83</v>
      </c>
      <c r="AN31">
        <v>5.64</v>
      </c>
      <c r="AO31">
        <v>6.3</v>
      </c>
      <c r="AP31">
        <v>8.66</v>
      </c>
      <c r="AQ31">
        <v>2.2000000000000002</v>
      </c>
    </row>
    <row r="32" spans="1:43" x14ac:dyDescent="0.2">
      <c r="A32">
        <v>31</v>
      </c>
      <c r="B32" t="s">
        <v>88</v>
      </c>
      <c r="C32">
        <v>4</v>
      </c>
      <c r="D32">
        <v>2.16</v>
      </c>
      <c r="E32">
        <v>23147.86</v>
      </c>
      <c r="F32">
        <v>30517.71</v>
      </c>
      <c r="G32">
        <v>70238.509999999995</v>
      </c>
      <c r="H32">
        <v>188885.25</v>
      </c>
      <c r="I32">
        <v>2002.68</v>
      </c>
      <c r="J32">
        <v>9947.73</v>
      </c>
      <c r="K32">
        <v>91696.13</v>
      </c>
      <c r="L32">
        <v>29.19</v>
      </c>
      <c r="M32">
        <v>17651.560000000001</v>
      </c>
      <c r="N32">
        <v>300.63</v>
      </c>
      <c r="O32">
        <v>1021.94</v>
      </c>
      <c r="P32">
        <v>66192.479999999996</v>
      </c>
      <c r="Q32">
        <v>0.55000000000000004</v>
      </c>
      <c r="R32">
        <v>28.96</v>
      </c>
      <c r="S32">
        <v>811.48</v>
      </c>
      <c r="T32">
        <v>27.23</v>
      </c>
      <c r="U32">
        <v>262.64</v>
      </c>
      <c r="V32">
        <v>80.48</v>
      </c>
      <c r="W32">
        <v>0.35199999999999998</v>
      </c>
      <c r="X32">
        <v>352.6</v>
      </c>
      <c r="Y32">
        <v>61.1</v>
      </c>
      <c r="Z32">
        <v>112.73</v>
      </c>
      <c r="AA32">
        <v>13.31</v>
      </c>
      <c r="AB32">
        <v>54.41</v>
      </c>
      <c r="AC32">
        <v>8.23</v>
      </c>
      <c r="AD32">
        <v>2.73</v>
      </c>
      <c r="AE32">
        <v>7.48</v>
      </c>
      <c r="AF32">
        <v>0.99</v>
      </c>
      <c r="AG32">
        <v>5.69</v>
      </c>
      <c r="AH32">
        <v>0.91</v>
      </c>
      <c r="AI32">
        <v>2.37</v>
      </c>
      <c r="AJ32">
        <v>0.28899999999999998</v>
      </c>
      <c r="AK32">
        <v>2.2799999999999998</v>
      </c>
      <c r="AL32">
        <v>0.26700000000000002</v>
      </c>
      <c r="AM32">
        <v>5.94</v>
      </c>
      <c r="AN32">
        <v>4.38</v>
      </c>
      <c r="AO32">
        <v>6.21</v>
      </c>
      <c r="AP32">
        <v>6.38</v>
      </c>
      <c r="AQ32">
        <v>1.57</v>
      </c>
    </row>
    <row r="33" spans="1:43" x14ac:dyDescent="0.2">
      <c r="A33">
        <v>32</v>
      </c>
      <c r="B33" t="s">
        <v>89</v>
      </c>
      <c r="C33">
        <v>3.85</v>
      </c>
      <c r="D33">
        <v>1.84</v>
      </c>
      <c r="E33">
        <v>22209.82</v>
      </c>
      <c r="F33">
        <v>47221.54</v>
      </c>
      <c r="G33">
        <v>79121.88</v>
      </c>
      <c r="H33">
        <v>179522.22</v>
      </c>
      <c r="I33">
        <v>2518.96</v>
      </c>
      <c r="J33">
        <v>11851.35</v>
      </c>
      <c r="K33">
        <v>86836.160000000003</v>
      </c>
      <c r="L33">
        <v>33.33</v>
      </c>
      <c r="M33">
        <v>19434.41</v>
      </c>
      <c r="N33">
        <v>299.57</v>
      </c>
      <c r="O33">
        <v>1335.51</v>
      </c>
      <c r="P33">
        <v>75912.84</v>
      </c>
      <c r="Q33">
        <v>0.78</v>
      </c>
      <c r="R33">
        <v>34.97</v>
      </c>
      <c r="S33">
        <v>1063.01</v>
      </c>
      <c r="T33">
        <v>26.08</v>
      </c>
      <c r="U33">
        <v>371.67</v>
      </c>
      <c r="V33">
        <v>103.89</v>
      </c>
      <c r="W33">
        <v>0.42</v>
      </c>
      <c r="X33">
        <v>485.18</v>
      </c>
      <c r="Y33">
        <v>83.25</v>
      </c>
      <c r="Z33">
        <v>155.76</v>
      </c>
      <c r="AA33">
        <v>16.920000000000002</v>
      </c>
      <c r="AB33">
        <v>66.680000000000007</v>
      </c>
      <c r="AC33">
        <v>11.41</v>
      </c>
      <c r="AD33">
        <v>3.56</v>
      </c>
      <c r="AE33">
        <v>8.6300000000000008</v>
      </c>
      <c r="AF33">
        <v>1.06</v>
      </c>
      <c r="AG33">
        <v>5.7</v>
      </c>
      <c r="AH33">
        <v>0.96</v>
      </c>
      <c r="AI33">
        <v>2.8</v>
      </c>
      <c r="AJ33">
        <v>0.33100000000000002</v>
      </c>
      <c r="AK33">
        <v>1.7</v>
      </c>
      <c r="AL33">
        <v>0.28399999999999997</v>
      </c>
      <c r="AM33">
        <v>8.43</v>
      </c>
      <c r="AN33">
        <v>6.26</v>
      </c>
      <c r="AO33">
        <v>4.55</v>
      </c>
      <c r="AP33">
        <v>8.85</v>
      </c>
      <c r="AQ33">
        <v>2.21</v>
      </c>
    </row>
    <row r="34" spans="1:43" x14ac:dyDescent="0.2">
      <c r="A34">
        <v>33</v>
      </c>
      <c r="B34" t="s">
        <v>90</v>
      </c>
      <c r="C34">
        <v>8.7200000000000006</v>
      </c>
      <c r="D34">
        <v>3.28</v>
      </c>
      <c r="E34">
        <v>22005.23</v>
      </c>
      <c r="F34">
        <v>345789.88</v>
      </c>
      <c r="G34">
        <v>89052.79</v>
      </c>
      <c r="H34">
        <v>367506.34</v>
      </c>
      <c r="I34">
        <v>1779.55</v>
      </c>
      <c r="J34">
        <v>8443.4599999999991</v>
      </c>
      <c r="K34">
        <v>104346.32</v>
      </c>
      <c r="L34">
        <v>43.86</v>
      </c>
      <c r="M34">
        <v>24643.11</v>
      </c>
      <c r="N34">
        <v>413.84</v>
      </c>
      <c r="O34">
        <v>3291.38</v>
      </c>
      <c r="P34">
        <v>214254.89</v>
      </c>
      <c r="Q34">
        <v>0.45</v>
      </c>
      <c r="R34">
        <v>22.96</v>
      </c>
      <c r="S34">
        <v>829.22</v>
      </c>
      <c r="T34">
        <v>32</v>
      </c>
      <c r="U34">
        <v>306.02999999999997</v>
      </c>
      <c r="V34">
        <v>62.87</v>
      </c>
      <c r="W34">
        <v>0.29899999999999999</v>
      </c>
      <c r="X34">
        <v>332.29</v>
      </c>
      <c r="Y34">
        <v>47.08</v>
      </c>
      <c r="Z34">
        <v>101.16</v>
      </c>
      <c r="AA34">
        <v>12</v>
      </c>
      <c r="AB34">
        <v>49.76</v>
      </c>
      <c r="AC34">
        <v>9.42</v>
      </c>
      <c r="AD34">
        <v>2.99</v>
      </c>
      <c r="AE34">
        <v>8.49</v>
      </c>
      <c r="AF34">
        <v>1.1599999999999999</v>
      </c>
      <c r="AG34">
        <v>6.47</v>
      </c>
      <c r="AH34">
        <v>1.22</v>
      </c>
      <c r="AI34">
        <v>3.58</v>
      </c>
      <c r="AJ34">
        <v>0.45200000000000001</v>
      </c>
      <c r="AK34">
        <v>2.29</v>
      </c>
      <c r="AL34">
        <v>0.44600000000000001</v>
      </c>
      <c r="AM34">
        <v>6.9</v>
      </c>
      <c r="AN34">
        <v>4.28</v>
      </c>
      <c r="AO34">
        <v>63.2</v>
      </c>
      <c r="AP34">
        <v>4.7300000000000004</v>
      </c>
      <c r="AQ34">
        <v>1.35</v>
      </c>
    </row>
    <row r="35" spans="1:43" x14ac:dyDescent="0.2">
      <c r="A35">
        <v>34</v>
      </c>
      <c r="B35" t="s">
        <v>91</v>
      </c>
      <c r="C35">
        <v>5.53</v>
      </c>
      <c r="D35">
        <v>1.79</v>
      </c>
      <c r="E35">
        <v>22480.66</v>
      </c>
      <c r="F35">
        <v>396552.41</v>
      </c>
      <c r="G35">
        <v>99547.46</v>
      </c>
      <c r="H35">
        <v>386394.97</v>
      </c>
      <c r="I35">
        <v>1638.87</v>
      </c>
      <c r="J35">
        <v>7412.55</v>
      </c>
      <c r="K35">
        <v>104346.32</v>
      </c>
      <c r="L35">
        <v>37.92</v>
      </c>
      <c r="M35">
        <v>17688.560000000001</v>
      </c>
      <c r="N35">
        <v>256.10000000000002</v>
      </c>
      <c r="O35">
        <v>3018.95</v>
      </c>
      <c r="P35">
        <v>214394.05</v>
      </c>
      <c r="Q35">
        <v>0.61</v>
      </c>
      <c r="R35">
        <v>26.68</v>
      </c>
      <c r="S35">
        <v>1036.08</v>
      </c>
      <c r="T35">
        <v>40.340000000000003</v>
      </c>
      <c r="U35">
        <v>349.85</v>
      </c>
      <c r="V35">
        <v>58.66</v>
      </c>
      <c r="W35">
        <v>0.26100000000000001</v>
      </c>
      <c r="X35">
        <v>338.6</v>
      </c>
      <c r="Y35">
        <v>55.32</v>
      </c>
      <c r="Z35">
        <v>123.79</v>
      </c>
      <c r="AA35">
        <v>14.14</v>
      </c>
      <c r="AB35">
        <v>49.57</v>
      </c>
      <c r="AC35">
        <v>8.94</v>
      </c>
      <c r="AD35">
        <v>2.77</v>
      </c>
      <c r="AE35">
        <v>12.35</v>
      </c>
      <c r="AF35">
        <v>1.58</v>
      </c>
      <c r="AG35">
        <v>6.42</v>
      </c>
      <c r="AH35">
        <v>1.0900000000000001</v>
      </c>
      <c r="AI35">
        <v>3.17</v>
      </c>
      <c r="AJ35">
        <v>0.5</v>
      </c>
      <c r="AK35">
        <v>2.96</v>
      </c>
      <c r="AL35">
        <v>0.38500000000000001</v>
      </c>
      <c r="AM35">
        <v>6.91</v>
      </c>
      <c r="AN35">
        <v>4.4800000000000004</v>
      </c>
      <c r="AO35">
        <v>67.150000000000006</v>
      </c>
      <c r="AP35">
        <v>5.41</v>
      </c>
      <c r="AQ35">
        <v>1.1299999999999999</v>
      </c>
    </row>
    <row r="36" spans="1:43" x14ac:dyDescent="0.2">
      <c r="A36">
        <v>35</v>
      </c>
      <c r="B36" t="s">
        <v>92</v>
      </c>
      <c r="C36">
        <v>6.83</v>
      </c>
      <c r="D36">
        <v>0.98</v>
      </c>
      <c r="E36">
        <v>25126.95</v>
      </c>
      <c r="F36">
        <v>41962.77</v>
      </c>
      <c r="G36">
        <v>91401.65</v>
      </c>
      <c r="H36">
        <v>215230.17</v>
      </c>
      <c r="I36">
        <v>313.7</v>
      </c>
      <c r="J36">
        <v>2382.0300000000002</v>
      </c>
      <c r="K36">
        <v>105203.96</v>
      </c>
      <c r="L36">
        <v>42</v>
      </c>
      <c r="M36">
        <v>39363.47</v>
      </c>
      <c r="N36">
        <v>446.91</v>
      </c>
      <c r="O36">
        <v>1632.27</v>
      </c>
      <c r="P36">
        <v>85203.74</v>
      </c>
      <c r="Q36">
        <v>0.34</v>
      </c>
      <c r="R36">
        <v>9.9600000000000009</v>
      </c>
      <c r="S36">
        <v>239.14</v>
      </c>
      <c r="T36">
        <v>35.340000000000003</v>
      </c>
      <c r="U36">
        <v>177.26</v>
      </c>
      <c r="V36">
        <v>25.47</v>
      </c>
      <c r="W36">
        <v>0.121</v>
      </c>
      <c r="X36">
        <v>86.38</v>
      </c>
      <c r="Y36">
        <v>17.440000000000001</v>
      </c>
      <c r="Z36">
        <v>48.62</v>
      </c>
      <c r="AA36">
        <v>7.89</v>
      </c>
      <c r="AB36">
        <v>34.83</v>
      </c>
      <c r="AC36">
        <v>11.72</v>
      </c>
      <c r="AD36">
        <v>5.29</v>
      </c>
      <c r="AE36">
        <v>12.55</v>
      </c>
      <c r="AF36">
        <v>1.53</v>
      </c>
      <c r="AG36">
        <v>6.87</v>
      </c>
      <c r="AH36">
        <v>1.76</v>
      </c>
      <c r="AI36">
        <v>5.55</v>
      </c>
      <c r="AJ36">
        <v>0.56000000000000005</v>
      </c>
      <c r="AK36">
        <v>2.61</v>
      </c>
      <c r="AL36">
        <v>0.34799999999999998</v>
      </c>
      <c r="AM36">
        <v>4.71</v>
      </c>
      <c r="AN36">
        <v>2</v>
      </c>
      <c r="AO36">
        <v>5.12</v>
      </c>
      <c r="AP36">
        <v>0.73</v>
      </c>
      <c r="AQ36">
        <v>0.36099999999999999</v>
      </c>
    </row>
    <row r="37" spans="1:43" x14ac:dyDescent="0.2">
      <c r="A37">
        <v>36</v>
      </c>
      <c r="B37" t="s">
        <v>93</v>
      </c>
      <c r="C37">
        <v>4.92</v>
      </c>
      <c r="D37">
        <v>2.2200000000000002</v>
      </c>
      <c r="E37">
        <v>26567.15</v>
      </c>
      <c r="F37">
        <v>35922.89</v>
      </c>
      <c r="G37">
        <v>78532.41</v>
      </c>
      <c r="H37">
        <v>210859.67</v>
      </c>
      <c r="I37">
        <v>2333.7600000000002</v>
      </c>
      <c r="J37">
        <v>10033.14</v>
      </c>
      <c r="K37">
        <v>86478.8</v>
      </c>
      <c r="L37">
        <v>31.45</v>
      </c>
      <c r="M37">
        <v>18796.189999999999</v>
      </c>
      <c r="N37">
        <v>266.58999999999997</v>
      </c>
      <c r="O37">
        <v>1221.1600000000001</v>
      </c>
      <c r="P37">
        <v>77237.990000000005</v>
      </c>
      <c r="Q37">
        <v>0.75</v>
      </c>
      <c r="R37">
        <v>28.07</v>
      </c>
      <c r="S37">
        <v>799.57</v>
      </c>
      <c r="T37">
        <v>28.16</v>
      </c>
      <c r="U37">
        <v>290.88</v>
      </c>
      <c r="V37">
        <v>67.48</v>
      </c>
      <c r="W37">
        <v>0.3</v>
      </c>
      <c r="X37">
        <v>351.95</v>
      </c>
      <c r="Y37">
        <v>48.43</v>
      </c>
      <c r="Z37">
        <v>102.62</v>
      </c>
      <c r="AA37">
        <v>12.34</v>
      </c>
      <c r="AB37">
        <v>50.27</v>
      </c>
      <c r="AC37">
        <v>9.86</v>
      </c>
      <c r="AD37">
        <v>3.03</v>
      </c>
      <c r="AE37">
        <v>8.26</v>
      </c>
      <c r="AF37">
        <v>1.1100000000000001</v>
      </c>
      <c r="AG37">
        <v>6.07</v>
      </c>
      <c r="AH37">
        <v>1.05</v>
      </c>
      <c r="AI37">
        <v>2.73</v>
      </c>
      <c r="AJ37">
        <v>0.376</v>
      </c>
      <c r="AK37">
        <v>2.02</v>
      </c>
      <c r="AL37">
        <v>0.25800000000000001</v>
      </c>
      <c r="AM37">
        <v>6.93</v>
      </c>
      <c r="AN37">
        <v>4.0999999999999996</v>
      </c>
      <c r="AO37">
        <v>18.829999999999998</v>
      </c>
      <c r="AP37">
        <v>4.9800000000000004</v>
      </c>
      <c r="AQ37">
        <v>1.32</v>
      </c>
    </row>
    <row r="38" spans="1:43" x14ac:dyDescent="0.2">
      <c r="A38">
        <v>37</v>
      </c>
      <c r="B38" t="s">
        <v>94</v>
      </c>
      <c r="C38">
        <v>4.4800000000000004</v>
      </c>
      <c r="D38">
        <v>2.2400000000000002</v>
      </c>
      <c r="E38">
        <v>16538.59</v>
      </c>
      <c r="F38">
        <v>41223.550000000003</v>
      </c>
      <c r="G38">
        <v>67925.31</v>
      </c>
      <c r="H38">
        <v>230785.91</v>
      </c>
      <c r="I38">
        <v>963.73</v>
      </c>
      <c r="J38">
        <v>4043.26</v>
      </c>
      <c r="K38">
        <v>77901.69</v>
      </c>
      <c r="L38">
        <v>31.62</v>
      </c>
      <c r="M38">
        <v>14438.25</v>
      </c>
      <c r="N38">
        <v>281.27</v>
      </c>
      <c r="O38">
        <v>1156.76</v>
      </c>
      <c r="P38">
        <v>75409.52</v>
      </c>
      <c r="Q38">
        <v>0.124</v>
      </c>
      <c r="R38">
        <v>8.5</v>
      </c>
      <c r="S38">
        <v>341</v>
      </c>
      <c r="T38">
        <v>26.36</v>
      </c>
      <c r="U38">
        <v>155.91999999999999</v>
      </c>
      <c r="V38">
        <v>13.88</v>
      </c>
      <c r="W38">
        <v>0.127</v>
      </c>
      <c r="X38">
        <v>107.87</v>
      </c>
      <c r="Y38">
        <v>11.96</v>
      </c>
      <c r="Z38">
        <v>29.97</v>
      </c>
      <c r="AA38">
        <v>4.4000000000000004</v>
      </c>
      <c r="AB38">
        <v>21</v>
      </c>
      <c r="AC38">
        <v>5.39</v>
      </c>
      <c r="AD38">
        <v>1.72</v>
      </c>
      <c r="AE38">
        <v>5.81</v>
      </c>
      <c r="AF38">
        <v>0.84199999999999997</v>
      </c>
      <c r="AG38">
        <v>5.2</v>
      </c>
      <c r="AH38">
        <v>0.9</v>
      </c>
      <c r="AI38">
        <v>2.23</v>
      </c>
      <c r="AJ38">
        <v>0.315</v>
      </c>
      <c r="AK38">
        <v>2.23</v>
      </c>
      <c r="AL38">
        <v>0.29199999999999998</v>
      </c>
      <c r="AM38">
        <v>3.91</v>
      </c>
      <c r="AN38">
        <v>0.89</v>
      </c>
      <c r="AO38">
        <v>1.88</v>
      </c>
      <c r="AP38">
        <v>1.02</v>
      </c>
      <c r="AQ38">
        <v>0.438</v>
      </c>
    </row>
    <row r="39" spans="1:43" x14ac:dyDescent="0.2">
      <c r="A39">
        <v>38</v>
      </c>
      <c r="B39" t="s">
        <v>95</v>
      </c>
      <c r="C39">
        <v>8.93</v>
      </c>
      <c r="D39">
        <v>15</v>
      </c>
      <c r="E39">
        <v>6291.95</v>
      </c>
      <c r="F39">
        <v>139167.44</v>
      </c>
      <c r="G39">
        <v>56518.28</v>
      </c>
      <c r="H39">
        <v>210152.63</v>
      </c>
      <c r="I39">
        <v>125.28</v>
      </c>
      <c r="J39">
        <v>175.82</v>
      </c>
      <c r="K39">
        <v>60392.23</v>
      </c>
      <c r="L39">
        <v>33.479999999999997</v>
      </c>
      <c r="M39">
        <v>1809.47</v>
      </c>
      <c r="N39">
        <v>228.15</v>
      </c>
      <c r="O39">
        <v>1230.28</v>
      </c>
      <c r="P39">
        <v>81603.91</v>
      </c>
      <c r="Q39">
        <v>0.14499999999999999</v>
      </c>
      <c r="R39">
        <v>2.04</v>
      </c>
      <c r="S39">
        <v>15.38</v>
      </c>
      <c r="T39">
        <v>12.05</v>
      </c>
      <c r="U39">
        <v>9.11</v>
      </c>
      <c r="V39">
        <v>4.3999999999999997E-2</v>
      </c>
      <c r="W39">
        <v>7.8</v>
      </c>
      <c r="X39">
        <v>0.81100000000000005</v>
      </c>
      <c r="Y39">
        <v>7.9000000000000001E-2</v>
      </c>
      <c r="Z39">
        <v>0.35399999999999998</v>
      </c>
      <c r="AA39">
        <v>8.48E-2</v>
      </c>
      <c r="AB39">
        <v>0.56299999999999994</v>
      </c>
      <c r="AC39">
        <v>0.48099999999999998</v>
      </c>
      <c r="AD39">
        <v>0.254</v>
      </c>
      <c r="AE39">
        <v>1.1100000000000001</v>
      </c>
      <c r="AF39">
        <v>0.23100000000000001</v>
      </c>
      <c r="AG39">
        <v>2.13</v>
      </c>
      <c r="AH39">
        <v>0.44600000000000001</v>
      </c>
      <c r="AI39">
        <v>1.42</v>
      </c>
      <c r="AJ39">
        <v>0.22600000000000001</v>
      </c>
      <c r="AK39">
        <v>1.42</v>
      </c>
      <c r="AL39">
        <v>0.20399999999999999</v>
      </c>
      <c r="AM39">
        <v>0.36199999999999999</v>
      </c>
      <c r="AN39">
        <v>2.0199999999999999E-2</v>
      </c>
      <c r="AO39">
        <v>21.97</v>
      </c>
      <c r="AP39">
        <v>5.8999999999999999E-3</v>
      </c>
      <c r="AQ39">
        <v>5.0999999999999997E-2</v>
      </c>
    </row>
    <row r="40" spans="1:43" x14ac:dyDescent="0.2">
      <c r="A40">
        <v>39</v>
      </c>
      <c r="B40" t="s">
        <v>97</v>
      </c>
      <c r="C40">
        <v>5.07</v>
      </c>
      <c r="D40">
        <v>2.2799999999999998</v>
      </c>
      <c r="E40">
        <v>17274.14</v>
      </c>
      <c r="F40">
        <v>43054.39</v>
      </c>
      <c r="G40">
        <v>68768.38</v>
      </c>
      <c r="H40">
        <v>238980.2</v>
      </c>
      <c r="I40">
        <v>1008.25</v>
      </c>
      <c r="J40">
        <v>4070.78</v>
      </c>
      <c r="K40">
        <v>77901.679999999993</v>
      </c>
      <c r="L40">
        <v>32.54</v>
      </c>
      <c r="M40">
        <v>15758.94</v>
      </c>
      <c r="N40">
        <v>313.24</v>
      </c>
      <c r="O40">
        <v>1277.02</v>
      </c>
      <c r="P40">
        <v>82468.350000000006</v>
      </c>
      <c r="Q40">
        <v>0.22</v>
      </c>
      <c r="R40">
        <v>8.7899999999999991</v>
      </c>
      <c r="S40">
        <v>347.28</v>
      </c>
      <c r="T40">
        <v>25.28</v>
      </c>
      <c r="U40">
        <v>146.94</v>
      </c>
      <c r="V40">
        <v>15.23</v>
      </c>
      <c r="W40">
        <v>0.13200000000000001</v>
      </c>
      <c r="X40">
        <v>122.1</v>
      </c>
      <c r="Y40">
        <v>13.01</v>
      </c>
      <c r="Z40">
        <v>31.82</v>
      </c>
      <c r="AA40">
        <v>4.59</v>
      </c>
      <c r="AB40">
        <v>21.38</v>
      </c>
      <c r="AC40">
        <v>5.44</v>
      </c>
      <c r="AD40">
        <v>1.95</v>
      </c>
      <c r="AE40">
        <v>6.02</v>
      </c>
      <c r="AF40">
        <v>0.87</v>
      </c>
      <c r="AG40">
        <v>5.0599999999999996</v>
      </c>
      <c r="AH40">
        <v>1</v>
      </c>
      <c r="AI40">
        <v>2.5299999999999998</v>
      </c>
      <c r="AJ40">
        <v>0.32</v>
      </c>
      <c r="AK40">
        <v>1.97</v>
      </c>
      <c r="AL40">
        <v>0.28499999999999998</v>
      </c>
      <c r="AM40">
        <v>4.1399999999999997</v>
      </c>
      <c r="AN40">
        <v>0.92</v>
      </c>
      <c r="AO40">
        <v>2.13</v>
      </c>
      <c r="AP40">
        <v>1.01</v>
      </c>
      <c r="AQ40">
        <v>0.47399999999999998</v>
      </c>
    </row>
    <row r="41" spans="1:43" x14ac:dyDescent="0.2">
      <c r="A41">
        <v>40</v>
      </c>
      <c r="B41" t="s">
        <v>98</v>
      </c>
      <c r="C41">
        <v>4.99</v>
      </c>
      <c r="D41">
        <v>2.4700000000000002</v>
      </c>
      <c r="E41">
        <v>17742.599999999999</v>
      </c>
      <c r="F41">
        <v>43981.13</v>
      </c>
      <c r="G41">
        <v>69712.149999999994</v>
      </c>
      <c r="H41">
        <v>240256.08</v>
      </c>
      <c r="I41">
        <v>1042.94</v>
      </c>
      <c r="J41">
        <v>3973.53</v>
      </c>
      <c r="K41">
        <v>77901.69</v>
      </c>
      <c r="L41">
        <v>31.49</v>
      </c>
      <c r="M41">
        <v>15681.25</v>
      </c>
      <c r="N41">
        <v>310.45999999999998</v>
      </c>
      <c r="O41">
        <v>1267.8599999999999</v>
      </c>
      <c r="P41">
        <v>84367.95</v>
      </c>
      <c r="Q41">
        <v>0.155</v>
      </c>
      <c r="R41">
        <v>8.93</v>
      </c>
      <c r="S41">
        <v>352.89</v>
      </c>
      <c r="T41">
        <v>24.92</v>
      </c>
      <c r="U41">
        <v>148.61000000000001</v>
      </c>
      <c r="V41">
        <v>14.96</v>
      </c>
      <c r="W41">
        <v>0.126</v>
      </c>
      <c r="X41">
        <v>119.61</v>
      </c>
      <c r="Y41">
        <v>12.62</v>
      </c>
      <c r="Z41">
        <v>32.14</v>
      </c>
      <c r="AA41">
        <v>4.4400000000000004</v>
      </c>
      <c r="AB41">
        <v>20.11</v>
      </c>
      <c r="AC41">
        <v>5.31</v>
      </c>
      <c r="AD41">
        <v>1.91</v>
      </c>
      <c r="AE41">
        <v>5.7</v>
      </c>
      <c r="AF41">
        <v>0.86399999999999999</v>
      </c>
      <c r="AG41">
        <v>5.03</v>
      </c>
      <c r="AH41">
        <v>0.9</v>
      </c>
      <c r="AI41">
        <v>2.5499999999999998</v>
      </c>
      <c r="AJ41">
        <v>0.34</v>
      </c>
      <c r="AK41">
        <v>2.06</v>
      </c>
      <c r="AL41">
        <v>0.32300000000000001</v>
      </c>
      <c r="AM41">
        <v>3.97</v>
      </c>
      <c r="AN41">
        <v>0.9</v>
      </c>
      <c r="AO41">
        <v>2.06</v>
      </c>
      <c r="AP41">
        <v>1.03</v>
      </c>
      <c r="AQ41">
        <v>0.502</v>
      </c>
    </row>
    <row r="42" spans="1:43" x14ac:dyDescent="0.2">
      <c r="A42">
        <v>41</v>
      </c>
      <c r="B42" t="s">
        <v>99</v>
      </c>
      <c r="C42">
        <v>5.13</v>
      </c>
      <c r="D42">
        <v>2.9</v>
      </c>
      <c r="E42">
        <v>17731.5</v>
      </c>
      <c r="F42">
        <v>44485.9</v>
      </c>
      <c r="G42">
        <v>68889.89</v>
      </c>
      <c r="H42">
        <v>237803.67</v>
      </c>
      <c r="I42">
        <v>1026.99</v>
      </c>
      <c r="J42">
        <v>4027.16</v>
      </c>
      <c r="K42">
        <v>77901.69</v>
      </c>
      <c r="L42">
        <v>31.07</v>
      </c>
      <c r="M42">
        <v>15243.38</v>
      </c>
      <c r="N42">
        <v>309.66000000000003</v>
      </c>
      <c r="O42">
        <v>1275.52</v>
      </c>
      <c r="P42">
        <v>85911.7</v>
      </c>
      <c r="Q42">
        <v>0.16500000000000001</v>
      </c>
      <c r="R42">
        <v>8.64</v>
      </c>
      <c r="S42">
        <v>350.88</v>
      </c>
      <c r="T42">
        <v>24.52</v>
      </c>
      <c r="U42">
        <v>148.25</v>
      </c>
      <c r="V42">
        <v>14.96</v>
      </c>
      <c r="W42">
        <v>0.10199999999999999</v>
      </c>
      <c r="X42">
        <v>120.9</v>
      </c>
      <c r="Y42">
        <v>12.85</v>
      </c>
      <c r="Z42">
        <v>31.96</v>
      </c>
      <c r="AA42">
        <v>4.43</v>
      </c>
      <c r="AB42">
        <v>20.59</v>
      </c>
      <c r="AC42">
        <v>5.16</v>
      </c>
      <c r="AD42">
        <v>1.86</v>
      </c>
      <c r="AE42">
        <v>6.07</v>
      </c>
      <c r="AF42">
        <v>0.85399999999999998</v>
      </c>
      <c r="AG42">
        <v>4.7699999999999996</v>
      </c>
      <c r="AH42">
        <v>0.93</v>
      </c>
      <c r="AI42">
        <v>2.5299999999999998</v>
      </c>
      <c r="AJ42">
        <v>0.315</v>
      </c>
      <c r="AK42">
        <v>2.0699999999999998</v>
      </c>
      <c r="AL42">
        <v>0.25600000000000001</v>
      </c>
      <c r="AM42">
        <v>3.59</v>
      </c>
      <c r="AN42">
        <v>0.92</v>
      </c>
      <c r="AO42">
        <v>2.09</v>
      </c>
      <c r="AP42">
        <v>1</v>
      </c>
      <c r="AQ42">
        <v>0.51400000000000001</v>
      </c>
    </row>
    <row r="43" spans="1:43" x14ac:dyDescent="0.2">
      <c r="A43">
        <v>42</v>
      </c>
      <c r="B43" t="s">
        <v>100</v>
      </c>
      <c r="C43">
        <v>9.24</v>
      </c>
      <c r="D43">
        <v>17.88</v>
      </c>
      <c r="E43">
        <v>4404.8999999999996</v>
      </c>
      <c r="F43">
        <v>141464.01999999999</v>
      </c>
      <c r="G43">
        <v>52126.84</v>
      </c>
      <c r="H43">
        <v>197711.66</v>
      </c>
      <c r="I43">
        <v>80.03</v>
      </c>
      <c r="J43">
        <v>206.4</v>
      </c>
      <c r="K43">
        <v>44597.33</v>
      </c>
      <c r="L43">
        <v>29.57</v>
      </c>
      <c r="M43">
        <v>1726.76</v>
      </c>
      <c r="N43">
        <v>186.72</v>
      </c>
      <c r="O43">
        <v>1363.61</v>
      </c>
      <c r="P43">
        <v>76592.479999999996</v>
      </c>
      <c r="Q43">
        <v>6.4000000000000001E-2</v>
      </c>
      <c r="R43">
        <v>0.36399999999999999</v>
      </c>
      <c r="S43">
        <v>29.94</v>
      </c>
      <c r="T43">
        <v>11</v>
      </c>
      <c r="U43">
        <v>8.98</v>
      </c>
      <c r="V43">
        <v>9.7000000000000003E-2</v>
      </c>
      <c r="W43">
        <v>0.19400000000000001</v>
      </c>
      <c r="X43">
        <v>1.02</v>
      </c>
      <c r="Y43">
        <v>0.113</v>
      </c>
      <c r="Z43">
        <v>0.45300000000000001</v>
      </c>
      <c r="AA43">
        <v>7.6700000000000004E-2</v>
      </c>
      <c r="AB43">
        <v>0.72399999999999998</v>
      </c>
      <c r="AC43">
        <v>0.505</v>
      </c>
      <c r="AD43">
        <v>0.27100000000000002</v>
      </c>
      <c r="AE43">
        <v>1.0900000000000001</v>
      </c>
      <c r="AF43">
        <v>0.23400000000000001</v>
      </c>
      <c r="AG43">
        <v>1.82</v>
      </c>
      <c r="AH43">
        <v>0.40100000000000002</v>
      </c>
      <c r="AI43">
        <v>1.32</v>
      </c>
      <c r="AJ43">
        <v>0.156</v>
      </c>
      <c r="AK43">
        <v>1.18</v>
      </c>
      <c r="AL43">
        <v>0.16700000000000001</v>
      </c>
      <c r="AM43">
        <v>0.34399999999999997</v>
      </c>
      <c r="AN43">
        <v>1.66E-2</v>
      </c>
      <c r="AO43">
        <v>0.31</v>
      </c>
      <c r="AP43">
        <v>5.7000000000000002E-3</v>
      </c>
      <c r="AQ43">
        <v>9.4999999999999998E-3</v>
      </c>
    </row>
    <row r="44" spans="1:43" x14ac:dyDescent="0.2">
      <c r="A44">
        <v>43</v>
      </c>
      <c r="B44" t="s">
        <v>103</v>
      </c>
      <c r="C44">
        <v>9.7899999999999991</v>
      </c>
      <c r="D44">
        <v>2.62</v>
      </c>
      <c r="E44">
        <v>44626.879999999997</v>
      </c>
      <c r="F44">
        <v>59173.95</v>
      </c>
      <c r="G44">
        <v>106219.51</v>
      </c>
      <c r="H44">
        <v>253006.88</v>
      </c>
      <c r="I44">
        <v>3797.93</v>
      </c>
      <c r="J44">
        <v>22731.52</v>
      </c>
      <c r="K44">
        <v>64751.9</v>
      </c>
      <c r="L44">
        <v>16.170000000000002</v>
      </c>
      <c r="M44">
        <v>20015.580000000002</v>
      </c>
      <c r="N44">
        <v>176.06</v>
      </c>
      <c r="O44">
        <v>1745.18</v>
      </c>
      <c r="P44">
        <v>77952.2</v>
      </c>
      <c r="Q44">
        <v>1.01</v>
      </c>
      <c r="R44">
        <v>69.05</v>
      </c>
      <c r="S44">
        <v>1197.3599999999999</v>
      </c>
      <c r="T44">
        <v>39.479999999999997</v>
      </c>
      <c r="U44">
        <v>460.83</v>
      </c>
      <c r="V44">
        <v>143.83000000000001</v>
      </c>
      <c r="W44">
        <v>0.57999999999999996</v>
      </c>
      <c r="X44">
        <v>697.19</v>
      </c>
      <c r="Y44">
        <v>111.63</v>
      </c>
      <c r="Z44">
        <v>237.74</v>
      </c>
      <c r="AA44">
        <v>26.36</v>
      </c>
      <c r="AB44">
        <v>92</v>
      </c>
      <c r="AC44">
        <v>13.79</v>
      </c>
      <c r="AD44">
        <v>4.3499999999999996</v>
      </c>
      <c r="AE44">
        <v>11.63</v>
      </c>
      <c r="AF44">
        <v>1.68</v>
      </c>
      <c r="AG44">
        <v>8.1</v>
      </c>
      <c r="AH44">
        <v>1.43</v>
      </c>
      <c r="AI44">
        <v>3.5</v>
      </c>
      <c r="AJ44">
        <v>0.53</v>
      </c>
      <c r="AK44">
        <v>3.58</v>
      </c>
      <c r="AL44">
        <v>0.42699999999999999</v>
      </c>
      <c r="AM44">
        <v>8.2100000000000009</v>
      </c>
      <c r="AN44">
        <v>8.65</v>
      </c>
      <c r="AO44">
        <v>10.37</v>
      </c>
      <c r="AP44">
        <v>11.27</v>
      </c>
      <c r="AQ44">
        <v>2.9</v>
      </c>
    </row>
    <row r="45" spans="1:43" x14ac:dyDescent="0.2">
      <c r="A45">
        <v>44</v>
      </c>
      <c r="B45" t="s">
        <v>104</v>
      </c>
      <c r="C45">
        <v>4.3</v>
      </c>
      <c r="D45">
        <v>2.3199999999999998</v>
      </c>
      <c r="E45">
        <v>27329.81</v>
      </c>
      <c r="F45">
        <v>21154.34</v>
      </c>
      <c r="G45">
        <v>81745.2</v>
      </c>
      <c r="H45">
        <v>190084.97</v>
      </c>
      <c r="I45">
        <v>4388.04</v>
      </c>
      <c r="J45">
        <v>8578.81</v>
      </c>
      <c r="K45">
        <v>114137.73</v>
      </c>
      <c r="L45">
        <v>34.869999999999997</v>
      </c>
      <c r="M45">
        <v>23252.36</v>
      </c>
      <c r="N45">
        <v>350.26</v>
      </c>
      <c r="O45">
        <v>966.41</v>
      </c>
      <c r="P45">
        <v>58572.9</v>
      </c>
      <c r="Q45">
        <v>0.4</v>
      </c>
      <c r="R45">
        <v>22.02</v>
      </c>
      <c r="S45">
        <v>633.70000000000005</v>
      </c>
      <c r="T45">
        <v>28.57</v>
      </c>
      <c r="U45">
        <v>224.41</v>
      </c>
      <c r="V45">
        <v>41.96</v>
      </c>
      <c r="W45">
        <v>0.28100000000000003</v>
      </c>
      <c r="X45">
        <v>275.02999999999997</v>
      </c>
      <c r="Y45">
        <v>27.44</v>
      </c>
      <c r="Z45">
        <v>64.62</v>
      </c>
      <c r="AA45">
        <v>9.07</v>
      </c>
      <c r="AB45">
        <v>41.34</v>
      </c>
      <c r="AC45">
        <v>9.3000000000000007</v>
      </c>
      <c r="AD45">
        <v>2.94</v>
      </c>
      <c r="AE45">
        <v>8.1300000000000008</v>
      </c>
      <c r="AF45">
        <v>1.08</v>
      </c>
      <c r="AG45">
        <v>5.86</v>
      </c>
      <c r="AH45">
        <v>1.17</v>
      </c>
      <c r="AI45">
        <v>2.71</v>
      </c>
      <c r="AJ45">
        <v>0.41799999999999998</v>
      </c>
      <c r="AK45">
        <v>2.34</v>
      </c>
      <c r="AL45">
        <v>0.309</v>
      </c>
      <c r="AM45">
        <v>5.44</v>
      </c>
      <c r="AN45">
        <v>2.56</v>
      </c>
      <c r="AO45">
        <v>2.8</v>
      </c>
      <c r="AP45">
        <v>2.4</v>
      </c>
      <c r="AQ45">
        <v>0.86</v>
      </c>
    </row>
    <row r="46" spans="1:43" x14ac:dyDescent="0.2">
      <c r="A46">
        <v>45</v>
      </c>
      <c r="B46" t="s">
        <v>105</v>
      </c>
      <c r="C46">
        <v>6.87</v>
      </c>
      <c r="D46">
        <v>3.75</v>
      </c>
      <c r="E46">
        <v>33087.269999999997</v>
      </c>
      <c r="F46">
        <v>40047.360000000001</v>
      </c>
      <c r="G46">
        <v>96657.41</v>
      </c>
      <c r="H46">
        <v>224707.58</v>
      </c>
      <c r="I46">
        <v>6166.63</v>
      </c>
      <c r="J46">
        <v>35982.239999999998</v>
      </c>
      <c r="K46">
        <v>76830.34</v>
      </c>
      <c r="L46">
        <v>22.48</v>
      </c>
      <c r="M46">
        <v>13132.22</v>
      </c>
      <c r="N46">
        <v>313.52</v>
      </c>
      <c r="O46">
        <v>1453.86</v>
      </c>
      <c r="P46">
        <v>74932.47</v>
      </c>
      <c r="Q46">
        <v>1.45</v>
      </c>
      <c r="R46">
        <v>121.2</v>
      </c>
      <c r="S46">
        <v>2279.12</v>
      </c>
      <c r="T46">
        <v>32.229999999999997</v>
      </c>
      <c r="U46">
        <v>459.44</v>
      </c>
      <c r="V46">
        <v>250.89</v>
      </c>
      <c r="W46">
        <v>1.49</v>
      </c>
      <c r="X46">
        <v>1424.14</v>
      </c>
      <c r="Y46">
        <v>133.38999999999999</v>
      </c>
      <c r="Z46">
        <v>199.02</v>
      </c>
      <c r="AA46">
        <v>19.07</v>
      </c>
      <c r="AB46">
        <v>63.42</v>
      </c>
      <c r="AC46">
        <v>10.39</v>
      </c>
      <c r="AD46">
        <v>3.22</v>
      </c>
      <c r="AE46">
        <v>8</v>
      </c>
      <c r="AF46">
        <v>1.03</v>
      </c>
      <c r="AG46">
        <v>6.2</v>
      </c>
      <c r="AH46">
        <v>1.27</v>
      </c>
      <c r="AI46">
        <v>3.54</v>
      </c>
      <c r="AJ46">
        <v>0.47</v>
      </c>
      <c r="AK46">
        <v>3.54</v>
      </c>
      <c r="AL46">
        <v>0.51500000000000001</v>
      </c>
      <c r="AM46">
        <v>10.88</v>
      </c>
      <c r="AN46">
        <v>16.64</v>
      </c>
      <c r="AO46">
        <v>11.58</v>
      </c>
      <c r="AP46">
        <v>22.82</v>
      </c>
      <c r="AQ46">
        <v>5.63</v>
      </c>
    </row>
    <row r="47" spans="1:43" x14ac:dyDescent="0.2">
      <c r="A47">
        <v>46</v>
      </c>
      <c r="B47" t="s">
        <v>106</v>
      </c>
      <c r="C47">
        <v>5.87</v>
      </c>
      <c r="D47">
        <v>2.75</v>
      </c>
      <c r="E47">
        <v>30135.31</v>
      </c>
      <c r="F47">
        <v>32786.870000000003</v>
      </c>
      <c r="G47">
        <v>86921.61</v>
      </c>
      <c r="H47">
        <v>211769.61</v>
      </c>
      <c r="I47">
        <v>1809.58</v>
      </c>
      <c r="J47">
        <v>9777.27</v>
      </c>
      <c r="K47">
        <v>108420.13</v>
      </c>
      <c r="L47">
        <v>35.08</v>
      </c>
      <c r="M47">
        <v>21476.94</v>
      </c>
      <c r="N47">
        <v>331.23</v>
      </c>
      <c r="O47">
        <v>1091.1099999999999</v>
      </c>
      <c r="P47">
        <v>64955.32</v>
      </c>
      <c r="Q47">
        <v>0.94</v>
      </c>
      <c r="R47">
        <v>37.14</v>
      </c>
      <c r="S47">
        <v>1083.29</v>
      </c>
      <c r="T47">
        <v>28.8</v>
      </c>
      <c r="U47">
        <v>374.14</v>
      </c>
      <c r="V47">
        <v>109.45</v>
      </c>
      <c r="W47">
        <v>0.52</v>
      </c>
      <c r="X47">
        <v>486.48</v>
      </c>
      <c r="Y47">
        <v>81.540000000000006</v>
      </c>
      <c r="Z47">
        <v>158.46</v>
      </c>
      <c r="AA47">
        <v>16.78</v>
      </c>
      <c r="AB47">
        <v>60.77</v>
      </c>
      <c r="AC47">
        <v>9.9499999999999993</v>
      </c>
      <c r="AD47">
        <v>3.32</v>
      </c>
      <c r="AE47">
        <v>8.51</v>
      </c>
      <c r="AF47">
        <v>1.0900000000000001</v>
      </c>
      <c r="AG47">
        <v>6.53</v>
      </c>
      <c r="AH47">
        <v>1.1399999999999999</v>
      </c>
      <c r="AI47">
        <v>2.66</v>
      </c>
      <c r="AJ47">
        <v>0.371</v>
      </c>
      <c r="AK47">
        <v>2.31</v>
      </c>
      <c r="AL47">
        <v>0.28199999999999997</v>
      </c>
      <c r="AM47">
        <v>8.81</v>
      </c>
      <c r="AN47">
        <v>6.35</v>
      </c>
      <c r="AO47">
        <v>3.79</v>
      </c>
      <c r="AP47">
        <v>9.51</v>
      </c>
      <c r="AQ47">
        <v>2.63</v>
      </c>
    </row>
    <row r="48" spans="1:43" x14ac:dyDescent="0.2">
      <c r="A48">
        <v>47</v>
      </c>
      <c r="B48" t="s">
        <v>107</v>
      </c>
      <c r="C48">
        <v>5.53</v>
      </c>
      <c r="D48">
        <v>2.92</v>
      </c>
      <c r="E48">
        <v>31089.67</v>
      </c>
      <c r="F48">
        <v>87649.75</v>
      </c>
      <c r="G48">
        <v>86524.04</v>
      </c>
      <c r="H48">
        <v>258177.17</v>
      </c>
      <c r="I48">
        <v>1951.97</v>
      </c>
      <c r="J48">
        <v>10592.96</v>
      </c>
      <c r="K48">
        <v>112350.98</v>
      </c>
      <c r="L48">
        <v>41.18</v>
      </c>
      <c r="M48">
        <v>20577.349999999999</v>
      </c>
      <c r="N48">
        <v>301.14</v>
      </c>
      <c r="O48">
        <v>1535.05</v>
      </c>
      <c r="P48">
        <v>113570.77</v>
      </c>
      <c r="Q48">
        <v>0.96</v>
      </c>
      <c r="R48">
        <v>37.590000000000003</v>
      </c>
      <c r="S48">
        <v>990.34</v>
      </c>
      <c r="T48">
        <v>26.62</v>
      </c>
      <c r="U48">
        <v>390.05</v>
      </c>
      <c r="V48">
        <v>96.9</v>
      </c>
      <c r="W48">
        <v>0.51</v>
      </c>
      <c r="X48">
        <v>480.95</v>
      </c>
      <c r="Y48">
        <v>89.43</v>
      </c>
      <c r="Z48">
        <v>154.11000000000001</v>
      </c>
      <c r="AA48">
        <v>16.670000000000002</v>
      </c>
      <c r="AB48">
        <v>61.77</v>
      </c>
      <c r="AC48">
        <v>9.27</v>
      </c>
      <c r="AD48">
        <v>2.86</v>
      </c>
      <c r="AE48">
        <v>9.6199999999999992</v>
      </c>
      <c r="AF48">
        <v>1.0900000000000001</v>
      </c>
      <c r="AG48">
        <v>6.77</v>
      </c>
      <c r="AH48">
        <v>1.36</v>
      </c>
      <c r="AI48">
        <v>3.48</v>
      </c>
      <c r="AJ48">
        <v>0.42</v>
      </c>
      <c r="AK48">
        <v>1.93</v>
      </c>
      <c r="AL48">
        <v>0.38300000000000001</v>
      </c>
      <c r="AM48">
        <v>10.54</v>
      </c>
      <c r="AN48">
        <v>6.91</v>
      </c>
      <c r="AO48">
        <v>4.26</v>
      </c>
      <c r="AP48">
        <v>10.029999999999999</v>
      </c>
      <c r="AQ48">
        <v>2.4</v>
      </c>
    </row>
    <row r="49" spans="1:43" x14ac:dyDescent="0.2">
      <c r="A49">
        <v>48</v>
      </c>
      <c r="B49" t="s">
        <v>108</v>
      </c>
      <c r="C49">
        <v>6.25</v>
      </c>
      <c r="D49">
        <v>3.88</v>
      </c>
      <c r="E49">
        <v>40759.39</v>
      </c>
      <c r="F49">
        <v>50641.32</v>
      </c>
      <c r="G49">
        <v>94393.63</v>
      </c>
      <c r="H49">
        <v>310093.81</v>
      </c>
      <c r="I49">
        <v>2735.54</v>
      </c>
      <c r="J49">
        <v>13822.55</v>
      </c>
      <c r="K49">
        <v>112350.98</v>
      </c>
      <c r="L49">
        <v>38.86</v>
      </c>
      <c r="M49">
        <v>20957.25</v>
      </c>
      <c r="N49">
        <v>383.45</v>
      </c>
      <c r="O49">
        <v>1403.14</v>
      </c>
      <c r="P49">
        <v>102356.7</v>
      </c>
      <c r="Q49">
        <v>1.28</v>
      </c>
      <c r="R49">
        <v>52.98</v>
      </c>
      <c r="S49">
        <v>1188.79</v>
      </c>
      <c r="T49">
        <v>31.9</v>
      </c>
      <c r="U49">
        <v>453.19</v>
      </c>
      <c r="V49">
        <v>133.69</v>
      </c>
      <c r="W49">
        <v>0.69</v>
      </c>
      <c r="X49">
        <v>554.89</v>
      </c>
      <c r="Y49">
        <v>93.78</v>
      </c>
      <c r="Z49">
        <v>182.51</v>
      </c>
      <c r="AA49">
        <v>19.36</v>
      </c>
      <c r="AB49">
        <v>70.78</v>
      </c>
      <c r="AC49">
        <v>10.85</v>
      </c>
      <c r="AD49">
        <v>3.47</v>
      </c>
      <c r="AE49">
        <v>9.9499999999999993</v>
      </c>
      <c r="AF49">
        <v>1.27</v>
      </c>
      <c r="AG49">
        <v>6.49</v>
      </c>
      <c r="AH49">
        <v>1.27</v>
      </c>
      <c r="AI49">
        <v>3.5</v>
      </c>
      <c r="AJ49">
        <v>0.36299999999999999</v>
      </c>
      <c r="AK49">
        <v>2.59</v>
      </c>
      <c r="AL49">
        <v>0.307</v>
      </c>
      <c r="AM49">
        <v>10.28</v>
      </c>
      <c r="AN49">
        <v>7.11</v>
      </c>
      <c r="AO49">
        <v>6.63</v>
      </c>
      <c r="AP49">
        <v>11.19</v>
      </c>
      <c r="AQ49">
        <v>3.18</v>
      </c>
    </row>
    <row r="50" spans="1:43" x14ac:dyDescent="0.2">
      <c r="A50">
        <v>49</v>
      </c>
      <c r="B50" t="s">
        <v>109</v>
      </c>
      <c r="C50">
        <v>3.95</v>
      </c>
      <c r="D50">
        <v>0.72</v>
      </c>
      <c r="E50">
        <v>23829.33</v>
      </c>
      <c r="F50">
        <v>116898.38</v>
      </c>
      <c r="G50">
        <v>89292.41</v>
      </c>
      <c r="H50">
        <v>237802.3</v>
      </c>
      <c r="I50">
        <v>1646.56</v>
      </c>
      <c r="J50">
        <v>8239.2099999999991</v>
      </c>
      <c r="K50">
        <v>113280.09</v>
      </c>
      <c r="L50">
        <v>36.76</v>
      </c>
      <c r="M50">
        <v>18960.86</v>
      </c>
      <c r="N50">
        <v>305.44</v>
      </c>
      <c r="O50">
        <v>1290.7</v>
      </c>
      <c r="P50">
        <v>79327.91</v>
      </c>
      <c r="Q50">
        <v>0.7</v>
      </c>
      <c r="R50">
        <v>22.08</v>
      </c>
      <c r="S50">
        <v>844.19</v>
      </c>
      <c r="T50">
        <v>29.47</v>
      </c>
      <c r="U50">
        <v>281.83999999999997</v>
      </c>
      <c r="V50">
        <v>59.65</v>
      </c>
      <c r="W50">
        <v>0.21299999999999999</v>
      </c>
      <c r="X50">
        <v>329.55</v>
      </c>
      <c r="Y50">
        <v>44.13</v>
      </c>
      <c r="Z50">
        <v>98.57</v>
      </c>
      <c r="AA50">
        <v>12.46</v>
      </c>
      <c r="AB50">
        <v>49.66</v>
      </c>
      <c r="AC50">
        <v>8.51</v>
      </c>
      <c r="AD50">
        <v>2.86</v>
      </c>
      <c r="AE50">
        <v>7.39</v>
      </c>
      <c r="AF50">
        <v>1.1100000000000001</v>
      </c>
      <c r="AG50">
        <v>5.51</v>
      </c>
      <c r="AH50">
        <v>1.02</v>
      </c>
      <c r="AI50">
        <v>2.5</v>
      </c>
      <c r="AJ50">
        <v>0.33300000000000002</v>
      </c>
      <c r="AK50">
        <v>2.4500000000000002</v>
      </c>
      <c r="AL50">
        <v>0.252</v>
      </c>
      <c r="AM50">
        <v>5.66</v>
      </c>
      <c r="AN50">
        <v>3.75</v>
      </c>
      <c r="AO50">
        <v>6.19</v>
      </c>
      <c r="AP50">
        <v>4.4000000000000004</v>
      </c>
      <c r="AQ50">
        <v>1.22</v>
      </c>
    </row>
    <row r="51" spans="1:43" x14ac:dyDescent="0.2">
      <c r="A51">
        <v>50</v>
      </c>
      <c r="B51" t="s">
        <v>110</v>
      </c>
      <c r="C51">
        <v>4.0199999999999996</v>
      </c>
      <c r="D51">
        <v>2.71</v>
      </c>
      <c r="E51">
        <v>29689.55</v>
      </c>
      <c r="F51">
        <v>220437.08</v>
      </c>
      <c r="G51">
        <v>102801.8</v>
      </c>
      <c r="H51">
        <v>307653.09000000003</v>
      </c>
      <c r="I51">
        <v>1631.29</v>
      </c>
      <c r="J51">
        <v>8241.64</v>
      </c>
      <c r="K51">
        <v>112636.85</v>
      </c>
      <c r="L51">
        <v>37.07</v>
      </c>
      <c r="M51">
        <v>20528.77</v>
      </c>
      <c r="N51">
        <v>356.1</v>
      </c>
      <c r="O51">
        <v>2041.39</v>
      </c>
      <c r="P51">
        <v>127461.78</v>
      </c>
      <c r="Q51">
        <v>0.38</v>
      </c>
      <c r="R51">
        <v>27.24</v>
      </c>
      <c r="S51">
        <v>996.57</v>
      </c>
      <c r="T51">
        <v>30.58</v>
      </c>
      <c r="U51">
        <v>286.60000000000002</v>
      </c>
      <c r="V51">
        <v>68.31</v>
      </c>
      <c r="W51">
        <v>0.23799999999999999</v>
      </c>
      <c r="X51">
        <v>355.64</v>
      </c>
      <c r="Y51">
        <v>63.08</v>
      </c>
      <c r="Z51">
        <v>132.63999999999999</v>
      </c>
      <c r="AA51">
        <v>14.48</v>
      </c>
      <c r="AB51">
        <v>56.93</v>
      </c>
      <c r="AC51">
        <v>10.029999999999999</v>
      </c>
      <c r="AD51">
        <v>3.39</v>
      </c>
      <c r="AE51">
        <v>8.9</v>
      </c>
      <c r="AF51">
        <v>1.2</v>
      </c>
      <c r="AG51">
        <v>7.48</v>
      </c>
      <c r="AH51">
        <v>1.29</v>
      </c>
      <c r="AI51">
        <v>3.73</v>
      </c>
      <c r="AJ51">
        <v>0.54</v>
      </c>
      <c r="AK51">
        <v>2.77</v>
      </c>
      <c r="AL51">
        <v>0.35899999999999999</v>
      </c>
      <c r="AM51">
        <v>7.5</v>
      </c>
      <c r="AN51">
        <v>4.63</v>
      </c>
      <c r="AO51">
        <v>5.89</v>
      </c>
      <c r="AP51">
        <v>4.92</v>
      </c>
      <c r="AQ51">
        <v>1.46</v>
      </c>
    </row>
    <row r="52" spans="1:43" x14ac:dyDescent="0.2">
      <c r="A52">
        <v>51</v>
      </c>
      <c r="B52" t="s">
        <v>111</v>
      </c>
      <c r="C52">
        <v>4.59</v>
      </c>
      <c r="D52">
        <v>2.4700000000000002</v>
      </c>
      <c r="E52">
        <v>29368.58</v>
      </c>
      <c r="F52">
        <v>39620.71</v>
      </c>
      <c r="G52">
        <v>99742.35</v>
      </c>
      <c r="H52">
        <v>207311.67</v>
      </c>
      <c r="I52">
        <v>3121.11</v>
      </c>
      <c r="J52">
        <v>13489.34</v>
      </c>
      <c r="K52">
        <v>106990.72</v>
      </c>
      <c r="L52">
        <v>27.33</v>
      </c>
      <c r="M52">
        <v>18286.2</v>
      </c>
      <c r="N52">
        <v>387.83</v>
      </c>
      <c r="O52">
        <v>1138.03</v>
      </c>
      <c r="P52">
        <v>67592.09</v>
      </c>
      <c r="Q52">
        <v>0.82</v>
      </c>
      <c r="R52">
        <v>44.77</v>
      </c>
      <c r="S52">
        <v>1363.1</v>
      </c>
      <c r="T52">
        <v>36.47</v>
      </c>
      <c r="U52">
        <v>402.56</v>
      </c>
      <c r="V52">
        <v>125.36</v>
      </c>
      <c r="W52">
        <v>0.38</v>
      </c>
      <c r="X52">
        <v>614.54</v>
      </c>
      <c r="Y52">
        <v>111.66</v>
      </c>
      <c r="Z52">
        <v>208.29</v>
      </c>
      <c r="AA52">
        <v>22.16</v>
      </c>
      <c r="AB52">
        <v>79.099999999999994</v>
      </c>
      <c r="AC52">
        <v>12.42</v>
      </c>
      <c r="AD52">
        <v>3.7</v>
      </c>
      <c r="AE52">
        <v>10.79</v>
      </c>
      <c r="AF52">
        <v>1.45</v>
      </c>
      <c r="AG52">
        <v>7.34</v>
      </c>
      <c r="AH52">
        <v>1.43</v>
      </c>
      <c r="AI52">
        <v>3.6</v>
      </c>
      <c r="AJ52">
        <v>0.53</v>
      </c>
      <c r="AK52">
        <v>2.95</v>
      </c>
      <c r="AL52">
        <v>0.32700000000000001</v>
      </c>
      <c r="AM52">
        <v>8.49</v>
      </c>
      <c r="AN52">
        <v>8.1999999999999993</v>
      </c>
      <c r="AO52">
        <v>21.06</v>
      </c>
      <c r="AP52">
        <v>10.43</v>
      </c>
      <c r="AQ52">
        <v>2.56</v>
      </c>
    </row>
    <row r="53" spans="1:43" x14ac:dyDescent="0.2">
      <c r="A53">
        <v>52</v>
      </c>
      <c r="B53" t="s">
        <v>112</v>
      </c>
      <c r="C53">
        <v>5.68</v>
      </c>
      <c r="D53">
        <v>2.2400000000000002</v>
      </c>
      <c r="E53">
        <v>33654.76</v>
      </c>
      <c r="F53">
        <v>27416.9</v>
      </c>
      <c r="G53">
        <v>87475.92</v>
      </c>
      <c r="H53">
        <v>220188.77</v>
      </c>
      <c r="I53">
        <v>2094.34</v>
      </c>
      <c r="J53">
        <v>9918.6</v>
      </c>
      <c r="K53">
        <v>103274.27</v>
      </c>
      <c r="L53">
        <v>29.87</v>
      </c>
      <c r="M53">
        <v>26801.64</v>
      </c>
      <c r="N53">
        <v>324.94</v>
      </c>
      <c r="O53">
        <v>1412.79</v>
      </c>
      <c r="P53">
        <v>83581.31</v>
      </c>
      <c r="Q53">
        <v>0.56000000000000005</v>
      </c>
      <c r="R53">
        <v>24.34</v>
      </c>
      <c r="S53">
        <v>1011.95</v>
      </c>
      <c r="T53">
        <v>36.51</v>
      </c>
      <c r="U53">
        <v>403.85</v>
      </c>
      <c r="V53">
        <v>67.260000000000005</v>
      </c>
      <c r="W53">
        <v>0.28799999999999998</v>
      </c>
      <c r="X53">
        <v>313.33999999999997</v>
      </c>
      <c r="Y53">
        <v>54.96</v>
      </c>
      <c r="Z53">
        <v>128.80000000000001</v>
      </c>
      <c r="AA53">
        <v>16.25</v>
      </c>
      <c r="AB53">
        <v>69.73</v>
      </c>
      <c r="AC53">
        <v>13.98</v>
      </c>
      <c r="AD53">
        <v>4</v>
      </c>
      <c r="AE53">
        <v>11.1</v>
      </c>
      <c r="AF53">
        <v>1.56</v>
      </c>
      <c r="AG53">
        <v>8.0299999999999994</v>
      </c>
      <c r="AH53">
        <v>1.37</v>
      </c>
      <c r="AI53">
        <v>3.44</v>
      </c>
      <c r="AJ53">
        <v>0.44600000000000001</v>
      </c>
      <c r="AK53">
        <v>2.75</v>
      </c>
      <c r="AL53">
        <v>0.35899999999999999</v>
      </c>
      <c r="AM53">
        <v>10.11</v>
      </c>
      <c r="AN53">
        <v>4.01</v>
      </c>
      <c r="AO53">
        <v>4.07</v>
      </c>
      <c r="AP53">
        <v>5.07</v>
      </c>
      <c r="AQ53">
        <v>1.39</v>
      </c>
    </row>
    <row r="54" spans="1:43" x14ac:dyDescent="0.2">
      <c r="A54">
        <v>53</v>
      </c>
      <c r="B54" t="s">
        <v>113</v>
      </c>
      <c r="C54">
        <v>4.03</v>
      </c>
      <c r="D54">
        <v>1.67</v>
      </c>
      <c r="E54">
        <v>21856.55</v>
      </c>
      <c r="F54">
        <v>22635.95</v>
      </c>
      <c r="G54">
        <v>77475.990000000005</v>
      </c>
      <c r="H54">
        <v>170249.72</v>
      </c>
      <c r="I54">
        <v>1855.71</v>
      </c>
      <c r="J54">
        <v>8862.9</v>
      </c>
      <c r="K54">
        <v>91982.01</v>
      </c>
      <c r="L54">
        <v>28.02</v>
      </c>
      <c r="M54">
        <v>19205.7</v>
      </c>
      <c r="N54">
        <v>283.39999999999998</v>
      </c>
      <c r="O54">
        <v>1100.03</v>
      </c>
      <c r="P54">
        <v>65180.92</v>
      </c>
      <c r="Q54">
        <v>0.44</v>
      </c>
      <c r="R54">
        <v>25.19</v>
      </c>
      <c r="S54">
        <v>855.26</v>
      </c>
      <c r="T54">
        <v>29.09</v>
      </c>
      <c r="U54">
        <v>281.52999999999997</v>
      </c>
      <c r="V54">
        <v>70.099999999999994</v>
      </c>
      <c r="W54">
        <v>0.28100000000000003</v>
      </c>
      <c r="X54">
        <v>300.27999999999997</v>
      </c>
      <c r="Y54">
        <v>51.95</v>
      </c>
      <c r="Z54">
        <v>108.26</v>
      </c>
      <c r="AA54">
        <v>12.95</v>
      </c>
      <c r="AB54">
        <v>52.23</v>
      </c>
      <c r="AC54">
        <v>8.6300000000000008</v>
      </c>
      <c r="AD54">
        <v>2.71</v>
      </c>
      <c r="AE54">
        <v>8.26</v>
      </c>
      <c r="AF54">
        <v>1.19</v>
      </c>
      <c r="AG54">
        <v>6.12</v>
      </c>
      <c r="AH54">
        <v>0.96</v>
      </c>
      <c r="AI54">
        <v>2.4500000000000002</v>
      </c>
      <c r="AJ54">
        <v>0.39300000000000002</v>
      </c>
      <c r="AK54">
        <v>2.11</v>
      </c>
      <c r="AL54">
        <v>0.27900000000000003</v>
      </c>
      <c r="AM54">
        <v>5.59</v>
      </c>
      <c r="AN54">
        <v>3.75</v>
      </c>
      <c r="AO54">
        <v>3.8</v>
      </c>
      <c r="AP54">
        <v>6.02</v>
      </c>
      <c r="AQ54">
        <v>1.24</v>
      </c>
    </row>
    <row r="55" spans="1:43" x14ac:dyDescent="0.2">
      <c r="A55">
        <v>54</v>
      </c>
      <c r="B55" t="s">
        <v>114</v>
      </c>
      <c r="C55">
        <v>4.4400000000000004</v>
      </c>
      <c r="D55">
        <v>2.42</v>
      </c>
      <c r="E55">
        <v>24432.84</v>
      </c>
      <c r="F55">
        <v>68036.59</v>
      </c>
      <c r="G55">
        <v>90426.33</v>
      </c>
      <c r="H55">
        <v>228742.73</v>
      </c>
      <c r="I55">
        <v>2794.03</v>
      </c>
      <c r="J55">
        <v>12290.9</v>
      </c>
      <c r="K55">
        <v>112065.09</v>
      </c>
      <c r="L55">
        <v>38.56</v>
      </c>
      <c r="M55">
        <v>23168.01</v>
      </c>
      <c r="N55">
        <v>379.06</v>
      </c>
      <c r="O55">
        <v>1558.23</v>
      </c>
      <c r="P55">
        <v>93138.12</v>
      </c>
      <c r="Q55">
        <v>0.71</v>
      </c>
      <c r="R55">
        <v>32.75</v>
      </c>
      <c r="S55">
        <v>1159.21</v>
      </c>
      <c r="T55">
        <v>37.82</v>
      </c>
      <c r="U55">
        <v>393.95</v>
      </c>
      <c r="V55">
        <v>112.51</v>
      </c>
      <c r="W55">
        <v>0.44</v>
      </c>
      <c r="X55">
        <v>460.62</v>
      </c>
      <c r="Y55">
        <v>83.92</v>
      </c>
      <c r="Z55">
        <v>168.57</v>
      </c>
      <c r="AA55">
        <v>19.920000000000002</v>
      </c>
      <c r="AB55">
        <v>81.260000000000005</v>
      </c>
      <c r="AC55">
        <v>12.37</v>
      </c>
      <c r="AD55">
        <v>3.2</v>
      </c>
      <c r="AE55">
        <v>9.8000000000000007</v>
      </c>
      <c r="AF55">
        <v>1.47</v>
      </c>
      <c r="AG55">
        <v>7.49</v>
      </c>
      <c r="AH55">
        <v>1.21</v>
      </c>
      <c r="AI55">
        <v>3.23</v>
      </c>
      <c r="AJ55">
        <v>0.47</v>
      </c>
      <c r="AK55">
        <v>3.12</v>
      </c>
      <c r="AL55">
        <v>0.41099999999999998</v>
      </c>
      <c r="AM55">
        <v>8.33</v>
      </c>
      <c r="AN55">
        <v>6.09</v>
      </c>
      <c r="AO55">
        <v>5.5</v>
      </c>
      <c r="AP55">
        <v>9.5500000000000007</v>
      </c>
      <c r="AQ55">
        <v>2.06</v>
      </c>
    </row>
    <row r="56" spans="1:43" x14ac:dyDescent="0.2">
      <c r="A56">
        <v>55</v>
      </c>
      <c r="B56" t="s">
        <v>115</v>
      </c>
      <c r="C56">
        <v>4.4800000000000004</v>
      </c>
      <c r="D56">
        <v>2.2000000000000002</v>
      </c>
      <c r="E56">
        <v>25210.27</v>
      </c>
      <c r="F56">
        <v>24785.24</v>
      </c>
      <c r="G56">
        <v>82505.89</v>
      </c>
      <c r="H56">
        <v>205127.7</v>
      </c>
      <c r="I56">
        <v>2136.64</v>
      </c>
      <c r="J56">
        <v>9901.99</v>
      </c>
      <c r="K56">
        <v>97914.02</v>
      </c>
      <c r="L56">
        <v>35.1</v>
      </c>
      <c r="M56">
        <v>21484.75</v>
      </c>
      <c r="N56">
        <v>352.63</v>
      </c>
      <c r="O56">
        <v>1302.4100000000001</v>
      </c>
      <c r="P56">
        <v>81086.649999999994</v>
      </c>
      <c r="Q56">
        <v>0.64</v>
      </c>
      <c r="R56">
        <v>27.45</v>
      </c>
      <c r="S56">
        <v>919.46</v>
      </c>
      <c r="T56">
        <v>28.75</v>
      </c>
      <c r="U56">
        <v>292.13</v>
      </c>
      <c r="V56">
        <v>72.81</v>
      </c>
      <c r="W56">
        <v>0.307</v>
      </c>
      <c r="X56">
        <v>354.65</v>
      </c>
      <c r="Y56">
        <v>57.17</v>
      </c>
      <c r="Z56">
        <v>118.29</v>
      </c>
      <c r="AA56">
        <v>13.95</v>
      </c>
      <c r="AB56">
        <v>55.2</v>
      </c>
      <c r="AC56">
        <v>10.24</v>
      </c>
      <c r="AD56">
        <v>3.06</v>
      </c>
      <c r="AE56">
        <v>8.86</v>
      </c>
      <c r="AF56">
        <v>1.1599999999999999</v>
      </c>
      <c r="AG56">
        <v>6.46</v>
      </c>
      <c r="AH56">
        <v>1.0900000000000001</v>
      </c>
      <c r="AI56">
        <v>2.67</v>
      </c>
      <c r="AJ56">
        <v>0.34899999999999998</v>
      </c>
      <c r="AK56">
        <v>2.5099999999999998</v>
      </c>
      <c r="AL56">
        <v>0.36099999999999999</v>
      </c>
      <c r="AM56">
        <v>6.56</v>
      </c>
      <c r="AN56">
        <v>4.2699999999999996</v>
      </c>
      <c r="AO56">
        <v>4.2699999999999996</v>
      </c>
      <c r="AP56">
        <v>6.02</v>
      </c>
      <c r="AQ56">
        <v>1.39</v>
      </c>
    </row>
    <row r="57" spans="1:43" x14ac:dyDescent="0.2">
      <c r="A57">
        <v>56</v>
      </c>
      <c r="B57" t="s">
        <v>116</v>
      </c>
      <c r="C57">
        <v>7.15</v>
      </c>
      <c r="D57">
        <v>3.29</v>
      </c>
      <c r="E57">
        <v>34271.96</v>
      </c>
      <c r="F57">
        <v>25914.26</v>
      </c>
      <c r="G57">
        <v>79049.42</v>
      </c>
      <c r="H57">
        <v>209438.59</v>
      </c>
      <c r="I57">
        <v>3149.96</v>
      </c>
      <c r="J57">
        <v>16326.79</v>
      </c>
      <c r="K57">
        <v>71613.03</v>
      </c>
      <c r="L57">
        <v>17.57</v>
      </c>
      <c r="M57">
        <v>23436.37</v>
      </c>
      <c r="N57">
        <v>283.63</v>
      </c>
      <c r="O57">
        <v>1824.73</v>
      </c>
      <c r="P57">
        <v>96400.74</v>
      </c>
      <c r="Q57">
        <v>0.97</v>
      </c>
      <c r="R57">
        <v>46.47</v>
      </c>
      <c r="S57">
        <v>887.08</v>
      </c>
      <c r="T57">
        <v>36.36</v>
      </c>
      <c r="U57">
        <v>389.88</v>
      </c>
      <c r="V57">
        <v>119.2</v>
      </c>
      <c r="W57">
        <v>0.56000000000000005</v>
      </c>
      <c r="X57">
        <v>537.44000000000005</v>
      </c>
      <c r="Y57">
        <v>86.84</v>
      </c>
      <c r="Z57">
        <v>168.57</v>
      </c>
      <c r="AA57">
        <v>19.54</v>
      </c>
      <c r="AB57">
        <v>75.86</v>
      </c>
      <c r="AC57">
        <v>13.43</v>
      </c>
      <c r="AD57">
        <v>4.08</v>
      </c>
      <c r="AE57">
        <v>11.13</v>
      </c>
      <c r="AF57">
        <v>1.38</v>
      </c>
      <c r="AG57">
        <v>7.81</v>
      </c>
      <c r="AH57">
        <v>1.39</v>
      </c>
      <c r="AI57">
        <v>3.64</v>
      </c>
      <c r="AJ57">
        <v>0.48</v>
      </c>
      <c r="AK57">
        <v>2.87</v>
      </c>
      <c r="AL57">
        <v>0.38300000000000001</v>
      </c>
      <c r="AM57">
        <v>7.99</v>
      </c>
      <c r="AN57">
        <v>6.96</v>
      </c>
      <c r="AO57">
        <v>6.92</v>
      </c>
      <c r="AP57">
        <v>9.34</v>
      </c>
      <c r="AQ57">
        <v>2.4900000000000002</v>
      </c>
    </row>
    <row r="58" spans="1:43" x14ac:dyDescent="0.2">
      <c r="A58">
        <v>57</v>
      </c>
      <c r="B58" t="s">
        <v>117</v>
      </c>
      <c r="C58">
        <v>4.68</v>
      </c>
      <c r="D58">
        <v>1.44</v>
      </c>
      <c r="E58">
        <v>25016.44</v>
      </c>
      <c r="F58">
        <v>36726.699999999997</v>
      </c>
      <c r="G58">
        <v>79341.87</v>
      </c>
      <c r="H58">
        <v>183280.25</v>
      </c>
      <c r="I58">
        <v>1869.98</v>
      </c>
      <c r="J58">
        <v>8985.74</v>
      </c>
      <c r="K58">
        <v>91124.37</v>
      </c>
      <c r="L58">
        <v>29.62</v>
      </c>
      <c r="M58">
        <v>22759.58</v>
      </c>
      <c r="N58">
        <v>324.17</v>
      </c>
      <c r="O58">
        <v>1414.21</v>
      </c>
      <c r="P58">
        <v>84523.58</v>
      </c>
      <c r="Q58">
        <v>0.52</v>
      </c>
      <c r="R58">
        <v>24.87</v>
      </c>
      <c r="S58">
        <v>879.25</v>
      </c>
      <c r="T58">
        <v>28.99</v>
      </c>
      <c r="U58">
        <v>291.56</v>
      </c>
      <c r="V58">
        <v>70.38</v>
      </c>
      <c r="W58">
        <v>0.27100000000000002</v>
      </c>
      <c r="X58">
        <v>337.82</v>
      </c>
      <c r="Y58">
        <v>54.36</v>
      </c>
      <c r="Z58">
        <v>110.17</v>
      </c>
      <c r="AA58">
        <v>13.03</v>
      </c>
      <c r="AB58">
        <v>51.48</v>
      </c>
      <c r="AC58">
        <v>10.26</v>
      </c>
      <c r="AD58">
        <v>3.08</v>
      </c>
      <c r="AE58">
        <v>8.51</v>
      </c>
      <c r="AF58">
        <v>1.1299999999999999</v>
      </c>
      <c r="AG58">
        <v>6.8</v>
      </c>
      <c r="AH58">
        <v>1.07</v>
      </c>
      <c r="AI58">
        <v>2.91</v>
      </c>
      <c r="AJ58">
        <v>0.35399999999999998</v>
      </c>
      <c r="AK58">
        <v>2.4500000000000002</v>
      </c>
      <c r="AL58">
        <v>0.33</v>
      </c>
      <c r="AM58">
        <v>7.03</v>
      </c>
      <c r="AN58">
        <v>4.3600000000000003</v>
      </c>
      <c r="AO58">
        <v>7.17</v>
      </c>
      <c r="AP58">
        <v>5.58</v>
      </c>
      <c r="AQ58">
        <v>1.35</v>
      </c>
    </row>
    <row r="59" spans="1:43" x14ac:dyDescent="0.2">
      <c r="A59">
        <v>58</v>
      </c>
      <c r="B59" t="s">
        <v>118</v>
      </c>
      <c r="C59">
        <v>5.16</v>
      </c>
      <c r="D59">
        <v>1.71</v>
      </c>
      <c r="E59">
        <v>26481.02</v>
      </c>
      <c r="F59">
        <v>35184.269999999997</v>
      </c>
      <c r="G59">
        <v>78976.800000000003</v>
      </c>
      <c r="H59">
        <v>197955.20000000001</v>
      </c>
      <c r="I59">
        <v>1965.41</v>
      </c>
      <c r="J59">
        <v>9931.9599999999991</v>
      </c>
      <c r="K59">
        <v>86407.33</v>
      </c>
      <c r="L59">
        <v>29.48</v>
      </c>
      <c r="M59">
        <v>21104.23</v>
      </c>
      <c r="N59">
        <v>330.94</v>
      </c>
      <c r="O59">
        <v>1430.17</v>
      </c>
      <c r="P59">
        <v>86428.34</v>
      </c>
      <c r="Q59">
        <v>0.59</v>
      </c>
      <c r="R59">
        <v>27.05</v>
      </c>
      <c r="S59">
        <v>843.76</v>
      </c>
      <c r="T59">
        <v>27.44</v>
      </c>
      <c r="U59">
        <v>280.99</v>
      </c>
      <c r="V59">
        <v>71.459999999999994</v>
      </c>
      <c r="W59">
        <v>0.27100000000000002</v>
      </c>
      <c r="X59">
        <v>356.86</v>
      </c>
      <c r="Y59">
        <v>53.55</v>
      </c>
      <c r="Z59">
        <v>106.65</v>
      </c>
      <c r="AA59">
        <v>12.84</v>
      </c>
      <c r="AB59">
        <v>51.57</v>
      </c>
      <c r="AC59">
        <v>9.25</v>
      </c>
      <c r="AD59">
        <v>2.85</v>
      </c>
      <c r="AE59">
        <v>8.08</v>
      </c>
      <c r="AF59">
        <v>1.07</v>
      </c>
      <c r="AG59">
        <v>5.72</v>
      </c>
      <c r="AH59">
        <v>1.03</v>
      </c>
      <c r="AI59">
        <v>2.69</v>
      </c>
      <c r="AJ59">
        <v>0.34699999999999998</v>
      </c>
      <c r="AK59">
        <v>2.2000000000000002</v>
      </c>
      <c r="AL59">
        <v>0.28199999999999997</v>
      </c>
      <c r="AM59">
        <v>6.4</v>
      </c>
      <c r="AN59">
        <v>4.2</v>
      </c>
      <c r="AO59">
        <v>4.45</v>
      </c>
      <c r="AP59">
        <v>5.53</v>
      </c>
      <c r="AQ59">
        <v>1.52</v>
      </c>
    </row>
    <row r="60" spans="1:43" x14ac:dyDescent="0.2">
      <c r="A60">
        <v>59</v>
      </c>
      <c r="B60" t="s">
        <v>119</v>
      </c>
      <c r="C60">
        <v>5.36</v>
      </c>
      <c r="D60">
        <v>2.69</v>
      </c>
      <c r="E60">
        <v>18456.32</v>
      </c>
      <c r="F60">
        <v>47137.7</v>
      </c>
      <c r="G60">
        <v>72412.02</v>
      </c>
      <c r="H60">
        <v>243090.78</v>
      </c>
      <c r="I60">
        <v>1039.77</v>
      </c>
      <c r="J60">
        <v>4065</v>
      </c>
      <c r="K60">
        <v>77901.69</v>
      </c>
      <c r="L60">
        <v>32.49</v>
      </c>
      <c r="M60">
        <v>15717.06</v>
      </c>
      <c r="N60">
        <v>323.55</v>
      </c>
      <c r="O60">
        <v>1378.75</v>
      </c>
      <c r="P60">
        <v>85458.8</v>
      </c>
      <c r="Q60">
        <v>0.108</v>
      </c>
      <c r="R60">
        <v>9.07</v>
      </c>
      <c r="S60">
        <v>354.72</v>
      </c>
      <c r="T60">
        <v>25.77</v>
      </c>
      <c r="U60">
        <v>152.74</v>
      </c>
      <c r="V60">
        <v>15.93</v>
      </c>
      <c r="W60">
        <v>0.11799999999999999</v>
      </c>
      <c r="X60">
        <v>127.28</v>
      </c>
      <c r="Y60">
        <v>13.73</v>
      </c>
      <c r="Z60">
        <v>33.71</v>
      </c>
      <c r="AA60">
        <v>4.59</v>
      </c>
      <c r="AB60">
        <v>22.88</v>
      </c>
      <c r="AC60">
        <v>5.57</v>
      </c>
      <c r="AD60">
        <v>1.98</v>
      </c>
      <c r="AE60">
        <v>5.73</v>
      </c>
      <c r="AF60">
        <v>0.93</v>
      </c>
      <c r="AG60">
        <v>5.27</v>
      </c>
      <c r="AH60">
        <v>1.06</v>
      </c>
      <c r="AI60">
        <v>2.65</v>
      </c>
      <c r="AJ60">
        <v>0.38800000000000001</v>
      </c>
      <c r="AK60">
        <v>2.15</v>
      </c>
      <c r="AL60">
        <v>0.28299999999999997</v>
      </c>
      <c r="AM60">
        <v>3.91</v>
      </c>
      <c r="AN60">
        <v>1.01</v>
      </c>
      <c r="AO60">
        <v>1.94</v>
      </c>
      <c r="AP60">
        <v>0.97</v>
      </c>
      <c r="AQ60">
        <v>0.56999999999999995</v>
      </c>
    </row>
    <row r="61" spans="1:43" x14ac:dyDescent="0.2">
      <c r="A61">
        <v>60</v>
      </c>
      <c r="B61" t="s">
        <v>120</v>
      </c>
      <c r="C61">
        <v>4.9800000000000004</v>
      </c>
      <c r="D61">
        <v>2.34</v>
      </c>
      <c r="E61">
        <v>16459.330000000002</v>
      </c>
      <c r="F61">
        <v>41467.129999999997</v>
      </c>
      <c r="G61">
        <v>66350.84</v>
      </c>
      <c r="H61">
        <v>221212.44</v>
      </c>
      <c r="I61">
        <v>1014.12</v>
      </c>
      <c r="J61">
        <v>3966.92</v>
      </c>
      <c r="K61">
        <v>77901.69</v>
      </c>
      <c r="L61">
        <v>32.270000000000003</v>
      </c>
      <c r="M61">
        <v>15465.77</v>
      </c>
      <c r="N61">
        <v>305.41000000000003</v>
      </c>
      <c r="O61">
        <v>1261.6500000000001</v>
      </c>
      <c r="P61">
        <v>78220.009999999995</v>
      </c>
      <c r="Q61">
        <v>0.17</v>
      </c>
      <c r="R61">
        <v>8.06</v>
      </c>
      <c r="S61">
        <v>336.72</v>
      </c>
      <c r="T61">
        <v>25.2</v>
      </c>
      <c r="U61">
        <v>151.9</v>
      </c>
      <c r="V61">
        <v>14.9</v>
      </c>
      <c r="W61">
        <v>0.126</v>
      </c>
      <c r="X61">
        <v>116.28</v>
      </c>
      <c r="Y61">
        <v>12.11</v>
      </c>
      <c r="Z61">
        <v>30.23</v>
      </c>
      <c r="AA61">
        <v>4.5</v>
      </c>
      <c r="AB61">
        <v>21.77</v>
      </c>
      <c r="AC61">
        <v>5.66</v>
      </c>
      <c r="AD61">
        <v>1.79</v>
      </c>
      <c r="AE61">
        <v>5.68</v>
      </c>
      <c r="AF61">
        <v>0.85</v>
      </c>
      <c r="AG61">
        <v>5.3</v>
      </c>
      <c r="AH61">
        <v>0.95</v>
      </c>
      <c r="AI61">
        <v>2.35</v>
      </c>
      <c r="AJ61">
        <v>0.29499999999999998</v>
      </c>
      <c r="AK61">
        <v>2.1</v>
      </c>
      <c r="AL61">
        <v>0.30399999999999999</v>
      </c>
      <c r="AM61">
        <v>3.84</v>
      </c>
      <c r="AN61">
        <v>0.95</v>
      </c>
      <c r="AO61">
        <v>2.0099999999999998</v>
      </c>
      <c r="AP61">
        <v>1.03</v>
      </c>
      <c r="AQ61">
        <v>0.57999999999999996</v>
      </c>
    </row>
    <row r="62" spans="1:43" x14ac:dyDescent="0.2">
      <c r="A62">
        <v>61</v>
      </c>
      <c r="B62" t="s">
        <v>121</v>
      </c>
      <c r="C62">
        <v>4.54</v>
      </c>
      <c r="D62">
        <v>2.38</v>
      </c>
      <c r="E62">
        <v>16297.88</v>
      </c>
      <c r="F62">
        <v>42843.3</v>
      </c>
      <c r="G62">
        <v>70661.759999999995</v>
      </c>
      <c r="H62">
        <v>244224.97</v>
      </c>
      <c r="I62">
        <v>1003.72</v>
      </c>
      <c r="J62">
        <v>4069.83</v>
      </c>
      <c r="K62">
        <v>77901.69</v>
      </c>
      <c r="L62">
        <v>30.45</v>
      </c>
      <c r="M62">
        <v>14316.11</v>
      </c>
      <c r="N62">
        <v>280.62</v>
      </c>
      <c r="O62">
        <v>1159.78</v>
      </c>
      <c r="P62">
        <v>79249.73</v>
      </c>
      <c r="Q62">
        <v>0.16</v>
      </c>
      <c r="R62">
        <v>8.4600000000000009</v>
      </c>
      <c r="S62">
        <v>357.21</v>
      </c>
      <c r="T62">
        <v>25.5</v>
      </c>
      <c r="U62">
        <v>155.97</v>
      </c>
      <c r="V62">
        <v>14.37</v>
      </c>
      <c r="W62">
        <v>0.10299999999999999</v>
      </c>
      <c r="X62">
        <v>115.17</v>
      </c>
      <c r="Y62">
        <v>12.3</v>
      </c>
      <c r="Z62">
        <v>32.25</v>
      </c>
      <c r="AA62">
        <v>4.75</v>
      </c>
      <c r="AB62">
        <v>22.75</v>
      </c>
      <c r="AC62">
        <v>5.37</v>
      </c>
      <c r="AD62">
        <v>1.79</v>
      </c>
      <c r="AE62">
        <v>5.45</v>
      </c>
      <c r="AF62">
        <v>0.9</v>
      </c>
      <c r="AG62">
        <v>5.1100000000000003</v>
      </c>
      <c r="AH62">
        <v>0.91</v>
      </c>
      <c r="AI62">
        <v>2.2999999999999998</v>
      </c>
      <c r="AJ62">
        <v>0.32300000000000001</v>
      </c>
      <c r="AK62">
        <v>2.2000000000000002</v>
      </c>
      <c r="AL62">
        <v>0.28299999999999997</v>
      </c>
      <c r="AM62">
        <v>3.68</v>
      </c>
      <c r="AN62">
        <v>0.92</v>
      </c>
      <c r="AO62">
        <v>2.13</v>
      </c>
      <c r="AP62">
        <v>1.06</v>
      </c>
      <c r="AQ62">
        <v>0.53</v>
      </c>
    </row>
    <row r="63" spans="1:43" x14ac:dyDescent="0.2">
      <c r="A63">
        <v>62</v>
      </c>
      <c r="B63" t="s">
        <v>122</v>
      </c>
      <c r="C63">
        <v>4.63</v>
      </c>
      <c r="D63">
        <v>2.33</v>
      </c>
      <c r="E63">
        <v>15818.21</v>
      </c>
      <c r="F63">
        <v>41401.93</v>
      </c>
      <c r="G63">
        <v>66749.8</v>
      </c>
      <c r="H63">
        <v>226600.16</v>
      </c>
      <c r="I63">
        <v>923.15</v>
      </c>
      <c r="J63">
        <v>3958.82</v>
      </c>
      <c r="K63">
        <v>77901.69</v>
      </c>
      <c r="L63">
        <v>31.02</v>
      </c>
      <c r="M63">
        <v>14623.09</v>
      </c>
      <c r="N63">
        <v>290.86</v>
      </c>
      <c r="O63">
        <v>1183.6199999999999</v>
      </c>
      <c r="P63">
        <v>79138.84</v>
      </c>
      <c r="Q63">
        <v>0.15</v>
      </c>
      <c r="R63">
        <v>8.19</v>
      </c>
      <c r="S63">
        <v>353.12</v>
      </c>
      <c r="T63">
        <v>25.86</v>
      </c>
      <c r="U63">
        <v>153.05000000000001</v>
      </c>
      <c r="V63">
        <v>14.34</v>
      </c>
      <c r="W63">
        <v>0.13</v>
      </c>
      <c r="X63">
        <v>114.44</v>
      </c>
      <c r="Y63">
        <v>12.83</v>
      </c>
      <c r="Z63">
        <v>30.74</v>
      </c>
      <c r="AA63">
        <v>4.5599999999999996</v>
      </c>
      <c r="AB63">
        <v>20.61</v>
      </c>
      <c r="AC63">
        <v>5.36</v>
      </c>
      <c r="AD63">
        <v>1.78</v>
      </c>
      <c r="AE63">
        <v>5.37</v>
      </c>
      <c r="AF63">
        <v>0.89</v>
      </c>
      <c r="AG63">
        <v>4.9400000000000004</v>
      </c>
      <c r="AH63">
        <v>0.93</v>
      </c>
      <c r="AI63">
        <v>2.29</v>
      </c>
      <c r="AJ63">
        <v>0.33500000000000002</v>
      </c>
      <c r="AK63">
        <v>1.91</v>
      </c>
      <c r="AL63">
        <v>0.27</v>
      </c>
      <c r="AM63">
        <v>3.8</v>
      </c>
      <c r="AN63">
        <v>0.85</v>
      </c>
      <c r="AO63">
        <v>2</v>
      </c>
      <c r="AP63">
        <v>1.03</v>
      </c>
      <c r="AQ63">
        <v>0.52</v>
      </c>
    </row>
    <row r="64" spans="1:43" x14ac:dyDescent="0.2">
      <c r="A64">
        <v>63</v>
      </c>
      <c r="B64" t="s">
        <v>123</v>
      </c>
      <c r="C64">
        <v>9.08</v>
      </c>
      <c r="D64">
        <v>19.34</v>
      </c>
      <c r="E64">
        <v>6606.55</v>
      </c>
      <c r="F64">
        <v>145912.07999999999</v>
      </c>
      <c r="G64">
        <v>58787.34</v>
      </c>
      <c r="H64">
        <v>204403.08</v>
      </c>
      <c r="I64">
        <v>109.8</v>
      </c>
      <c r="J64">
        <v>165.11</v>
      </c>
      <c r="K64">
        <v>60392.23</v>
      </c>
      <c r="L64">
        <v>36.729999999999997</v>
      </c>
      <c r="M64">
        <v>1783.36</v>
      </c>
      <c r="N64">
        <v>224.85</v>
      </c>
      <c r="O64">
        <v>1262.49</v>
      </c>
      <c r="P64">
        <v>83573.19</v>
      </c>
      <c r="Q64">
        <v>0.19</v>
      </c>
      <c r="R64">
        <v>2.1800000000000002</v>
      </c>
      <c r="S64">
        <v>15.13</v>
      </c>
      <c r="T64">
        <v>13.46</v>
      </c>
      <c r="U64">
        <v>9.98</v>
      </c>
      <c r="V64">
        <v>4.4999999999999998E-2</v>
      </c>
      <c r="W64">
        <v>7.73</v>
      </c>
      <c r="X64">
        <v>0.72</v>
      </c>
      <c r="Y64">
        <v>0.10299999999999999</v>
      </c>
      <c r="Z64">
        <v>0.34599999999999997</v>
      </c>
      <c r="AA64">
        <v>8.5999999999999993E-2</v>
      </c>
      <c r="AB64">
        <v>0.55300000000000005</v>
      </c>
      <c r="AC64">
        <v>0.53500000000000003</v>
      </c>
      <c r="AD64">
        <v>0.26</v>
      </c>
      <c r="AE64">
        <v>1.1599999999999999</v>
      </c>
      <c r="AF64">
        <v>0.26800000000000002</v>
      </c>
      <c r="AG64">
        <v>2.14</v>
      </c>
      <c r="AH64">
        <v>0.51400000000000001</v>
      </c>
      <c r="AI64">
        <v>1.64</v>
      </c>
      <c r="AJ64">
        <v>0.23300000000000001</v>
      </c>
      <c r="AK64">
        <v>1.48</v>
      </c>
      <c r="AL64">
        <v>0.24199999999999999</v>
      </c>
      <c r="AM64">
        <v>0.38700000000000001</v>
      </c>
      <c r="AN64">
        <v>1.7500000000000002E-2</v>
      </c>
      <c r="AO64">
        <v>21.83</v>
      </c>
      <c r="AP64">
        <v>-1.9E-3</v>
      </c>
      <c r="AQ64">
        <v>5.7000000000000002E-2</v>
      </c>
    </row>
    <row r="65" spans="1:43" x14ac:dyDescent="0.2">
      <c r="A65">
        <v>64</v>
      </c>
      <c r="B65" t="s">
        <v>125</v>
      </c>
      <c r="C65">
        <v>9.64</v>
      </c>
      <c r="D65">
        <v>23.5</v>
      </c>
      <c r="E65">
        <v>4570.7700000000004</v>
      </c>
      <c r="F65">
        <v>172213.22</v>
      </c>
      <c r="G65">
        <v>55151.23</v>
      </c>
      <c r="H65">
        <v>212924.61</v>
      </c>
      <c r="I65">
        <v>75.83</v>
      </c>
      <c r="J65">
        <v>207.78</v>
      </c>
      <c r="K65">
        <v>44597.33</v>
      </c>
      <c r="L65">
        <v>32.630000000000003</v>
      </c>
      <c r="M65">
        <v>1718.38</v>
      </c>
      <c r="N65">
        <v>187.1</v>
      </c>
      <c r="O65">
        <v>1413.19</v>
      </c>
      <c r="P65">
        <v>77758.509999999995</v>
      </c>
      <c r="Q65">
        <v>9.6000000000000002E-2</v>
      </c>
      <c r="R65">
        <v>0.42</v>
      </c>
      <c r="S65">
        <v>30.22</v>
      </c>
      <c r="T65">
        <v>11.94</v>
      </c>
      <c r="U65">
        <v>9.86</v>
      </c>
      <c r="V65">
        <v>7.8E-2</v>
      </c>
      <c r="W65">
        <v>0.2</v>
      </c>
      <c r="X65">
        <v>1.07</v>
      </c>
      <c r="Y65">
        <v>0.11600000000000001</v>
      </c>
      <c r="Z65">
        <v>0.45900000000000002</v>
      </c>
      <c r="AA65">
        <v>9.7000000000000003E-2</v>
      </c>
      <c r="AB65">
        <v>0.77</v>
      </c>
      <c r="AC65">
        <v>0.55000000000000004</v>
      </c>
      <c r="AD65">
        <v>0.26200000000000001</v>
      </c>
      <c r="AE65">
        <v>1.22</v>
      </c>
      <c r="AF65">
        <v>0.23499999999999999</v>
      </c>
      <c r="AG65">
        <v>1.92</v>
      </c>
      <c r="AH65">
        <v>0.47199999999999998</v>
      </c>
      <c r="AI65">
        <v>1.39</v>
      </c>
      <c r="AJ65">
        <v>0.224</v>
      </c>
      <c r="AK65">
        <v>1.38</v>
      </c>
      <c r="AL65">
        <v>0.23499999999999999</v>
      </c>
      <c r="AM65">
        <v>0.42899999999999999</v>
      </c>
      <c r="AN65">
        <v>1.7000000000000001E-2</v>
      </c>
      <c r="AO65">
        <v>0.3</v>
      </c>
      <c r="AP65">
        <v>1.23E-2</v>
      </c>
      <c r="AQ65">
        <v>5.3E-3</v>
      </c>
    </row>
    <row r="66" spans="1:43" x14ac:dyDescent="0.2">
      <c r="A66">
        <v>65</v>
      </c>
      <c r="B66" t="s">
        <v>127</v>
      </c>
      <c r="C66">
        <v>21.43</v>
      </c>
      <c r="D66">
        <v>18.36</v>
      </c>
      <c r="E66">
        <v>35441.449999999997</v>
      </c>
      <c r="F66">
        <v>31575.06</v>
      </c>
      <c r="G66">
        <v>127426.41</v>
      </c>
      <c r="H66">
        <v>350929.59</v>
      </c>
      <c r="I66">
        <v>3219.99</v>
      </c>
      <c r="J66">
        <v>52128.09</v>
      </c>
      <c r="K66">
        <v>71470.09</v>
      </c>
      <c r="L66">
        <v>34.26</v>
      </c>
      <c r="M66">
        <v>7467.19</v>
      </c>
      <c r="N66">
        <v>267.99</v>
      </c>
      <c r="O66">
        <v>2042.17</v>
      </c>
      <c r="P66">
        <v>92144.83</v>
      </c>
      <c r="Q66">
        <v>0.76</v>
      </c>
      <c r="R66">
        <v>203.2</v>
      </c>
      <c r="S66">
        <v>1889.72</v>
      </c>
      <c r="T66">
        <v>33.76</v>
      </c>
      <c r="U66">
        <v>332.32</v>
      </c>
      <c r="V66">
        <v>41.39</v>
      </c>
      <c r="W66">
        <v>4.0999999999999996</v>
      </c>
      <c r="X66">
        <v>1382.04</v>
      </c>
      <c r="Y66">
        <v>62.7</v>
      </c>
      <c r="Z66">
        <v>125.86</v>
      </c>
      <c r="AA66">
        <v>14.44</v>
      </c>
      <c r="AB66">
        <v>56.48</v>
      </c>
      <c r="AC66">
        <v>9.75</v>
      </c>
      <c r="AD66">
        <v>2.58</v>
      </c>
      <c r="AE66">
        <v>8.49</v>
      </c>
      <c r="AF66">
        <v>1.1100000000000001</v>
      </c>
      <c r="AG66">
        <v>6.49</v>
      </c>
      <c r="AH66">
        <v>1.28</v>
      </c>
      <c r="AI66">
        <v>3.56</v>
      </c>
      <c r="AJ66">
        <v>0.54</v>
      </c>
      <c r="AK66">
        <v>3.81</v>
      </c>
      <c r="AL66">
        <v>0.57999999999999996</v>
      </c>
      <c r="AM66">
        <v>8.4499999999999993</v>
      </c>
      <c r="AN66">
        <v>2.21</v>
      </c>
      <c r="AO66">
        <v>25.64</v>
      </c>
      <c r="AP66">
        <v>21.51</v>
      </c>
      <c r="AQ66">
        <v>6.18</v>
      </c>
    </row>
    <row r="67" spans="1:43" x14ac:dyDescent="0.2">
      <c r="A67">
        <v>66</v>
      </c>
      <c r="B67" t="s">
        <v>128</v>
      </c>
      <c r="C67">
        <v>6.74</v>
      </c>
      <c r="D67">
        <v>2.96</v>
      </c>
      <c r="E67">
        <v>28808.95</v>
      </c>
      <c r="F67">
        <v>28147.19</v>
      </c>
      <c r="G67">
        <v>74092.800000000003</v>
      </c>
      <c r="H67">
        <v>203042.41</v>
      </c>
      <c r="I67">
        <v>2617.9699999999998</v>
      </c>
      <c r="J67">
        <v>11925.48</v>
      </c>
      <c r="K67">
        <v>89552.02</v>
      </c>
      <c r="L67">
        <v>29.1</v>
      </c>
      <c r="M67">
        <v>21538.21</v>
      </c>
      <c r="N67">
        <v>305.05</v>
      </c>
      <c r="O67">
        <v>1387.24</v>
      </c>
      <c r="P67">
        <v>81253.88</v>
      </c>
      <c r="Q67">
        <v>0.81</v>
      </c>
      <c r="R67">
        <v>27.56</v>
      </c>
      <c r="S67">
        <v>897.93</v>
      </c>
      <c r="T67">
        <v>28.81</v>
      </c>
      <c r="U67">
        <v>303.43</v>
      </c>
      <c r="V67">
        <v>82.3</v>
      </c>
      <c r="W67">
        <v>0.32</v>
      </c>
      <c r="X67">
        <v>331.83</v>
      </c>
      <c r="Y67">
        <v>51.64</v>
      </c>
      <c r="Z67">
        <v>104.1</v>
      </c>
      <c r="AA67">
        <v>13.82</v>
      </c>
      <c r="AB67">
        <v>55.23</v>
      </c>
      <c r="AC67">
        <v>9.6199999999999992</v>
      </c>
      <c r="AD67">
        <v>2.98</v>
      </c>
      <c r="AE67">
        <v>7.7</v>
      </c>
      <c r="AF67">
        <v>1.07</v>
      </c>
      <c r="AG67">
        <v>6.25</v>
      </c>
      <c r="AH67">
        <v>1.1299999999999999</v>
      </c>
      <c r="AI67">
        <v>2.4300000000000002</v>
      </c>
      <c r="AJ67">
        <v>0.32500000000000001</v>
      </c>
      <c r="AK67">
        <v>2.2400000000000002</v>
      </c>
      <c r="AL67">
        <v>0.33400000000000002</v>
      </c>
      <c r="AM67">
        <v>6.17</v>
      </c>
      <c r="AN67">
        <v>4.09</v>
      </c>
      <c r="AO67">
        <v>4.5199999999999996</v>
      </c>
      <c r="AP67">
        <v>6.1</v>
      </c>
      <c r="AQ67">
        <v>1.54</v>
      </c>
    </row>
    <row r="68" spans="1:43" x14ac:dyDescent="0.2">
      <c r="A68">
        <v>67</v>
      </c>
      <c r="B68" t="s">
        <v>129</v>
      </c>
      <c r="C68">
        <v>6.79</v>
      </c>
      <c r="D68">
        <v>1.82</v>
      </c>
      <c r="E68">
        <v>28897.83</v>
      </c>
      <c r="F68">
        <v>28282.02</v>
      </c>
      <c r="G68">
        <v>72967.48</v>
      </c>
      <c r="H68">
        <v>192714.38</v>
      </c>
      <c r="I68">
        <v>2454.9499999999998</v>
      </c>
      <c r="J68">
        <v>11654.02</v>
      </c>
      <c r="K68">
        <v>89552.02</v>
      </c>
      <c r="L68">
        <v>26.47</v>
      </c>
      <c r="M68">
        <v>18242.11</v>
      </c>
      <c r="N68">
        <v>268.08999999999997</v>
      </c>
      <c r="O68">
        <v>1297.77</v>
      </c>
      <c r="P68">
        <v>76865.91</v>
      </c>
      <c r="Q68">
        <v>0.57999999999999996</v>
      </c>
      <c r="R68">
        <v>28.16</v>
      </c>
      <c r="S68">
        <v>876.34</v>
      </c>
      <c r="T68">
        <v>26.42</v>
      </c>
      <c r="U68">
        <v>282.16000000000003</v>
      </c>
      <c r="V68">
        <v>76.27</v>
      </c>
      <c r="W68">
        <v>0.28599999999999998</v>
      </c>
      <c r="X68">
        <v>324.29000000000002</v>
      </c>
      <c r="Y68">
        <v>49.27</v>
      </c>
      <c r="Z68">
        <v>102.33</v>
      </c>
      <c r="AA68">
        <v>13.3</v>
      </c>
      <c r="AB68">
        <v>53.14</v>
      </c>
      <c r="AC68">
        <v>9.99</v>
      </c>
      <c r="AD68">
        <v>2.5499999999999998</v>
      </c>
      <c r="AE68">
        <v>7.17</v>
      </c>
      <c r="AF68">
        <v>1.06</v>
      </c>
      <c r="AG68">
        <v>6.22</v>
      </c>
      <c r="AH68">
        <v>1</v>
      </c>
      <c r="AI68">
        <v>2.38</v>
      </c>
      <c r="AJ68">
        <v>0.32800000000000001</v>
      </c>
      <c r="AK68">
        <v>1.94</v>
      </c>
      <c r="AL68">
        <v>0.29199999999999998</v>
      </c>
      <c r="AM68">
        <v>6</v>
      </c>
      <c r="AN68">
        <v>4.1399999999999997</v>
      </c>
      <c r="AO68">
        <v>3.66</v>
      </c>
      <c r="AP68">
        <v>5.92</v>
      </c>
      <c r="AQ68">
        <v>1.41</v>
      </c>
    </row>
    <row r="69" spans="1:43" x14ac:dyDescent="0.2">
      <c r="A69">
        <v>68</v>
      </c>
      <c r="B69" t="s">
        <v>130</v>
      </c>
      <c r="C69">
        <v>5.55</v>
      </c>
      <c r="D69">
        <v>2.67</v>
      </c>
      <c r="E69">
        <v>21350.03</v>
      </c>
      <c r="F69">
        <v>295328.94</v>
      </c>
      <c r="G69">
        <v>69446.66</v>
      </c>
      <c r="H69">
        <v>342625.63</v>
      </c>
      <c r="I69">
        <v>2344.0300000000002</v>
      </c>
      <c r="J69">
        <v>9813.51</v>
      </c>
      <c r="K69">
        <v>97628.13</v>
      </c>
      <c r="L69">
        <v>40.450000000000003</v>
      </c>
      <c r="M69">
        <v>18942.48</v>
      </c>
      <c r="N69">
        <v>315.25</v>
      </c>
      <c r="O69">
        <v>3642.78</v>
      </c>
      <c r="P69">
        <v>218632.84</v>
      </c>
      <c r="Q69">
        <v>0.56999999999999995</v>
      </c>
      <c r="R69">
        <v>25.03</v>
      </c>
      <c r="S69">
        <v>830.98</v>
      </c>
      <c r="T69">
        <v>27.62</v>
      </c>
      <c r="U69">
        <v>281.26</v>
      </c>
      <c r="V69">
        <v>83.58</v>
      </c>
      <c r="W69">
        <v>0.35</v>
      </c>
      <c r="X69">
        <v>332.08</v>
      </c>
      <c r="Y69">
        <v>56.89</v>
      </c>
      <c r="Z69">
        <v>115.19</v>
      </c>
      <c r="AA69">
        <v>13.58</v>
      </c>
      <c r="AB69">
        <v>58.86</v>
      </c>
      <c r="AC69">
        <v>9.08</v>
      </c>
      <c r="AD69">
        <v>2.4500000000000002</v>
      </c>
      <c r="AE69">
        <v>6.56</v>
      </c>
      <c r="AF69">
        <v>1.1200000000000001</v>
      </c>
      <c r="AG69">
        <v>6.23</v>
      </c>
      <c r="AH69">
        <v>1.1000000000000001</v>
      </c>
      <c r="AI69">
        <v>2.29</v>
      </c>
      <c r="AJ69">
        <v>0.32800000000000001</v>
      </c>
      <c r="AK69">
        <v>2.58</v>
      </c>
      <c r="AL69">
        <v>0.29199999999999998</v>
      </c>
      <c r="AM69">
        <v>5.33</v>
      </c>
      <c r="AN69">
        <v>4.3499999999999996</v>
      </c>
      <c r="AO69">
        <v>4.3099999999999996</v>
      </c>
      <c r="AP69">
        <v>7.45</v>
      </c>
      <c r="AQ69">
        <v>1.49</v>
      </c>
    </row>
    <row r="70" spans="1:43" x14ac:dyDescent="0.2">
      <c r="A70">
        <v>69</v>
      </c>
      <c r="B70" t="s">
        <v>131</v>
      </c>
      <c r="C70">
        <v>4.2</v>
      </c>
      <c r="D70">
        <v>2.17</v>
      </c>
      <c r="E70">
        <v>20251.099999999999</v>
      </c>
      <c r="F70">
        <v>22454.33</v>
      </c>
      <c r="G70">
        <v>72580.84</v>
      </c>
      <c r="H70">
        <v>195269.75</v>
      </c>
      <c r="I70">
        <v>2062.1799999999998</v>
      </c>
      <c r="J70">
        <v>8294.77</v>
      </c>
      <c r="K70">
        <v>97699.61</v>
      </c>
      <c r="L70">
        <v>29.46</v>
      </c>
      <c r="M70">
        <v>19831.37</v>
      </c>
      <c r="N70">
        <v>277.48</v>
      </c>
      <c r="O70">
        <v>1150.49</v>
      </c>
      <c r="P70">
        <v>64504.45</v>
      </c>
      <c r="Q70">
        <v>0.5</v>
      </c>
      <c r="R70">
        <v>20.170000000000002</v>
      </c>
      <c r="S70">
        <v>788.63</v>
      </c>
      <c r="T70">
        <v>23.34</v>
      </c>
      <c r="U70">
        <v>223.02</v>
      </c>
      <c r="V70">
        <v>61.87</v>
      </c>
      <c r="W70">
        <v>0.183</v>
      </c>
      <c r="X70">
        <v>273.29000000000002</v>
      </c>
      <c r="Y70">
        <v>39.94</v>
      </c>
      <c r="Z70">
        <v>90.41</v>
      </c>
      <c r="AA70">
        <v>11.97</v>
      </c>
      <c r="AB70">
        <v>46.67</v>
      </c>
      <c r="AC70">
        <v>8.92</v>
      </c>
      <c r="AD70">
        <v>2.73</v>
      </c>
      <c r="AE70">
        <v>6.3</v>
      </c>
      <c r="AF70">
        <v>0.96</v>
      </c>
      <c r="AG70">
        <v>5.43</v>
      </c>
      <c r="AH70">
        <v>0.78</v>
      </c>
      <c r="AI70">
        <v>2.11</v>
      </c>
      <c r="AJ70">
        <v>0.30099999999999999</v>
      </c>
      <c r="AK70">
        <v>2</v>
      </c>
      <c r="AL70">
        <v>0.22800000000000001</v>
      </c>
      <c r="AM70">
        <v>4.66</v>
      </c>
      <c r="AN70">
        <v>3.07</v>
      </c>
      <c r="AO70">
        <v>55.49</v>
      </c>
      <c r="AP70">
        <v>4.4800000000000004</v>
      </c>
      <c r="AQ70">
        <v>1.31</v>
      </c>
    </row>
    <row r="71" spans="1:43" x14ac:dyDescent="0.2">
      <c r="A71">
        <v>70</v>
      </c>
      <c r="B71" t="s">
        <v>132</v>
      </c>
      <c r="C71">
        <v>6.89</v>
      </c>
      <c r="D71">
        <v>11.73</v>
      </c>
      <c r="E71">
        <v>62656.69</v>
      </c>
      <c r="F71">
        <v>47689.06</v>
      </c>
      <c r="G71">
        <v>146801.04999999999</v>
      </c>
      <c r="H71">
        <v>288315.84000000003</v>
      </c>
      <c r="I71">
        <v>3722.46</v>
      </c>
      <c r="J71">
        <v>17658.439999999999</v>
      </c>
      <c r="K71">
        <v>71970.38</v>
      </c>
      <c r="L71">
        <v>15.14</v>
      </c>
      <c r="M71">
        <v>20235.099999999999</v>
      </c>
      <c r="N71">
        <v>218.75</v>
      </c>
      <c r="O71">
        <v>1959.33</v>
      </c>
      <c r="P71">
        <v>121283</v>
      </c>
      <c r="Q71">
        <v>2.83</v>
      </c>
      <c r="R71">
        <v>85.1</v>
      </c>
      <c r="S71">
        <v>1599.46</v>
      </c>
      <c r="T71">
        <v>43.16</v>
      </c>
      <c r="U71">
        <v>388.93</v>
      </c>
      <c r="V71">
        <v>98.65</v>
      </c>
      <c r="W71">
        <v>0.43</v>
      </c>
      <c r="X71">
        <v>832.48</v>
      </c>
      <c r="Y71">
        <v>157.62</v>
      </c>
      <c r="Z71">
        <v>334.69</v>
      </c>
      <c r="AA71">
        <v>27.26</v>
      </c>
      <c r="AB71">
        <v>77.61</v>
      </c>
      <c r="AC71">
        <v>10.45</v>
      </c>
      <c r="AD71">
        <v>4.84</v>
      </c>
      <c r="AE71">
        <v>19.71</v>
      </c>
      <c r="AF71">
        <v>1.62</v>
      </c>
      <c r="AG71">
        <v>6.88</v>
      </c>
      <c r="AH71">
        <v>1.17</v>
      </c>
      <c r="AI71">
        <v>4.33</v>
      </c>
      <c r="AJ71">
        <v>0.76</v>
      </c>
      <c r="AK71">
        <v>4.0599999999999996</v>
      </c>
      <c r="AL71">
        <v>0.28999999999999998</v>
      </c>
      <c r="AM71">
        <v>8.25</v>
      </c>
      <c r="AN71">
        <v>11.12</v>
      </c>
      <c r="AO71">
        <v>1846.88</v>
      </c>
      <c r="AP71">
        <v>9.25</v>
      </c>
      <c r="AQ71">
        <v>2.11</v>
      </c>
    </row>
    <row r="72" spans="1:43" x14ac:dyDescent="0.2">
      <c r="A72">
        <v>71</v>
      </c>
      <c r="B72" t="s">
        <v>133</v>
      </c>
      <c r="C72">
        <v>2.41</v>
      </c>
      <c r="D72">
        <v>1.23</v>
      </c>
      <c r="E72">
        <v>14642.34</v>
      </c>
      <c r="F72">
        <v>16258.56</v>
      </c>
      <c r="G72">
        <v>50176.17</v>
      </c>
      <c r="H72">
        <v>143550.42000000001</v>
      </c>
      <c r="I72">
        <v>1920.85</v>
      </c>
      <c r="J72">
        <v>11675.49</v>
      </c>
      <c r="K72">
        <v>90909.95</v>
      </c>
      <c r="L72">
        <v>23.85</v>
      </c>
      <c r="M72">
        <v>13812.56</v>
      </c>
      <c r="N72">
        <v>175.79</v>
      </c>
      <c r="O72">
        <v>713.79</v>
      </c>
      <c r="P72">
        <v>40814.19</v>
      </c>
      <c r="Q72">
        <v>0.37</v>
      </c>
      <c r="R72">
        <v>16.3</v>
      </c>
      <c r="S72">
        <v>632.34</v>
      </c>
      <c r="T72">
        <v>21.85</v>
      </c>
      <c r="U72">
        <v>248.83</v>
      </c>
      <c r="V72">
        <v>57.25</v>
      </c>
      <c r="W72">
        <v>0.20399999999999999</v>
      </c>
      <c r="X72">
        <v>187.03</v>
      </c>
      <c r="Y72">
        <v>30.53</v>
      </c>
      <c r="Z72">
        <v>67.680000000000007</v>
      </c>
      <c r="AA72">
        <v>10.64</v>
      </c>
      <c r="AB72">
        <v>50.19</v>
      </c>
      <c r="AC72">
        <v>7.59</v>
      </c>
      <c r="AD72">
        <v>1.74</v>
      </c>
      <c r="AE72">
        <v>4.6399999999999997</v>
      </c>
      <c r="AF72">
        <v>0.8</v>
      </c>
      <c r="AG72">
        <v>5.2</v>
      </c>
      <c r="AH72">
        <v>0.68</v>
      </c>
      <c r="AI72">
        <v>1.32</v>
      </c>
      <c r="AJ72">
        <v>0.20699999999999999</v>
      </c>
      <c r="AK72">
        <v>1.75</v>
      </c>
      <c r="AL72">
        <v>0.22500000000000001</v>
      </c>
      <c r="AM72">
        <v>3.35</v>
      </c>
      <c r="AN72">
        <v>2.42</v>
      </c>
      <c r="AO72">
        <v>3.09</v>
      </c>
      <c r="AP72">
        <v>5.01</v>
      </c>
      <c r="AQ72">
        <v>0.92</v>
      </c>
    </row>
    <row r="73" spans="1:43" x14ac:dyDescent="0.2">
      <c r="A73">
        <v>72</v>
      </c>
      <c r="B73" t="s">
        <v>134</v>
      </c>
      <c r="C73">
        <v>4.8499999999999996</v>
      </c>
      <c r="D73">
        <v>2.5</v>
      </c>
      <c r="E73">
        <v>27177.84</v>
      </c>
      <c r="F73">
        <v>33307.82</v>
      </c>
      <c r="G73">
        <v>87502.42</v>
      </c>
      <c r="H73">
        <v>208005.63</v>
      </c>
      <c r="I73">
        <v>2330.29</v>
      </c>
      <c r="J73">
        <v>11159.31</v>
      </c>
      <c r="K73">
        <v>96627.55</v>
      </c>
      <c r="L73">
        <v>34.61</v>
      </c>
      <c r="M73">
        <v>20709.349999999999</v>
      </c>
      <c r="N73">
        <v>347.87</v>
      </c>
      <c r="O73">
        <v>1361.39</v>
      </c>
      <c r="P73">
        <v>80868.11</v>
      </c>
      <c r="Q73">
        <v>0.63</v>
      </c>
      <c r="R73">
        <v>30.9</v>
      </c>
      <c r="S73">
        <v>863.95</v>
      </c>
      <c r="T73">
        <v>26.76</v>
      </c>
      <c r="U73">
        <v>262.93</v>
      </c>
      <c r="V73">
        <v>75.180000000000007</v>
      </c>
      <c r="W73">
        <v>0.34</v>
      </c>
      <c r="X73">
        <v>382.25</v>
      </c>
      <c r="Y73">
        <v>53.22</v>
      </c>
      <c r="Z73">
        <v>109.48</v>
      </c>
      <c r="AA73">
        <v>12.91</v>
      </c>
      <c r="AB73">
        <v>48.18</v>
      </c>
      <c r="AC73">
        <v>9.1999999999999993</v>
      </c>
      <c r="AD73">
        <v>2.91</v>
      </c>
      <c r="AE73">
        <v>8.1999999999999993</v>
      </c>
      <c r="AF73">
        <v>1.04</v>
      </c>
      <c r="AG73">
        <v>6.02</v>
      </c>
      <c r="AH73">
        <v>1.1100000000000001</v>
      </c>
      <c r="AI73">
        <v>2.76</v>
      </c>
      <c r="AJ73">
        <v>0.42</v>
      </c>
      <c r="AK73">
        <v>2.0299999999999998</v>
      </c>
      <c r="AL73">
        <v>0.32</v>
      </c>
      <c r="AM73">
        <v>6.2</v>
      </c>
      <c r="AN73">
        <v>4.66</v>
      </c>
      <c r="AO73">
        <v>4.0999999999999996</v>
      </c>
      <c r="AP73">
        <v>5.85</v>
      </c>
      <c r="AQ73">
        <v>1.45</v>
      </c>
    </row>
    <row r="74" spans="1:43" x14ac:dyDescent="0.2">
      <c r="A74">
        <v>73</v>
      </c>
      <c r="B74" t="s">
        <v>135</v>
      </c>
      <c r="C74">
        <v>7.51</v>
      </c>
      <c r="D74">
        <v>12.2</v>
      </c>
      <c r="E74">
        <v>32447.35</v>
      </c>
      <c r="F74">
        <v>23898.080000000002</v>
      </c>
      <c r="G74">
        <v>84062.66</v>
      </c>
      <c r="H74">
        <v>188322.47</v>
      </c>
      <c r="I74">
        <v>3384.98</v>
      </c>
      <c r="J74">
        <v>14287.32</v>
      </c>
      <c r="K74">
        <v>63751.32</v>
      </c>
      <c r="L74">
        <v>16.190000000000001</v>
      </c>
      <c r="M74">
        <v>18514.169999999998</v>
      </c>
      <c r="N74">
        <v>372.46</v>
      </c>
      <c r="O74">
        <v>1279.45</v>
      </c>
      <c r="P74">
        <v>43578.31</v>
      </c>
      <c r="Q74">
        <v>1.28</v>
      </c>
      <c r="R74">
        <v>40.93</v>
      </c>
      <c r="S74">
        <v>1527.33</v>
      </c>
      <c r="T74">
        <v>30.64</v>
      </c>
      <c r="U74">
        <v>357.99</v>
      </c>
      <c r="V74">
        <v>122.29</v>
      </c>
      <c r="W74">
        <v>0.44</v>
      </c>
      <c r="X74">
        <v>622.62</v>
      </c>
      <c r="Y74">
        <v>97.11</v>
      </c>
      <c r="Z74">
        <v>186.89</v>
      </c>
      <c r="AA74">
        <v>20.83</v>
      </c>
      <c r="AB74">
        <v>75.569999999999993</v>
      </c>
      <c r="AC74">
        <v>11.68</v>
      </c>
      <c r="AD74">
        <v>3.54</v>
      </c>
      <c r="AE74">
        <v>9.59</v>
      </c>
      <c r="AF74">
        <v>1.18</v>
      </c>
      <c r="AG74">
        <v>6.35</v>
      </c>
      <c r="AH74">
        <v>1.2</v>
      </c>
      <c r="AI74">
        <v>2.82</v>
      </c>
      <c r="AJ74">
        <v>0.43</v>
      </c>
      <c r="AK74">
        <v>2.54</v>
      </c>
      <c r="AL74">
        <v>0.33200000000000002</v>
      </c>
      <c r="AM74">
        <v>7.53</v>
      </c>
      <c r="AN74">
        <v>7.1</v>
      </c>
      <c r="AO74">
        <v>1714.57</v>
      </c>
      <c r="AP74">
        <v>9.7899999999999991</v>
      </c>
      <c r="AQ74">
        <v>2.5299999999999998</v>
      </c>
    </row>
    <row r="75" spans="1:43" x14ac:dyDescent="0.2">
      <c r="A75">
        <v>74</v>
      </c>
      <c r="B75" t="s">
        <v>136</v>
      </c>
      <c r="C75">
        <v>6.87</v>
      </c>
      <c r="D75">
        <v>4.87</v>
      </c>
      <c r="E75">
        <v>26100.17</v>
      </c>
      <c r="F75">
        <v>177851.2</v>
      </c>
      <c r="G75">
        <v>86904.08</v>
      </c>
      <c r="H75">
        <v>301774.65999999997</v>
      </c>
      <c r="I75">
        <v>3891.53</v>
      </c>
      <c r="J75">
        <v>12325.35</v>
      </c>
      <c r="K75">
        <v>97199.32</v>
      </c>
      <c r="L75">
        <v>38.5</v>
      </c>
      <c r="M75">
        <v>12992.25</v>
      </c>
      <c r="N75">
        <v>224.58</v>
      </c>
      <c r="O75">
        <v>2143.81</v>
      </c>
      <c r="P75">
        <v>124466.71</v>
      </c>
      <c r="Q75">
        <v>1.26</v>
      </c>
      <c r="R75">
        <v>50.88</v>
      </c>
      <c r="S75">
        <v>1458.3</v>
      </c>
      <c r="T75">
        <v>27.55</v>
      </c>
      <c r="U75">
        <v>471.34</v>
      </c>
      <c r="V75">
        <v>130.94</v>
      </c>
      <c r="W75">
        <v>0.62</v>
      </c>
      <c r="X75">
        <v>624.44000000000005</v>
      </c>
      <c r="Y75">
        <v>116.25</v>
      </c>
      <c r="Z75">
        <v>227.12</v>
      </c>
      <c r="AA75">
        <v>23.85</v>
      </c>
      <c r="AB75">
        <v>81.89</v>
      </c>
      <c r="AC75">
        <v>10.87</v>
      </c>
      <c r="AD75">
        <v>2.98</v>
      </c>
      <c r="AE75">
        <v>8.33</v>
      </c>
      <c r="AF75">
        <v>1.06</v>
      </c>
      <c r="AG75">
        <v>5.53</v>
      </c>
      <c r="AH75">
        <v>1.03</v>
      </c>
      <c r="AI75">
        <v>2.57</v>
      </c>
      <c r="AJ75">
        <v>0.34399999999999997</v>
      </c>
      <c r="AK75">
        <v>2.13</v>
      </c>
      <c r="AL75">
        <v>0.32800000000000001</v>
      </c>
      <c r="AM75">
        <v>9.58</v>
      </c>
      <c r="AN75">
        <v>8.01</v>
      </c>
      <c r="AO75">
        <v>7.72</v>
      </c>
      <c r="AP75">
        <v>12.51</v>
      </c>
      <c r="AQ75">
        <v>2.91</v>
      </c>
    </row>
    <row r="76" spans="1:43" x14ac:dyDescent="0.2">
      <c r="A76">
        <v>75</v>
      </c>
      <c r="B76" t="s">
        <v>137</v>
      </c>
      <c r="C76">
        <v>5.03</v>
      </c>
      <c r="D76">
        <v>1.62</v>
      </c>
      <c r="E76">
        <v>20926.3</v>
      </c>
      <c r="F76">
        <v>130308.17</v>
      </c>
      <c r="G76">
        <v>87380.28</v>
      </c>
      <c r="H76">
        <v>259355.51999999999</v>
      </c>
      <c r="I76">
        <v>1964.47</v>
      </c>
      <c r="J76">
        <v>9553.02</v>
      </c>
      <c r="K76">
        <v>115638.6</v>
      </c>
      <c r="L76">
        <v>41.81</v>
      </c>
      <c r="M76">
        <v>24132.6</v>
      </c>
      <c r="N76">
        <v>343.74</v>
      </c>
      <c r="O76">
        <v>1800.64</v>
      </c>
      <c r="P76">
        <v>105340.88</v>
      </c>
      <c r="Q76">
        <v>0.6</v>
      </c>
      <c r="R76">
        <v>26.73</v>
      </c>
      <c r="S76">
        <v>861.6</v>
      </c>
      <c r="T76">
        <v>31.26</v>
      </c>
      <c r="U76">
        <v>283.20999999999998</v>
      </c>
      <c r="V76">
        <v>79.81</v>
      </c>
      <c r="W76">
        <v>0.31</v>
      </c>
      <c r="X76">
        <v>367.12</v>
      </c>
      <c r="Y76">
        <v>57.52</v>
      </c>
      <c r="Z76">
        <v>110.53</v>
      </c>
      <c r="AA76">
        <v>13.45</v>
      </c>
      <c r="AB76">
        <v>52.91</v>
      </c>
      <c r="AC76">
        <v>10.01</v>
      </c>
      <c r="AD76">
        <v>2.71</v>
      </c>
      <c r="AE76">
        <v>8.32</v>
      </c>
      <c r="AF76">
        <v>1.1000000000000001</v>
      </c>
      <c r="AG76">
        <v>6.55</v>
      </c>
      <c r="AH76">
        <v>1.0900000000000001</v>
      </c>
      <c r="AI76">
        <v>2.75</v>
      </c>
      <c r="AJ76">
        <v>0.4</v>
      </c>
      <c r="AK76">
        <v>2.0699999999999998</v>
      </c>
      <c r="AL76">
        <v>0.34100000000000003</v>
      </c>
      <c r="AM76">
        <v>6.92</v>
      </c>
      <c r="AN76">
        <v>4.3499999999999996</v>
      </c>
      <c r="AO76">
        <v>7.37</v>
      </c>
      <c r="AP76">
        <v>6.2</v>
      </c>
      <c r="AQ76">
        <v>1.55</v>
      </c>
    </row>
    <row r="77" spans="1:43" x14ac:dyDescent="0.2">
      <c r="A77">
        <v>76</v>
      </c>
      <c r="B77" t="s">
        <v>138</v>
      </c>
      <c r="C77">
        <v>5.09</v>
      </c>
      <c r="D77">
        <v>3.13</v>
      </c>
      <c r="E77">
        <v>16812.689999999999</v>
      </c>
      <c r="F77">
        <v>43846.64</v>
      </c>
      <c r="G77">
        <v>68025.53</v>
      </c>
      <c r="H77">
        <v>237209.92</v>
      </c>
      <c r="I77">
        <v>977.62</v>
      </c>
      <c r="J77">
        <v>4045.55</v>
      </c>
      <c r="K77">
        <v>77901.69</v>
      </c>
      <c r="L77">
        <v>32.549999999999997</v>
      </c>
      <c r="M77">
        <v>15526.99</v>
      </c>
      <c r="N77">
        <v>314.20999999999998</v>
      </c>
      <c r="O77">
        <v>1283.19</v>
      </c>
      <c r="P77">
        <v>83340.62</v>
      </c>
      <c r="Q77">
        <v>0.16</v>
      </c>
      <c r="R77">
        <v>8.73</v>
      </c>
      <c r="S77">
        <v>351.57</v>
      </c>
      <c r="T77">
        <v>24.99</v>
      </c>
      <c r="U77">
        <v>148.12</v>
      </c>
      <c r="V77">
        <v>14.77</v>
      </c>
      <c r="W77">
        <v>8.4000000000000005E-2</v>
      </c>
      <c r="X77">
        <v>120.24</v>
      </c>
      <c r="Y77">
        <v>12.75</v>
      </c>
      <c r="Z77">
        <v>32.01</v>
      </c>
      <c r="AA77">
        <v>4.5999999999999996</v>
      </c>
      <c r="AB77">
        <v>21.52</v>
      </c>
      <c r="AC77">
        <v>5.12</v>
      </c>
      <c r="AD77">
        <v>1.97</v>
      </c>
      <c r="AE77">
        <v>5.85</v>
      </c>
      <c r="AF77">
        <v>0.84</v>
      </c>
      <c r="AG77">
        <v>5.0999999999999996</v>
      </c>
      <c r="AH77">
        <v>0.91</v>
      </c>
      <c r="AI77">
        <v>2.36</v>
      </c>
      <c r="AJ77">
        <v>0.34200000000000003</v>
      </c>
      <c r="AK77">
        <v>2</v>
      </c>
      <c r="AL77">
        <v>0.252</v>
      </c>
      <c r="AM77">
        <v>3.71</v>
      </c>
      <c r="AN77">
        <v>0.88</v>
      </c>
      <c r="AO77">
        <v>2.04</v>
      </c>
      <c r="AP77">
        <v>0.98</v>
      </c>
      <c r="AQ77">
        <v>0.55000000000000004</v>
      </c>
    </row>
    <row r="78" spans="1:43" x14ac:dyDescent="0.2">
      <c r="A78">
        <v>77</v>
      </c>
      <c r="B78" t="s">
        <v>139</v>
      </c>
      <c r="C78">
        <v>5.49</v>
      </c>
      <c r="D78">
        <v>3.53</v>
      </c>
      <c r="E78">
        <v>18660.55</v>
      </c>
      <c r="F78">
        <v>46127.8</v>
      </c>
      <c r="G78">
        <v>72836.210000000006</v>
      </c>
      <c r="H78">
        <v>237350.97</v>
      </c>
      <c r="I78">
        <v>959.57</v>
      </c>
      <c r="J78">
        <v>3855.19</v>
      </c>
      <c r="K78">
        <v>77901.69</v>
      </c>
      <c r="L78">
        <v>32.119999999999997</v>
      </c>
      <c r="M78">
        <v>15658.33</v>
      </c>
      <c r="N78">
        <v>320.51</v>
      </c>
      <c r="O78">
        <v>1318.09</v>
      </c>
      <c r="P78">
        <v>86902.23</v>
      </c>
      <c r="Q78">
        <v>0.24</v>
      </c>
      <c r="R78">
        <v>9.0299999999999994</v>
      </c>
      <c r="S78">
        <v>371.1</v>
      </c>
      <c r="T78">
        <v>25.1</v>
      </c>
      <c r="U78">
        <v>154.41</v>
      </c>
      <c r="V78">
        <v>15.3</v>
      </c>
      <c r="W78">
        <v>0.106</v>
      </c>
      <c r="X78">
        <v>135.31</v>
      </c>
      <c r="Y78">
        <v>14.25</v>
      </c>
      <c r="Z78">
        <v>33.57</v>
      </c>
      <c r="AA78">
        <v>4.57</v>
      </c>
      <c r="AB78">
        <v>21.58</v>
      </c>
      <c r="AC78">
        <v>5.77</v>
      </c>
      <c r="AD78">
        <v>2.09</v>
      </c>
      <c r="AE78">
        <v>6.29</v>
      </c>
      <c r="AF78">
        <v>0.9</v>
      </c>
      <c r="AG78">
        <v>5.09</v>
      </c>
      <c r="AH78">
        <v>0.99</v>
      </c>
      <c r="AI78">
        <v>2.69</v>
      </c>
      <c r="AJ78">
        <v>0.32</v>
      </c>
      <c r="AK78">
        <v>2.14</v>
      </c>
      <c r="AL78">
        <v>0.30099999999999999</v>
      </c>
      <c r="AM78">
        <v>4.25</v>
      </c>
      <c r="AN78">
        <v>1.04</v>
      </c>
      <c r="AO78">
        <v>2.17</v>
      </c>
      <c r="AP78">
        <v>0.99</v>
      </c>
      <c r="AQ78">
        <v>0.6</v>
      </c>
    </row>
    <row r="79" spans="1:43" x14ac:dyDescent="0.2">
      <c r="A79">
        <v>78</v>
      </c>
      <c r="B79" t="s">
        <v>140</v>
      </c>
      <c r="C79">
        <v>5.32</v>
      </c>
      <c r="D79">
        <v>3.69</v>
      </c>
      <c r="E79">
        <v>18344.55</v>
      </c>
      <c r="F79">
        <v>47033.02</v>
      </c>
      <c r="G79">
        <v>74728.289999999994</v>
      </c>
      <c r="H79">
        <v>234139.11</v>
      </c>
      <c r="I79">
        <v>987.47</v>
      </c>
      <c r="J79">
        <v>4088.98</v>
      </c>
      <c r="K79">
        <v>77901.7</v>
      </c>
      <c r="L79">
        <v>31</v>
      </c>
      <c r="M79">
        <v>15255.21</v>
      </c>
      <c r="N79">
        <v>314.08</v>
      </c>
      <c r="O79">
        <v>1325.92</v>
      </c>
      <c r="P79">
        <v>86456.66</v>
      </c>
      <c r="Q79">
        <v>0.14000000000000001</v>
      </c>
      <c r="R79">
        <v>9.19</v>
      </c>
      <c r="S79">
        <v>374.86</v>
      </c>
      <c r="T79">
        <v>25.76</v>
      </c>
      <c r="U79">
        <v>153.81</v>
      </c>
      <c r="V79">
        <v>15.07</v>
      </c>
      <c r="W79">
        <v>0.14000000000000001</v>
      </c>
      <c r="X79">
        <v>128.81</v>
      </c>
      <c r="Y79">
        <v>13.81</v>
      </c>
      <c r="Z79">
        <v>33.85</v>
      </c>
      <c r="AA79">
        <v>4.71</v>
      </c>
      <c r="AB79">
        <v>21.04</v>
      </c>
      <c r="AC79">
        <v>5.95</v>
      </c>
      <c r="AD79">
        <v>1.91</v>
      </c>
      <c r="AE79">
        <v>6.31</v>
      </c>
      <c r="AF79">
        <v>0.96</v>
      </c>
      <c r="AG79">
        <v>5.54</v>
      </c>
      <c r="AH79">
        <v>0.94</v>
      </c>
      <c r="AI79">
        <v>2.84</v>
      </c>
      <c r="AJ79">
        <v>0.34599999999999997</v>
      </c>
      <c r="AK79">
        <v>2.09</v>
      </c>
      <c r="AL79">
        <v>0.27800000000000002</v>
      </c>
      <c r="AM79">
        <v>3.95</v>
      </c>
      <c r="AN79">
        <v>1</v>
      </c>
      <c r="AO79">
        <v>2.11</v>
      </c>
      <c r="AP79">
        <v>1.03</v>
      </c>
      <c r="AQ79">
        <v>0.56000000000000005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B5431-D403-A74D-B754-A978A341021F}">
  <dimension ref="A1:AQ79"/>
  <sheetViews>
    <sheetView showFormulas="1" workbookViewId="0">
      <selection activeCell="A2" sqref="A2"/>
    </sheetView>
  </sheetViews>
  <sheetFormatPr baseColWidth="10" defaultRowHeight="16" x14ac:dyDescent="0.2"/>
  <cols>
    <col min="2" max="2" width="14.5" bestFit="1" customWidth="1"/>
  </cols>
  <sheetData>
    <row r="1" spans="1:4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x14ac:dyDescent="0.2">
      <c r="A2">
        <v>1</v>
      </c>
      <c r="B2" t="s">
        <v>48</v>
      </c>
      <c r="C2">
        <v>5.21</v>
      </c>
      <c r="D2">
        <v>10.95</v>
      </c>
      <c r="E2">
        <v>17091.78</v>
      </c>
      <c r="F2">
        <v>43329.79</v>
      </c>
      <c r="G2">
        <v>68000.88</v>
      </c>
      <c r="H2">
        <v>227196.58</v>
      </c>
      <c r="I2">
        <v>977.73</v>
      </c>
      <c r="J2">
        <v>4196.2</v>
      </c>
      <c r="K2">
        <v>77901.7</v>
      </c>
      <c r="L2">
        <v>31.16</v>
      </c>
      <c r="M2">
        <v>15566.6</v>
      </c>
      <c r="N2">
        <v>312.43</v>
      </c>
      <c r="O2">
        <v>1303.1099999999999</v>
      </c>
      <c r="P2">
        <v>81991.839999999997</v>
      </c>
      <c r="Q2">
        <v>0.16500000000000001</v>
      </c>
      <c r="R2">
        <v>8.56</v>
      </c>
      <c r="S2">
        <v>351.98</v>
      </c>
      <c r="T2">
        <v>24.42</v>
      </c>
      <c r="U2">
        <v>158.88999999999999</v>
      </c>
      <c r="V2">
        <v>15.42</v>
      </c>
      <c r="W2">
        <v>0.122</v>
      </c>
      <c r="X2">
        <v>122.36</v>
      </c>
      <c r="Y2">
        <v>12.99</v>
      </c>
      <c r="Z2">
        <v>33.229999999999997</v>
      </c>
      <c r="AA2">
        <v>4.41</v>
      </c>
      <c r="AB2">
        <v>21.36</v>
      </c>
      <c r="AC2">
        <v>5.49</v>
      </c>
      <c r="AD2">
        <v>1.88</v>
      </c>
      <c r="AE2">
        <v>5.94</v>
      </c>
      <c r="AF2">
        <v>0.84399999999999997</v>
      </c>
      <c r="AG2">
        <v>5.15</v>
      </c>
      <c r="AH2">
        <v>0.94</v>
      </c>
      <c r="AI2">
        <v>2.41</v>
      </c>
      <c r="AJ2">
        <v>0.28799999999999998</v>
      </c>
      <c r="AK2">
        <v>2.1</v>
      </c>
      <c r="AL2">
        <v>0.26100000000000001</v>
      </c>
      <c r="AM2">
        <v>3.72</v>
      </c>
      <c r="AN2">
        <v>0.93400000000000005</v>
      </c>
      <c r="AO2">
        <v>2.06</v>
      </c>
      <c r="AP2">
        <v>0.91300000000000003</v>
      </c>
      <c r="AQ2">
        <v>0.63600000000000001</v>
      </c>
    </row>
    <row r="3" spans="1:43" x14ac:dyDescent="0.2">
      <c r="A3">
        <v>2</v>
      </c>
      <c r="B3" t="s">
        <v>49</v>
      </c>
      <c r="C3">
        <v>5.22</v>
      </c>
      <c r="D3">
        <v>2.48</v>
      </c>
      <c r="E3">
        <v>17245.47</v>
      </c>
      <c r="F3">
        <v>44940.31</v>
      </c>
      <c r="G3">
        <v>69620.05</v>
      </c>
      <c r="H3">
        <v>233055.86</v>
      </c>
      <c r="I3">
        <v>919.53</v>
      </c>
      <c r="J3">
        <v>4019.08</v>
      </c>
      <c r="K3">
        <v>77901.7</v>
      </c>
      <c r="L3">
        <v>31.98</v>
      </c>
      <c r="M3">
        <v>15304.21</v>
      </c>
      <c r="N3">
        <v>310.73</v>
      </c>
      <c r="O3">
        <v>1286.29</v>
      </c>
      <c r="P3">
        <v>82919.679999999993</v>
      </c>
      <c r="Q3">
        <v>0.107</v>
      </c>
      <c r="R3">
        <v>8.89</v>
      </c>
      <c r="S3">
        <v>353.77</v>
      </c>
      <c r="T3">
        <v>24.97</v>
      </c>
      <c r="U3">
        <v>147.91</v>
      </c>
      <c r="V3">
        <v>14.71</v>
      </c>
      <c r="W3">
        <v>0.11</v>
      </c>
      <c r="X3">
        <v>123.03</v>
      </c>
      <c r="Y3">
        <v>13.2</v>
      </c>
      <c r="Z3">
        <v>31.48</v>
      </c>
      <c r="AA3">
        <v>4.63</v>
      </c>
      <c r="AB3">
        <v>21.51</v>
      </c>
      <c r="AC3">
        <v>5.69</v>
      </c>
      <c r="AD3">
        <v>1.83</v>
      </c>
      <c r="AE3">
        <v>5.69</v>
      </c>
      <c r="AF3">
        <v>0.88900000000000001</v>
      </c>
      <c r="AG3">
        <v>5.19</v>
      </c>
      <c r="AH3">
        <v>0.96</v>
      </c>
      <c r="AI3">
        <v>2.4900000000000002</v>
      </c>
      <c r="AJ3">
        <v>0.33</v>
      </c>
      <c r="AK3">
        <v>2.08</v>
      </c>
      <c r="AL3">
        <v>0.28799999999999998</v>
      </c>
      <c r="AM3">
        <v>3.69</v>
      </c>
      <c r="AN3">
        <v>0.93600000000000005</v>
      </c>
      <c r="AO3">
        <v>2.08</v>
      </c>
      <c r="AP3">
        <v>0.97699999999999998</v>
      </c>
      <c r="AQ3">
        <v>0.55800000000000005</v>
      </c>
    </row>
    <row r="4" spans="1:43" x14ac:dyDescent="0.2">
      <c r="A4">
        <v>3</v>
      </c>
      <c r="B4" t="s">
        <v>50</v>
      </c>
      <c r="C4">
        <v>5.23</v>
      </c>
      <c r="D4">
        <v>2.0699999999999998</v>
      </c>
      <c r="E4">
        <v>18130.38</v>
      </c>
      <c r="F4">
        <v>46158.29</v>
      </c>
      <c r="G4">
        <v>72111.45</v>
      </c>
      <c r="H4">
        <v>241409.72</v>
      </c>
      <c r="I4">
        <v>956.5</v>
      </c>
      <c r="J4">
        <v>4085.24</v>
      </c>
      <c r="K4">
        <v>77901.7</v>
      </c>
      <c r="L4">
        <v>31.86</v>
      </c>
      <c r="M4">
        <v>15292.14</v>
      </c>
      <c r="N4">
        <v>314.17</v>
      </c>
      <c r="O4">
        <v>1316.63</v>
      </c>
      <c r="P4">
        <v>85107.55</v>
      </c>
      <c r="Q4">
        <v>0.19900000000000001</v>
      </c>
      <c r="R4">
        <v>9.14</v>
      </c>
      <c r="S4">
        <v>362.8</v>
      </c>
      <c r="T4">
        <v>25.12</v>
      </c>
      <c r="U4">
        <v>149.61000000000001</v>
      </c>
      <c r="V4">
        <v>15.33</v>
      </c>
      <c r="W4">
        <v>0.11</v>
      </c>
      <c r="X4">
        <v>123.64</v>
      </c>
      <c r="Y4">
        <v>12.47</v>
      </c>
      <c r="Z4">
        <v>32.159999999999997</v>
      </c>
      <c r="AA4">
        <v>4.63</v>
      </c>
      <c r="AB4">
        <v>21.58</v>
      </c>
      <c r="AC4">
        <v>5.58</v>
      </c>
      <c r="AD4">
        <v>1.95</v>
      </c>
      <c r="AE4">
        <v>6.14</v>
      </c>
      <c r="AF4">
        <v>0.90700000000000003</v>
      </c>
      <c r="AG4">
        <v>4.97</v>
      </c>
      <c r="AH4">
        <v>0.85899999999999999</v>
      </c>
      <c r="AI4">
        <v>2.57</v>
      </c>
      <c r="AJ4">
        <v>0.34100000000000003</v>
      </c>
      <c r="AK4">
        <v>2.04</v>
      </c>
      <c r="AL4">
        <v>0.29499999999999998</v>
      </c>
      <c r="AM4">
        <v>3.87</v>
      </c>
      <c r="AN4">
        <v>0.97</v>
      </c>
      <c r="AO4">
        <v>2.11</v>
      </c>
      <c r="AP4">
        <v>1.05</v>
      </c>
      <c r="AQ4">
        <v>0.57499999999999996</v>
      </c>
    </row>
    <row r="5" spans="1:43" x14ac:dyDescent="0.2">
      <c r="A5">
        <v>4</v>
      </c>
      <c r="B5" t="s">
        <v>51</v>
      </c>
      <c r="C5">
        <v>2.02</v>
      </c>
      <c r="D5">
        <v>1.67</v>
      </c>
      <c r="E5">
        <v>872.46</v>
      </c>
      <c r="F5">
        <v>208008.56</v>
      </c>
      <c r="G5">
        <v>12476.81</v>
      </c>
      <c r="H5">
        <v>241693.27</v>
      </c>
      <c r="I5">
        <v>18.41</v>
      </c>
      <c r="J5" t="s">
        <v>52</v>
      </c>
      <c r="K5">
        <v>15008.72</v>
      </c>
      <c r="L5">
        <v>16.53</v>
      </c>
      <c r="M5">
        <v>367.15</v>
      </c>
      <c r="N5">
        <v>56</v>
      </c>
      <c r="O5">
        <v>835.55</v>
      </c>
      <c r="P5">
        <v>56222.92</v>
      </c>
      <c r="Q5">
        <v>0.104</v>
      </c>
      <c r="R5">
        <v>0.26200000000000001</v>
      </c>
      <c r="S5">
        <v>0.66900000000000004</v>
      </c>
      <c r="T5">
        <v>2.21</v>
      </c>
      <c r="U5">
        <v>20.02</v>
      </c>
      <c r="V5">
        <v>2.1999999999999999E-2</v>
      </c>
      <c r="W5">
        <v>0.84</v>
      </c>
      <c r="X5">
        <v>0.46300000000000002</v>
      </c>
      <c r="Y5">
        <v>0.215</v>
      </c>
      <c r="Z5">
        <v>0.41399999999999998</v>
      </c>
      <c r="AA5">
        <v>7.8399999999999997E-2</v>
      </c>
      <c r="AB5">
        <v>0.41199999999999998</v>
      </c>
      <c r="AC5">
        <v>0.107</v>
      </c>
      <c r="AD5">
        <v>4.36E-2</v>
      </c>
      <c r="AE5">
        <v>0.28199999999999997</v>
      </c>
      <c r="AF5">
        <v>4.3799999999999999E-2</v>
      </c>
      <c r="AG5">
        <v>0.35899999999999999</v>
      </c>
      <c r="AH5">
        <v>8.4000000000000005E-2</v>
      </c>
      <c r="AI5">
        <v>0.216</v>
      </c>
      <c r="AJ5">
        <v>4.2500000000000003E-2</v>
      </c>
      <c r="AK5">
        <v>0.30099999999999999</v>
      </c>
      <c r="AL5">
        <v>5.6099999999999997E-2</v>
      </c>
      <c r="AM5">
        <v>0.59</v>
      </c>
      <c r="AN5">
        <v>4.5999999999999999E-3</v>
      </c>
      <c r="AO5">
        <v>0.47499999999999998</v>
      </c>
      <c r="AP5">
        <v>5.6000000000000001E-2</v>
      </c>
      <c r="AQ5">
        <v>8.5000000000000006E-2</v>
      </c>
    </row>
    <row r="6" spans="1:43" x14ac:dyDescent="0.2">
      <c r="A6">
        <v>5</v>
      </c>
      <c r="B6" t="s">
        <v>53</v>
      </c>
      <c r="C6">
        <v>1.72</v>
      </c>
      <c r="D6">
        <v>1.76</v>
      </c>
      <c r="E6">
        <v>868.99</v>
      </c>
      <c r="F6">
        <v>208148.02</v>
      </c>
      <c r="G6">
        <v>12030.06</v>
      </c>
      <c r="H6">
        <v>241599.27</v>
      </c>
      <c r="I6">
        <v>17.809999999999999</v>
      </c>
      <c r="J6" t="s">
        <v>54</v>
      </c>
      <c r="K6">
        <v>15008.72</v>
      </c>
      <c r="L6">
        <v>16.46</v>
      </c>
      <c r="M6">
        <v>348.62</v>
      </c>
      <c r="N6">
        <v>55.91</v>
      </c>
      <c r="O6">
        <v>843.48</v>
      </c>
      <c r="P6">
        <v>56710.61</v>
      </c>
      <c r="Q6" t="s">
        <v>55</v>
      </c>
      <c r="R6">
        <v>0.30399999999999999</v>
      </c>
      <c r="S6">
        <v>0.65</v>
      </c>
      <c r="T6">
        <v>2.3199999999999998</v>
      </c>
      <c r="U6">
        <v>19.52</v>
      </c>
      <c r="V6" t="s">
        <v>56</v>
      </c>
      <c r="W6">
        <v>0.9</v>
      </c>
      <c r="X6">
        <v>0.44</v>
      </c>
      <c r="Y6">
        <v>0.17699999999999999</v>
      </c>
      <c r="Z6">
        <v>0.443</v>
      </c>
      <c r="AA6">
        <v>7.3400000000000007E-2</v>
      </c>
      <c r="AB6">
        <v>0.38900000000000001</v>
      </c>
      <c r="AC6">
        <v>0.151</v>
      </c>
      <c r="AD6">
        <v>5.2600000000000001E-2</v>
      </c>
      <c r="AE6">
        <v>0.28000000000000003</v>
      </c>
      <c r="AF6">
        <v>4.53E-2</v>
      </c>
      <c r="AG6">
        <v>0.38700000000000001</v>
      </c>
      <c r="AH6">
        <v>9.0999999999999998E-2</v>
      </c>
      <c r="AI6">
        <v>0.25800000000000001</v>
      </c>
      <c r="AJ6">
        <v>4.65E-2</v>
      </c>
      <c r="AK6">
        <v>0.318</v>
      </c>
      <c r="AL6">
        <v>5.4800000000000001E-2</v>
      </c>
      <c r="AM6">
        <v>0.54300000000000004</v>
      </c>
      <c r="AN6" t="s">
        <v>57</v>
      </c>
      <c r="AO6">
        <v>0.47899999999999998</v>
      </c>
      <c r="AP6">
        <v>5.45E-2</v>
      </c>
      <c r="AQ6">
        <v>7.1999999999999995E-2</v>
      </c>
    </row>
    <row r="7" spans="1:43" x14ac:dyDescent="0.2">
      <c r="A7">
        <v>6</v>
      </c>
      <c r="B7" t="s">
        <v>58</v>
      </c>
      <c r="C7">
        <v>8.8699999999999992</v>
      </c>
      <c r="D7">
        <v>11.71</v>
      </c>
      <c r="E7">
        <v>6672.55</v>
      </c>
      <c r="F7">
        <v>142794.01999999999</v>
      </c>
      <c r="G7">
        <v>57438.87</v>
      </c>
      <c r="H7">
        <v>218643.95</v>
      </c>
      <c r="I7">
        <v>118.34</v>
      </c>
      <c r="J7">
        <v>189.71</v>
      </c>
      <c r="K7">
        <v>60392.23</v>
      </c>
      <c r="L7">
        <v>35.590000000000003</v>
      </c>
      <c r="M7">
        <v>1785.51</v>
      </c>
      <c r="N7">
        <v>233.08</v>
      </c>
      <c r="O7">
        <v>1251.49</v>
      </c>
      <c r="P7">
        <v>86376.49</v>
      </c>
      <c r="Q7">
        <v>0.14099999999999999</v>
      </c>
      <c r="R7">
        <v>2.31</v>
      </c>
      <c r="S7">
        <v>15.82</v>
      </c>
      <c r="T7">
        <v>13.19</v>
      </c>
      <c r="U7">
        <v>9.58</v>
      </c>
      <c r="V7">
        <v>6.9000000000000006E-2</v>
      </c>
      <c r="W7">
        <v>8.2100000000000009</v>
      </c>
      <c r="X7">
        <v>0.86799999999999999</v>
      </c>
      <c r="Y7">
        <v>9.2999999999999999E-2</v>
      </c>
      <c r="Z7">
        <v>0.34399999999999997</v>
      </c>
      <c r="AA7">
        <v>8.7999999999999995E-2</v>
      </c>
      <c r="AB7">
        <v>0.74299999999999999</v>
      </c>
      <c r="AC7">
        <v>0.48599999999999999</v>
      </c>
      <c r="AD7">
        <v>0.26200000000000001</v>
      </c>
      <c r="AE7">
        <v>1.1399999999999999</v>
      </c>
      <c r="AF7">
        <v>0.215</v>
      </c>
      <c r="AG7">
        <v>2.08</v>
      </c>
      <c r="AH7">
        <v>0.48899999999999999</v>
      </c>
      <c r="AI7">
        <v>1.6</v>
      </c>
      <c r="AJ7">
        <v>0.22900000000000001</v>
      </c>
      <c r="AK7">
        <v>1.42</v>
      </c>
      <c r="AL7">
        <v>0.23200000000000001</v>
      </c>
      <c r="AM7">
        <v>0.34799999999999998</v>
      </c>
      <c r="AN7">
        <v>3.6200000000000003E-2</v>
      </c>
      <c r="AO7">
        <v>22.24</v>
      </c>
      <c r="AP7">
        <v>7.4999999999999997E-3</v>
      </c>
      <c r="AQ7">
        <v>5.0999999999999997E-2</v>
      </c>
    </row>
    <row r="8" spans="1:43" x14ac:dyDescent="0.2">
      <c r="A8">
        <v>7</v>
      </c>
      <c r="B8" t="s">
        <v>59</v>
      </c>
      <c r="C8">
        <v>8.99</v>
      </c>
      <c r="D8">
        <v>11.28</v>
      </c>
      <c r="E8">
        <v>6319.15</v>
      </c>
      <c r="F8">
        <v>138234.5</v>
      </c>
      <c r="G8">
        <v>56407.360000000001</v>
      </c>
      <c r="H8">
        <v>212192.69</v>
      </c>
      <c r="I8">
        <v>111.61</v>
      </c>
      <c r="J8">
        <v>165.22</v>
      </c>
      <c r="K8">
        <v>60392.23</v>
      </c>
      <c r="L8">
        <v>34.880000000000003</v>
      </c>
      <c r="M8">
        <v>1743.55</v>
      </c>
      <c r="N8">
        <v>220.64</v>
      </c>
      <c r="O8">
        <v>1203.94</v>
      </c>
      <c r="P8">
        <v>83189.789999999994</v>
      </c>
      <c r="Q8">
        <v>0.107</v>
      </c>
      <c r="R8">
        <v>2.15</v>
      </c>
      <c r="S8">
        <v>15.1</v>
      </c>
      <c r="T8">
        <v>13.12</v>
      </c>
      <c r="U8">
        <v>9.84</v>
      </c>
      <c r="V8">
        <v>2.63E-2</v>
      </c>
      <c r="W8">
        <v>8.0399999999999991</v>
      </c>
      <c r="X8">
        <v>0.68300000000000005</v>
      </c>
      <c r="Y8">
        <v>0.08</v>
      </c>
      <c r="Z8">
        <v>0.311</v>
      </c>
      <c r="AA8">
        <v>8.4699999999999998E-2</v>
      </c>
      <c r="AB8">
        <v>0.60899999999999999</v>
      </c>
      <c r="AC8">
        <v>0.51100000000000001</v>
      </c>
      <c r="AD8">
        <v>0.27800000000000002</v>
      </c>
      <c r="AE8">
        <v>1.27</v>
      </c>
      <c r="AF8">
        <v>0.26400000000000001</v>
      </c>
      <c r="AG8">
        <v>2.0299999999999998</v>
      </c>
      <c r="AH8">
        <v>0.504</v>
      </c>
      <c r="AI8">
        <v>1.55</v>
      </c>
      <c r="AJ8">
        <v>0.222</v>
      </c>
      <c r="AK8">
        <v>1.54</v>
      </c>
      <c r="AL8">
        <v>0.22900000000000001</v>
      </c>
      <c r="AM8">
        <v>0.32300000000000001</v>
      </c>
      <c r="AN8">
        <v>2.5899999999999999E-2</v>
      </c>
      <c r="AO8">
        <v>21.39</v>
      </c>
      <c r="AP8" t="s">
        <v>60</v>
      </c>
      <c r="AQ8">
        <v>6.6000000000000003E-2</v>
      </c>
    </row>
    <row r="9" spans="1:43" x14ac:dyDescent="0.2">
      <c r="A9">
        <v>8</v>
      </c>
      <c r="B9" t="s">
        <v>61</v>
      </c>
      <c r="C9">
        <v>10.119999999999999</v>
      </c>
      <c r="D9">
        <v>14.42</v>
      </c>
      <c r="E9">
        <v>4600.63</v>
      </c>
      <c r="F9">
        <v>147788.48000000001</v>
      </c>
      <c r="G9">
        <v>50541.61</v>
      </c>
      <c r="H9">
        <v>213893.53</v>
      </c>
      <c r="I9">
        <v>86.35</v>
      </c>
      <c r="J9">
        <v>246.9</v>
      </c>
      <c r="K9">
        <v>44597.34</v>
      </c>
      <c r="L9">
        <v>30.37</v>
      </c>
      <c r="M9">
        <v>1671.98</v>
      </c>
      <c r="N9">
        <v>183.08</v>
      </c>
      <c r="O9">
        <v>1441.6</v>
      </c>
      <c r="P9">
        <v>84292.74</v>
      </c>
      <c r="Q9">
        <v>0.126</v>
      </c>
      <c r="R9">
        <v>0.33800000000000002</v>
      </c>
      <c r="S9">
        <v>29.01</v>
      </c>
      <c r="T9">
        <v>11.38</v>
      </c>
      <c r="U9">
        <v>9.33</v>
      </c>
      <c r="V9">
        <v>0.115</v>
      </c>
      <c r="W9">
        <v>0.20799999999999999</v>
      </c>
      <c r="X9">
        <v>0.95599999999999996</v>
      </c>
      <c r="Y9">
        <v>0.104</v>
      </c>
      <c r="Z9">
        <v>0.40200000000000002</v>
      </c>
      <c r="AA9">
        <v>9.4E-2</v>
      </c>
      <c r="AB9">
        <v>0.65900000000000003</v>
      </c>
      <c r="AC9">
        <v>0.44400000000000001</v>
      </c>
      <c r="AD9">
        <v>0.27900000000000003</v>
      </c>
      <c r="AE9">
        <v>1.34</v>
      </c>
      <c r="AF9">
        <v>0.224</v>
      </c>
      <c r="AG9">
        <v>1.86</v>
      </c>
      <c r="AH9">
        <v>0.40699999999999997</v>
      </c>
      <c r="AI9">
        <v>1.38</v>
      </c>
      <c r="AJ9">
        <v>0.19800000000000001</v>
      </c>
      <c r="AK9">
        <v>1.21</v>
      </c>
      <c r="AL9">
        <v>0.18099999999999999</v>
      </c>
      <c r="AM9">
        <v>0.34499999999999997</v>
      </c>
      <c r="AN9">
        <v>1.78E-2</v>
      </c>
      <c r="AO9">
        <v>0.308</v>
      </c>
      <c r="AP9" t="s">
        <v>62</v>
      </c>
      <c r="AQ9">
        <v>1.09E-2</v>
      </c>
    </row>
    <row r="10" spans="1:43" x14ac:dyDescent="0.2">
      <c r="A10">
        <v>9</v>
      </c>
      <c r="B10" t="s">
        <v>63</v>
      </c>
      <c r="C10">
        <v>11.13</v>
      </c>
      <c r="D10">
        <v>16.559999999999999</v>
      </c>
      <c r="E10">
        <v>5316.96</v>
      </c>
      <c r="F10">
        <v>203682.8</v>
      </c>
      <c r="G10">
        <v>54948.23</v>
      </c>
      <c r="H10">
        <v>247541.09</v>
      </c>
      <c r="I10">
        <v>94.16</v>
      </c>
      <c r="J10">
        <v>243.42</v>
      </c>
      <c r="K10">
        <v>44597.34</v>
      </c>
      <c r="L10">
        <v>32.090000000000003</v>
      </c>
      <c r="M10">
        <v>1751.93</v>
      </c>
      <c r="N10">
        <v>197.64</v>
      </c>
      <c r="O10">
        <v>1506.44</v>
      </c>
      <c r="P10">
        <v>85512.35</v>
      </c>
      <c r="Q10">
        <v>0.21199999999999999</v>
      </c>
      <c r="R10">
        <v>0.48</v>
      </c>
      <c r="S10">
        <v>31.9</v>
      </c>
      <c r="T10">
        <v>11.45</v>
      </c>
      <c r="U10">
        <v>9.7899999999999991</v>
      </c>
      <c r="V10">
        <v>0.112</v>
      </c>
      <c r="W10">
        <v>0.24099999999999999</v>
      </c>
      <c r="X10">
        <v>1.2</v>
      </c>
      <c r="Y10">
        <v>0.106</v>
      </c>
      <c r="Z10">
        <v>0.439</v>
      </c>
      <c r="AA10">
        <v>8.2000000000000003E-2</v>
      </c>
      <c r="AB10">
        <v>0.69599999999999995</v>
      </c>
      <c r="AC10">
        <v>0.50900000000000001</v>
      </c>
      <c r="AD10">
        <v>0.245</v>
      </c>
      <c r="AE10">
        <v>1.1100000000000001</v>
      </c>
      <c r="AF10">
        <v>0.24299999999999999</v>
      </c>
      <c r="AG10">
        <v>1.9</v>
      </c>
      <c r="AH10">
        <v>0.43099999999999999</v>
      </c>
      <c r="AI10">
        <v>1.33</v>
      </c>
      <c r="AJ10">
        <v>0.188</v>
      </c>
      <c r="AK10">
        <v>1.38</v>
      </c>
      <c r="AL10">
        <v>0.20200000000000001</v>
      </c>
      <c r="AM10">
        <v>0.35899999999999999</v>
      </c>
      <c r="AN10">
        <v>1.7600000000000001E-2</v>
      </c>
      <c r="AO10">
        <v>0.307</v>
      </c>
      <c r="AP10" t="s">
        <v>64</v>
      </c>
      <c r="AQ10" t="s">
        <v>65</v>
      </c>
    </row>
    <row r="11" spans="1:43" x14ac:dyDescent="0.2">
      <c r="A11">
        <v>10</v>
      </c>
      <c r="B11" t="s">
        <v>66</v>
      </c>
      <c r="C11">
        <v>7.61</v>
      </c>
      <c r="D11">
        <v>2.89</v>
      </c>
      <c r="E11">
        <v>22549.58</v>
      </c>
      <c r="F11">
        <v>20741.099999999999</v>
      </c>
      <c r="G11">
        <v>71778.97</v>
      </c>
      <c r="H11">
        <v>238369.95</v>
      </c>
      <c r="I11">
        <v>1266</v>
      </c>
      <c r="J11">
        <v>14150.35</v>
      </c>
      <c r="K11">
        <v>50900</v>
      </c>
      <c r="L11">
        <v>34.51</v>
      </c>
      <c r="M11">
        <v>13547.25</v>
      </c>
      <c r="N11">
        <v>401.47</v>
      </c>
      <c r="O11">
        <v>1453.95</v>
      </c>
      <c r="P11">
        <v>87000.51</v>
      </c>
      <c r="Q11">
        <v>0.48</v>
      </c>
      <c r="R11">
        <v>46.32</v>
      </c>
      <c r="S11">
        <v>336.82</v>
      </c>
      <c r="T11">
        <v>36.28</v>
      </c>
      <c r="U11">
        <v>183.53</v>
      </c>
      <c r="V11">
        <v>12.04</v>
      </c>
      <c r="W11">
        <v>1.18</v>
      </c>
      <c r="X11">
        <v>672.95</v>
      </c>
      <c r="Y11">
        <v>23.96</v>
      </c>
      <c r="Z11">
        <v>51.39</v>
      </c>
      <c r="AA11">
        <v>6.45</v>
      </c>
      <c r="AB11">
        <v>28.41</v>
      </c>
      <c r="AC11">
        <v>6.08</v>
      </c>
      <c r="AD11">
        <v>1.91</v>
      </c>
      <c r="AE11">
        <v>6.75</v>
      </c>
      <c r="AF11">
        <v>1.008</v>
      </c>
      <c r="AG11">
        <v>6.58</v>
      </c>
      <c r="AH11">
        <v>1.36</v>
      </c>
      <c r="AI11">
        <v>3.72</v>
      </c>
      <c r="AJ11">
        <v>0.53500000000000003</v>
      </c>
      <c r="AK11">
        <v>3.53</v>
      </c>
      <c r="AL11">
        <v>0.498</v>
      </c>
      <c r="AM11">
        <v>5</v>
      </c>
      <c r="AN11">
        <v>0.78800000000000003</v>
      </c>
      <c r="AO11">
        <v>10.52</v>
      </c>
      <c r="AP11">
        <v>6.08</v>
      </c>
      <c r="AQ11">
        <v>1.6</v>
      </c>
    </row>
    <row r="12" spans="1:43" x14ac:dyDescent="0.2">
      <c r="A12">
        <v>11</v>
      </c>
      <c r="B12" t="s">
        <v>67</v>
      </c>
      <c r="C12">
        <v>7.41</v>
      </c>
      <c r="D12">
        <v>3.94</v>
      </c>
      <c r="E12">
        <v>22769.95</v>
      </c>
      <c r="F12">
        <v>20394.13</v>
      </c>
      <c r="G12">
        <v>70870.83</v>
      </c>
      <c r="H12">
        <v>243901.92</v>
      </c>
      <c r="I12">
        <v>1367.88</v>
      </c>
      <c r="J12">
        <v>14391.35</v>
      </c>
      <c r="K12">
        <v>50900</v>
      </c>
      <c r="L12">
        <v>35.090000000000003</v>
      </c>
      <c r="M12">
        <v>13583.31</v>
      </c>
      <c r="N12">
        <v>404.07</v>
      </c>
      <c r="O12">
        <v>1430.87</v>
      </c>
      <c r="P12">
        <v>87447.33</v>
      </c>
      <c r="Q12">
        <v>0.53</v>
      </c>
      <c r="R12">
        <v>46.08</v>
      </c>
      <c r="S12">
        <v>334.46</v>
      </c>
      <c r="T12">
        <v>35.840000000000003</v>
      </c>
      <c r="U12">
        <v>182.19</v>
      </c>
      <c r="V12">
        <v>12.5</v>
      </c>
      <c r="W12">
        <v>1.0900000000000001</v>
      </c>
      <c r="X12">
        <v>660.47</v>
      </c>
      <c r="Y12">
        <v>23.92</v>
      </c>
      <c r="Z12">
        <v>50.78</v>
      </c>
      <c r="AA12">
        <v>6.46</v>
      </c>
      <c r="AB12">
        <v>28.55</v>
      </c>
      <c r="AC12">
        <v>6.25</v>
      </c>
      <c r="AD12">
        <v>1.94</v>
      </c>
      <c r="AE12">
        <v>6.73</v>
      </c>
      <c r="AF12">
        <v>1.0349999999999999</v>
      </c>
      <c r="AG12">
        <v>6.31</v>
      </c>
      <c r="AH12">
        <v>1.28</v>
      </c>
      <c r="AI12">
        <v>3.68</v>
      </c>
      <c r="AJ12">
        <v>0.54</v>
      </c>
      <c r="AK12">
        <v>3.52</v>
      </c>
      <c r="AL12">
        <v>0.53900000000000003</v>
      </c>
      <c r="AM12">
        <v>4.9000000000000004</v>
      </c>
      <c r="AN12">
        <v>0.83499999999999996</v>
      </c>
      <c r="AO12">
        <v>11.08</v>
      </c>
      <c r="AP12">
        <v>6.19</v>
      </c>
      <c r="AQ12">
        <v>1.72</v>
      </c>
    </row>
    <row r="13" spans="1:43" x14ac:dyDescent="0.2">
      <c r="A13">
        <v>12</v>
      </c>
      <c r="B13" s="3" t="s">
        <v>68</v>
      </c>
      <c r="C13" s="3">
        <v>5.0999999999999996</v>
      </c>
      <c r="D13" s="3">
        <v>1.22</v>
      </c>
      <c r="E13" s="3">
        <v>20562.38</v>
      </c>
      <c r="F13" s="3">
        <v>232828.48</v>
      </c>
      <c r="G13" s="3">
        <v>68050.399999999994</v>
      </c>
      <c r="H13" s="3">
        <v>284910.28000000003</v>
      </c>
      <c r="I13" s="3">
        <v>2543.37</v>
      </c>
      <c r="J13" s="3">
        <v>9764.58</v>
      </c>
      <c r="K13" s="3">
        <v>88337.04</v>
      </c>
      <c r="L13" s="3">
        <v>38.06</v>
      </c>
      <c r="M13" s="3">
        <v>19325.18</v>
      </c>
      <c r="N13" s="3">
        <v>308.06</v>
      </c>
      <c r="O13" s="3">
        <v>2454.12</v>
      </c>
      <c r="P13" s="3">
        <v>147266.04999999999</v>
      </c>
      <c r="Q13" s="3">
        <v>0.71</v>
      </c>
      <c r="R13" s="3">
        <v>29.62</v>
      </c>
      <c r="S13" s="3">
        <v>887.36</v>
      </c>
      <c r="T13" s="3">
        <v>20.75</v>
      </c>
      <c r="U13" s="3">
        <v>291.33999999999997</v>
      </c>
      <c r="V13" s="3">
        <v>93.89</v>
      </c>
      <c r="W13" s="3">
        <v>0.34399999999999997</v>
      </c>
      <c r="X13" s="3">
        <v>400.57</v>
      </c>
      <c r="Y13" s="3">
        <v>62.11</v>
      </c>
      <c r="Z13" s="3">
        <v>127.59</v>
      </c>
      <c r="AA13" s="3">
        <v>14.66</v>
      </c>
      <c r="AB13" s="3">
        <v>57.33</v>
      </c>
      <c r="AC13" s="3">
        <v>9.25</v>
      </c>
      <c r="AD13" s="3">
        <v>2.88</v>
      </c>
      <c r="AE13" s="3">
        <v>6.8</v>
      </c>
      <c r="AF13" s="3">
        <v>0.877</v>
      </c>
      <c r="AG13" s="3">
        <v>4.62</v>
      </c>
      <c r="AH13" s="3">
        <v>0.88</v>
      </c>
      <c r="AI13" s="3">
        <v>2.4700000000000002</v>
      </c>
      <c r="AJ13" s="3">
        <v>0.26200000000000001</v>
      </c>
      <c r="AK13" s="3">
        <v>1.37</v>
      </c>
      <c r="AL13" s="3">
        <v>0.28799999999999998</v>
      </c>
      <c r="AM13" s="3">
        <v>6.86</v>
      </c>
      <c r="AN13" s="3">
        <v>4.96</v>
      </c>
      <c r="AO13" s="3">
        <v>11.88</v>
      </c>
      <c r="AP13" s="3">
        <v>7.32</v>
      </c>
      <c r="AQ13" s="3">
        <v>1.88</v>
      </c>
    </row>
    <row r="14" spans="1:43" x14ac:dyDescent="0.2">
      <c r="A14">
        <v>13</v>
      </c>
      <c r="B14" s="3" t="s">
        <v>69</v>
      </c>
      <c r="C14" s="3">
        <v>3.67</v>
      </c>
      <c r="D14" s="3">
        <v>1.34</v>
      </c>
      <c r="E14" s="3">
        <v>19468.77</v>
      </c>
      <c r="F14" s="3">
        <v>28620.62</v>
      </c>
      <c r="G14" s="3">
        <v>70750.84</v>
      </c>
      <c r="H14" s="3">
        <v>168647.69</v>
      </c>
      <c r="I14" s="3">
        <v>1732</v>
      </c>
      <c r="J14" s="3">
        <v>8132.88</v>
      </c>
      <c r="K14" s="3">
        <v>96484.63</v>
      </c>
      <c r="L14" s="3">
        <v>36.79</v>
      </c>
      <c r="M14" s="3">
        <v>25114.34</v>
      </c>
      <c r="N14" s="3">
        <v>373.63</v>
      </c>
      <c r="O14" s="3">
        <v>1104.18</v>
      </c>
      <c r="P14" s="3">
        <v>64490.9</v>
      </c>
      <c r="Q14" s="3">
        <v>0.36</v>
      </c>
      <c r="R14" s="3">
        <v>22</v>
      </c>
      <c r="S14" s="3">
        <v>748.44</v>
      </c>
      <c r="T14" s="3">
        <v>30.41</v>
      </c>
      <c r="U14" s="3">
        <v>307.45</v>
      </c>
      <c r="V14" s="3">
        <v>63.65</v>
      </c>
      <c r="W14" s="3">
        <v>0.249</v>
      </c>
      <c r="X14" s="3">
        <v>308.48</v>
      </c>
      <c r="Y14" s="3">
        <v>42.6</v>
      </c>
      <c r="Z14" s="3">
        <v>88.95</v>
      </c>
      <c r="AA14" s="3">
        <v>11.22</v>
      </c>
      <c r="AB14" s="3">
        <v>52.14</v>
      </c>
      <c r="AC14" s="3">
        <v>10.29</v>
      </c>
      <c r="AD14" s="3">
        <v>3.08</v>
      </c>
      <c r="AE14" s="3">
        <v>7.41</v>
      </c>
      <c r="AF14" s="3">
        <v>1.06</v>
      </c>
      <c r="AG14" s="3">
        <v>6.56</v>
      </c>
      <c r="AH14" s="3">
        <v>1.1599999999999999</v>
      </c>
      <c r="AI14" s="3">
        <v>2.98</v>
      </c>
      <c r="AJ14" s="3">
        <v>0.33600000000000002</v>
      </c>
      <c r="AK14" s="3">
        <v>2.04</v>
      </c>
      <c r="AL14" s="3">
        <v>0.375</v>
      </c>
      <c r="AM14" s="3">
        <v>7.63</v>
      </c>
      <c r="AN14" s="3">
        <v>3.54</v>
      </c>
      <c r="AO14" s="3">
        <v>6.07</v>
      </c>
      <c r="AP14" s="3">
        <v>4.58</v>
      </c>
      <c r="AQ14" s="3">
        <v>1.27</v>
      </c>
    </row>
    <row r="15" spans="1:43" x14ac:dyDescent="0.2">
      <c r="A15">
        <v>14</v>
      </c>
      <c r="B15" s="3" t="s">
        <v>70</v>
      </c>
      <c r="C15" s="3">
        <v>4.47</v>
      </c>
      <c r="D15" s="3">
        <v>0.95</v>
      </c>
      <c r="E15" s="3">
        <v>15344.5</v>
      </c>
      <c r="F15" s="3">
        <v>107028.45</v>
      </c>
      <c r="G15" s="3">
        <v>59117.61</v>
      </c>
      <c r="H15" s="3">
        <v>189700.77</v>
      </c>
      <c r="I15" s="3">
        <v>1182.82</v>
      </c>
      <c r="J15" s="3">
        <v>5739.62</v>
      </c>
      <c r="K15" s="3">
        <v>94269.05</v>
      </c>
      <c r="L15" s="3">
        <v>33.69</v>
      </c>
      <c r="M15" s="3">
        <v>23916.99</v>
      </c>
      <c r="N15" s="3">
        <v>287.85000000000002</v>
      </c>
      <c r="O15" s="3">
        <v>1806.7</v>
      </c>
      <c r="P15" s="3">
        <v>109588.72</v>
      </c>
      <c r="Q15" s="3">
        <v>0.37</v>
      </c>
      <c r="R15" s="3">
        <v>11.69</v>
      </c>
      <c r="S15" s="3">
        <v>3855.13</v>
      </c>
      <c r="T15" s="3">
        <v>24.87</v>
      </c>
      <c r="U15" s="3">
        <v>275.61</v>
      </c>
      <c r="V15" s="3">
        <v>57.6</v>
      </c>
      <c r="W15" s="3">
        <v>0.13700000000000001</v>
      </c>
      <c r="X15" s="3">
        <v>368.46</v>
      </c>
      <c r="Y15" s="3">
        <v>37.450000000000003</v>
      </c>
      <c r="Z15" s="3">
        <v>78.94</v>
      </c>
      <c r="AA15" s="3">
        <v>10.63</v>
      </c>
      <c r="AB15" s="3">
        <v>50.12</v>
      </c>
      <c r="AC15" s="3">
        <v>9.81</v>
      </c>
      <c r="AD15" s="3">
        <v>2.4500000000000002</v>
      </c>
      <c r="AE15" s="3">
        <v>6.11</v>
      </c>
      <c r="AF15" s="3">
        <v>0.83899999999999997</v>
      </c>
      <c r="AG15" s="3">
        <v>6.06</v>
      </c>
      <c r="AH15" s="3">
        <v>1.04</v>
      </c>
      <c r="AI15" s="3">
        <v>2.46</v>
      </c>
      <c r="AJ15" s="3">
        <v>0.308</v>
      </c>
      <c r="AK15" s="3">
        <v>1.92</v>
      </c>
      <c r="AL15" s="3">
        <v>0.39100000000000001</v>
      </c>
      <c r="AM15" s="3">
        <v>5.96</v>
      </c>
      <c r="AN15" s="3">
        <v>2.8</v>
      </c>
      <c r="AO15" s="3">
        <v>8.99</v>
      </c>
      <c r="AP15" s="3">
        <v>4.6500000000000004</v>
      </c>
      <c r="AQ15" s="3">
        <v>1.17</v>
      </c>
    </row>
    <row r="16" spans="1:43" x14ac:dyDescent="0.2">
      <c r="A16">
        <v>15</v>
      </c>
      <c r="B16" s="3" t="s">
        <v>71</v>
      </c>
      <c r="C16" s="3">
        <v>7.33</v>
      </c>
      <c r="D16" s="3">
        <v>1.54</v>
      </c>
      <c r="E16" s="3">
        <v>30900.85</v>
      </c>
      <c r="F16" s="3">
        <v>30189.96</v>
      </c>
      <c r="G16" s="3">
        <v>80352.149999999994</v>
      </c>
      <c r="H16" s="3">
        <v>207945.72</v>
      </c>
      <c r="I16" s="3">
        <v>2456.1799999999998</v>
      </c>
      <c r="J16" s="3">
        <v>11276.95</v>
      </c>
      <c r="K16" s="3">
        <v>95484.05</v>
      </c>
      <c r="L16" s="3">
        <v>30.08</v>
      </c>
      <c r="M16" s="3">
        <v>18899.87</v>
      </c>
      <c r="N16" s="3">
        <v>284.17</v>
      </c>
      <c r="O16" s="3">
        <v>1501.65</v>
      </c>
      <c r="P16" s="3">
        <v>82007.19</v>
      </c>
      <c r="Q16" s="3">
        <v>0.69</v>
      </c>
      <c r="R16" s="3">
        <v>38.32</v>
      </c>
      <c r="S16" s="3">
        <v>1183.0999999999999</v>
      </c>
      <c r="T16" s="3">
        <v>35.049999999999997</v>
      </c>
      <c r="U16" s="3">
        <v>395.12</v>
      </c>
      <c r="V16" s="3">
        <v>95.9</v>
      </c>
      <c r="W16" s="3">
        <v>0.47</v>
      </c>
      <c r="X16" s="3">
        <v>481.34</v>
      </c>
      <c r="Y16" s="3">
        <v>75.349999999999994</v>
      </c>
      <c r="Z16" s="3">
        <v>150.79</v>
      </c>
      <c r="AA16" s="3">
        <v>17.47</v>
      </c>
      <c r="AB16" s="3">
        <v>67.86</v>
      </c>
      <c r="AC16" s="3">
        <v>11.77</v>
      </c>
      <c r="AD16" s="3">
        <v>3.56</v>
      </c>
      <c r="AE16" s="3">
        <v>10.14</v>
      </c>
      <c r="AF16" s="3">
        <v>1.35</v>
      </c>
      <c r="AG16" s="3">
        <v>7.44</v>
      </c>
      <c r="AH16" s="3">
        <v>1.28</v>
      </c>
      <c r="AI16" s="3">
        <v>3.32</v>
      </c>
      <c r="AJ16" s="3">
        <v>0.46500000000000002</v>
      </c>
      <c r="AK16" s="3">
        <v>2.68</v>
      </c>
      <c r="AL16" s="3">
        <v>0.36</v>
      </c>
      <c r="AM16" s="3">
        <v>8.82</v>
      </c>
      <c r="AN16" s="3">
        <v>5.9</v>
      </c>
      <c r="AO16" s="3">
        <v>5.22</v>
      </c>
      <c r="AP16" s="3">
        <v>8.82</v>
      </c>
      <c r="AQ16" s="3">
        <v>2.08</v>
      </c>
    </row>
    <row r="17" spans="1:43" x14ac:dyDescent="0.2">
      <c r="A17">
        <v>16</v>
      </c>
      <c r="B17" s="3" t="s">
        <v>72</v>
      </c>
      <c r="C17" s="3">
        <v>7.07</v>
      </c>
      <c r="D17" s="3">
        <v>1.82</v>
      </c>
      <c r="E17" s="3">
        <v>30029.119999999999</v>
      </c>
      <c r="F17" s="3">
        <v>31361.74</v>
      </c>
      <c r="G17" s="3">
        <v>78365.78</v>
      </c>
      <c r="H17" s="3">
        <v>204026.72</v>
      </c>
      <c r="I17" s="3">
        <v>2441.65</v>
      </c>
      <c r="J17" s="3">
        <v>11191.87</v>
      </c>
      <c r="K17" s="3">
        <v>95484.05</v>
      </c>
      <c r="L17" s="3">
        <v>30.82</v>
      </c>
      <c r="M17" s="3">
        <v>18538.849999999999</v>
      </c>
      <c r="N17" s="3">
        <v>279.02</v>
      </c>
      <c r="O17" s="3">
        <v>1483.01</v>
      </c>
      <c r="P17" s="3">
        <v>79970.2</v>
      </c>
      <c r="Q17" s="3">
        <v>0.72</v>
      </c>
      <c r="R17" s="3">
        <v>36.299999999999997</v>
      </c>
      <c r="S17" s="3">
        <v>1169.94</v>
      </c>
      <c r="T17" s="3">
        <v>35.21</v>
      </c>
      <c r="U17" s="3">
        <v>397.16</v>
      </c>
      <c r="V17" s="3">
        <v>94.46</v>
      </c>
      <c r="W17" s="3">
        <v>0.44</v>
      </c>
      <c r="X17" s="3">
        <v>469.34</v>
      </c>
      <c r="Y17" s="3">
        <v>74.06</v>
      </c>
      <c r="Z17" s="3">
        <v>147.83000000000001</v>
      </c>
      <c r="AA17" s="3">
        <v>17.53</v>
      </c>
      <c r="AB17" s="3">
        <v>67.290000000000006</v>
      </c>
      <c r="AC17" s="3">
        <v>11.83</v>
      </c>
      <c r="AD17" s="3">
        <v>3.42</v>
      </c>
      <c r="AE17" s="3">
        <v>10.119999999999999</v>
      </c>
      <c r="AF17" s="3">
        <v>1.38</v>
      </c>
      <c r="AG17" s="3">
        <v>7.24</v>
      </c>
      <c r="AH17" s="3">
        <v>1.28</v>
      </c>
      <c r="AI17" s="3">
        <v>3.09</v>
      </c>
      <c r="AJ17" s="3">
        <v>0.42899999999999999</v>
      </c>
      <c r="AK17" s="3">
        <v>2.73</v>
      </c>
      <c r="AL17" s="3">
        <v>0.38900000000000001</v>
      </c>
      <c r="AM17" s="3">
        <v>8.7200000000000006</v>
      </c>
      <c r="AN17" s="3">
        <v>5.85</v>
      </c>
      <c r="AO17" s="3">
        <v>18.13</v>
      </c>
      <c r="AP17" s="3">
        <v>9.01</v>
      </c>
      <c r="AQ17" s="3">
        <v>1.91</v>
      </c>
    </row>
    <row r="18" spans="1:43" x14ac:dyDescent="0.2">
      <c r="A18">
        <v>17</v>
      </c>
      <c r="B18" s="3" t="s">
        <v>73</v>
      </c>
      <c r="C18" s="3">
        <v>5.7</v>
      </c>
      <c r="D18" s="3">
        <v>1.57</v>
      </c>
      <c r="E18" s="3">
        <v>25121.98</v>
      </c>
      <c r="F18" s="3">
        <v>21731.77</v>
      </c>
      <c r="G18" s="3">
        <v>70488.98</v>
      </c>
      <c r="H18" s="3">
        <v>174514.03</v>
      </c>
      <c r="I18" s="3">
        <v>2268.46</v>
      </c>
      <c r="J18" s="3">
        <v>12721.8</v>
      </c>
      <c r="K18" s="3">
        <v>75615.360000000001</v>
      </c>
      <c r="L18" s="3">
        <v>17.93</v>
      </c>
      <c r="M18" s="3">
        <v>16016.61</v>
      </c>
      <c r="N18" s="3">
        <v>212.8</v>
      </c>
      <c r="O18" s="3">
        <v>1259.8800000000001</v>
      </c>
      <c r="P18" s="3">
        <v>66244.789999999994</v>
      </c>
      <c r="Q18" s="3">
        <v>0.72</v>
      </c>
      <c r="R18" s="3">
        <v>39.700000000000003</v>
      </c>
      <c r="S18" s="3">
        <v>1241.6099999999999</v>
      </c>
      <c r="T18" s="3">
        <v>31.82</v>
      </c>
      <c r="U18" s="3">
        <v>372.44</v>
      </c>
      <c r="V18" s="3">
        <v>85.9</v>
      </c>
      <c r="W18" s="3">
        <v>0.48</v>
      </c>
      <c r="X18" s="3">
        <v>453.51</v>
      </c>
      <c r="Y18" s="3">
        <v>63.43</v>
      </c>
      <c r="Z18" s="3">
        <v>144.71</v>
      </c>
      <c r="AA18" s="3">
        <v>18.79</v>
      </c>
      <c r="AB18" s="3">
        <v>65.849999999999994</v>
      </c>
      <c r="AC18" s="3">
        <v>9.82</v>
      </c>
      <c r="AD18" s="3">
        <v>2.88</v>
      </c>
      <c r="AE18" s="3">
        <v>7.73</v>
      </c>
      <c r="AF18" s="3">
        <v>1.26</v>
      </c>
      <c r="AG18" s="3">
        <v>6.21</v>
      </c>
      <c r="AH18" s="3">
        <v>1.0900000000000001</v>
      </c>
      <c r="AI18" s="3">
        <v>2.58</v>
      </c>
      <c r="AJ18" s="3">
        <v>0.34200000000000003</v>
      </c>
      <c r="AK18" s="3">
        <v>2.4700000000000002</v>
      </c>
      <c r="AL18" s="3">
        <v>0.28599999999999998</v>
      </c>
      <c r="AM18" s="3">
        <v>6.55</v>
      </c>
      <c r="AN18" s="3">
        <v>4.71</v>
      </c>
      <c r="AO18" s="3">
        <v>21.82</v>
      </c>
      <c r="AP18" s="3">
        <v>7.71</v>
      </c>
      <c r="AQ18" s="3">
        <v>1.66</v>
      </c>
    </row>
    <row r="19" spans="1:43" x14ac:dyDescent="0.2">
      <c r="A19">
        <v>18</v>
      </c>
      <c r="B19" s="3" t="s">
        <v>74</v>
      </c>
      <c r="C19" s="3">
        <v>5.2</v>
      </c>
      <c r="D19" s="3">
        <v>0.96</v>
      </c>
      <c r="E19" s="3">
        <v>17005.310000000001</v>
      </c>
      <c r="F19" s="3">
        <v>519711.91</v>
      </c>
      <c r="G19" s="3">
        <v>76921.13</v>
      </c>
      <c r="H19" s="3">
        <v>491516.72</v>
      </c>
      <c r="I19" s="3">
        <v>1786.53</v>
      </c>
      <c r="J19" s="3">
        <v>8273.93</v>
      </c>
      <c r="K19" s="3">
        <v>90052.32</v>
      </c>
      <c r="L19" s="3">
        <v>47.17</v>
      </c>
      <c r="M19" s="3">
        <v>16352.89</v>
      </c>
      <c r="N19" s="3">
        <v>214.67</v>
      </c>
      <c r="O19" s="3">
        <v>3556.48</v>
      </c>
      <c r="P19" s="3">
        <v>219087.5</v>
      </c>
      <c r="Q19" s="3">
        <v>0.31</v>
      </c>
      <c r="R19" s="3">
        <v>15.78</v>
      </c>
      <c r="S19" s="3">
        <v>760.17</v>
      </c>
      <c r="T19" s="3">
        <v>29.94</v>
      </c>
      <c r="U19" s="3">
        <v>298.39999999999998</v>
      </c>
      <c r="V19" s="3">
        <v>48.69</v>
      </c>
      <c r="W19" s="3">
        <v>0.17399999999999999</v>
      </c>
      <c r="X19" s="3">
        <v>187.02</v>
      </c>
      <c r="Y19" s="3">
        <v>29.03</v>
      </c>
      <c r="Z19" s="3">
        <v>80.209999999999994</v>
      </c>
      <c r="AA19" s="3">
        <v>11.87</v>
      </c>
      <c r="AB19" s="3">
        <v>50.02</v>
      </c>
      <c r="AC19" s="3">
        <v>7.34</v>
      </c>
      <c r="AD19" s="3">
        <v>1.91</v>
      </c>
      <c r="AE19" s="3">
        <v>5.37</v>
      </c>
      <c r="AF19" s="3">
        <v>1.19</v>
      </c>
      <c r="AG19" s="3">
        <v>5.18</v>
      </c>
      <c r="AH19" s="3">
        <v>0.77</v>
      </c>
      <c r="AI19" s="3">
        <v>1.61</v>
      </c>
      <c r="AJ19" s="3">
        <v>0.22500000000000001</v>
      </c>
      <c r="AK19" s="3">
        <v>2.88</v>
      </c>
      <c r="AL19" s="3">
        <v>0.29399999999999998</v>
      </c>
      <c r="AM19" s="3">
        <v>5.63</v>
      </c>
      <c r="AN19" s="3">
        <v>2.14</v>
      </c>
      <c r="AO19" s="3">
        <v>100.83</v>
      </c>
      <c r="AP19" s="3">
        <v>3.68</v>
      </c>
      <c r="AQ19" s="3">
        <v>0.98</v>
      </c>
    </row>
    <row r="20" spans="1:43" x14ac:dyDescent="0.2">
      <c r="A20">
        <v>19</v>
      </c>
      <c r="B20" s="3" t="s">
        <v>75</v>
      </c>
      <c r="C20" s="3">
        <v>3.61</v>
      </c>
      <c r="D20" s="3">
        <v>0.88</v>
      </c>
      <c r="E20" s="3">
        <v>23006.44</v>
      </c>
      <c r="F20" s="3">
        <v>31592.42</v>
      </c>
      <c r="G20" s="3">
        <v>71867.45</v>
      </c>
      <c r="H20" s="3">
        <v>170653.77</v>
      </c>
      <c r="I20" s="3">
        <v>1900.95</v>
      </c>
      <c r="J20" s="3">
        <v>9979.52</v>
      </c>
      <c r="K20" s="3">
        <v>88194.09</v>
      </c>
      <c r="L20" s="3">
        <v>31.71</v>
      </c>
      <c r="M20" s="3">
        <v>19300.11</v>
      </c>
      <c r="N20" s="3">
        <v>286.62</v>
      </c>
      <c r="O20" s="3">
        <v>1039.76</v>
      </c>
      <c r="P20" s="3">
        <v>64840.56</v>
      </c>
      <c r="Q20" s="3">
        <v>0.46</v>
      </c>
      <c r="R20" s="3">
        <v>27.29</v>
      </c>
      <c r="S20" s="3">
        <v>883.03</v>
      </c>
      <c r="T20" s="3">
        <v>25.18</v>
      </c>
      <c r="U20" s="3">
        <v>288.92</v>
      </c>
      <c r="V20" s="3">
        <v>80.930000000000007</v>
      </c>
      <c r="W20" s="3">
        <v>0.30299999999999999</v>
      </c>
      <c r="X20" s="3">
        <v>380.46</v>
      </c>
      <c r="Y20" s="3">
        <v>62.77</v>
      </c>
      <c r="Z20" s="3">
        <v>120.21</v>
      </c>
      <c r="AA20" s="3">
        <v>13.43</v>
      </c>
      <c r="AB20" s="3">
        <v>50.92</v>
      </c>
      <c r="AC20" s="3">
        <v>7.93</v>
      </c>
      <c r="AD20" s="3">
        <v>2.3199999999999998</v>
      </c>
      <c r="AE20" s="3">
        <v>7.15</v>
      </c>
      <c r="AF20" s="3">
        <v>1.0349999999999999</v>
      </c>
      <c r="AG20" s="3">
        <v>5.13</v>
      </c>
      <c r="AH20" s="3">
        <v>0.92</v>
      </c>
      <c r="AI20" s="3">
        <v>2.41</v>
      </c>
      <c r="AJ20" s="3">
        <v>0.29799999999999999</v>
      </c>
      <c r="AK20" s="3">
        <v>2.11</v>
      </c>
      <c r="AL20" s="3">
        <v>0.26900000000000002</v>
      </c>
      <c r="AM20" s="3">
        <v>6.41</v>
      </c>
      <c r="AN20" s="3">
        <v>4.76</v>
      </c>
      <c r="AO20" s="3">
        <v>3.72</v>
      </c>
      <c r="AP20" s="3">
        <v>6.61</v>
      </c>
      <c r="AQ20" s="3">
        <v>1.5</v>
      </c>
    </row>
    <row r="21" spans="1:43" x14ac:dyDescent="0.2">
      <c r="A21">
        <v>20</v>
      </c>
      <c r="B21" s="3" t="s">
        <v>76</v>
      </c>
      <c r="C21" s="3">
        <v>3.09</v>
      </c>
      <c r="D21" s="3">
        <v>5.8</v>
      </c>
      <c r="E21" s="3">
        <v>11938.23</v>
      </c>
      <c r="F21" s="3">
        <v>136057.78</v>
      </c>
      <c r="G21" s="3">
        <v>45683.98</v>
      </c>
      <c r="H21" s="3">
        <v>208577.73</v>
      </c>
      <c r="I21" s="3">
        <v>1904.76</v>
      </c>
      <c r="J21" s="3">
        <v>7952.87</v>
      </c>
      <c r="K21" s="3">
        <v>93482.880000000005</v>
      </c>
      <c r="L21" s="3">
        <v>28.16</v>
      </c>
      <c r="M21" s="3">
        <v>16378.47</v>
      </c>
      <c r="N21" s="3">
        <v>241.05</v>
      </c>
      <c r="O21" s="3">
        <v>1659.64</v>
      </c>
      <c r="P21" s="3">
        <v>107640.5</v>
      </c>
      <c r="Q21" s="3">
        <v>0.69</v>
      </c>
      <c r="R21" s="3">
        <v>16.059999999999999</v>
      </c>
      <c r="S21" s="3">
        <v>742.53</v>
      </c>
      <c r="T21" s="3">
        <v>19.86</v>
      </c>
      <c r="U21" s="3">
        <v>246.33</v>
      </c>
      <c r="V21" s="3">
        <v>86.19</v>
      </c>
      <c r="W21" s="3">
        <v>0.16700000000000001</v>
      </c>
      <c r="X21" s="3">
        <v>252.32</v>
      </c>
      <c r="Y21" s="3">
        <v>42.65</v>
      </c>
      <c r="Z21" s="3">
        <v>85.75</v>
      </c>
      <c r="AA21" s="3">
        <v>12.43</v>
      </c>
      <c r="AB21" s="3">
        <v>52.15</v>
      </c>
      <c r="AC21" s="3">
        <v>8.0399999999999991</v>
      </c>
      <c r="AD21" s="3">
        <v>2.21</v>
      </c>
      <c r="AE21" s="3">
        <v>5.0599999999999996</v>
      </c>
      <c r="AF21" s="3">
        <v>0.79</v>
      </c>
      <c r="AG21" s="3">
        <v>4.63</v>
      </c>
      <c r="AH21" s="3">
        <v>0.54100000000000004</v>
      </c>
      <c r="AI21" s="3">
        <v>1.92</v>
      </c>
      <c r="AJ21" s="3">
        <v>0.218</v>
      </c>
      <c r="AK21" s="3">
        <v>1.79</v>
      </c>
      <c r="AL21" s="3">
        <v>0.157</v>
      </c>
      <c r="AM21" s="3">
        <v>4.03</v>
      </c>
      <c r="AN21" s="3">
        <v>3.56</v>
      </c>
      <c r="AO21" s="3">
        <v>153.69</v>
      </c>
      <c r="AP21" s="3">
        <v>6.04</v>
      </c>
      <c r="AQ21" s="3">
        <v>1.38</v>
      </c>
    </row>
    <row r="22" spans="1:43" x14ac:dyDescent="0.2">
      <c r="A22">
        <v>21</v>
      </c>
      <c r="B22" t="s">
        <v>77</v>
      </c>
      <c r="C22">
        <v>5.07</v>
      </c>
      <c r="D22">
        <v>2.67</v>
      </c>
      <c r="E22">
        <v>18232.34</v>
      </c>
      <c r="F22">
        <v>45009.120000000003</v>
      </c>
      <c r="G22">
        <v>73842.78</v>
      </c>
      <c r="H22">
        <v>243282.55</v>
      </c>
      <c r="I22">
        <v>1137.23</v>
      </c>
      <c r="J22">
        <v>3938.91</v>
      </c>
      <c r="K22">
        <v>77901.7</v>
      </c>
      <c r="L22">
        <v>31.33</v>
      </c>
      <c r="M22">
        <v>15301.9</v>
      </c>
      <c r="N22">
        <v>304.17</v>
      </c>
      <c r="O22">
        <v>1274.33</v>
      </c>
      <c r="P22">
        <v>88705.16</v>
      </c>
      <c r="Q22">
        <v>0.19</v>
      </c>
      <c r="R22">
        <v>8.58</v>
      </c>
      <c r="S22">
        <v>359</v>
      </c>
      <c r="T22">
        <v>26.11</v>
      </c>
      <c r="U22">
        <v>154.58000000000001</v>
      </c>
      <c r="V22">
        <v>14.98</v>
      </c>
      <c r="W22">
        <v>0.115</v>
      </c>
      <c r="X22">
        <v>131.63999999999999</v>
      </c>
      <c r="Y22">
        <v>14.4</v>
      </c>
      <c r="Z22">
        <v>33.36</v>
      </c>
      <c r="AA22">
        <v>4.6399999999999997</v>
      </c>
      <c r="AB22">
        <v>21.81</v>
      </c>
      <c r="AC22">
        <v>5.53</v>
      </c>
      <c r="AD22">
        <v>1.91</v>
      </c>
      <c r="AE22">
        <v>6.13</v>
      </c>
      <c r="AF22">
        <v>0.93899999999999995</v>
      </c>
      <c r="AG22">
        <v>5.54</v>
      </c>
      <c r="AH22">
        <v>1.03</v>
      </c>
      <c r="AI22">
        <v>2.73</v>
      </c>
      <c r="AJ22">
        <v>0.36099999999999999</v>
      </c>
      <c r="AK22">
        <v>2.14</v>
      </c>
      <c r="AL22">
        <v>0.30499999999999999</v>
      </c>
      <c r="AM22">
        <v>4.51</v>
      </c>
      <c r="AN22">
        <v>1.05</v>
      </c>
      <c r="AO22">
        <v>2.17</v>
      </c>
      <c r="AP22">
        <v>1.0900000000000001</v>
      </c>
      <c r="AQ22">
        <v>0.51300000000000001</v>
      </c>
    </row>
    <row r="23" spans="1:43" x14ac:dyDescent="0.2">
      <c r="A23">
        <v>22</v>
      </c>
      <c r="B23" t="s">
        <v>78</v>
      </c>
      <c r="C23">
        <v>4.99</v>
      </c>
      <c r="D23">
        <v>2.17</v>
      </c>
      <c r="E23">
        <v>16495.439999999999</v>
      </c>
      <c r="F23">
        <v>43181.3</v>
      </c>
      <c r="G23">
        <v>70714.100000000006</v>
      </c>
      <c r="H23">
        <v>235469.27</v>
      </c>
      <c r="I23">
        <v>1106.6199999999999</v>
      </c>
      <c r="J23">
        <v>3869.52</v>
      </c>
      <c r="K23">
        <v>77901.69</v>
      </c>
      <c r="L23">
        <v>31.8</v>
      </c>
      <c r="M23">
        <v>14851.05</v>
      </c>
      <c r="N23">
        <v>294.01</v>
      </c>
      <c r="O23">
        <v>1192.07</v>
      </c>
      <c r="P23">
        <v>76965.73</v>
      </c>
      <c r="Q23">
        <v>0.19700000000000001</v>
      </c>
      <c r="R23">
        <v>8.36</v>
      </c>
      <c r="S23">
        <v>358.73</v>
      </c>
      <c r="T23">
        <v>26.21</v>
      </c>
      <c r="U23">
        <v>153.34</v>
      </c>
      <c r="V23">
        <v>14.44</v>
      </c>
      <c r="W23">
        <v>0.105</v>
      </c>
      <c r="X23">
        <v>118.46</v>
      </c>
      <c r="Y23">
        <v>12.9</v>
      </c>
      <c r="Z23">
        <v>32.85</v>
      </c>
      <c r="AA23">
        <v>4.7300000000000004</v>
      </c>
      <c r="AB23">
        <v>21.53</v>
      </c>
      <c r="AC23">
        <v>5.46</v>
      </c>
      <c r="AD23">
        <v>2</v>
      </c>
      <c r="AE23">
        <v>5.65</v>
      </c>
      <c r="AF23">
        <v>0.877</v>
      </c>
      <c r="AG23">
        <v>5.41</v>
      </c>
      <c r="AH23">
        <v>0.99</v>
      </c>
      <c r="AI23">
        <v>2.5499999999999998</v>
      </c>
      <c r="AJ23">
        <v>0.36499999999999999</v>
      </c>
      <c r="AK23">
        <v>2.1</v>
      </c>
      <c r="AL23">
        <v>0.26400000000000001</v>
      </c>
      <c r="AM23">
        <v>3.89</v>
      </c>
      <c r="AN23">
        <v>0.94</v>
      </c>
      <c r="AO23">
        <v>1.97</v>
      </c>
      <c r="AP23">
        <v>1.03</v>
      </c>
      <c r="AQ23">
        <v>0.51500000000000001</v>
      </c>
    </row>
    <row r="24" spans="1:43" x14ac:dyDescent="0.2">
      <c r="A24">
        <v>23</v>
      </c>
      <c r="B24" t="s">
        <v>79</v>
      </c>
      <c r="C24">
        <v>5.01</v>
      </c>
      <c r="D24">
        <v>2.4</v>
      </c>
      <c r="E24">
        <v>18086.45</v>
      </c>
      <c r="F24">
        <v>44651.37</v>
      </c>
      <c r="G24">
        <v>72615.41</v>
      </c>
      <c r="H24">
        <v>229585.39</v>
      </c>
      <c r="I24">
        <v>1066.42</v>
      </c>
      <c r="J24">
        <v>3712.55</v>
      </c>
      <c r="K24">
        <v>77901.7</v>
      </c>
      <c r="L24">
        <v>32.869999999999997</v>
      </c>
      <c r="M24">
        <v>15784.55</v>
      </c>
      <c r="N24">
        <v>322.67</v>
      </c>
      <c r="O24">
        <v>1334.53</v>
      </c>
      <c r="P24">
        <v>87010.06</v>
      </c>
      <c r="Q24">
        <v>0.19400000000000001</v>
      </c>
      <c r="R24">
        <v>8.6999999999999993</v>
      </c>
      <c r="S24">
        <v>368.16</v>
      </c>
      <c r="T24">
        <v>26.9</v>
      </c>
      <c r="U24">
        <v>155.58000000000001</v>
      </c>
      <c r="V24">
        <v>15.11</v>
      </c>
      <c r="W24">
        <v>0.13</v>
      </c>
      <c r="X24">
        <v>128.28</v>
      </c>
      <c r="Y24">
        <v>14.03</v>
      </c>
      <c r="Z24">
        <v>33.15</v>
      </c>
      <c r="AA24">
        <v>4.76</v>
      </c>
      <c r="AB24">
        <v>22.94</v>
      </c>
      <c r="AC24">
        <v>5.83</v>
      </c>
      <c r="AD24">
        <v>2.08</v>
      </c>
      <c r="AE24">
        <v>6.34</v>
      </c>
      <c r="AF24">
        <v>0.95</v>
      </c>
      <c r="AG24">
        <v>5.61</v>
      </c>
      <c r="AH24">
        <v>1.07</v>
      </c>
      <c r="AI24">
        <v>2.66</v>
      </c>
      <c r="AJ24">
        <v>0.33300000000000002</v>
      </c>
      <c r="AK24">
        <v>2.27</v>
      </c>
      <c r="AL24">
        <v>0.29699999999999999</v>
      </c>
      <c r="AM24">
        <v>4.33</v>
      </c>
      <c r="AN24">
        <v>1.05</v>
      </c>
      <c r="AO24">
        <v>2.0499999999999998</v>
      </c>
      <c r="AP24">
        <v>1.1299999999999999</v>
      </c>
      <c r="AQ24">
        <v>0.57099999999999995</v>
      </c>
    </row>
    <row r="25" spans="1:43" x14ac:dyDescent="0.2">
      <c r="A25">
        <v>24</v>
      </c>
      <c r="B25" t="s">
        <v>81</v>
      </c>
      <c r="C25">
        <v>7.73</v>
      </c>
      <c r="D25">
        <v>3.59</v>
      </c>
      <c r="E25">
        <v>23688.53</v>
      </c>
      <c r="F25">
        <v>21307.9</v>
      </c>
      <c r="G25">
        <v>72180.73</v>
      </c>
      <c r="H25">
        <v>249400.41</v>
      </c>
      <c r="I25">
        <v>1345.38</v>
      </c>
      <c r="J25">
        <v>14725.34</v>
      </c>
      <c r="K25">
        <v>50900</v>
      </c>
      <c r="L25">
        <v>34.049999999999997</v>
      </c>
      <c r="M25">
        <v>13594.67</v>
      </c>
      <c r="N25">
        <v>417.59</v>
      </c>
      <c r="O25">
        <v>1529.86</v>
      </c>
      <c r="P25">
        <v>93053.38</v>
      </c>
      <c r="Q25">
        <v>0.52</v>
      </c>
      <c r="R25">
        <v>47.08</v>
      </c>
      <c r="S25">
        <v>332.07</v>
      </c>
      <c r="T25">
        <v>34.99</v>
      </c>
      <c r="U25">
        <v>181.6</v>
      </c>
      <c r="V25">
        <v>12.72</v>
      </c>
      <c r="W25">
        <v>1.18</v>
      </c>
      <c r="X25">
        <v>666.44</v>
      </c>
      <c r="Y25">
        <v>24.39</v>
      </c>
      <c r="Z25">
        <v>50.39</v>
      </c>
      <c r="AA25">
        <v>6.35</v>
      </c>
      <c r="AB25">
        <v>27.53</v>
      </c>
      <c r="AC25">
        <v>5.77</v>
      </c>
      <c r="AD25">
        <v>1.94</v>
      </c>
      <c r="AE25">
        <v>6.35</v>
      </c>
      <c r="AF25">
        <v>1.0049999999999999</v>
      </c>
      <c r="AG25">
        <v>6.22</v>
      </c>
      <c r="AH25">
        <v>1.29</v>
      </c>
      <c r="AI25">
        <v>3.79</v>
      </c>
      <c r="AJ25">
        <v>0.51600000000000001</v>
      </c>
      <c r="AK25">
        <v>3.68</v>
      </c>
      <c r="AL25">
        <v>0.503</v>
      </c>
      <c r="AM25">
        <v>4.96</v>
      </c>
      <c r="AN25">
        <v>0.81100000000000005</v>
      </c>
      <c r="AO25">
        <v>11.14</v>
      </c>
      <c r="AP25">
        <v>6.13</v>
      </c>
      <c r="AQ25">
        <v>1.75</v>
      </c>
    </row>
    <row r="26" spans="1:43" x14ac:dyDescent="0.2">
      <c r="A26">
        <v>25</v>
      </c>
      <c r="B26" s="3" t="s">
        <v>82</v>
      </c>
      <c r="C26" s="3">
        <v>4.79</v>
      </c>
      <c r="D26" s="3">
        <v>1.21</v>
      </c>
      <c r="E26" s="3">
        <v>24704.21</v>
      </c>
      <c r="F26" s="3">
        <v>34818.71</v>
      </c>
      <c r="G26" s="3">
        <v>75205.460000000006</v>
      </c>
      <c r="H26" s="3">
        <v>198089.83</v>
      </c>
      <c r="I26" s="3">
        <v>2563.5100000000002</v>
      </c>
      <c r="J26" s="3">
        <v>12653.72</v>
      </c>
      <c r="K26" s="3">
        <v>85907.06</v>
      </c>
      <c r="L26" s="3">
        <v>29.94</v>
      </c>
      <c r="M26" s="3">
        <v>20038.05</v>
      </c>
      <c r="N26" s="3">
        <v>308.83999999999997</v>
      </c>
      <c r="O26" s="3">
        <v>1278.03</v>
      </c>
      <c r="P26" s="3">
        <v>78422.77</v>
      </c>
      <c r="Q26" s="3">
        <v>0.68</v>
      </c>
      <c r="R26" s="3">
        <v>33.25</v>
      </c>
      <c r="S26" s="3">
        <v>954.8</v>
      </c>
      <c r="T26" s="3">
        <v>27.66</v>
      </c>
      <c r="U26" s="3">
        <v>314.64</v>
      </c>
      <c r="V26" s="3">
        <v>94.26</v>
      </c>
      <c r="W26" s="3">
        <v>0.36899999999999999</v>
      </c>
      <c r="X26" s="3">
        <v>415.94</v>
      </c>
      <c r="Y26" s="3">
        <v>67.98</v>
      </c>
      <c r="Z26" s="3">
        <v>135.28</v>
      </c>
      <c r="AA26" s="3">
        <v>15.82</v>
      </c>
      <c r="AB26" s="3">
        <v>62.71</v>
      </c>
      <c r="AC26" s="3">
        <v>10.33</v>
      </c>
      <c r="AD26" s="3">
        <v>3.06</v>
      </c>
      <c r="AE26" s="3">
        <v>8.5500000000000007</v>
      </c>
      <c r="AF26" s="3">
        <v>1.07</v>
      </c>
      <c r="AG26" s="3">
        <v>5.79</v>
      </c>
      <c r="AH26" s="3">
        <v>1.02</v>
      </c>
      <c r="AI26" s="3">
        <v>2.4500000000000002</v>
      </c>
      <c r="AJ26" s="3">
        <v>0.314</v>
      </c>
      <c r="AK26" s="3">
        <v>2.21</v>
      </c>
      <c r="AL26" s="3">
        <v>0.25600000000000001</v>
      </c>
      <c r="AM26" s="3">
        <v>7.28</v>
      </c>
      <c r="AN26" s="3">
        <v>5.55</v>
      </c>
      <c r="AO26" s="3">
        <v>3.78</v>
      </c>
      <c r="AP26" s="3">
        <v>7.19</v>
      </c>
      <c r="AQ26" s="3">
        <v>1.87</v>
      </c>
    </row>
    <row r="27" spans="1:43" x14ac:dyDescent="0.2">
      <c r="A27">
        <v>26</v>
      </c>
      <c r="B27" s="3" t="s">
        <v>83</v>
      </c>
      <c r="C27" s="3">
        <v>4.58</v>
      </c>
      <c r="D27" s="3">
        <v>1.74</v>
      </c>
      <c r="E27" s="3">
        <v>24710.27</v>
      </c>
      <c r="F27" s="3">
        <v>31051.54</v>
      </c>
      <c r="G27" s="3">
        <v>78683.25</v>
      </c>
      <c r="H27" s="3">
        <v>203731.45</v>
      </c>
      <c r="I27" s="3">
        <v>3003.66</v>
      </c>
      <c r="J27" s="3">
        <v>10543.19</v>
      </c>
      <c r="K27" s="3">
        <v>95555.520000000004</v>
      </c>
      <c r="L27" s="3">
        <v>34.24</v>
      </c>
      <c r="M27" s="3">
        <v>20719.46</v>
      </c>
      <c r="N27" s="3">
        <v>351.13</v>
      </c>
      <c r="O27" s="3">
        <v>1166.8</v>
      </c>
      <c r="P27" s="3">
        <v>74768.539999999994</v>
      </c>
      <c r="Q27" s="3">
        <v>0.72</v>
      </c>
      <c r="R27" s="3">
        <v>33.83</v>
      </c>
      <c r="S27" s="3">
        <v>884.07</v>
      </c>
      <c r="T27" s="3">
        <v>27.48</v>
      </c>
      <c r="U27" s="3">
        <v>304.27</v>
      </c>
      <c r="V27" s="3">
        <v>82.81</v>
      </c>
      <c r="W27" s="3">
        <v>0.39400000000000002</v>
      </c>
      <c r="X27" s="3">
        <v>393.21</v>
      </c>
      <c r="Y27" s="3">
        <v>56.3</v>
      </c>
      <c r="Z27" s="3">
        <v>112.61</v>
      </c>
      <c r="AA27" s="3">
        <v>12.74</v>
      </c>
      <c r="AB27" s="3">
        <v>48.65</v>
      </c>
      <c r="AC27" s="3">
        <v>8.5299999999999994</v>
      </c>
      <c r="AD27" s="3">
        <v>2.73</v>
      </c>
      <c r="AE27" s="3">
        <v>7.85</v>
      </c>
      <c r="AF27" s="3">
        <v>1.08</v>
      </c>
      <c r="AG27" s="3">
        <v>5.58</v>
      </c>
      <c r="AH27" s="3">
        <v>1.05</v>
      </c>
      <c r="AI27" s="3">
        <v>2.72</v>
      </c>
      <c r="AJ27" s="3">
        <v>0.33300000000000002</v>
      </c>
      <c r="AK27" s="3">
        <v>2.23</v>
      </c>
      <c r="AL27" s="3">
        <v>0.30599999999999999</v>
      </c>
      <c r="AM27" s="3">
        <v>7.43</v>
      </c>
      <c r="AN27" s="3">
        <v>5.24</v>
      </c>
      <c r="AO27" s="3">
        <v>4.2</v>
      </c>
      <c r="AP27" s="3">
        <v>6.56</v>
      </c>
      <c r="AQ27" s="3">
        <v>1.69</v>
      </c>
    </row>
    <row r="28" spans="1:43" x14ac:dyDescent="0.2">
      <c r="A28">
        <v>27</v>
      </c>
      <c r="B28" s="3" t="s">
        <v>84</v>
      </c>
      <c r="C28" s="3">
        <v>5.38</v>
      </c>
      <c r="D28" s="3">
        <v>3.24</v>
      </c>
      <c r="E28" s="3">
        <v>22292.03</v>
      </c>
      <c r="F28" s="3">
        <v>339160.94</v>
      </c>
      <c r="G28" s="3">
        <v>80013.440000000002</v>
      </c>
      <c r="H28" s="3">
        <v>363795.75</v>
      </c>
      <c r="I28" s="3">
        <v>1659.47</v>
      </c>
      <c r="J28" s="3">
        <v>7549.2</v>
      </c>
      <c r="K28" s="3">
        <v>86049.99</v>
      </c>
      <c r="L28" s="3">
        <v>38.25</v>
      </c>
      <c r="M28" s="3">
        <v>19023.78</v>
      </c>
      <c r="N28" s="3">
        <v>290.69</v>
      </c>
      <c r="O28" s="3">
        <v>3497.18</v>
      </c>
      <c r="P28" s="3">
        <v>220236.08</v>
      </c>
      <c r="Q28" s="3">
        <v>0.72</v>
      </c>
      <c r="R28" s="3">
        <v>21.91</v>
      </c>
      <c r="S28" s="3">
        <v>765.68</v>
      </c>
      <c r="T28" s="3">
        <v>28.81</v>
      </c>
      <c r="U28" s="3">
        <v>265.76</v>
      </c>
      <c r="V28" s="3">
        <v>59.08</v>
      </c>
      <c r="W28" s="3">
        <v>0.23300000000000001</v>
      </c>
      <c r="X28" s="3">
        <v>324.98</v>
      </c>
      <c r="Y28" s="3">
        <v>46.1</v>
      </c>
      <c r="Z28" s="3">
        <v>95.72</v>
      </c>
      <c r="AA28" s="3">
        <v>11.13</v>
      </c>
      <c r="AB28" s="3">
        <v>44.95</v>
      </c>
      <c r="AC28" s="3">
        <v>7.84</v>
      </c>
      <c r="AD28" s="3">
        <v>2.5</v>
      </c>
      <c r="AE28" s="3">
        <v>7.9</v>
      </c>
      <c r="AF28" s="3">
        <v>1.08</v>
      </c>
      <c r="AG28" s="3">
        <v>5.32</v>
      </c>
      <c r="AH28" s="3">
        <v>1.03</v>
      </c>
      <c r="AI28" s="3">
        <v>2.82</v>
      </c>
      <c r="AJ28" s="3">
        <v>0.36199999999999999</v>
      </c>
      <c r="AK28" s="3">
        <v>2.35</v>
      </c>
      <c r="AL28" s="3">
        <v>0.24099999999999999</v>
      </c>
      <c r="AM28" s="3">
        <v>6.2</v>
      </c>
      <c r="AN28" s="3">
        <v>3.91</v>
      </c>
      <c r="AO28" s="3">
        <v>74.48</v>
      </c>
      <c r="AP28" s="3">
        <v>4.6399999999999997</v>
      </c>
      <c r="AQ28" s="3">
        <v>0.96</v>
      </c>
    </row>
    <row r="29" spans="1:43" x14ac:dyDescent="0.2">
      <c r="A29">
        <v>28</v>
      </c>
      <c r="B29" s="3" t="s">
        <v>85</v>
      </c>
      <c r="C29" s="3">
        <v>3.95</v>
      </c>
      <c r="D29" s="3">
        <v>1.51</v>
      </c>
      <c r="E29" s="3">
        <v>22092.54</v>
      </c>
      <c r="F29" s="3">
        <v>56044.2</v>
      </c>
      <c r="G29" s="3">
        <v>77315.710000000006</v>
      </c>
      <c r="H29" s="3">
        <v>201766.55</v>
      </c>
      <c r="I29" s="3">
        <v>1787.11</v>
      </c>
      <c r="J29" s="3">
        <v>8870.85</v>
      </c>
      <c r="K29" s="3">
        <v>84692.06</v>
      </c>
      <c r="L29" s="3">
        <v>27.32</v>
      </c>
      <c r="M29" s="3">
        <v>17378.57</v>
      </c>
      <c r="N29" s="3">
        <v>263.02999999999997</v>
      </c>
      <c r="O29" s="3">
        <v>1319.15</v>
      </c>
      <c r="P29" s="3">
        <v>83160.84</v>
      </c>
      <c r="Q29" s="3">
        <v>0.52</v>
      </c>
      <c r="R29" s="3">
        <v>22.83</v>
      </c>
      <c r="S29" s="3">
        <v>797.7</v>
      </c>
      <c r="T29" s="3">
        <v>29.27</v>
      </c>
      <c r="U29" s="3">
        <v>272.43</v>
      </c>
      <c r="V29" s="3">
        <v>71.44</v>
      </c>
      <c r="W29" s="3">
        <v>0.28699999999999998</v>
      </c>
      <c r="X29" s="3">
        <v>307.12</v>
      </c>
      <c r="Y29" s="3">
        <v>49.32</v>
      </c>
      <c r="Z29" s="3">
        <v>98.47</v>
      </c>
      <c r="AA29" s="3">
        <v>11.87</v>
      </c>
      <c r="AB29" s="3">
        <v>49.3</v>
      </c>
      <c r="AC29" s="3">
        <v>8.6999999999999993</v>
      </c>
      <c r="AD29" s="3">
        <v>2.6</v>
      </c>
      <c r="AE29" s="3">
        <v>7.38</v>
      </c>
      <c r="AF29" s="3">
        <v>1.1599999999999999</v>
      </c>
      <c r="AG29" s="3">
        <v>5.99</v>
      </c>
      <c r="AH29" s="3">
        <v>0.95</v>
      </c>
      <c r="AI29" s="3">
        <v>2.4</v>
      </c>
      <c r="AJ29" s="3">
        <v>0.40699999999999997</v>
      </c>
      <c r="AK29" s="3">
        <v>2.08</v>
      </c>
      <c r="AL29" s="3">
        <v>0.38200000000000001</v>
      </c>
      <c r="AM29" s="3">
        <v>5.03</v>
      </c>
      <c r="AN29" s="3">
        <v>4.25</v>
      </c>
      <c r="AO29" s="3">
        <v>2.58</v>
      </c>
      <c r="AP29" s="3">
        <v>5.83</v>
      </c>
      <c r="AQ29" s="3">
        <v>1.27</v>
      </c>
    </row>
    <row r="30" spans="1:43" x14ac:dyDescent="0.2">
      <c r="A30">
        <v>29</v>
      </c>
      <c r="B30" s="3" t="s">
        <v>86</v>
      </c>
      <c r="C30" s="3">
        <v>8.81</v>
      </c>
      <c r="D30" s="3">
        <v>3.47</v>
      </c>
      <c r="E30" s="3">
        <v>20665.05</v>
      </c>
      <c r="F30" s="3">
        <v>934193.31</v>
      </c>
      <c r="G30" s="3">
        <v>76804.52</v>
      </c>
      <c r="H30" s="3">
        <v>785817.88</v>
      </c>
      <c r="I30" s="3">
        <v>1494.25</v>
      </c>
      <c r="J30" s="3">
        <v>8564.73</v>
      </c>
      <c r="K30" s="3">
        <v>92696.71</v>
      </c>
      <c r="L30" s="3">
        <v>62.21</v>
      </c>
      <c r="M30" s="3">
        <v>16003.47</v>
      </c>
      <c r="N30" s="3">
        <v>192.41</v>
      </c>
      <c r="O30" s="3">
        <v>7135.28</v>
      </c>
      <c r="P30" s="3">
        <v>433401.66</v>
      </c>
      <c r="Q30" s="3">
        <v>0.89</v>
      </c>
      <c r="R30" s="3">
        <v>22.48</v>
      </c>
      <c r="S30" s="3">
        <v>723.17</v>
      </c>
      <c r="T30" s="3">
        <v>28.26</v>
      </c>
      <c r="U30" s="3">
        <v>275.98</v>
      </c>
      <c r="V30" s="3">
        <v>54.46</v>
      </c>
      <c r="W30" s="3">
        <v>0.20799999999999999</v>
      </c>
      <c r="X30" s="3">
        <v>280.27999999999997</v>
      </c>
      <c r="Y30" s="3">
        <v>38.67</v>
      </c>
      <c r="Z30" s="3">
        <v>86.5</v>
      </c>
      <c r="AA30" s="3">
        <v>9.9700000000000006</v>
      </c>
      <c r="AB30" s="3">
        <v>43.22</v>
      </c>
      <c r="AC30" s="3">
        <v>8.2799999999999994</v>
      </c>
      <c r="AD30" s="3">
        <v>2.3199999999999998</v>
      </c>
      <c r="AE30" s="3">
        <v>6.54</v>
      </c>
      <c r="AF30" s="3">
        <v>1.1200000000000001</v>
      </c>
      <c r="AG30" s="3">
        <v>5.3</v>
      </c>
      <c r="AH30" s="3">
        <v>0.97</v>
      </c>
      <c r="AI30" s="3">
        <v>2.57</v>
      </c>
      <c r="AJ30" s="3">
        <v>0.22800000000000001</v>
      </c>
      <c r="AK30" s="3">
        <v>2.35</v>
      </c>
      <c r="AL30" s="3">
        <v>0.28199999999999997</v>
      </c>
      <c r="AM30" s="3">
        <v>5.8</v>
      </c>
      <c r="AN30" s="3">
        <v>3.22</v>
      </c>
      <c r="AO30" s="3">
        <v>210.04</v>
      </c>
      <c r="AP30" s="3">
        <v>3.6</v>
      </c>
      <c r="AQ30" s="3">
        <v>0.87</v>
      </c>
    </row>
    <row r="31" spans="1:43" x14ac:dyDescent="0.2">
      <c r="A31">
        <v>30</v>
      </c>
      <c r="B31" s="3" t="s">
        <v>87</v>
      </c>
      <c r="C31" s="3">
        <v>6.83</v>
      </c>
      <c r="D31" s="3">
        <v>2.23</v>
      </c>
      <c r="E31" s="3">
        <v>21858.63</v>
      </c>
      <c r="F31" s="3">
        <v>171186.28</v>
      </c>
      <c r="G31" s="3">
        <v>56704.34</v>
      </c>
      <c r="H31" s="3">
        <v>255527.78</v>
      </c>
      <c r="I31" s="3">
        <v>2668.76</v>
      </c>
      <c r="J31" s="3">
        <v>10868.67</v>
      </c>
      <c r="K31" s="3">
        <v>83048.25</v>
      </c>
      <c r="L31" s="3">
        <v>24.5</v>
      </c>
      <c r="M31" s="3">
        <v>15787.53</v>
      </c>
      <c r="N31" s="3">
        <v>247.06</v>
      </c>
      <c r="O31" s="3">
        <v>2780.67</v>
      </c>
      <c r="P31" s="3">
        <v>144333.51999999999</v>
      </c>
      <c r="Q31" s="3">
        <v>0.98</v>
      </c>
      <c r="R31" s="3">
        <v>33.590000000000003</v>
      </c>
      <c r="S31" s="3">
        <v>1135.25</v>
      </c>
      <c r="T31" s="3">
        <v>33.21</v>
      </c>
      <c r="U31" s="3">
        <v>359.99</v>
      </c>
      <c r="V31" s="3">
        <v>107.88</v>
      </c>
      <c r="W31" s="3">
        <v>0.41</v>
      </c>
      <c r="X31" s="3">
        <v>519.37</v>
      </c>
      <c r="Y31" s="3">
        <v>76.7</v>
      </c>
      <c r="Z31" s="3">
        <v>162.44999999999999</v>
      </c>
      <c r="AA31" s="3">
        <v>18.940000000000001</v>
      </c>
      <c r="AB31" s="3">
        <v>67.08</v>
      </c>
      <c r="AC31" s="3">
        <v>11.54</v>
      </c>
      <c r="AD31" s="3">
        <v>3.39</v>
      </c>
      <c r="AE31" s="3">
        <v>8.3800000000000008</v>
      </c>
      <c r="AF31" s="3">
        <v>1.1100000000000001</v>
      </c>
      <c r="AG31" s="3">
        <v>5.61</v>
      </c>
      <c r="AH31" s="3">
        <v>1.2</v>
      </c>
      <c r="AI31" s="3">
        <v>2.98</v>
      </c>
      <c r="AJ31" s="3">
        <v>0.48099999999999998</v>
      </c>
      <c r="AK31" s="3">
        <v>2.63</v>
      </c>
      <c r="AL31" s="3">
        <v>0.32200000000000001</v>
      </c>
      <c r="AM31" s="3">
        <v>7.83</v>
      </c>
      <c r="AN31" s="3">
        <v>5.64</v>
      </c>
      <c r="AO31" s="3">
        <v>6.3</v>
      </c>
      <c r="AP31" s="3">
        <v>8.66</v>
      </c>
      <c r="AQ31" s="3">
        <v>2.2000000000000002</v>
      </c>
    </row>
    <row r="32" spans="1:43" x14ac:dyDescent="0.2">
      <c r="A32">
        <v>31</v>
      </c>
      <c r="B32" s="3" t="s">
        <v>88</v>
      </c>
      <c r="C32" s="3">
        <v>4</v>
      </c>
      <c r="D32" s="3">
        <v>2.16</v>
      </c>
      <c r="E32" s="3">
        <v>23147.86</v>
      </c>
      <c r="F32" s="3">
        <v>30517.71</v>
      </c>
      <c r="G32" s="3">
        <v>70238.509999999995</v>
      </c>
      <c r="H32" s="3">
        <v>188885.25</v>
      </c>
      <c r="I32" s="3">
        <v>2002.68</v>
      </c>
      <c r="J32" s="3">
        <v>9947.73</v>
      </c>
      <c r="K32" s="3">
        <v>91696.13</v>
      </c>
      <c r="L32" s="3">
        <v>29.19</v>
      </c>
      <c r="M32" s="3">
        <v>17651.560000000001</v>
      </c>
      <c r="N32" s="3">
        <v>300.63</v>
      </c>
      <c r="O32" s="3">
        <v>1021.94</v>
      </c>
      <c r="P32" s="3">
        <v>66192.479999999996</v>
      </c>
      <c r="Q32" s="3">
        <v>0.55000000000000004</v>
      </c>
      <c r="R32" s="3">
        <v>28.96</v>
      </c>
      <c r="S32" s="3">
        <v>811.48</v>
      </c>
      <c r="T32" s="3">
        <v>27.23</v>
      </c>
      <c r="U32" s="3">
        <v>262.64</v>
      </c>
      <c r="V32" s="3">
        <v>80.48</v>
      </c>
      <c r="W32" s="3">
        <v>0.35199999999999998</v>
      </c>
      <c r="X32" s="3">
        <v>352.6</v>
      </c>
      <c r="Y32" s="3">
        <v>61.1</v>
      </c>
      <c r="Z32" s="3">
        <v>112.73</v>
      </c>
      <c r="AA32" s="3">
        <v>13.31</v>
      </c>
      <c r="AB32" s="3">
        <v>54.41</v>
      </c>
      <c r="AC32" s="3">
        <v>8.23</v>
      </c>
      <c r="AD32" s="3">
        <v>2.73</v>
      </c>
      <c r="AE32" s="3">
        <v>7.48</v>
      </c>
      <c r="AF32" s="3">
        <v>0.99</v>
      </c>
      <c r="AG32" s="3">
        <v>5.69</v>
      </c>
      <c r="AH32" s="3">
        <v>0.91</v>
      </c>
      <c r="AI32" s="3">
        <v>2.37</v>
      </c>
      <c r="AJ32" s="3">
        <v>0.28899999999999998</v>
      </c>
      <c r="AK32" s="3">
        <v>2.2799999999999998</v>
      </c>
      <c r="AL32" s="3">
        <v>0.26700000000000002</v>
      </c>
      <c r="AM32" s="3">
        <v>5.94</v>
      </c>
      <c r="AN32" s="3">
        <v>4.38</v>
      </c>
      <c r="AO32" s="3">
        <v>6.21</v>
      </c>
      <c r="AP32" s="3">
        <v>6.38</v>
      </c>
      <c r="AQ32" s="3">
        <v>1.57</v>
      </c>
    </row>
    <row r="33" spans="1:43" x14ac:dyDescent="0.2">
      <c r="A33">
        <v>32</v>
      </c>
      <c r="B33" s="3" t="s">
        <v>89</v>
      </c>
      <c r="C33" s="3">
        <v>3.85</v>
      </c>
      <c r="D33" s="3">
        <v>1.84</v>
      </c>
      <c r="E33" s="3">
        <v>22209.82</v>
      </c>
      <c r="F33" s="3">
        <v>47221.54</v>
      </c>
      <c r="G33" s="3">
        <v>79121.88</v>
      </c>
      <c r="H33" s="3">
        <v>179522.22</v>
      </c>
      <c r="I33" s="3">
        <v>2518.96</v>
      </c>
      <c r="J33" s="3">
        <v>11851.35</v>
      </c>
      <c r="K33" s="3">
        <v>86836.160000000003</v>
      </c>
      <c r="L33" s="3">
        <v>33.33</v>
      </c>
      <c r="M33" s="3">
        <v>19434.41</v>
      </c>
      <c r="N33" s="3">
        <v>299.57</v>
      </c>
      <c r="O33" s="3">
        <v>1335.51</v>
      </c>
      <c r="P33" s="3">
        <v>75912.84</v>
      </c>
      <c r="Q33" s="3">
        <v>0.78</v>
      </c>
      <c r="R33" s="3">
        <v>34.97</v>
      </c>
      <c r="S33" s="3">
        <v>1063.01</v>
      </c>
      <c r="T33" s="3">
        <v>26.08</v>
      </c>
      <c r="U33" s="3">
        <v>371.67</v>
      </c>
      <c r="V33" s="3">
        <v>103.89</v>
      </c>
      <c r="W33" s="3">
        <v>0.42</v>
      </c>
      <c r="X33" s="3">
        <v>485.18</v>
      </c>
      <c r="Y33" s="3">
        <v>83.25</v>
      </c>
      <c r="Z33" s="3">
        <v>155.76</v>
      </c>
      <c r="AA33" s="3">
        <v>16.920000000000002</v>
      </c>
      <c r="AB33" s="3">
        <v>66.680000000000007</v>
      </c>
      <c r="AC33" s="3">
        <v>11.41</v>
      </c>
      <c r="AD33" s="3">
        <v>3.56</v>
      </c>
      <c r="AE33" s="3">
        <v>8.6300000000000008</v>
      </c>
      <c r="AF33" s="3">
        <v>1.06</v>
      </c>
      <c r="AG33" s="3">
        <v>5.7</v>
      </c>
      <c r="AH33" s="3">
        <v>0.96</v>
      </c>
      <c r="AI33" s="3">
        <v>2.8</v>
      </c>
      <c r="AJ33" s="3">
        <v>0.33100000000000002</v>
      </c>
      <c r="AK33" s="3">
        <v>1.7</v>
      </c>
      <c r="AL33" s="3">
        <v>0.28399999999999997</v>
      </c>
      <c r="AM33" s="3">
        <v>8.43</v>
      </c>
      <c r="AN33" s="3">
        <v>6.26</v>
      </c>
      <c r="AO33" s="3">
        <v>4.55</v>
      </c>
      <c r="AP33" s="3">
        <v>8.85</v>
      </c>
      <c r="AQ33" s="3">
        <v>2.21</v>
      </c>
    </row>
    <row r="34" spans="1:43" x14ac:dyDescent="0.2">
      <c r="A34">
        <v>33</v>
      </c>
      <c r="B34" s="3" t="s">
        <v>90</v>
      </c>
      <c r="C34" s="3">
        <v>8.7200000000000006</v>
      </c>
      <c r="D34" s="3">
        <v>3.28</v>
      </c>
      <c r="E34" s="3">
        <v>22005.23</v>
      </c>
      <c r="F34" s="3">
        <v>345789.88</v>
      </c>
      <c r="G34" s="3">
        <v>89052.79</v>
      </c>
      <c r="H34" s="3">
        <v>367506.34</v>
      </c>
      <c r="I34" s="3">
        <v>1779.55</v>
      </c>
      <c r="J34" s="3">
        <v>8443.4599999999991</v>
      </c>
      <c r="K34" s="3">
        <v>104346.32</v>
      </c>
      <c r="L34" s="3">
        <v>43.86</v>
      </c>
      <c r="M34" s="3">
        <v>24643.11</v>
      </c>
      <c r="N34" s="3">
        <v>413.84</v>
      </c>
      <c r="O34" s="3">
        <v>3291.38</v>
      </c>
      <c r="P34" s="3">
        <v>214254.89</v>
      </c>
      <c r="Q34" s="3">
        <v>0.45</v>
      </c>
      <c r="R34" s="3">
        <v>22.96</v>
      </c>
      <c r="S34" s="3">
        <v>829.22</v>
      </c>
      <c r="T34" s="3">
        <v>32</v>
      </c>
      <c r="U34" s="3">
        <v>306.02999999999997</v>
      </c>
      <c r="V34" s="3">
        <v>62.87</v>
      </c>
      <c r="W34" s="3">
        <v>0.29899999999999999</v>
      </c>
      <c r="X34" s="3">
        <v>332.29</v>
      </c>
      <c r="Y34" s="3">
        <v>47.08</v>
      </c>
      <c r="Z34" s="3">
        <v>101.16</v>
      </c>
      <c r="AA34" s="3">
        <v>12</v>
      </c>
      <c r="AB34" s="3">
        <v>49.76</v>
      </c>
      <c r="AC34" s="3">
        <v>9.42</v>
      </c>
      <c r="AD34" s="3">
        <v>2.99</v>
      </c>
      <c r="AE34" s="3">
        <v>8.49</v>
      </c>
      <c r="AF34" s="3">
        <v>1.1599999999999999</v>
      </c>
      <c r="AG34" s="3">
        <v>6.47</v>
      </c>
      <c r="AH34" s="3">
        <v>1.22</v>
      </c>
      <c r="AI34" s="3">
        <v>3.58</v>
      </c>
      <c r="AJ34" s="3">
        <v>0.45200000000000001</v>
      </c>
      <c r="AK34" s="3">
        <v>2.29</v>
      </c>
      <c r="AL34" s="3">
        <v>0.44600000000000001</v>
      </c>
      <c r="AM34" s="3">
        <v>6.9</v>
      </c>
      <c r="AN34" s="3">
        <v>4.28</v>
      </c>
      <c r="AO34" s="3">
        <v>63.2</v>
      </c>
      <c r="AP34" s="3">
        <v>4.7300000000000004</v>
      </c>
      <c r="AQ34" s="3">
        <v>1.35</v>
      </c>
    </row>
    <row r="35" spans="1:43" x14ac:dyDescent="0.2">
      <c r="A35">
        <v>34</v>
      </c>
      <c r="B35" s="3" t="s">
        <v>91</v>
      </c>
      <c r="C35" s="3">
        <v>5.53</v>
      </c>
      <c r="D35" s="3">
        <v>1.79</v>
      </c>
      <c r="E35" s="3">
        <v>22480.66</v>
      </c>
      <c r="F35" s="3">
        <v>396552.41</v>
      </c>
      <c r="G35" s="3">
        <v>99547.46</v>
      </c>
      <c r="H35" s="3">
        <v>386394.97</v>
      </c>
      <c r="I35" s="3">
        <v>1638.87</v>
      </c>
      <c r="J35" s="3">
        <v>7412.55</v>
      </c>
      <c r="K35" s="3">
        <v>104346.32</v>
      </c>
      <c r="L35" s="3">
        <v>37.92</v>
      </c>
      <c r="M35" s="3">
        <v>17688.560000000001</v>
      </c>
      <c r="N35" s="3">
        <v>256.10000000000002</v>
      </c>
      <c r="O35" s="3">
        <v>3018.95</v>
      </c>
      <c r="P35" s="3">
        <v>214394.05</v>
      </c>
      <c r="Q35" s="3">
        <v>0.61</v>
      </c>
      <c r="R35" s="3">
        <v>26.68</v>
      </c>
      <c r="S35" s="3">
        <v>1036.08</v>
      </c>
      <c r="T35" s="3">
        <v>40.340000000000003</v>
      </c>
      <c r="U35" s="3">
        <v>349.85</v>
      </c>
      <c r="V35" s="3">
        <v>58.66</v>
      </c>
      <c r="W35" s="3">
        <v>0.26100000000000001</v>
      </c>
      <c r="X35" s="3">
        <v>338.6</v>
      </c>
      <c r="Y35" s="3">
        <v>55.32</v>
      </c>
      <c r="Z35" s="3">
        <v>123.79</v>
      </c>
      <c r="AA35" s="3">
        <v>14.14</v>
      </c>
      <c r="AB35" s="3">
        <v>49.57</v>
      </c>
      <c r="AC35" s="3">
        <v>8.94</v>
      </c>
      <c r="AD35" s="3">
        <v>2.77</v>
      </c>
      <c r="AE35" s="3">
        <v>12.35</v>
      </c>
      <c r="AF35" s="3">
        <v>1.58</v>
      </c>
      <c r="AG35" s="3">
        <v>6.42</v>
      </c>
      <c r="AH35" s="3">
        <v>1.0900000000000001</v>
      </c>
      <c r="AI35" s="3">
        <v>3.17</v>
      </c>
      <c r="AJ35" s="3">
        <v>0.5</v>
      </c>
      <c r="AK35" s="3">
        <v>2.96</v>
      </c>
      <c r="AL35" s="3">
        <v>0.38500000000000001</v>
      </c>
      <c r="AM35" s="3">
        <v>6.91</v>
      </c>
      <c r="AN35" s="3">
        <v>4.4800000000000004</v>
      </c>
      <c r="AO35" s="3">
        <v>67.150000000000006</v>
      </c>
      <c r="AP35" s="3">
        <v>5.41</v>
      </c>
      <c r="AQ35" s="3">
        <v>1.1299999999999999</v>
      </c>
    </row>
    <row r="36" spans="1:43" x14ac:dyDescent="0.2">
      <c r="A36">
        <v>35</v>
      </c>
      <c r="B36" s="3" t="s">
        <v>92</v>
      </c>
      <c r="C36" s="3">
        <v>6.83</v>
      </c>
      <c r="D36" s="3">
        <v>0.98</v>
      </c>
      <c r="E36" s="3">
        <v>25126.95</v>
      </c>
      <c r="F36" s="3">
        <v>41962.77</v>
      </c>
      <c r="G36" s="3">
        <v>91401.65</v>
      </c>
      <c r="H36" s="3">
        <v>215230.17</v>
      </c>
      <c r="I36" s="3">
        <v>313.7</v>
      </c>
      <c r="J36" s="3">
        <v>2382.0300000000002</v>
      </c>
      <c r="K36" s="3">
        <v>105203.96</v>
      </c>
      <c r="L36" s="3">
        <v>42</v>
      </c>
      <c r="M36" s="3">
        <v>39363.47</v>
      </c>
      <c r="N36" s="3">
        <v>446.91</v>
      </c>
      <c r="O36" s="3">
        <v>1632.27</v>
      </c>
      <c r="P36" s="3">
        <v>85203.74</v>
      </c>
      <c r="Q36" s="3">
        <v>0.34</v>
      </c>
      <c r="R36" s="3">
        <v>9.9600000000000009</v>
      </c>
      <c r="S36" s="3">
        <v>239.14</v>
      </c>
      <c r="T36" s="3">
        <v>35.340000000000003</v>
      </c>
      <c r="U36" s="3">
        <v>177.26</v>
      </c>
      <c r="V36" s="3">
        <v>25.47</v>
      </c>
      <c r="W36" s="3">
        <v>0.121</v>
      </c>
      <c r="X36" s="3">
        <v>86.38</v>
      </c>
      <c r="Y36" s="3">
        <v>17.440000000000001</v>
      </c>
      <c r="Z36" s="3">
        <v>48.62</v>
      </c>
      <c r="AA36" s="3">
        <v>7.89</v>
      </c>
      <c r="AB36" s="3">
        <v>34.83</v>
      </c>
      <c r="AC36" s="3">
        <v>11.72</v>
      </c>
      <c r="AD36" s="3">
        <v>5.29</v>
      </c>
      <c r="AE36" s="3">
        <v>12.55</v>
      </c>
      <c r="AF36" s="3">
        <v>1.53</v>
      </c>
      <c r="AG36" s="3">
        <v>6.87</v>
      </c>
      <c r="AH36" s="3">
        <v>1.76</v>
      </c>
      <c r="AI36" s="3">
        <v>5.55</v>
      </c>
      <c r="AJ36" s="3">
        <v>0.56000000000000005</v>
      </c>
      <c r="AK36" s="3">
        <v>2.61</v>
      </c>
      <c r="AL36" s="3">
        <v>0.34799999999999998</v>
      </c>
      <c r="AM36" s="3">
        <v>4.71</v>
      </c>
      <c r="AN36" s="3">
        <v>2</v>
      </c>
      <c r="AO36" s="3">
        <v>5.12</v>
      </c>
      <c r="AP36" s="3">
        <v>0.73</v>
      </c>
      <c r="AQ36" s="3">
        <v>0.36099999999999999</v>
      </c>
    </row>
    <row r="37" spans="1:43" x14ac:dyDescent="0.2">
      <c r="A37">
        <v>36</v>
      </c>
      <c r="B37" s="3" t="s">
        <v>93</v>
      </c>
      <c r="C37" s="3">
        <v>4.92</v>
      </c>
      <c r="D37" s="3">
        <v>2.2200000000000002</v>
      </c>
      <c r="E37" s="3">
        <v>26567.15</v>
      </c>
      <c r="F37" s="3">
        <v>35922.89</v>
      </c>
      <c r="G37" s="3">
        <v>78532.41</v>
      </c>
      <c r="H37" s="3">
        <v>210859.67</v>
      </c>
      <c r="I37" s="3">
        <v>2333.7600000000002</v>
      </c>
      <c r="J37" s="3">
        <v>10033.14</v>
      </c>
      <c r="K37" s="3">
        <v>86478.8</v>
      </c>
      <c r="L37" s="3">
        <v>31.45</v>
      </c>
      <c r="M37" s="3">
        <v>18796.189999999999</v>
      </c>
      <c r="N37" s="3">
        <v>266.58999999999997</v>
      </c>
      <c r="O37" s="3">
        <v>1221.1600000000001</v>
      </c>
      <c r="P37" s="3">
        <v>77237.990000000005</v>
      </c>
      <c r="Q37" s="3">
        <v>0.75</v>
      </c>
      <c r="R37" s="3">
        <v>28.07</v>
      </c>
      <c r="S37" s="3">
        <v>799.57</v>
      </c>
      <c r="T37" s="3">
        <v>28.16</v>
      </c>
      <c r="U37" s="3">
        <v>290.88</v>
      </c>
      <c r="V37" s="3">
        <v>67.48</v>
      </c>
      <c r="W37" s="3">
        <v>0.3</v>
      </c>
      <c r="X37" s="3">
        <v>351.95</v>
      </c>
      <c r="Y37" s="3">
        <v>48.43</v>
      </c>
      <c r="Z37" s="3">
        <v>102.62</v>
      </c>
      <c r="AA37" s="3">
        <v>12.34</v>
      </c>
      <c r="AB37" s="3">
        <v>50.27</v>
      </c>
      <c r="AC37" s="3">
        <v>9.86</v>
      </c>
      <c r="AD37" s="3">
        <v>3.03</v>
      </c>
      <c r="AE37" s="3">
        <v>8.26</v>
      </c>
      <c r="AF37" s="3">
        <v>1.1100000000000001</v>
      </c>
      <c r="AG37" s="3">
        <v>6.07</v>
      </c>
      <c r="AH37" s="3">
        <v>1.05</v>
      </c>
      <c r="AI37" s="3">
        <v>2.73</v>
      </c>
      <c r="AJ37" s="3">
        <v>0.376</v>
      </c>
      <c r="AK37" s="3">
        <v>2.02</v>
      </c>
      <c r="AL37" s="3">
        <v>0.25800000000000001</v>
      </c>
      <c r="AM37" s="3">
        <v>6.93</v>
      </c>
      <c r="AN37" s="3">
        <v>4.0999999999999996</v>
      </c>
      <c r="AO37" s="3">
        <v>18.829999999999998</v>
      </c>
      <c r="AP37" s="3">
        <v>4.9800000000000004</v>
      </c>
      <c r="AQ37" s="3">
        <v>1.32</v>
      </c>
    </row>
    <row r="38" spans="1:43" x14ac:dyDescent="0.2">
      <c r="A38">
        <v>37</v>
      </c>
      <c r="B38" t="s">
        <v>94</v>
      </c>
      <c r="C38">
        <v>4.4800000000000004</v>
      </c>
      <c r="D38">
        <v>2.2400000000000002</v>
      </c>
      <c r="E38">
        <v>16538.59</v>
      </c>
      <c r="F38">
        <v>41223.550000000003</v>
      </c>
      <c r="G38">
        <v>67925.31</v>
      </c>
      <c r="H38">
        <v>230785.91</v>
      </c>
      <c r="I38">
        <v>963.73</v>
      </c>
      <c r="J38">
        <v>4043.26</v>
      </c>
      <c r="K38">
        <v>77901.69</v>
      </c>
      <c r="L38">
        <v>31.62</v>
      </c>
      <c r="M38">
        <v>14438.25</v>
      </c>
      <c r="N38">
        <v>281.27</v>
      </c>
      <c r="O38">
        <v>1156.76</v>
      </c>
      <c r="P38">
        <v>75409.52</v>
      </c>
      <c r="Q38">
        <v>0.124</v>
      </c>
      <c r="R38">
        <v>8.5</v>
      </c>
      <c r="S38">
        <v>341</v>
      </c>
      <c r="T38">
        <v>26.36</v>
      </c>
      <c r="U38">
        <v>155.91999999999999</v>
      </c>
      <c r="V38">
        <v>13.88</v>
      </c>
      <c r="W38">
        <v>0.127</v>
      </c>
      <c r="X38">
        <v>107.87</v>
      </c>
      <c r="Y38">
        <v>11.96</v>
      </c>
      <c r="Z38">
        <v>29.97</v>
      </c>
      <c r="AA38">
        <v>4.4000000000000004</v>
      </c>
      <c r="AB38">
        <v>21</v>
      </c>
      <c r="AC38">
        <v>5.39</v>
      </c>
      <c r="AD38">
        <v>1.72</v>
      </c>
      <c r="AE38">
        <v>5.81</v>
      </c>
      <c r="AF38">
        <v>0.84199999999999997</v>
      </c>
      <c r="AG38">
        <v>5.2</v>
      </c>
      <c r="AH38">
        <v>0.9</v>
      </c>
      <c r="AI38">
        <v>2.23</v>
      </c>
      <c r="AJ38">
        <v>0.315</v>
      </c>
      <c r="AK38">
        <v>2.23</v>
      </c>
      <c r="AL38">
        <v>0.29199999999999998</v>
      </c>
      <c r="AM38">
        <v>3.91</v>
      </c>
      <c r="AN38">
        <v>0.89</v>
      </c>
      <c r="AO38">
        <v>1.88</v>
      </c>
      <c r="AP38">
        <v>1.02</v>
      </c>
      <c r="AQ38">
        <v>0.438</v>
      </c>
    </row>
    <row r="39" spans="1:43" x14ac:dyDescent="0.2">
      <c r="A39">
        <v>38</v>
      </c>
      <c r="B39" t="s">
        <v>95</v>
      </c>
      <c r="C39">
        <v>8.93</v>
      </c>
      <c r="D39">
        <v>15</v>
      </c>
      <c r="E39">
        <v>6291.95</v>
      </c>
      <c r="F39">
        <v>139167.44</v>
      </c>
      <c r="G39">
        <v>56518.28</v>
      </c>
      <c r="H39">
        <v>210152.63</v>
      </c>
      <c r="I39">
        <v>125.28</v>
      </c>
      <c r="J39">
        <v>175.82</v>
      </c>
      <c r="K39">
        <v>60392.23</v>
      </c>
      <c r="L39">
        <v>33.479999999999997</v>
      </c>
      <c r="M39">
        <v>1809.47</v>
      </c>
      <c r="N39">
        <v>228.15</v>
      </c>
      <c r="O39">
        <v>1230.28</v>
      </c>
      <c r="P39">
        <v>81603.91</v>
      </c>
      <c r="Q39">
        <v>0.14499999999999999</v>
      </c>
      <c r="R39">
        <v>2.04</v>
      </c>
      <c r="S39">
        <v>15.38</v>
      </c>
      <c r="T39">
        <v>12.05</v>
      </c>
      <c r="U39">
        <v>9.11</v>
      </c>
      <c r="V39">
        <v>4.3999999999999997E-2</v>
      </c>
      <c r="W39">
        <v>7.8</v>
      </c>
      <c r="X39">
        <v>0.81100000000000005</v>
      </c>
      <c r="Y39">
        <v>7.9000000000000001E-2</v>
      </c>
      <c r="Z39">
        <v>0.35399999999999998</v>
      </c>
      <c r="AA39">
        <v>8.48E-2</v>
      </c>
      <c r="AB39">
        <v>0.56299999999999994</v>
      </c>
      <c r="AC39">
        <v>0.48099999999999998</v>
      </c>
      <c r="AD39">
        <v>0.254</v>
      </c>
      <c r="AE39">
        <v>1.1100000000000001</v>
      </c>
      <c r="AF39">
        <v>0.23100000000000001</v>
      </c>
      <c r="AG39">
        <v>2.13</v>
      </c>
      <c r="AH39">
        <v>0.44600000000000001</v>
      </c>
      <c r="AI39">
        <v>1.42</v>
      </c>
      <c r="AJ39">
        <v>0.22600000000000001</v>
      </c>
      <c r="AK39">
        <v>1.42</v>
      </c>
      <c r="AL39">
        <v>0.20399999999999999</v>
      </c>
      <c r="AM39">
        <v>0.36199999999999999</v>
      </c>
      <c r="AN39">
        <v>2.0199999999999999E-2</v>
      </c>
      <c r="AO39">
        <v>21.97</v>
      </c>
      <c r="AP39" t="s">
        <v>96</v>
      </c>
      <c r="AQ39">
        <v>5.0999999999999997E-2</v>
      </c>
    </row>
    <row r="40" spans="1:43" x14ac:dyDescent="0.2">
      <c r="A40">
        <v>39</v>
      </c>
      <c r="B40" t="s">
        <v>97</v>
      </c>
      <c r="C40">
        <v>5.07</v>
      </c>
      <c r="D40">
        <v>2.2799999999999998</v>
      </c>
      <c r="E40">
        <v>17274.14</v>
      </c>
      <c r="F40">
        <v>43054.39</v>
      </c>
      <c r="G40">
        <v>68768.38</v>
      </c>
      <c r="H40">
        <v>238980.2</v>
      </c>
      <c r="I40">
        <v>1008.25</v>
      </c>
      <c r="J40">
        <v>4070.78</v>
      </c>
      <c r="K40">
        <v>77901.679999999993</v>
      </c>
      <c r="L40">
        <v>32.54</v>
      </c>
      <c r="M40">
        <v>15758.94</v>
      </c>
      <c r="N40">
        <v>313.24</v>
      </c>
      <c r="O40">
        <v>1277.02</v>
      </c>
      <c r="P40">
        <v>82468.350000000006</v>
      </c>
      <c r="Q40">
        <v>0.22</v>
      </c>
      <c r="R40">
        <v>8.7899999999999991</v>
      </c>
      <c r="S40">
        <v>347.28</v>
      </c>
      <c r="T40">
        <v>25.28</v>
      </c>
      <c r="U40">
        <v>146.94</v>
      </c>
      <c r="V40">
        <v>15.23</v>
      </c>
      <c r="W40">
        <v>0.13200000000000001</v>
      </c>
      <c r="X40">
        <v>122.1</v>
      </c>
      <c r="Y40">
        <v>13.01</v>
      </c>
      <c r="Z40">
        <v>31.82</v>
      </c>
      <c r="AA40">
        <v>4.59</v>
      </c>
      <c r="AB40">
        <v>21.38</v>
      </c>
      <c r="AC40">
        <v>5.44</v>
      </c>
      <c r="AD40">
        <v>1.95</v>
      </c>
      <c r="AE40">
        <v>6.02</v>
      </c>
      <c r="AF40">
        <v>0.87</v>
      </c>
      <c r="AG40">
        <v>5.0599999999999996</v>
      </c>
      <c r="AH40">
        <v>1</v>
      </c>
      <c r="AI40">
        <v>2.5299999999999998</v>
      </c>
      <c r="AJ40">
        <v>0.32</v>
      </c>
      <c r="AK40">
        <v>1.97</v>
      </c>
      <c r="AL40">
        <v>0.28499999999999998</v>
      </c>
      <c r="AM40">
        <v>4.1399999999999997</v>
      </c>
      <c r="AN40">
        <v>0.92</v>
      </c>
      <c r="AO40">
        <v>2.13</v>
      </c>
      <c r="AP40">
        <v>1.01</v>
      </c>
      <c r="AQ40">
        <v>0.47399999999999998</v>
      </c>
    </row>
    <row r="41" spans="1:43" x14ac:dyDescent="0.2">
      <c r="A41">
        <v>40</v>
      </c>
      <c r="B41" t="s">
        <v>98</v>
      </c>
      <c r="C41">
        <v>4.99</v>
      </c>
      <c r="D41">
        <v>2.4700000000000002</v>
      </c>
      <c r="E41">
        <v>17742.599999999999</v>
      </c>
      <c r="F41">
        <v>43981.13</v>
      </c>
      <c r="G41">
        <v>69712.149999999994</v>
      </c>
      <c r="H41">
        <v>240256.08</v>
      </c>
      <c r="I41">
        <v>1042.94</v>
      </c>
      <c r="J41">
        <v>3973.53</v>
      </c>
      <c r="K41">
        <v>77901.69</v>
      </c>
      <c r="L41">
        <v>31.49</v>
      </c>
      <c r="M41">
        <v>15681.25</v>
      </c>
      <c r="N41">
        <v>310.45999999999998</v>
      </c>
      <c r="O41">
        <v>1267.8599999999999</v>
      </c>
      <c r="P41">
        <v>84367.95</v>
      </c>
      <c r="Q41">
        <v>0.155</v>
      </c>
      <c r="R41">
        <v>8.93</v>
      </c>
      <c r="S41">
        <v>352.89</v>
      </c>
      <c r="T41">
        <v>24.92</v>
      </c>
      <c r="U41">
        <v>148.61000000000001</v>
      </c>
      <c r="V41">
        <v>14.96</v>
      </c>
      <c r="W41">
        <v>0.126</v>
      </c>
      <c r="X41">
        <v>119.61</v>
      </c>
      <c r="Y41">
        <v>12.62</v>
      </c>
      <c r="Z41">
        <v>32.14</v>
      </c>
      <c r="AA41">
        <v>4.4400000000000004</v>
      </c>
      <c r="AB41">
        <v>20.11</v>
      </c>
      <c r="AC41">
        <v>5.31</v>
      </c>
      <c r="AD41">
        <v>1.91</v>
      </c>
      <c r="AE41">
        <v>5.7</v>
      </c>
      <c r="AF41">
        <v>0.86399999999999999</v>
      </c>
      <c r="AG41">
        <v>5.03</v>
      </c>
      <c r="AH41">
        <v>0.9</v>
      </c>
      <c r="AI41">
        <v>2.5499999999999998</v>
      </c>
      <c r="AJ41">
        <v>0.34</v>
      </c>
      <c r="AK41">
        <v>2.06</v>
      </c>
      <c r="AL41">
        <v>0.32300000000000001</v>
      </c>
      <c r="AM41">
        <v>3.97</v>
      </c>
      <c r="AN41">
        <v>0.9</v>
      </c>
      <c r="AO41">
        <v>2.06</v>
      </c>
      <c r="AP41">
        <v>1.03</v>
      </c>
      <c r="AQ41">
        <v>0.502</v>
      </c>
    </row>
    <row r="42" spans="1:43" x14ac:dyDescent="0.2">
      <c r="A42">
        <v>41</v>
      </c>
      <c r="B42" t="s">
        <v>99</v>
      </c>
      <c r="C42">
        <v>5.13</v>
      </c>
      <c r="D42">
        <v>2.9</v>
      </c>
      <c r="E42">
        <v>17731.5</v>
      </c>
      <c r="F42">
        <v>44485.9</v>
      </c>
      <c r="G42">
        <v>68889.89</v>
      </c>
      <c r="H42">
        <v>237803.67</v>
      </c>
      <c r="I42">
        <v>1026.99</v>
      </c>
      <c r="J42">
        <v>4027.16</v>
      </c>
      <c r="K42">
        <v>77901.69</v>
      </c>
      <c r="L42">
        <v>31.07</v>
      </c>
      <c r="M42">
        <v>15243.38</v>
      </c>
      <c r="N42">
        <v>309.66000000000003</v>
      </c>
      <c r="O42">
        <v>1275.52</v>
      </c>
      <c r="P42">
        <v>85911.7</v>
      </c>
      <c r="Q42">
        <v>0.16500000000000001</v>
      </c>
      <c r="R42">
        <v>8.64</v>
      </c>
      <c r="S42">
        <v>350.88</v>
      </c>
      <c r="T42">
        <v>24.52</v>
      </c>
      <c r="U42">
        <v>148.25</v>
      </c>
      <c r="V42">
        <v>14.96</v>
      </c>
      <c r="W42">
        <v>0.10199999999999999</v>
      </c>
      <c r="X42">
        <v>120.9</v>
      </c>
      <c r="Y42">
        <v>12.85</v>
      </c>
      <c r="Z42">
        <v>31.96</v>
      </c>
      <c r="AA42">
        <v>4.43</v>
      </c>
      <c r="AB42">
        <v>20.59</v>
      </c>
      <c r="AC42">
        <v>5.16</v>
      </c>
      <c r="AD42">
        <v>1.86</v>
      </c>
      <c r="AE42">
        <v>6.07</v>
      </c>
      <c r="AF42">
        <v>0.85399999999999998</v>
      </c>
      <c r="AG42">
        <v>4.7699999999999996</v>
      </c>
      <c r="AH42">
        <v>0.93</v>
      </c>
      <c r="AI42">
        <v>2.5299999999999998</v>
      </c>
      <c r="AJ42">
        <v>0.315</v>
      </c>
      <c r="AK42">
        <v>2.0699999999999998</v>
      </c>
      <c r="AL42">
        <v>0.25600000000000001</v>
      </c>
      <c r="AM42">
        <v>3.59</v>
      </c>
      <c r="AN42">
        <v>0.92</v>
      </c>
      <c r="AO42">
        <v>2.09</v>
      </c>
      <c r="AP42">
        <v>1</v>
      </c>
      <c r="AQ42">
        <v>0.51400000000000001</v>
      </c>
    </row>
    <row r="43" spans="1:43" x14ac:dyDescent="0.2">
      <c r="A43">
        <v>42</v>
      </c>
      <c r="B43" t="s">
        <v>100</v>
      </c>
      <c r="C43">
        <v>9.24</v>
      </c>
      <c r="D43">
        <v>17.88</v>
      </c>
      <c r="E43">
        <v>4404.8999999999996</v>
      </c>
      <c r="F43">
        <v>141464.01999999999</v>
      </c>
      <c r="G43">
        <v>52126.84</v>
      </c>
      <c r="H43">
        <v>197711.66</v>
      </c>
      <c r="I43">
        <v>80.03</v>
      </c>
      <c r="J43">
        <v>206.4</v>
      </c>
      <c r="K43">
        <v>44597.33</v>
      </c>
      <c r="L43">
        <v>29.57</v>
      </c>
      <c r="M43">
        <v>1726.76</v>
      </c>
      <c r="N43">
        <v>186.72</v>
      </c>
      <c r="O43">
        <v>1363.61</v>
      </c>
      <c r="P43">
        <v>76592.479999999996</v>
      </c>
      <c r="Q43" t="s">
        <v>101</v>
      </c>
      <c r="R43">
        <v>0.36399999999999999</v>
      </c>
      <c r="S43">
        <v>29.94</v>
      </c>
      <c r="T43">
        <v>11</v>
      </c>
      <c r="U43">
        <v>8.98</v>
      </c>
      <c r="V43">
        <v>9.7000000000000003E-2</v>
      </c>
      <c r="W43">
        <v>0.19400000000000001</v>
      </c>
      <c r="X43">
        <v>1.02</v>
      </c>
      <c r="Y43">
        <v>0.113</v>
      </c>
      <c r="Z43">
        <v>0.45300000000000001</v>
      </c>
      <c r="AA43">
        <v>7.6700000000000004E-2</v>
      </c>
      <c r="AB43">
        <v>0.72399999999999998</v>
      </c>
      <c r="AC43">
        <v>0.505</v>
      </c>
      <c r="AD43">
        <v>0.27100000000000002</v>
      </c>
      <c r="AE43">
        <v>1.0900000000000001</v>
      </c>
      <c r="AF43">
        <v>0.23400000000000001</v>
      </c>
      <c r="AG43">
        <v>1.82</v>
      </c>
      <c r="AH43">
        <v>0.40100000000000002</v>
      </c>
      <c r="AI43">
        <v>1.32</v>
      </c>
      <c r="AJ43">
        <v>0.156</v>
      </c>
      <c r="AK43">
        <v>1.18</v>
      </c>
      <c r="AL43">
        <v>0.16700000000000001</v>
      </c>
      <c r="AM43">
        <v>0.34399999999999997</v>
      </c>
      <c r="AN43">
        <v>1.66E-2</v>
      </c>
      <c r="AO43">
        <v>0.31</v>
      </c>
      <c r="AP43" t="s">
        <v>102</v>
      </c>
      <c r="AQ43">
        <v>9.4999999999999998E-3</v>
      </c>
    </row>
    <row r="44" spans="1:43" x14ac:dyDescent="0.2">
      <c r="A44">
        <v>43</v>
      </c>
      <c r="B44" s="3" t="s">
        <v>103</v>
      </c>
      <c r="C44" s="3">
        <v>9.7899999999999991</v>
      </c>
      <c r="D44" s="3">
        <v>2.62</v>
      </c>
      <c r="E44" s="3">
        <v>44626.879999999997</v>
      </c>
      <c r="F44" s="3">
        <v>59173.95</v>
      </c>
      <c r="G44" s="3">
        <v>106219.51</v>
      </c>
      <c r="H44" s="3">
        <v>253006.88</v>
      </c>
      <c r="I44" s="3">
        <v>3797.93</v>
      </c>
      <c r="J44" s="3">
        <v>22731.52</v>
      </c>
      <c r="K44" s="3">
        <v>64751.9</v>
      </c>
      <c r="L44" s="3">
        <v>16.170000000000002</v>
      </c>
      <c r="M44" s="3">
        <v>20015.580000000002</v>
      </c>
      <c r="N44" s="3">
        <v>176.06</v>
      </c>
      <c r="O44" s="3">
        <v>1745.18</v>
      </c>
      <c r="P44" s="3">
        <v>77952.2</v>
      </c>
      <c r="Q44" s="3">
        <v>1.01</v>
      </c>
      <c r="R44" s="3">
        <v>69.05</v>
      </c>
      <c r="S44" s="3">
        <v>1197.3599999999999</v>
      </c>
      <c r="T44" s="3">
        <v>39.479999999999997</v>
      </c>
      <c r="U44" s="3">
        <v>460.83</v>
      </c>
      <c r="V44" s="3">
        <v>143.83000000000001</v>
      </c>
      <c r="W44" s="3">
        <v>0.57999999999999996</v>
      </c>
      <c r="X44" s="3">
        <v>697.19</v>
      </c>
      <c r="Y44" s="3">
        <v>111.63</v>
      </c>
      <c r="Z44" s="3">
        <v>237.74</v>
      </c>
      <c r="AA44" s="3">
        <v>26.36</v>
      </c>
      <c r="AB44" s="3">
        <v>92</v>
      </c>
      <c r="AC44" s="3">
        <v>13.79</v>
      </c>
      <c r="AD44" s="3">
        <v>4.3499999999999996</v>
      </c>
      <c r="AE44" s="3">
        <v>11.63</v>
      </c>
      <c r="AF44" s="3">
        <v>1.68</v>
      </c>
      <c r="AG44" s="3">
        <v>8.1</v>
      </c>
      <c r="AH44" s="3">
        <v>1.43</v>
      </c>
      <c r="AI44" s="3">
        <v>3.5</v>
      </c>
      <c r="AJ44" s="3">
        <v>0.53</v>
      </c>
      <c r="AK44" s="3">
        <v>3.58</v>
      </c>
      <c r="AL44" s="3">
        <v>0.42699999999999999</v>
      </c>
      <c r="AM44" s="3">
        <v>8.2100000000000009</v>
      </c>
      <c r="AN44" s="3">
        <v>8.65</v>
      </c>
      <c r="AO44" s="3">
        <v>10.37</v>
      </c>
      <c r="AP44" s="3">
        <v>11.27</v>
      </c>
      <c r="AQ44" s="3">
        <v>2.9</v>
      </c>
    </row>
    <row r="45" spans="1:43" x14ac:dyDescent="0.2">
      <c r="A45">
        <v>44</v>
      </c>
      <c r="B45" s="3" t="s">
        <v>104</v>
      </c>
      <c r="C45" s="3">
        <v>4.3</v>
      </c>
      <c r="D45" s="3">
        <v>2.3199999999999998</v>
      </c>
      <c r="E45" s="3">
        <v>27329.81</v>
      </c>
      <c r="F45" s="3">
        <v>21154.34</v>
      </c>
      <c r="G45" s="3">
        <v>81745.2</v>
      </c>
      <c r="H45" s="3">
        <v>190084.97</v>
      </c>
      <c r="I45" s="3">
        <v>4388.04</v>
      </c>
      <c r="J45" s="3">
        <v>8578.81</v>
      </c>
      <c r="K45" s="3">
        <v>114137.73</v>
      </c>
      <c r="L45" s="3">
        <v>34.869999999999997</v>
      </c>
      <c r="M45" s="3">
        <v>23252.36</v>
      </c>
      <c r="N45" s="3">
        <v>350.26</v>
      </c>
      <c r="O45" s="3">
        <v>966.41</v>
      </c>
      <c r="P45" s="3">
        <v>58572.9</v>
      </c>
      <c r="Q45" s="3">
        <v>0.4</v>
      </c>
      <c r="R45" s="3">
        <v>22.02</v>
      </c>
      <c r="S45" s="3">
        <v>633.70000000000005</v>
      </c>
      <c r="T45" s="3">
        <v>28.57</v>
      </c>
      <c r="U45" s="3">
        <v>224.41</v>
      </c>
      <c r="V45" s="3">
        <v>41.96</v>
      </c>
      <c r="W45" s="3">
        <v>0.28100000000000003</v>
      </c>
      <c r="X45" s="3">
        <v>275.02999999999997</v>
      </c>
      <c r="Y45" s="3">
        <v>27.44</v>
      </c>
      <c r="Z45" s="3">
        <v>64.62</v>
      </c>
      <c r="AA45" s="3">
        <v>9.07</v>
      </c>
      <c r="AB45" s="3">
        <v>41.34</v>
      </c>
      <c r="AC45" s="3">
        <v>9.3000000000000007</v>
      </c>
      <c r="AD45" s="3">
        <v>2.94</v>
      </c>
      <c r="AE45" s="3">
        <v>8.1300000000000008</v>
      </c>
      <c r="AF45" s="3">
        <v>1.08</v>
      </c>
      <c r="AG45" s="3">
        <v>5.86</v>
      </c>
      <c r="AH45" s="3">
        <v>1.17</v>
      </c>
      <c r="AI45" s="3">
        <v>2.71</v>
      </c>
      <c r="AJ45" s="3">
        <v>0.41799999999999998</v>
      </c>
      <c r="AK45" s="3">
        <v>2.34</v>
      </c>
      <c r="AL45" s="3">
        <v>0.309</v>
      </c>
      <c r="AM45" s="3">
        <v>5.44</v>
      </c>
      <c r="AN45" s="3">
        <v>2.56</v>
      </c>
      <c r="AO45" s="3">
        <v>2.8</v>
      </c>
      <c r="AP45" s="3">
        <v>2.4</v>
      </c>
      <c r="AQ45" s="3">
        <v>0.86</v>
      </c>
    </row>
    <row r="46" spans="1:43" x14ac:dyDescent="0.2">
      <c r="A46">
        <v>45</v>
      </c>
      <c r="B46" s="3" t="s">
        <v>105</v>
      </c>
      <c r="C46" s="3">
        <v>6.87</v>
      </c>
      <c r="D46" s="3">
        <v>3.75</v>
      </c>
      <c r="E46" s="3">
        <v>33087.269999999997</v>
      </c>
      <c r="F46" s="3">
        <v>40047.360000000001</v>
      </c>
      <c r="G46" s="3">
        <v>96657.41</v>
      </c>
      <c r="H46" s="3">
        <v>224707.58</v>
      </c>
      <c r="I46" s="3">
        <v>6166.63</v>
      </c>
      <c r="J46" s="3">
        <v>35982.239999999998</v>
      </c>
      <c r="K46" s="3">
        <v>76830.34</v>
      </c>
      <c r="L46" s="3">
        <v>22.48</v>
      </c>
      <c r="M46" s="3">
        <v>13132.22</v>
      </c>
      <c r="N46" s="3">
        <v>313.52</v>
      </c>
      <c r="O46" s="3">
        <v>1453.86</v>
      </c>
      <c r="P46" s="3">
        <v>74932.47</v>
      </c>
      <c r="Q46" s="3">
        <v>1.45</v>
      </c>
      <c r="R46" s="3">
        <v>121.2</v>
      </c>
      <c r="S46" s="3">
        <v>2279.12</v>
      </c>
      <c r="T46" s="3">
        <v>32.229999999999997</v>
      </c>
      <c r="U46" s="3">
        <v>459.44</v>
      </c>
      <c r="V46" s="3">
        <v>250.89</v>
      </c>
      <c r="W46" s="3">
        <v>1.49</v>
      </c>
      <c r="X46" s="3">
        <v>1424.14</v>
      </c>
      <c r="Y46" s="3">
        <v>133.38999999999999</v>
      </c>
      <c r="Z46" s="3">
        <v>199.02</v>
      </c>
      <c r="AA46" s="3">
        <v>19.07</v>
      </c>
      <c r="AB46" s="3">
        <v>63.42</v>
      </c>
      <c r="AC46" s="3">
        <v>10.39</v>
      </c>
      <c r="AD46" s="3">
        <v>3.22</v>
      </c>
      <c r="AE46" s="3">
        <v>8</v>
      </c>
      <c r="AF46" s="3">
        <v>1.03</v>
      </c>
      <c r="AG46" s="3">
        <v>6.2</v>
      </c>
      <c r="AH46" s="3">
        <v>1.27</v>
      </c>
      <c r="AI46" s="3">
        <v>3.54</v>
      </c>
      <c r="AJ46" s="3">
        <v>0.47</v>
      </c>
      <c r="AK46" s="3">
        <v>3.54</v>
      </c>
      <c r="AL46" s="3">
        <v>0.51500000000000001</v>
      </c>
      <c r="AM46" s="3">
        <v>10.88</v>
      </c>
      <c r="AN46" s="3">
        <v>16.64</v>
      </c>
      <c r="AO46" s="3">
        <v>11.58</v>
      </c>
      <c r="AP46" s="3">
        <v>22.82</v>
      </c>
      <c r="AQ46" s="3">
        <v>5.63</v>
      </c>
    </row>
    <row r="47" spans="1:43" x14ac:dyDescent="0.2">
      <c r="A47">
        <v>46</v>
      </c>
      <c r="B47" s="3" t="s">
        <v>106</v>
      </c>
      <c r="C47" s="3">
        <v>5.87</v>
      </c>
      <c r="D47" s="3">
        <v>2.75</v>
      </c>
      <c r="E47" s="3">
        <v>30135.31</v>
      </c>
      <c r="F47" s="3">
        <v>32786.870000000003</v>
      </c>
      <c r="G47" s="3">
        <v>86921.61</v>
      </c>
      <c r="H47" s="3">
        <v>211769.61</v>
      </c>
      <c r="I47" s="3">
        <v>1809.58</v>
      </c>
      <c r="J47" s="3">
        <v>9777.27</v>
      </c>
      <c r="K47" s="3">
        <v>108420.13</v>
      </c>
      <c r="L47" s="3">
        <v>35.08</v>
      </c>
      <c r="M47" s="3">
        <v>21476.94</v>
      </c>
      <c r="N47" s="3">
        <v>331.23</v>
      </c>
      <c r="O47" s="3">
        <v>1091.1099999999999</v>
      </c>
      <c r="P47" s="3">
        <v>64955.32</v>
      </c>
      <c r="Q47" s="3">
        <v>0.94</v>
      </c>
      <c r="R47" s="3">
        <v>37.14</v>
      </c>
      <c r="S47" s="3">
        <v>1083.29</v>
      </c>
      <c r="T47" s="3">
        <v>28.8</v>
      </c>
      <c r="U47" s="3">
        <v>374.14</v>
      </c>
      <c r="V47" s="3">
        <v>109.45</v>
      </c>
      <c r="W47" s="3">
        <v>0.52</v>
      </c>
      <c r="X47" s="3">
        <v>486.48</v>
      </c>
      <c r="Y47" s="3">
        <v>81.540000000000006</v>
      </c>
      <c r="Z47" s="3">
        <v>158.46</v>
      </c>
      <c r="AA47" s="3">
        <v>16.78</v>
      </c>
      <c r="AB47" s="3">
        <v>60.77</v>
      </c>
      <c r="AC47" s="3">
        <v>9.9499999999999993</v>
      </c>
      <c r="AD47" s="3">
        <v>3.32</v>
      </c>
      <c r="AE47" s="3">
        <v>8.51</v>
      </c>
      <c r="AF47" s="3">
        <v>1.0900000000000001</v>
      </c>
      <c r="AG47" s="3">
        <v>6.53</v>
      </c>
      <c r="AH47" s="3">
        <v>1.1399999999999999</v>
      </c>
      <c r="AI47" s="3">
        <v>2.66</v>
      </c>
      <c r="AJ47" s="3">
        <v>0.371</v>
      </c>
      <c r="AK47" s="3">
        <v>2.31</v>
      </c>
      <c r="AL47" s="3">
        <v>0.28199999999999997</v>
      </c>
      <c r="AM47" s="3">
        <v>8.81</v>
      </c>
      <c r="AN47" s="3">
        <v>6.35</v>
      </c>
      <c r="AO47" s="3">
        <v>3.79</v>
      </c>
      <c r="AP47" s="3">
        <v>9.51</v>
      </c>
      <c r="AQ47" s="3">
        <v>2.63</v>
      </c>
    </row>
    <row r="48" spans="1:43" x14ac:dyDescent="0.2">
      <c r="A48">
        <v>47</v>
      </c>
      <c r="B48" s="3" t="s">
        <v>107</v>
      </c>
      <c r="C48" s="3">
        <v>5.53</v>
      </c>
      <c r="D48" s="3">
        <v>2.92</v>
      </c>
      <c r="E48" s="3">
        <v>31089.67</v>
      </c>
      <c r="F48" s="3">
        <v>87649.75</v>
      </c>
      <c r="G48" s="3">
        <v>86524.04</v>
      </c>
      <c r="H48" s="3">
        <v>258177.17</v>
      </c>
      <c r="I48" s="3">
        <v>1951.97</v>
      </c>
      <c r="J48" s="3">
        <v>10592.96</v>
      </c>
      <c r="K48" s="3">
        <v>112350.98</v>
      </c>
      <c r="L48" s="3">
        <v>41.18</v>
      </c>
      <c r="M48" s="3">
        <v>20577.349999999999</v>
      </c>
      <c r="N48" s="3">
        <v>301.14</v>
      </c>
      <c r="O48" s="3">
        <v>1535.05</v>
      </c>
      <c r="P48" s="3">
        <v>113570.77</v>
      </c>
      <c r="Q48" s="3">
        <v>0.96</v>
      </c>
      <c r="R48" s="3">
        <v>37.590000000000003</v>
      </c>
      <c r="S48" s="3">
        <v>990.34</v>
      </c>
      <c r="T48" s="3">
        <v>26.62</v>
      </c>
      <c r="U48" s="3">
        <v>390.05</v>
      </c>
      <c r="V48" s="3">
        <v>96.9</v>
      </c>
      <c r="W48" s="3">
        <v>0.51</v>
      </c>
      <c r="X48" s="3">
        <v>480.95</v>
      </c>
      <c r="Y48" s="3">
        <v>89.43</v>
      </c>
      <c r="Z48" s="3">
        <v>154.11000000000001</v>
      </c>
      <c r="AA48" s="3">
        <v>16.670000000000002</v>
      </c>
      <c r="AB48" s="3">
        <v>61.77</v>
      </c>
      <c r="AC48" s="3">
        <v>9.27</v>
      </c>
      <c r="AD48" s="3">
        <v>2.86</v>
      </c>
      <c r="AE48" s="3">
        <v>9.6199999999999992</v>
      </c>
      <c r="AF48" s="3">
        <v>1.0900000000000001</v>
      </c>
      <c r="AG48" s="3">
        <v>6.77</v>
      </c>
      <c r="AH48" s="3">
        <v>1.36</v>
      </c>
      <c r="AI48" s="3">
        <v>3.48</v>
      </c>
      <c r="AJ48" s="3">
        <v>0.42</v>
      </c>
      <c r="AK48" s="3">
        <v>1.93</v>
      </c>
      <c r="AL48" s="3">
        <v>0.38300000000000001</v>
      </c>
      <c r="AM48" s="3">
        <v>10.54</v>
      </c>
      <c r="AN48" s="3">
        <v>6.91</v>
      </c>
      <c r="AO48" s="3">
        <v>4.26</v>
      </c>
      <c r="AP48" s="3">
        <v>10.029999999999999</v>
      </c>
      <c r="AQ48" s="3">
        <v>2.4</v>
      </c>
    </row>
    <row r="49" spans="1:43" x14ac:dyDescent="0.2">
      <c r="A49">
        <v>48</v>
      </c>
      <c r="B49" s="3" t="s">
        <v>108</v>
      </c>
      <c r="C49" s="3">
        <v>6.25</v>
      </c>
      <c r="D49" s="3">
        <v>3.88</v>
      </c>
      <c r="E49" s="3">
        <v>40759.39</v>
      </c>
      <c r="F49" s="3">
        <v>50641.32</v>
      </c>
      <c r="G49" s="3">
        <v>94393.63</v>
      </c>
      <c r="H49" s="3">
        <v>310093.81</v>
      </c>
      <c r="I49" s="3">
        <v>2735.54</v>
      </c>
      <c r="J49" s="3">
        <v>13822.55</v>
      </c>
      <c r="K49" s="3">
        <v>112350.98</v>
      </c>
      <c r="L49" s="3">
        <v>38.86</v>
      </c>
      <c r="M49" s="3">
        <v>20957.25</v>
      </c>
      <c r="N49" s="3">
        <v>383.45</v>
      </c>
      <c r="O49" s="3">
        <v>1403.14</v>
      </c>
      <c r="P49" s="3">
        <v>102356.7</v>
      </c>
      <c r="Q49" s="3">
        <v>1.28</v>
      </c>
      <c r="R49" s="3">
        <v>52.98</v>
      </c>
      <c r="S49" s="3">
        <v>1188.79</v>
      </c>
      <c r="T49" s="3">
        <v>31.9</v>
      </c>
      <c r="U49" s="3">
        <v>453.19</v>
      </c>
      <c r="V49" s="3">
        <v>133.69</v>
      </c>
      <c r="W49" s="3">
        <v>0.69</v>
      </c>
      <c r="X49" s="3">
        <v>554.89</v>
      </c>
      <c r="Y49" s="3">
        <v>93.78</v>
      </c>
      <c r="Z49" s="3">
        <v>182.51</v>
      </c>
      <c r="AA49" s="3">
        <v>19.36</v>
      </c>
      <c r="AB49" s="3">
        <v>70.78</v>
      </c>
      <c r="AC49" s="3">
        <v>10.85</v>
      </c>
      <c r="AD49" s="3">
        <v>3.47</v>
      </c>
      <c r="AE49" s="3">
        <v>9.9499999999999993</v>
      </c>
      <c r="AF49" s="3">
        <v>1.27</v>
      </c>
      <c r="AG49" s="3">
        <v>6.49</v>
      </c>
      <c r="AH49" s="3">
        <v>1.27</v>
      </c>
      <c r="AI49" s="3">
        <v>3.5</v>
      </c>
      <c r="AJ49" s="3">
        <v>0.36299999999999999</v>
      </c>
      <c r="AK49" s="3">
        <v>2.59</v>
      </c>
      <c r="AL49" s="3">
        <v>0.307</v>
      </c>
      <c r="AM49" s="3">
        <v>10.28</v>
      </c>
      <c r="AN49" s="3">
        <v>7.11</v>
      </c>
      <c r="AO49" s="3">
        <v>6.63</v>
      </c>
      <c r="AP49" s="3">
        <v>11.19</v>
      </c>
      <c r="AQ49" s="3">
        <v>3.18</v>
      </c>
    </row>
    <row r="50" spans="1:43" x14ac:dyDescent="0.2">
      <c r="A50">
        <v>49</v>
      </c>
      <c r="B50" s="3" t="s">
        <v>109</v>
      </c>
      <c r="C50" s="3">
        <v>3.95</v>
      </c>
      <c r="D50" s="3">
        <v>0.72</v>
      </c>
      <c r="E50" s="3">
        <v>23829.33</v>
      </c>
      <c r="F50" s="3">
        <v>116898.38</v>
      </c>
      <c r="G50" s="3">
        <v>89292.41</v>
      </c>
      <c r="H50" s="3">
        <v>237802.3</v>
      </c>
      <c r="I50" s="3">
        <v>1646.56</v>
      </c>
      <c r="J50" s="3">
        <v>8239.2099999999991</v>
      </c>
      <c r="K50" s="3">
        <v>113280.09</v>
      </c>
      <c r="L50" s="3">
        <v>36.76</v>
      </c>
      <c r="M50" s="3">
        <v>18960.86</v>
      </c>
      <c r="N50" s="3">
        <v>305.44</v>
      </c>
      <c r="O50" s="3">
        <v>1290.7</v>
      </c>
      <c r="P50" s="3">
        <v>79327.91</v>
      </c>
      <c r="Q50" s="3">
        <v>0.7</v>
      </c>
      <c r="R50" s="3">
        <v>22.08</v>
      </c>
      <c r="S50" s="3">
        <v>844.19</v>
      </c>
      <c r="T50" s="3">
        <v>29.47</v>
      </c>
      <c r="U50" s="3">
        <v>281.83999999999997</v>
      </c>
      <c r="V50" s="3">
        <v>59.65</v>
      </c>
      <c r="W50" s="3">
        <v>0.21299999999999999</v>
      </c>
      <c r="X50" s="3">
        <v>329.55</v>
      </c>
      <c r="Y50" s="3">
        <v>44.13</v>
      </c>
      <c r="Z50" s="3">
        <v>98.57</v>
      </c>
      <c r="AA50" s="3">
        <v>12.46</v>
      </c>
      <c r="AB50" s="3">
        <v>49.66</v>
      </c>
      <c r="AC50" s="3">
        <v>8.51</v>
      </c>
      <c r="AD50" s="3">
        <v>2.86</v>
      </c>
      <c r="AE50" s="3">
        <v>7.39</v>
      </c>
      <c r="AF50" s="3">
        <v>1.1100000000000001</v>
      </c>
      <c r="AG50" s="3">
        <v>5.51</v>
      </c>
      <c r="AH50" s="3">
        <v>1.02</v>
      </c>
      <c r="AI50" s="3">
        <v>2.5</v>
      </c>
      <c r="AJ50" s="3">
        <v>0.33300000000000002</v>
      </c>
      <c r="AK50" s="3">
        <v>2.4500000000000002</v>
      </c>
      <c r="AL50" s="3">
        <v>0.252</v>
      </c>
      <c r="AM50" s="3">
        <v>5.66</v>
      </c>
      <c r="AN50" s="3">
        <v>3.75</v>
      </c>
      <c r="AO50" s="3">
        <v>6.19</v>
      </c>
      <c r="AP50" s="3">
        <v>4.4000000000000004</v>
      </c>
      <c r="AQ50" s="3">
        <v>1.22</v>
      </c>
    </row>
    <row r="51" spans="1:43" x14ac:dyDescent="0.2">
      <c r="A51">
        <v>50</v>
      </c>
      <c r="B51" s="3" t="s">
        <v>110</v>
      </c>
      <c r="C51" s="3">
        <v>4.0199999999999996</v>
      </c>
      <c r="D51" s="3">
        <v>2.71</v>
      </c>
      <c r="E51" s="3">
        <v>29689.55</v>
      </c>
      <c r="F51" s="3">
        <v>220437.08</v>
      </c>
      <c r="G51" s="3">
        <v>102801.8</v>
      </c>
      <c r="H51" s="3">
        <v>307653.09000000003</v>
      </c>
      <c r="I51" s="3">
        <v>1631.29</v>
      </c>
      <c r="J51" s="3">
        <v>8241.64</v>
      </c>
      <c r="K51" s="3">
        <v>112636.85</v>
      </c>
      <c r="L51" s="3">
        <v>37.07</v>
      </c>
      <c r="M51" s="3">
        <v>20528.77</v>
      </c>
      <c r="N51" s="3">
        <v>356.1</v>
      </c>
      <c r="O51" s="3">
        <v>2041.39</v>
      </c>
      <c r="P51" s="3">
        <v>127461.78</v>
      </c>
      <c r="Q51" s="3">
        <v>0.38</v>
      </c>
      <c r="R51" s="3">
        <v>27.24</v>
      </c>
      <c r="S51" s="3">
        <v>996.57</v>
      </c>
      <c r="T51" s="3">
        <v>30.58</v>
      </c>
      <c r="U51" s="3">
        <v>286.60000000000002</v>
      </c>
      <c r="V51" s="3">
        <v>68.31</v>
      </c>
      <c r="W51" s="3">
        <v>0.23799999999999999</v>
      </c>
      <c r="X51" s="3">
        <v>355.64</v>
      </c>
      <c r="Y51" s="3">
        <v>63.08</v>
      </c>
      <c r="Z51" s="3">
        <v>132.63999999999999</v>
      </c>
      <c r="AA51" s="3">
        <v>14.48</v>
      </c>
      <c r="AB51" s="3">
        <v>56.93</v>
      </c>
      <c r="AC51" s="3">
        <v>10.029999999999999</v>
      </c>
      <c r="AD51" s="3">
        <v>3.39</v>
      </c>
      <c r="AE51" s="3">
        <v>8.9</v>
      </c>
      <c r="AF51" s="3">
        <v>1.2</v>
      </c>
      <c r="AG51" s="3">
        <v>7.48</v>
      </c>
      <c r="AH51" s="3">
        <v>1.29</v>
      </c>
      <c r="AI51" s="3">
        <v>3.73</v>
      </c>
      <c r="AJ51" s="3">
        <v>0.54</v>
      </c>
      <c r="AK51" s="3">
        <v>2.77</v>
      </c>
      <c r="AL51" s="3">
        <v>0.35899999999999999</v>
      </c>
      <c r="AM51" s="3">
        <v>7.5</v>
      </c>
      <c r="AN51" s="3">
        <v>4.63</v>
      </c>
      <c r="AO51" s="3">
        <v>5.89</v>
      </c>
      <c r="AP51" s="3">
        <v>4.92</v>
      </c>
      <c r="AQ51" s="3">
        <v>1.46</v>
      </c>
    </row>
    <row r="52" spans="1:43" x14ac:dyDescent="0.2">
      <c r="A52">
        <v>51</v>
      </c>
      <c r="B52" s="3" t="s">
        <v>111</v>
      </c>
      <c r="C52" s="3">
        <v>4.59</v>
      </c>
      <c r="D52" s="3">
        <v>2.4700000000000002</v>
      </c>
      <c r="E52" s="3">
        <v>29368.58</v>
      </c>
      <c r="F52" s="3">
        <v>39620.71</v>
      </c>
      <c r="G52" s="3">
        <v>99742.35</v>
      </c>
      <c r="H52" s="3">
        <v>207311.67</v>
      </c>
      <c r="I52" s="3">
        <v>3121.11</v>
      </c>
      <c r="J52" s="3">
        <v>13489.34</v>
      </c>
      <c r="K52" s="3">
        <v>106990.72</v>
      </c>
      <c r="L52" s="3">
        <v>27.33</v>
      </c>
      <c r="M52" s="3">
        <v>18286.2</v>
      </c>
      <c r="N52" s="3">
        <v>387.83</v>
      </c>
      <c r="O52" s="3">
        <v>1138.03</v>
      </c>
      <c r="P52" s="3">
        <v>67592.09</v>
      </c>
      <c r="Q52" s="3">
        <v>0.82</v>
      </c>
      <c r="R52" s="3">
        <v>44.77</v>
      </c>
      <c r="S52" s="3">
        <v>1363.1</v>
      </c>
      <c r="T52" s="3">
        <v>36.47</v>
      </c>
      <c r="U52" s="3">
        <v>402.56</v>
      </c>
      <c r="V52" s="3">
        <v>125.36</v>
      </c>
      <c r="W52" s="3">
        <v>0.38</v>
      </c>
      <c r="X52" s="3">
        <v>614.54</v>
      </c>
      <c r="Y52" s="3">
        <v>111.66</v>
      </c>
      <c r="Z52" s="3">
        <v>208.29</v>
      </c>
      <c r="AA52" s="3">
        <v>22.16</v>
      </c>
      <c r="AB52" s="3">
        <v>79.099999999999994</v>
      </c>
      <c r="AC52" s="3">
        <v>12.42</v>
      </c>
      <c r="AD52" s="3">
        <v>3.7</v>
      </c>
      <c r="AE52" s="3">
        <v>10.79</v>
      </c>
      <c r="AF52" s="3">
        <v>1.45</v>
      </c>
      <c r="AG52" s="3">
        <v>7.34</v>
      </c>
      <c r="AH52" s="3">
        <v>1.43</v>
      </c>
      <c r="AI52" s="3">
        <v>3.6</v>
      </c>
      <c r="AJ52" s="3">
        <v>0.53</v>
      </c>
      <c r="AK52" s="3">
        <v>2.95</v>
      </c>
      <c r="AL52" s="3">
        <v>0.32700000000000001</v>
      </c>
      <c r="AM52" s="3">
        <v>8.49</v>
      </c>
      <c r="AN52" s="3">
        <v>8.1999999999999993</v>
      </c>
      <c r="AO52" s="3">
        <v>21.06</v>
      </c>
      <c r="AP52" s="3">
        <v>10.43</v>
      </c>
      <c r="AQ52" s="3">
        <v>2.56</v>
      </c>
    </row>
    <row r="53" spans="1:43" x14ac:dyDescent="0.2">
      <c r="A53">
        <v>52</v>
      </c>
      <c r="B53" s="3" t="s">
        <v>112</v>
      </c>
      <c r="C53" s="3">
        <v>5.68</v>
      </c>
      <c r="D53" s="3">
        <v>2.2400000000000002</v>
      </c>
      <c r="E53" s="3">
        <v>33654.76</v>
      </c>
      <c r="F53" s="3">
        <v>27416.9</v>
      </c>
      <c r="G53" s="3">
        <v>87475.92</v>
      </c>
      <c r="H53" s="3">
        <v>220188.77</v>
      </c>
      <c r="I53" s="3">
        <v>2094.34</v>
      </c>
      <c r="J53" s="3">
        <v>9918.6</v>
      </c>
      <c r="K53" s="3">
        <v>103274.27</v>
      </c>
      <c r="L53" s="3">
        <v>29.87</v>
      </c>
      <c r="M53" s="3">
        <v>26801.64</v>
      </c>
      <c r="N53" s="3">
        <v>324.94</v>
      </c>
      <c r="O53" s="3">
        <v>1412.79</v>
      </c>
      <c r="P53" s="3">
        <v>83581.31</v>
      </c>
      <c r="Q53" s="3">
        <v>0.56000000000000005</v>
      </c>
      <c r="R53" s="3">
        <v>24.34</v>
      </c>
      <c r="S53" s="3">
        <v>1011.95</v>
      </c>
      <c r="T53" s="3">
        <v>36.51</v>
      </c>
      <c r="U53" s="3">
        <v>403.85</v>
      </c>
      <c r="V53" s="3">
        <v>67.260000000000005</v>
      </c>
      <c r="W53" s="3">
        <v>0.28799999999999998</v>
      </c>
      <c r="X53" s="3">
        <v>313.33999999999997</v>
      </c>
      <c r="Y53" s="3">
        <v>54.96</v>
      </c>
      <c r="Z53" s="3">
        <v>128.80000000000001</v>
      </c>
      <c r="AA53" s="3">
        <v>16.25</v>
      </c>
      <c r="AB53" s="3">
        <v>69.73</v>
      </c>
      <c r="AC53" s="3">
        <v>13.98</v>
      </c>
      <c r="AD53" s="3">
        <v>4</v>
      </c>
      <c r="AE53" s="3">
        <v>11.1</v>
      </c>
      <c r="AF53" s="3">
        <v>1.56</v>
      </c>
      <c r="AG53" s="3">
        <v>8.0299999999999994</v>
      </c>
      <c r="AH53" s="3">
        <v>1.37</v>
      </c>
      <c r="AI53" s="3">
        <v>3.44</v>
      </c>
      <c r="AJ53" s="3">
        <v>0.44600000000000001</v>
      </c>
      <c r="AK53" s="3">
        <v>2.75</v>
      </c>
      <c r="AL53" s="3">
        <v>0.35899999999999999</v>
      </c>
      <c r="AM53" s="3">
        <v>10.11</v>
      </c>
      <c r="AN53" s="3">
        <v>4.01</v>
      </c>
      <c r="AO53" s="3">
        <v>4.07</v>
      </c>
      <c r="AP53" s="3">
        <v>5.07</v>
      </c>
      <c r="AQ53" s="3">
        <v>1.39</v>
      </c>
    </row>
    <row r="54" spans="1:43" x14ac:dyDescent="0.2">
      <c r="A54">
        <v>53</v>
      </c>
      <c r="B54" s="3" t="s">
        <v>113</v>
      </c>
      <c r="C54" s="3">
        <v>4.03</v>
      </c>
      <c r="D54" s="3">
        <v>1.67</v>
      </c>
      <c r="E54" s="3">
        <v>21856.55</v>
      </c>
      <c r="F54" s="3">
        <v>22635.95</v>
      </c>
      <c r="G54" s="3">
        <v>77475.990000000005</v>
      </c>
      <c r="H54" s="3">
        <v>170249.72</v>
      </c>
      <c r="I54" s="3">
        <v>1855.71</v>
      </c>
      <c r="J54" s="3">
        <v>8862.9</v>
      </c>
      <c r="K54" s="3">
        <v>91982.01</v>
      </c>
      <c r="L54" s="3">
        <v>28.02</v>
      </c>
      <c r="M54" s="3">
        <v>19205.7</v>
      </c>
      <c r="N54" s="3">
        <v>283.39999999999998</v>
      </c>
      <c r="O54" s="3">
        <v>1100.03</v>
      </c>
      <c r="P54" s="3">
        <v>65180.92</v>
      </c>
      <c r="Q54" s="3">
        <v>0.44</v>
      </c>
      <c r="R54" s="3">
        <v>25.19</v>
      </c>
      <c r="S54" s="3">
        <v>855.26</v>
      </c>
      <c r="T54" s="3">
        <v>29.09</v>
      </c>
      <c r="U54" s="3">
        <v>281.52999999999997</v>
      </c>
      <c r="V54" s="3">
        <v>70.099999999999994</v>
      </c>
      <c r="W54" s="3">
        <v>0.28100000000000003</v>
      </c>
      <c r="X54" s="3">
        <v>300.27999999999997</v>
      </c>
      <c r="Y54" s="3">
        <v>51.95</v>
      </c>
      <c r="Z54" s="3">
        <v>108.26</v>
      </c>
      <c r="AA54" s="3">
        <v>12.95</v>
      </c>
      <c r="AB54" s="3">
        <v>52.23</v>
      </c>
      <c r="AC54" s="3">
        <v>8.6300000000000008</v>
      </c>
      <c r="AD54" s="3">
        <v>2.71</v>
      </c>
      <c r="AE54" s="3">
        <v>8.26</v>
      </c>
      <c r="AF54" s="3">
        <v>1.19</v>
      </c>
      <c r="AG54" s="3">
        <v>6.12</v>
      </c>
      <c r="AH54" s="3">
        <v>0.96</v>
      </c>
      <c r="AI54" s="3">
        <v>2.4500000000000002</v>
      </c>
      <c r="AJ54" s="3">
        <v>0.39300000000000002</v>
      </c>
      <c r="AK54" s="3">
        <v>2.11</v>
      </c>
      <c r="AL54" s="3">
        <v>0.27900000000000003</v>
      </c>
      <c r="AM54" s="3">
        <v>5.59</v>
      </c>
      <c r="AN54" s="3">
        <v>3.75</v>
      </c>
      <c r="AO54" s="3">
        <v>3.8</v>
      </c>
      <c r="AP54" s="3">
        <v>6.02</v>
      </c>
      <c r="AQ54" s="3">
        <v>1.24</v>
      </c>
    </row>
    <row r="55" spans="1:43" x14ac:dyDescent="0.2">
      <c r="A55">
        <v>54</v>
      </c>
      <c r="B55" s="3" t="s">
        <v>114</v>
      </c>
      <c r="C55" s="3">
        <v>4.4400000000000004</v>
      </c>
      <c r="D55" s="3">
        <v>2.42</v>
      </c>
      <c r="E55" s="3">
        <v>24432.84</v>
      </c>
      <c r="F55" s="3">
        <v>68036.59</v>
      </c>
      <c r="G55" s="3">
        <v>90426.33</v>
      </c>
      <c r="H55" s="3">
        <v>228742.73</v>
      </c>
      <c r="I55" s="3">
        <v>2794.03</v>
      </c>
      <c r="J55" s="3">
        <v>12290.9</v>
      </c>
      <c r="K55" s="3">
        <v>112065.09</v>
      </c>
      <c r="L55" s="3">
        <v>38.56</v>
      </c>
      <c r="M55" s="3">
        <v>23168.01</v>
      </c>
      <c r="N55" s="3">
        <v>379.06</v>
      </c>
      <c r="O55" s="3">
        <v>1558.23</v>
      </c>
      <c r="P55" s="3">
        <v>93138.12</v>
      </c>
      <c r="Q55" s="3">
        <v>0.71</v>
      </c>
      <c r="R55" s="3">
        <v>32.75</v>
      </c>
      <c r="S55" s="3">
        <v>1159.21</v>
      </c>
      <c r="T55" s="3">
        <v>37.82</v>
      </c>
      <c r="U55" s="3">
        <v>393.95</v>
      </c>
      <c r="V55" s="3">
        <v>112.51</v>
      </c>
      <c r="W55" s="3">
        <v>0.44</v>
      </c>
      <c r="X55" s="3">
        <v>460.62</v>
      </c>
      <c r="Y55" s="3">
        <v>83.92</v>
      </c>
      <c r="Z55" s="3">
        <v>168.57</v>
      </c>
      <c r="AA55" s="3">
        <v>19.920000000000002</v>
      </c>
      <c r="AB55" s="3">
        <v>81.260000000000005</v>
      </c>
      <c r="AC55" s="3">
        <v>12.37</v>
      </c>
      <c r="AD55" s="3">
        <v>3.2</v>
      </c>
      <c r="AE55" s="3">
        <v>9.8000000000000007</v>
      </c>
      <c r="AF55" s="3">
        <v>1.47</v>
      </c>
      <c r="AG55" s="3">
        <v>7.49</v>
      </c>
      <c r="AH55" s="3">
        <v>1.21</v>
      </c>
      <c r="AI55" s="3">
        <v>3.23</v>
      </c>
      <c r="AJ55" s="3">
        <v>0.47</v>
      </c>
      <c r="AK55" s="3">
        <v>3.12</v>
      </c>
      <c r="AL55" s="3">
        <v>0.41099999999999998</v>
      </c>
      <c r="AM55" s="3">
        <v>8.33</v>
      </c>
      <c r="AN55" s="3">
        <v>6.09</v>
      </c>
      <c r="AO55" s="3">
        <v>5.5</v>
      </c>
      <c r="AP55" s="3">
        <v>9.5500000000000007</v>
      </c>
      <c r="AQ55" s="3">
        <v>2.06</v>
      </c>
    </row>
    <row r="56" spans="1:43" x14ac:dyDescent="0.2">
      <c r="A56">
        <v>55</v>
      </c>
      <c r="B56" s="3" t="s">
        <v>115</v>
      </c>
      <c r="C56" s="3">
        <v>4.4800000000000004</v>
      </c>
      <c r="D56" s="3">
        <v>2.2000000000000002</v>
      </c>
      <c r="E56" s="3">
        <v>25210.27</v>
      </c>
      <c r="F56" s="3">
        <v>24785.24</v>
      </c>
      <c r="G56" s="3">
        <v>82505.89</v>
      </c>
      <c r="H56" s="3">
        <v>205127.7</v>
      </c>
      <c r="I56" s="3">
        <v>2136.64</v>
      </c>
      <c r="J56" s="3">
        <v>9901.99</v>
      </c>
      <c r="K56" s="3">
        <v>97914.02</v>
      </c>
      <c r="L56" s="3">
        <v>35.1</v>
      </c>
      <c r="M56" s="3">
        <v>21484.75</v>
      </c>
      <c r="N56" s="3">
        <v>352.63</v>
      </c>
      <c r="O56" s="3">
        <v>1302.4100000000001</v>
      </c>
      <c r="P56" s="3">
        <v>81086.649999999994</v>
      </c>
      <c r="Q56" s="3">
        <v>0.64</v>
      </c>
      <c r="R56" s="3">
        <v>27.45</v>
      </c>
      <c r="S56" s="3">
        <v>919.46</v>
      </c>
      <c r="T56" s="3">
        <v>28.75</v>
      </c>
      <c r="U56" s="3">
        <v>292.13</v>
      </c>
      <c r="V56" s="3">
        <v>72.81</v>
      </c>
      <c r="W56" s="3">
        <v>0.307</v>
      </c>
      <c r="X56" s="3">
        <v>354.65</v>
      </c>
      <c r="Y56" s="3">
        <v>57.17</v>
      </c>
      <c r="Z56" s="3">
        <v>118.29</v>
      </c>
      <c r="AA56" s="3">
        <v>13.95</v>
      </c>
      <c r="AB56" s="3">
        <v>55.2</v>
      </c>
      <c r="AC56" s="3">
        <v>10.24</v>
      </c>
      <c r="AD56" s="3">
        <v>3.06</v>
      </c>
      <c r="AE56" s="3">
        <v>8.86</v>
      </c>
      <c r="AF56" s="3">
        <v>1.1599999999999999</v>
      </c>
      <c r="AG56" s="3">
        <v>6.46</v>
      </c>
      <c r="AH56" s="3">
        <v>1.0900000000000001</v>
      </c>
      <c r="AI56" s="3">
        <v>2.67</v>
      </c>
      <c r="AJ56" s="3">
        <v>0.34899999999999998</v>
      </c>
      <c r="AK56" s="3">
        <v>2.5099999999999998</v>
      </c>
      <c r="AL56" s="3">
        <v>0.36099999999999999</v>
      </c>
      <c r="AM56" s="3">
        <v>6.56</v>
      </c>
      <c r="AN56" s="3">
        <v>4.2699999999999996</v>
      </c>
      <c r="AO56" s="3">
        <v>4.2699999999999996</v>
      </c>
      <c r="AP56" s="3">
        <v>6.02</v>
      </c>
      <c r="AQ56" s="3">
        <v>1.39</v>
      </c>
    </row>
    <row r="57" spans="1:43" x14ac:dyDescent="0.2">
      <c r="A57">
        <v>56</v>
      </c>
      <c r="B57" s="3" t="s">
        <v>116</v>
      </c>
      <c r="C57" s="3">
        <v>7.15</v>
      </c>
      <c r="D57" s="3">
        <v>3.29</v>
      </c>
      <c r="E57" s="3">
        <v>34271.96</v>
      </c>
      <c r="F57" s="3">
        <v>25914.26</v>
      </c>
      <c r="G57" s="3">
        <v>79049.42</v>
      </c>
      <c r="H57" s="3">
        <v>209438.59</v>
      </c>
      <c r="I57" s="3">
        <v>3149.96</v>
      </c>
      <c r="J57" s="3">
        <v>16326.79</v>
      </c>
      <c r="K57" s="3">
        <v>71613.03</v>
      </c>
      <c r="L57" s="3">
        <v>17.57</v>
      </c>
      <c r="M57" s="3">
        <v>23436.37</v>
      </c>
      <c r="N57" s="3">
        <v>283.63</v>
      </c>
      <c r="O57" s="3">
        <v>1824.73</v>
      </c>
      <c r="P57" s="3">
        <v>96400.74</v>
      </c>
      <c r="Q57" s="3">
        <v>0.97</v>
      </c>
      <c r="R57" s="3">
        <v>46.47</v>
      </c>
      <c r="S57" s="3">
        <v>887.08</v>
      </c>
      <c r="T57" s="3">
        <v>36.36</v>
      </c>
      <c r="U57" s="3">
        <v>389.88</v>
      </c>
      <c r="V57" s="3">
        <v>119.2</v>
      </c>
      <c r="W57" s="3">
        <v>0.56000000000000005</v>
      </c>
      <c r="X57" s="3">
        <v>537.44000000000005</v>
      </c>
      <c r="Y57" s="3">
        <v>86.84</v>
      </c>
      <c r="Z57" s="3">
        <v>168.57</v>
      </c>
      <c r="AA57" s="3">
        <v>19.54</v>
      </c>
      <c r="AB57" s="3">
        <v>75.86</v>
      </c>
      <c r="AC57" s="3">
        <v>13.43</v>
      </c>
      <c r="AD57" s="3">
        <v>4.08</v>
      </c>
      <c r="AE57" s="3">
        <v>11.13</v>
      </c>
      <c r="AF57" s="3">
        <v>1.38</v>
      </c>
      <c r="AG57" s="3">
        <v>7.81</v>
      </c>
      <c r="AH57" s="3">
        <v>1.39</v>
      </c>
      <c r="AI57" s="3">
        <v>3.64</v>
      </c>
      <c r="AJ57" s="3">
        <v>0.48</v>
      </c>
      <c r="AK57" s="3">
        <v>2.87</v>
      </c>
      <c r="AL57" s="3">
        <v>0.38300000000000001</v>
      </c>
      <c r="AM57" s="3">
        <v>7.99</v>
      </c>
      <c r="AN57" s="3">
        <v>6.96</v>
      </c>
      <c r="AO57" s="3">
        <v>6.92</v>
      </c>
      <c r="AP57" s="3">
        <v>9.34</v>
      </c>
      <c r="AQ57" s="3">
        <v>2.4900000000000002</v>
      </c>
    </row>
    <row r="58" spans="1:43" x14ac:dyDescent="0.2">
      <c r="A58">
        <v>57</v>
      </c>
      <c r="B58" s="3" t="s">
        <v>117</v>
      </c>
      <c r="C58" s="3">
        <v>4.68</v>
      </c>
      <c r="D58" s="3">
        <v>1.44</v>
      </c>
      <c r="E58" s="3">
        <v>25016.44</v>
      </c>
      <c r="F58" s="3">
        <v>36726.699999999997</v>
      </c>
      <c r="G58" s="3">
        <v>79341.87</v>
      </c>
      <c r="H58" s="3">
        <v>183280.25</v>
      </c>
      <c r="I58" s="3">
        <v>1869.98</v>
      </c>
      <c r="J58" s="3">
        <v>8985.74</v>
      </c>
      <c r="K58" s="3">
        <v>91124.37</v>
      </c>
      <c r="L58" s="3">
        <v>29.62</v>
      </c>
      <c r="M58" s="3">
        <v>22759.58</v>
      </c>
      <c r="N58" s="3">
        <v>324.17</v>
      </c>
      <c r="O58" s="3">
        <v>1414.21</v>
      </c>
      <c r="P58" s="3">
        <v>84523.58</v>
      </c>
      <c r="Q58" s="3">
        <v>0.52</v>
      </c>
      <c r="R58" s="3">
        <v>24.87</v>
      </c>
      <c r="S58" s="3">
        <v>879.25</v>
      </c>
      <c r="T58" s="3">
        <v>28.99</v>
      </c>
      <c r="U58" s="3">
        <v>291.56</v>
      </c>
      <c r="V58" s="3">
        <v>70.38</v>
      </c>
      <c r="W58" s="3">
        <v>0.27100000000000002</v>
      </c>
      <c r="X58" s="3">
        <v>337.82</v>
      </c>
      <c r="Y58" s="3">
        <v>54.36</v>
      </c>
      <c r="Z58" s="3">
        <v>110.17</v>
      </c>
      <c r="AA58" s="3">
        <v>13.03</v>
      </c>
      <c r="AB58" s="3">
        <v>51.48</v>
      </c>
      <c r="AC58" s="3">
        <v>10.26</v>
      </c>
      <c r="AD58" s="3">
        <v>3.08</v>
      </c>
      <c r="AE58" s="3">
        <v>8.51</v>
      </c>
      <c r="AF58" s="3">
        <v>1.1299999999999999</v>
      </c>
      <c r="AG58" s="3">
        <v>6.8</v>
      </c>
      <c r="AH58" s="3">
        <v>1.07</v>
      </c>
      <c r="AI58" s="3">
        <v>2.91</v>
      </c>
      <c r="AJ58" s="3">
        <v>0.35399999999999998</v>
      </c>
      <c r="AK58" s="3">
        <v>2.4500000000000002</v>
      </c>
      <c r="AL58" s="3">
        <v>0.33</v>
      </c>
      <c r="AM58" s="3">
        <v>7.03</v>
      </c>
      <c r="AN58" s="3">
        <v>4.3600000000000003</v>
      </c>
      <c r="AO58" s="3">
        <v>7.17</v>
      </c>
      <c r="AP58" s="3">
        <v>5.58</v>
      </c>
      <c r="AQ58" s="3">
        <v>1.35</v>
      </c>
    </row>
    <row r="59" spans="1:43" x14ac:dyDescent="0.2">
      <c r="A59">
        <v>58</v>
      </c>
      <c r="B59" s="3" t="s">
        <v>118</v>
      </c>
      <c r="C59" s="3">
        <v>5.16</v>
      </c>
      <c r="D59" s="3">
        <v>1.71</v>
      </c>
      <c r="E59" s="3">
        <v>26481.02</v>
      </c>
      <c r="F59" s="3">
        <v>35184.269999999997</v>
      </c>
      <c r="G59" s="3">
        <v>78976.800000000003</v>
      </c>
      <c r="H59" s="3">
        <v>197955.20000000001</v>
      </c>
      <c r="I59" s="3">
        <v>1965.41</v>
      </c>
      <c r="J59" s="3">
        <v>9931.9599999999991</v>
      </c>
      <c r="K59" s="3">
        <v>86407.33</v>
      </c>
      <c r="L59" s="3">
        <v>29.48</v>
      </c>
      <c r="M59" s="3">
        <v>21104.23</v>
      </c>
      <c r="N59" s="3">
        <v>330.94</v>
      </c>
      <c r="O59" s="3">
        <v>1430.17</v>
      </c>
      <c r="P59" s="3">
        <v>86428.34</v>
      </c>
      <c r="Q59" s="3">
        <v>0.59</v>
      </c>
      <c r="R59" s="3">
        <v>27.05</v>
      </c>
      <c r="S59" s="3">
        <v>843.76</v>
      </c>
      <c r="T59" s="3">
        <v>27.44</v>
      </c>
      <c r="U59" s="3">
        <v>280.99</v>
      </c>
      <c r="V59" s="3">
        <v>71.459999999999994</v>
      </c>
      <c r="W59" s="3">
        <v>0.27100000000000002</v>
      </c>
      <c r="X59" s="3">
        <v>356.86</v>
      </c>
      <c r="Y59" s="3">
        <v>53.55</v>
      </c>
      <c r="Z59" s="3">
        <v>106.65</v>
      </c>
      <c r="AA59" s="3">
        <v>12.84</v>
      </c>
      <c r="AB59" s="3">
        <v>51.57</v>
      </c>
      <c r="AC59" s="3">
        <v>9.25</v>
      </c>
      <c r="AD59" s="3">
        <v>2.85</v>
      </c>
      <c r="AE59" s="3">
        <v>8.08</v>
      </c>
      <c r="AF59" s="3">
        <v>1.07</v>
      </c>
      <c r="AG59" s="3">
        <v>5.72</v>
      </c>
      <c r="AH59" s="3">
        <v>1.03</v>
      </c>
      <c r="AI59" s="3">
        <v>2.69</v>
      </c>
      <c r="AJ59" s="3">
        <v>0.34699999999999998</v>
      </c>
      <c r="AK59" s="3">
        <v>2.2000000000000002</v>
      </c>
      <c r="AL59" s="3">
        <v>0.28199999999999997</v>
      </c>
      <c r="AM59" s="3">
        <v>6.4</v>
      </c>
      <c r="AN59" s="3">
        <v>4.2</v>
      </c>
      <c r="AO59" s="3">
        <v>4.45</v>
      </c>
      <c r="AP59" s="3">
        <v>5.53</v>
      </c>
      <c r="AQ59" s="3">
        <v>1.52</v>
      </c>
    </row>
    <row r="60" spans="1:43" x14ac:dyDescent="0.2">
      <c r="A60">
        <v>59</v>
      </c>
      <c r="B60" t="s">
        <v>119</v>
      </c>
      <c r="C60">
        <v>5.36</v>
      </c>
      <c r="D60">
        <v>2.69</v>
      </c>
      <c r="E60">
        <v>18456.32</v>
      </c>
      <c r="F60">
        <v>47137.7</v>
      </c>
      <c r="G60">
        <v>72412.02</v>
      </c>
      <c r="H60">
        <v>243090.78</v>
      </c>
      <c r="I60">
        <v>1039.77</v>
      </c>
      <c r="J60">
        <v>4065</v>
      </c>
      <c r="K60">
        <v>77901.69</v>
      </c>
      <c r="L60">
        <v>32.49</v>
      </c>
      <c r="M60">
        <v>15717.06</v>
      </c>
      <c r="N60">
        <v>323.55</v>
      </c>
      <c r="O60">
        <v>1378.75</v>
      </c>
      <c r="P60">
        <v>85458.8</v>
      </c>
      <c r="Q60">
        <v>0.108</v>
      </c>
      <c r="R60">
        <v>9.07</v>
      </c>
      <c r="S60">
        <v>354.72</v>
      </c>
      <c r="T60">
        <v>25.77</v>
      </c>
      <c r="U60">
        <v>152.74</v>
      </c>
      <c r="V60">
        <v>15.93</v>
      </c>
      <c r="W60">
        <v>0.11799999999999999</v>
      </c>
      <c r="X60">
        <v>127.28</v>
      </c>
      <c r="Y60">
        <v>13.73</v>
      </c>
      <c r="Z60">
        <v>33.71</v>
      </c>
      <c r="AA60">
        <v>4.59</v>
      </c>
      <c r="AB60">
        <v>22.88</v>
      </c>
      <c r="AC60">
        <v>5.57</v>
      </c>
      <c r="AD60">
        <v>1.98</v>
      </c>
      <c r="AE60">
        <v>5.73</v>
      </c>
      <c r="AF60">
        <v>0.93</v>
      </c>
      <c r="AG60">
        <v>5.27</v>
      </c>
      <c r="AH60">
        <v>1.06</v>
      </c>
      <c r="AI60">
        <v>2.65</v>
      </c>
      <c r="AJ60">
        <v>0.38800000000000001</v>
      </c>
      <c r="AK60">
        <v>2.15</v>
      </c>
      <c r="AL60">
        <v>0.28299999999999997</v>
      </c>
      <c r="AM60">
        <v>3.91</v>
      </c>
      <c r="AN60">
        <v>1.01</v>
      </c>
      <c r="AO60">
        <v>1.94</v>
      </c>
      <c r="AP60">
        <v>0.97</v>
      </c>
      <c r="AQ60">
        <v>0.56999999999999995</v>
      </c>
    </row>
    <row r="61" spans="1:43" x14ac:dyDescent="0.2">
      <c r="A61">
        <v>60</v>
      </c>
      <c r="B61" t="s">
        <v>120</v>
      </c>
      <c r="C61">
        <v>4.9800000000000004</v>
      </c>
      <c r="D61">
        <v>2.34</v>
      </c>
      <c r="E61">
        <v>16459.330000000002</v>
      </c>
      <c r="F61">
        <v>41467.129999999997</v>
      </c>
      <c r="G61">
        <v>66350.84</v>
      </c>
      <c r="H61">
        <v>221212.44</v>
      </c>
      <c r="I61">
        <v>1014.12</v>
      </c>
      <c r="J61">
        <v>3966.92</v>
      </c>
      <c r="K61">
        <v>77901.69</v>
      </c>
      <c r="L61">
        <v>32.270000000000003</v>
      </c>
      <c r="M61">
        <v>15465.77</v>
      </c>
      <c r="N61">
        <v>305.41000000000003</v>
      </c>
      <c r="O61">
        <v>1261.6500000000001</v>
      </c>
      <c r="P61">
        <v>78220.009999999995</v>
      </c>
      <c r="Q61">
        <v>0.17</v>
      </c>
      <c r="R61">
        <v>8.06</v>
      </c>
      <c r="S61">
        <v>336.72</v>
      </c>
      <c r="T61">
        <v>25.2</v>
      </c>
      <c r="U61">
        <v>151.9</v>
      </c>
      <c r="V61">
        <v>14.9</v>
      </c>
      <c r="W61">
        <v>0.126</v>
      </c>
      <c r="X61">
        <v>116.28</v>
      </c>
      <c r="Y61">
        <v>12.11</v>
      </c>
      <c r="Z61">
        <v>30.23</v>
      </c>
      <c r="AA61">
        <v>4.5</v>
      </c>
      <c r="AB61">
        <v>21.77</v>
      </c>
      <c r="AC61">
        <v>5.66</v>
      </c>
      <c r="AD61">
        <v>1.79</v>
      </c>
      <c r="AE61">
        <v>5.68</v>
      </c>
      <c r="AF61">
        <v>0.85</v>
      </c>
      <c r="AG61">
        <v>5.3</v>
      </c>
      <c r="AH61">
        <v>0.95</v>
      </c>
      <c r="AI61">
        <v>2.35</v>
      </c>
      <c r="AJ61">
        <v>0.29499999999999998</v>
      </c>
      <c r="AK61">
        <v>2.1</v>
      </c>
      <c r="AL61">
        <v>0.30399999999999999</v>
      </c>
      <c r="AM61">
        <v>3.84</v>
      </c>
      <c r="AN61">
        <v>0.95</v>
      </c>
      <c r="AO61">
        <v>2.0099999999999998</v>
      </c>
      <c r="AP61">
        <v>1.03</v>
      </c>
      <c r="AQ61">
        <v>0.57999999999999996</v>
      </c>
    </row>
    <row r="62" spans="1:43" x14ac:dyDescent="0.2">
      <c r="A62">
        <v>61</v>
      </c>
      <c r="B62" t="s">
        <v>121</v>
      </c>
      <c r="C62">
        <v>4.54</v>
      </c>
      <c r="D62">
        <v>2.38</v>
      </c>
      <c r="E62">
        <v>16297.88</v>
      </c>
      <c r="F62">
        <v>42843.3</v>
      </c>
      <c r="G62">
        <v>70661.759999999995</v>
      </c>
      <c r="H62">
        <v>244224.97</v>
      </c>
      <c r="I62">
        <v>1003.72</v>
      </c>
      <c r="J62">
        <v>4069.83</v>
      </c>
      <c r="K62">
        <v>77901.69</v>
      </c>
      <c r="L62">
        <v>30.45</v>
      </c>
      <c r="M62">
        <v>14316.11</v>
      </c>
      <c r="N62">
        <v>280.62</v>
      </c>
      <c r="O62">
        <v>1159.78</v>
      </c>
      <c r="P62">
        <v>79249.73</v>
      </c>
      <c r="Q62">
        <v>0.16</v>
      </c>
      <c r="R62">
        <v>8.4600000000000009</v>
      </c>
      <c r="S62">
        <v>357.21</v>
      </c>
      <c r="T62">
        <v>25.5</v>
      </c>
      <c r="U62">
        <v>155.97</v>
      </c>
      <c r="V62">
        <v>14.37</v>
      </c>
      <c r="W62">
        <v>0.10299999999999999</v>
      </c>
      <c r="X62">
        <v>115.17</v>
      </c>
      <c r="Y62">
        <v>12.3</v>
      </c>
      <c r="Z62">
        <v>32.25</v>
      </c>
      <c r="AA62">
        <v>4.75</v>
      </c>
      <c r="AB62">
        <v>22.75</v>
      </c>
      <c r="AC62">
        <v>5.37</v>
      </c>
      <c r="AD62">
        <v>1.79</v>
      </c>
      <c r="AE62">
        <v>5.45</v>
      </c>
      <c r="AF62">
        <v>0.9</v>
      </c>
      <c r="AG62">
        <v>5.1100000000000003</v>
      </c>
      <c r="AH62">
        <v>0.91</v>
      </c>
      <c r="AI62">
        <v>2.2999999999999998</v>
      </c>
      <c r="AJ62">
        <v>0.32300000000000001</v>
      </c>
      <c r="AK62">
        <v>2.2000000000000002</v>
      </c>
      <c r="AL62">
        <v>0.28299999999999997</v>
      </c>
      <c r="AM62">
        <v>3.68</v>
      </c>
      <c r="AN62">
        <v>0.92</v>
      </c>
      <c r="AO62">
        <v>2.13</v>
      </c>
      <c r="AP62">
        <v>1.06</v>
      </c>
      <c r="AQ62">
        <v>0.53</v>
      </c>
    </row>
    <row r="63" spans="1:43" x14ac:dyDescent="0.2">
      <c r="A63">
        <v>62</v>
      </c>
      <c r="B63" t="s">
        <v>122</v>
      </c>
      <c r="C63">
        <v>4.63</v>
      </c>
      <c r="D63">
        <v>2.33</v>
      </c>
      <c r="E63">
        <v>15818.21</v>
      </c>
      <c r="F63">
        <v>41401.93</v>
      </c>
      <c r="G63">
        <v>66749.8</v>
      </c>
      <c r="H63">
        <v>226600.16</v>
      </c>
      <c r="I63">
        <v>923.15</v>
      </c>
      <c r="J63">
        <v>3958.82</v>
      </c>
      <c r="K63">
        <v>77901.69</v>
      </c>
      <c r="L63">
        <v>31.02</v>
      </c>
      <c r="M63">
        <v>14623.09</v>
      </c>
      <c r="N63">
        <v>290.86</v>
      </c>
      <c r="O63">
        <v>1183.6199999999999</v>
      </c>
      <c r="P63">
        <v>79138.84</v>
      </c>
      <c r="Q63">
        <v>0.15</v>
      </c>
      <c r="R63">
        <v>8.19</v>
      </c>
      <c r="S63">
        <v>353.12</v>
      </c>
      <c r="T63">
        <v>25.86</v>
      </c>
      <c r="U63">
        <v>153.05000000000001</v>
      </c>
      <c r="V63">
        <v>14.34</v>
      </c>
      <c r="W63">
        <v>0.13</v>
      </c>
      <c r="X63">
        <v>114.44</v>
      </c>
      <c r="Y63">
        <v>12.83</v>
      </c>
      <c r="Z63">
        <v>30.74</v>
      </c>
      <c r="AA63">
        <v>4.5599999999999996</v>
      </c>
      <c r="AB63">
        <v>20.61</v>
      </c>
      <c r="AC63">
        <v>5.36</v>
      </c>
      <c r="AD63">
        <v>1.78</v>
      </c>
      <c r="AE63">
        <v>5.37</v>
      </c>
      <c r="AF63">
        <v>0.89</v>
      </c>
      <c r="AG63">
        <v>4.9400000000000004</v>
      </c>
      <c r="AH63">
        <v>0.93</v>
      </c>
      <c r="AI63">
        <v>2.29</v>
      </c>
      <c r="AJ63">
        <v>0.33500000000000002</v>
      </c>
      <c r="AK63">
        <v>1.91</v>
      </c>
      <c r="AL63">
        <v>0.27</v>
      </c>
      <c r="AM63">
        <v>3.8</v>
      </c>
      <c r="AN63">
        <v>0.85</v>
      </c>
      <c r="AO63">
        <v>2</v>
      </c>
      <c r="AP63">
        <v>1.03</v>
      </c>
      <c r="AQ63">
        <v>0.52</v>
      </c>
    </row>
    <row r="64" spans="1:43" x14ac:dyDescent="0.2">
      <c r="A64">
        <v>63</v>
      </c>
      <c r="B64" t="s">
        <v>123</v>
      </c>
      <c r="C64">
        <v>9.08</v>
      </c>
      <c r="D64">
        <v>19.34</v>
      </c>
      <c r="E64">
        <v>6606.55</v>
      </c>
      <c r="F64">
        <v>145912.07999999999</v>
      </c>
      <c r="G64">
        <v>58787.34</v>
      </c>
      <c r="H64">
        <v>204403.08</v>
      </c>
      <c r="I64">
        <v>109.8</v>
      </c>
      <c r="J64">
        <v>165.11</v>
      </c>
      <c r="K64">
        <v>60392.23</v>
      </c>
      <c r="L64">
        <v>36.729999999999997</v>
      </c>
      <c r="M64">
        <v>1783.36</v>
      </c>
      <c r="N64">
        <v>224.85</v>
      </c>
      <c r="O64">
        <v>1262.49</v>
      </c>
      <c r="P64">
        <v>83573.19</v>
      </c>
      <c r="Q64">
        <v>0.19</v>
      </c>
      <c r="R64">
        <v>2.1800000000000002</v>
      </c>
      <c r="S64">
        <v>15.13</v>
      </c>
      <c r="T64">
        <v>13.46</v>
      </c>
      <c r="U64">
        <v>9.98</v>
      </c>
      <c r="V64">
        <v>4.4999999999999998E-2</v>
      </c>
      <c r="W64">
        <v>7.73</v>
      </c>
      <c r="X64">
        <v>0.72</v>
      </c>
      <c r="Y64">
        <v>0.10299999999999999</v>
      </c>
      <c r="Z64">
        <v>0.34599999999999997</v>
      </c>
      <c r="AA64">
        <v>8.5999999999999993E-2</v>
      </c>
      <c r="AB64">
        <v>0.55300000000000005</v>
      </c>
      <c r="AC64">
        <v>0.53500000000000003</v>
      </c>
      <c r="AD64">
        <v>0.26</v>
      </c>
      <c r="AE64">
        <v>1.1599999999999999</v>
      </c>
      <c r="AF64">
        <v>0.26800000000000002</v>
      </c>
      <c r="AG64">
        <v>2.14</v>
      </c>
      <c r="AH64">
        <v>0.51400000000000001</v>
      </c>
      <c r="AI64">
        <v>1.64</v>
      </c>
      <c r="AJ64">
        <v>0.23300000000000001</v>
      </c>
      <c r="AK64">
        <v>1.48</v>
      </c>
      <c r="AL64">
        <v>0.24199999999999999</v>
      </c>
      <c r="AM64">
        <v>0.38700000000000001</v>
      </c>
      <c r="AN64">
        <v>1.7500000000000002E-2</v>
      </c>
      <c r="AO64">
        <v>21.83</v>
      </c>
      <c r="AP64" t="s">
        <v>124</v>
      </c>
      <c r="AQ64">
        <v>5.7000000000000002E-2</v>
      </c>
    </row>
    <row r="65" spans="1:43" x14ac:dyDescent="0.2">
      <c r="A65">
        <v>64</v>
      </c>
      <c r="B65" t="s">
        <v>125</v>
      </c>
      <c r="C65">
        <v>9.64</v>
      </c>
      <c r="D65">
        <v>23.5</v>
      </c>
      <c r="E65">
        <v>4570.7700000000004</v>
      </c>
      <c r="F65">
        <v>172213.22</v>
      </c>
      <c r="G65">
        <v>55151.23</v>
      </c>
      <c r="H65">
        <v>212924.61</v>
      </c>
      <c r="I65">
        <v>75.83</v>
      </c>
      <c r="J65">
        <v>207.78</v>
      </c>
      <c r="K65">
        <v>44597.33</v>
      </c>
      <c r="L65">
        <v>32.630000000000003</v>
      </c>
      <c r="M65">
        <v>1718.38</v>
      </c>
      <c r="N65">
        <v>187.1</v>
      </c>
      <c r="O65">
        <v>1413.19</v>
      </c>
      <c r="P65">
        <v>77758.509999999995</v>
      </c>
      <c r="Q65">
        <v>9.6000000000000002E-2</v>
      </c>
      <c r="R65">
        <v>0.42</v>
      </c>
      <c r="S65">
        <v>30.22</v>
      </c>
      <c r="T65">
        <v>11.94</v>
      </c>
      <c r="U65">
        <v>9.86</v>
      </c>
      <c r="V65">
        <v>7.8E-2</v>
      </c>
      <c r="W65">
        <v>0.2</v>
      </c>
      <c r="X65">
        <v>1.07</v>
      </c>
      <c r="Y65">
        <v>0.11600000000000001</v>
      </c>
      <c r="Z65">
        <v>0.45900000000000002</v>
      </c>
      <c r="AA65">
        <v>9.7000000000000003E-2</v>
      </c>
      <c r="AB65">
        <v>0.77</v>
      </c>
      <c r="AC65">
        <v>0.55000000000000004</v>
      </c>
      <c r="AD65">
        <v>0.26200000000000001</v>
      </c>
      <c r="AE65">
        <v>1.22</v>
      </c>
      <c r="AF65">
        <v>0.23499999999999999</v>
      </c>
      <c r="AG65">
        <v>1.92</v>
      </c>
      <c r="AH65">
        <v>0.47199999999999998</v>
      </c>
      <c r="AI65">
        <v>1.39</v>
      </c>
      <c r="AJ65">
        <v>0.224</v>
      </c>
      <c r="AK65">
        <v>1.38</v>
      </c>
      <c r="AL65">
        <v>0.23499999999999999</v>
      </c>
      <c r="AM65">
        <v>0.42899999999999999</v>
      </c>
      <c r="AN65">
        <v>1.7000000000000001E-2</v>
      </c>
      <c r="AO65">
        <v>0.3</v>
      </c>
      <c r="AP65">
        <v>1.23E-2</v>
      </c>
      <c r="AQ65" t="s">
        <v>126</v>
      </c>
    </row>
    <row r="66" spans="1:43" x14ac:dyDescent="0.2">
      <c r="A66">
        <v>65</v>
      </c>
      <c r="B66" t="s">
        <v>127</v>
      </c>
      <c r="C66">
        <v>21.43</v>
      </c>
      <c r="D66">
        <v>18.36</v>
      </c>
      <c r="E66">
        <v>35441.449999999997</v>
      </c>
      <c r="F66">
        <v>31575.06</v>
      </c>
      <c r="G66">
        <v>127426.41</v>
      </c>
      <c r="H66">
        <v>350929.59</v>
      </c>
      <c r="I66">
        <v>3219.99</v>
      </c>
      <c r="J66">
        <v>52128.09</v>
      </c>
      <c r="K66">
        <v>71470.09</v>
      </c>
      <c r="L66">
        <v>34.26</v>
      </c>
      <c r="M66">
        <v>7467.19</v>
      </c>
      <c r="N66">
        <v>267.99</v>
      </c>
      <c r="O66">
        <v>2042.17</v>
      </c>
      <c r="P66">
        <v>92144.83</v>
      </c>
      <c r="Q66">
        <v>0.76</v>
      </c>
      <c r="R66">
        <v>203.2</v>
      </c>
      <c r="S66">
        <v>1889.72</v>
      </c>
      <c r="T66">
        <v>33.76</v>
      </c>
      <c r="U66">
        <v>332.32</v>
      </c>
      <c r="V66">
        <v>41.39</v>
      </c>
      <c r="W66">
        <v>4.0999999999999996</v>
      </c>
      <c r="X66">
        <v>1382.04</v>
      </c>
      <c r="Y66">
        <v>62.7</v>
      </c>
      <c r="Z66">
        <v>125.86</v>
      </c>
      <c r="AA66">
        <v>14.44</v>
      </c>
      <c r="AB66">
        <v>56.48</v>
      </c>
      <c r="AC66">
        <v>9.75</v>
      </c>
      <c r="AD66">
        <v>2.58</v>
      </c>
      <c r="AE66">
        <v>8.49</v>
      </c>
      <c r="AF66">
        <v>1.1100000000000001</v>
      </c>
      <c r="AG66">
        <v>6.49</v>
      </c>
      <c r="AH66">
        <v>1.28</v>
      </c>
      <c r="AI66">
        <v>3.56</v>
      </c>
      <c r="AJ66">
        <v>0.54</v>
      </c>
      <c r="AK66">
        <v>3.81</v>
      </c>
      <c r="AL66">
        <v>0.57999999999999996</v>
      </c>
      <c r="AM66">
        <v>8.4499999999999993</v>
      </c>
      <c r="AN66">
        <v>2.21</v>
      </c>
      <c r="AO66">
        <v>25.64</v>
      </c>
      <c r="AP66">
        <v>21.51</v>
      </c>
      <c r="AQ66">
        <v>6.18</v>
      </c>
    </row>
    <row r="67" spans="1:43" x14ac:dyDescent="0.2">
      <c r="A67">
        <v>66</v>
      </c>
      <c r="B67" s="3" t="s">
        <v>128</v>
      </c>
      <c r="C67" s="3">
        <v>6.74</v>
      </c>
      <c r="D67" s="3">
        <v>2.96</v>
      </c>
      <c r="E67" s="3">
        <v>28808.95</v>
      </c>
      <c r="F67" s="3">
        <v>28147.19</v>
      </c>
      <c r="G67" s="3">
        <v>74092.800000000003</v>
      </c>
      <c r="H67" s="3">
        <v>203042.41</v>
      </c>
      <c r="I67" s="3">
        <v>2617.9699999999998</v>
      </c>
      <c r="J67" s="3">
        <v>11925.48</v>
      </c>
      <c r="K67" s="3">
        <v>89552.02</v>
      </c>
      <c r="L67" s="3">
        <v>29.1</v>
      </c>
      <c r="M67" s="3">
        <v>21538.21</v>
      </c>
      <c r="N67" s="3">
        <v>305.05</v>
      </c>
      <c r="O67" s="3">
        <v>1387.24</v>
      </c>
      <c r="P67" s="3">
        <v>81253.88</v>
      </c>
      <c r="Q67" s="3">
        <v>0.81</v>
      </c>
      <c r="R67" s="3">
        <v>27.56</v>
      </c>
      <c r="S67" s="3">
        <v>897.93</v>
      </c>
      <c r="T67" s="3">
        <v>28.81</v>
      </c>
      <c r="U67" s="3">
        <v>303.43</v>
      </c>
      <c r="V67" s="3">
        <v>82.3</v>
      </c>
      <c r="W67" s="3">
        <v>0.32</v>
      </c>
      <c r="X67" s="3">
        <v>331.83</v>
      </c>
      <c r="Y67" s="3">
        <v>51.64</v>
      </c>
      <c r="Z67" s="3">
        <v>104.1</v>
      </c>
      <c r="AA67" s="3">
        <v>13.82</v>
      </c>
      <c r="AB67" s="3">
        <v>55.23</v>
      </c>
      <c r="AC67" s="3">
        <v>9.6199999999999992</v>
      </c>
      <c r="AD67" s="3">
        <v>2.98</v>
      </c>
      <c r="AE67" s="3">
        <v>7.7</v>
      </c>
      <c r="AF67" s="3">
        <v>1.07</v>
      </c>
      <c r="AG67" s="3">
        <v>6.25</v>
      </c>
      <c r="AH67" s="3">
        <v>1.1299999999999999</v>
      </c>
      <c r="AI67" s="3">
        <v>2.4300000000000002</v>
      </c>
      <c r="AJ67" s="3">
        <v>0.32500000000000001</v>
      </c>
      <c r="AK67" s="3">
        <v>2.2400000000000002</v>
      </c>
      <c r="AL67" s="3">
        <v>0.33400000000000002</v>
      </c>
      <c r="AM67" s="3">
        <v>6.17</v>
      </c>
      <c r="AN67" s="3">
        <v>4.09</v>
      </c>
      <c r="AO67" s="3">
        <v>4.5199999999999996</v>
      </c>
      <c r="AP67" s="3">
        <v>6.1</v>
      </c>
      <c r="AQ67" s="3">
        <v>1.54</v>
      </c>
    </row>
    <row r="68" spans="1:43" x14ac:dyDescent="0.2">
      <c r="A68">
        <v>67</v>
      </c>
      <c r="B68" s="3" t="s">
        <v>129</v>
      </c>
      <c r="C68" s="3">
        <v>6.79</v>
      </c>
      <c r="D68" s="3">
        <v>1.82</v>
      </c>
      <c r="E68" s="3">
        <v>28897.83</v>
      </c>
      <c r="F68" s="3">
        <v>28282.02</v>
      </c>
      <c r="G68" s="3">
        <v>72967.48</v>
      </c>
      <c r="H68" s="3">
        <v>192714.38</v>
      </c>
      <c r="I68" s="3">
        <v>2454.9499999999998</v>
      </c>
      <c r="J68" s="3">
        <v>11654.02</v>
      </c>
      <c r="K68" s="3">
        <v>89552.02</v>
      </c>
      <c r="L68" s="3">
        <v>26.47</v>
      </c>
      <c r="M68" s="3">
        <v>18242.11</v>
      </c>
      <c r="N68" s="3">
        <v>268.08999999999997</v>
      </c>
      <c r="O68" s="3">
        <v>1297.77</v>
      </c>
      <c r="P68" s="3">
        <v>76865.91</v>
      </c>
      <c r="Q68" s="3">
        <v>0.57999999999999996</v>
      </c>
      <c r="R68" s="3">
        <v>28.16</v>
      </c>
      <c r="S68" s="3">
        <v>876.34</v>
      </c>
      <c r="T68" s="3">
        <v>26.42</v>
      </c>
      <c r="U68" s="3">
        <v>282.16000000000003</v>
      </c>
      <c r="V68" s="3">
        <v>76.27</v>
      </c>
      <c r="W68" s="3">
        <v>0.28599999999999998</v>
      </c>
      <c r="X68" s="3">
        <v>324.29000000000002</v>
      </c>
      <c r="Y68" s="3">
        <v>49.27</v>
      </c>
      <c r="Z68" s="3">
        <v>102.33</v>
      </c>
      <c r="AA68" s="3">
        <v>13.3</v>
      </c>
      <c r="AB68" s="3">
        <v>53.14</v>
      </c>
      <c r="AC68" s="3">
        <v>9.99</v>
      </c>
      <c r="AD68" s="3">
        <v>2.5499999999999998</v>
      </c>
      <c r="AE68" s="3">
        <v>7.17</v>
      </c>
      <c r="AF68" s="3">
        <v>1.06</v>
      </c>
      <c r="AG68" s="3">
        <v>6.22</v>
      </c>
      <c r="AH68" s="3">
        <v>1</v>
      </c>
      <c r="AI68" s="3">
        <v>2.38</v>
      </c>
      <c r="AJ68" s="3">
        <v>0.32800000000000001</v>
      </c>
      <c r="AK68" s="3">
        <v>1.94</v>
      </c>
      <c r="AL68" s="3">
        <v>0.29199999999999998</v>
      </c>
      <c r="AM68" s="3">
        <v>6</v>
      </c>
      <c r="AN68" s="3">
        <v>4.1399999999999997</v>
      </c>
      <c r="AO68" s="3">
        <v>3.66</v>
      </c>
      <c r="AP68" s="3">
        <v>5.92</v>
      </c>
      <c r="AQ68" s="3">
        <v>1.41</v>
      </c>
    </row>
    <row r="69" spans="1:43" x14ac:dyDescent="0.2">
      <c r="A69">
        <v>68</v>
      </c>
      <c r="B69" s="3" t="s">
        <v>130</v>
      </c>
      <c r="C69" s="3">
        <v>5.55</v>
      </c>
      <c r="D69" s="3">
        <v>2.67</v>
      </c>
      <c r="E69" s="3">
        <v>21350.03</v>
      </c>
      <c r="F69" s="3">
        <v>295328.94</v>
      </c>
      <c r="G69" s="3">
        <v>69446.66</v>
      </c>
      <c r="H69" s="3">
        <v>342625.63</v>
      </c>
      <c r="I69" s="3">
        <v>2344.0300000000002</v>
      </c>
      <c r="J69" s="3">
        <v>9813.51</v>
      </c>
      <c r="K69" s="3">
        <v>97628.13</v>
      </c>
      <c r="L69" s="3">
        <v>40.450000000000003</v>
      </c>
      <c r="M69" s="3">
        <v>18942.48</v>
      </c>
      <c r="N69" s="3">
        <v>315.25</v>
      </c>
      <c r="O69" s="3">
        <v>3642.78</v>
      </c>
      <c r="P69" s="3">
        <v>218632.84</v>
      </c>
      <c r="Q69" s="3">
        <v>0.56999999999999995</v>
      </c>
      <c r="R69" s="3">
        <v>25.03</v>
      </c>
      <c r="S69" s="3">
        <v>830.98</v>
      </c>
      <c r="T69" s="3">
        <v>27.62</v>
      </c>
      <c r="U69" s="3">
        <v>281.26</v>
      </c>
      <c r="V69" s="3">
        <v>83.58</v>
      </c>
      <c r="W69" s="3">
        <v>0.35</v>
      </c>
      <c r="X69" s="3">
        <v>332.08</v>
      </c>
      <c r="Y69" s="3">
        <v>56.89</v>
      </c>
      <c r="Z69" s="3">
        <v>115.19</v>
      </c>
      <c r="AA69" s="3">
        <v>13.58</v>
      </c>
      <c r="AB69" s="3">
        <v>58.86</v>
      </c>
      <c r="AC69" s="3">
        <v>9.08</v>
      </c>
      <c r="AD69" s="3">
        <v>2.4500000000000002</v>
      </c>
      <c r="AE69" s="3">
        <v>6.56</v>
      </c>
      <c r="AF69" s="3">
        <v>1.1200000000000001</v>
      </c>
      <c r="AG69" s="3">
        <v>6.23</v>
      </c>
      <c r="AH69" s="3">
        <v>1.1000000000000001</v>
      </c>
      <c r="AI69" s="3">
        <v>2.29</v>
      </c>
      <c r="AJ69" s="3">
        <v>0.32800000000000001</v>
      </c>
      <c r="AK69" s="3">
        <v>2.58</v>
      </c>
      <c r="AL69" s="3">
        <v>0.29199999999999998</v>
      </c>
      <c r="AM69" s="3">
        <v>5.33</v>
      </c>
      <c r="AN69" s="3">
        <v>4.3499999999999996</v>
      </c>
      <c r="AO69" s="3">
        <v>4.3099999999999996</v>
      </c>
      <c r="AP69" s="3">
        <v>7.45</v>
      </c>
      <c r="AQ69" s="3">
        <v>1.49</v>
      </c>
    </row>
    <row r="70" spans="1:43" x14ac:dyDescent="0.2">
      <c r="A70">
        <v>69</v>
      </c>
      <c r="B70" s="3" t="s">
        <v>131</v>
      </c>
      <c r="C70" s="3">
        <v>4.2</v>
      </c>
      <c r="D70" s="3">
        <v>2.17</v>
      </c>
      <c r="E70" s="3">
        <v>20251.099999999999</v>
      </c>
      <c r="F70" s="3">
        <v>22454.33</v>
      </c>
      <c r="G70" s="3">
        <v>72580.84</v>
      </c>
      <c r="H70" s="3">
        <v>195269.75</v>
      </c>
      <c r="I70" s="3">
        <v>2062.1799999999998</v>
      </c>
      <c r="J70" s="3">
        <v>8294.77</v>
      </c>
      <c r="K70" s="3">
        <v>97699.61</v>
      </c>
      <c r="L70" s="3">
        <v>29.46</v>
      </c>
      <c r="M70" s="3">
        <v>19831.37</v>
      </c>
      <c r="N70" s="3">
        <v>277.48</v>
      </c>
      <c r="O70" s="3">
        <v>1150.49</v>
      </c>
      <c r="P70" s="3">
        <v>64504.45</v>
      </c>
      <c r="Q70" s="3">
        <v>0.5</v>
      </c>
      <c r="R70" s="3">
        <v>20.170000000000002</v>
      </c>
      <c r="S70" s="3">
        <v>788.63</v>
      </c>
      <c r="T70" s="3">
        <v>23.34</v>
      </c>
      <c r="U70" s="3">
        <v>223.02</v>
      </c>
      <c r="V70" s="3">
        <v>61.87</v>
      </c>
      <c r="W70" s="3">
        <v>0.183</v>
      </c>
      <c r="X70" s="3">
        <v>273.29000000000002</v>
      </c>
      <c r="Y70" s="3">
        <v>39.94</v>
      </c>
      <c r="Z70" s="3">
        <v>90.41</v>
      </c>
      <c r="AA70" s="3">
        <v>11.97</v>
      </c>
      <c r="AB70" s="3">
        <v>46.67</v>
      </c>
      <c r="AC70" s="3">
        <v>8.92</v>
      </c>
      <c r="AD70" s="3">
        <v>2.73</v>
      </c>
      <c r="AE70" s="3">
        <v>6.3</v>
      </c>
      <c r="AF70" s="3">
        <v>0.96</v>
      </c>
      <c r="AG70" s="3">
        <v>5.43</v>
      </c>
      <c r="AH70" s="3">
        <v>0.78</v>
      </c>
      <c r="AI70" s="3">
        <v>2.11</v>
      </c>
      <c r="AJ70" s="3">
        <v>0.30099999999999999</v>
      </c>
      <c r="AK70" s="3">
        <v>2</v>
      </c>
      <c r="AL70" s="3">
        <v>0.22800000000000001</v>
      </c>
      <c r="AM70" s="3">
        <v>4.66</v>
      </c>
      <c r="AN70" s="3">
        <v>3.07</v>
      </c>
      <c r="AO70" s="3">
        <v>55.49</v>
      </c>
      <c r="AP70" s="3">
        <v>4.4800000000000004</v>
      </c>
      <c r="AQ70" s="3">
        <v>1.31</v>
      </c>
    </row>
    <row r="71" spans="1:43" x14ac:dyDescent="0.2">
      <c r="A71">
        <v>70</v>
      </c>
      <c r="B71" s="3" t="s">
        <v>132</v>
      </c>
      <c r="C71" s="3">
        <v>6.89</v>
      </c>
      <c r="D71" s="3">
        <v>11.73</v>
      </c>
      <c r="E71" s="3">
        <v>62656.69</v>
      </c>
      <c r="F71" s="3">
        <v>47689.06</v>
      </c>
      <c r="G71" s="3">
        <v>146801.04999999999</v>
      </c>
      <c r="H71" s="3">
        <v>288315.84000000003</v>
      </c>
      <c r="I71" s="3">
        <v>3722.46</v>
      </c>
      <c r="J71" s="3">
        <v>17658.439999999999</v>
      </c>
      <c r="K71" s="3">
        <v>71970.38</v>
      </c>
      <c r="L71" s="3">
        <v>15.14</v>
      </c>
      <c r="M71" s="3">
        <v>20235.099999999999</v>
      </c>
      <c r="N71" s="3">
        <v>218.75</v>
      </c>
      <c r="O71" s="3">
        <v>1959.33</v>
      </c>
      <c r="P71" s="3">
        <v>121283</v>
      </c>
      <c r="Q71" s="3">
        <v>2.83</v>
      </c>
      <c r="R71" s="3">
        <v>85.1</v>
      </c>
      <c r="S71" s="3">
        <v>1599.46</v>
      </c>
      <c r="T71" s="3">
        <v>43.16</v>
      </c>
      <c r="U71" s="3">
        <v>388.93</v>
      </c>
      <c r="V71" s="3">
        <v>98.65</v>
      </c>
      <c r="W71" s="3">
        <v>0.43</v>
      </c>
      <c r="X71" s="3">
        <v>832.48</v>
      </c>
      <c r="Y71" s="3">
        <v>157.62</v>
      </c>
      <c r="Z71" s="3">
        <v>334.69</v>
      </c>
      <c r="AA71" s="3">
        <v>27.26</v>
      </c>
      <c r="AB71" s="3">
        <v>77.61</v>
      </c>
      <c r="AC71" s="3">
        <v>10.45</v>
      </c>
      <c r="AD71" s="3">
        <v>4.84</v>
      </c>
      <c r="AE71" s="3">
        <v>19.71</v>
      </c>
      <c r="AF71" s="3">
        <v>1.62</v>
      </c>
      <c r="AG71" s="3">
        <v>6.88</v>
      </c>
      <c r="AH71" s="3">
        <v>1.17</v>
      </c>
      <c r="AI71" s="3">
        <v>4.33</v>
      </c>
      <c r="AJ71" s="3">
        <v>0.76</v>
      </c>
      <c r="AK71" s="3">
        <v>4.0599999999999996</v>
      </c>
      <c r="AL71" s="3">
        <v>0.28999999999999998</v>
      </c>
      <c r="AM71" s="3">
        <v>8.25</v>
      </c>
      <c r="AN71" s="3">
        <v>11.12</v>
      </c>
      <c r="AO71" s="3">
        <v>1846.88</v>
      </c>
      <c r="AP71" s="3">
        <v>9.25</v>
      </c>
      <c r="AQ71" s="3">
        <v>2.11</v>
      </c>
    </row>
    <row r="72" spans="1:43" x14ac:dyDescent="0.2">
      <c r="A72">
        <v>71</v>
      </c>
      <c r="B72" s="3" t="s">
        <v>133</v>
      </c>
      <c r="C72" s="3">
        <v>2.41</v>
      </c>
      <c r="D72" s="3">
        <v>1.23</v>
      </c>
      <c r="E72" s="3">
        <v>14642.34</v>
      </c>
      <c r="F72" s="3">
        <v>16258.56</v>
      </c>
      <c r="G72" s="3">
        <v>50176.17</v>
      </c>
      <c r="H72" s="3">
        <v>143550.42000000001</v>
      </c>
      <c r="I72" s="3">
        <v>1920.85</v>
      </c>
      <c r="J72" s="3">
        <v>11675.49</v>
      </c>
      <c r="K72" s="3">
        <v>90909.95</v>
      </c>
      <c r="L72" s="3">
        <v>23.85</v>
      </c>
      <c r="M72" s="3">
        <v>13812.56</v>
      </c>
      <c r="N72" s="3">
        <v>175.79</v>
      </c>
      <c r="O72" s="3">
        <v>713.79</v>
      </c>
      <c r="P72" s="3">
        <v>40814.19</v>
      </c>
      <c r="Q72" s="3">
        <v>0.37</v>
      </c>
      <c r="R72" s="3">
        <v>16.3</v>
      </c>
      <c r="S72" s="3">
        <v>632.34</v>
      </c>
      <c r="T72" s="3">
        <v>21.85</v>
      </c>
      <c r="U72" s="3">
        <v>248.83</v>
      </c>
      <c r="V72" s="3">
        <v>57.25</v>
      </c>
      <c r="W72" s="3">
        <v>0.20399999999999999</v>
      </c>
      <c r="X72" s="3">
        <v>187.03</v>
      </c>
      <c r="Y72" s="3">
        <v>30.53</v>
      </c>
      <c r="Z72" s="3">
        <v>67.680000000000007</v>
      </c>
      <c r="AA72" s="3">
        <v>10.64</v>
      </c>
      <c r="AB72" s="3">
        <v>50.19</v>
      </c>
      <c r="AC72" s="3">
        <v>7.59</v>
      </c>
      <c r="AD72" s="3">
        <v>1.74</v>
      </c>
      <c r="AE72" s="3">
        <v>4.6399999999999997</v>
      </c>
      <c r="AF72" s="3">
        <v>0.8</v>
      </c>
      <c r="AG72" s="3">
        <v>5.2</v>
      </c>
      <c r="AH72" s="3">
        <v>0.68</v>
      </c>
      <c r="AI72" s="3">
        <v>1.32</v>
      </c>
      <c r="AJ72" s="3">
        <v>0.20699999999999999</v>
      </c>
      <c r="AK72" s="3">
        <v>1.75</v>
      </c>
      <c r="AL72" s="3">
        <v>0.22500000000000001</v>
      </c>
      <c r="AM72" s="3">
        <v>3.35</v>
      </c>
      <c r="AN72" s="3">
        <v>2.42</v>
      </c>
      <c r="AO72" s="3">
        <v>3.09</v>
      </c>
      <c r="AP72" s="3">
        <v>5.01</v>
      </c>
      <c r="AQ72" s="3">
        <v>0.92</v>
      </c>
    </row>
    <row r="73" spans="1:43" x14ac:dyDescent="0.2">
      <c r="A73">
        <v>72</v>
      </c>
      <c r="B73" s="3" t="s">
        <v>134</v>
      </c>
      <c r="C73" s="3">
        <v>4.8499999999999996</v>
      </c>
      <c r="D73" s="3">
        <v>2.5</v>
      </c>
      <c r="E73" s="3">
        <v>27177.84</v>
      </c>
      <c r="F73" s="3">
        <v>33307.82</v>
      </c>
      <c r="G73" s="3">
        <v>87502.42</v>
      </c>
      <c r="H73" s="3">
        <v>208005.63</v>
      </c>
      <c r="I73" s="3">
        <v>2330.29</v>
      </c>
      <c r="J73" s="3">
        <v>11159.31</v>
      </c>
      <c r="K73" s="3">
        <v>96627.55</v>
      </c>
      <c r="L73" s="3">
        <v>34.61</v>
      </c>
      <c r="M73" s="3">
        <v>20709.349999999999</v>
      </c>
      <c r="N73" s="3">
        <v>347.87</v>
      </c>
      <c r="O73" s="3">
        <v>1361.39</v>
      </c>
      <c r="P73" s="3">
        <v>80868.11</v>
      </c>
      <c r="Q73" s="3">
        <v>0.63</v>
      </c>
      <c r="R73" s="3">
        <v>30.9</v>
      </c>
      <c r="S73" s="3">
        <v>863.95</v>
      </c>
      <c r="T73" s="3">
        <v>26.76</v>
      </c>
      <c r="U73" s="3">
        <v>262.93</v>
      </c>
      <c r="V73" s="3">
        <v>75.180000000000007</v>
      </c>
      <c r="W73" s="3">
        <v>0.34</v>
      </c>
      <c r="X73" s="3">
        <v>382.25</v>
      </c>
      <c r="Y73" s="3">
        <v>53.22</v>
      </c>
      <c r="Z73" s="3">
        <v>109.48</v>
      </c>
      <c r="AA73" s="3">
        <v>12.91</v>
      </c>
      <c r="AB73" s="3">
        <v>48.18</v>
      </c>
      <c r="AC73" s="3">
        <v>9.1999999999999993</v>
      </c>
      <c r="AD73" s="3">
        <v>2.91</v>
      </c>
      <c r="AE73" s="3">
        <v>8.1999999999999993</v>
      </c>
      <c r="AF73" s="3">
        <v>1.04</v>
      </c>
      <c r="AG73" s="3">
        <v>6.02</v>
      </c>
      <c r="AH73" s="3">
        <v>1.1100000000000001</v>
      </c>
      <c r="AI73" s="3">
        <v>2.76</v>
      </c>
      <c r="AJ73" s="3">
        <v>0.42</v>
      </c>
      <c r="AK73" s="3">
        <v>2.0299999999999998</v>
      </c>
      <c r="AL73" s="3">
        <v>0.32</v>
      </c>
      <c r="AM73" s="3">
        <v>6.2</v>
      </c>
      <c r="AN73" s="3">
        <v>4.66</v>
      </c>
      <c r="AO73" s="3">
        <v>4.0999999999999996</v>
      </c>
      <c r="AP73" s="3">
        <v>5.85</v>
      </c>
      <c r="AQ73" s="3">
        <v>1.45</v>
      </c>
    </row>
    <row r="74" spans="1:43" x14ac:dyDescent="0.2">
      <c r="A74">
        <v>73</v>
      </c>
      <c r="B74" s="3" t="s">
        <v>135</v>
      </c>
      <c r="C74" s="3">
        <v>7.51</v>
      </c>
      <c r="D74" s="3">
        <v>12.2</v>
      </c>
      <c r="E74" s="3">
        <v>32447.35</v>
      </c>
      <c r="F74" s="3">
        <v>23898.080000000002</v>
      </c>
      <c r="G74" s="3">
        <v>84062.66</v>
      </c>
      <c r="H74" s="3">
        <v>188322.47</v>
      </c>
      <c r="I74" s="3">
        <v>3384.98</v>
      </c>
      <c r="J74" s="3">
        <v>14287.32</v>
      </c>
      <c r="K74" s="3">
        <v>63751.32</v>
      </c>
      <c r="L74" s="3">
        <v>16.190000000000001</v>
      </c>
      <c r="M74" s="3">
        <v>18514.169999999998</v>
      </c>
      <c r="N74" s="3">
        <v>372.46</v>
      </c>
      <c r="O74" s="3">
        <v>1279.45</v>
      </c>
      <c r="P74" s="3">
        <v>43578.31</v>
      </c>
      <c r="Q74" s="3">
        <v>1.28</v>
      </c>
      <c r="R74" s="3">
        <v>40.93</v>
      </c>
      <c r="S74" s="3">
        <v>1527.33</v>
      </c>
      <c r="T74" s="3">
        <v>30.64</v>
      </c>
      <c r="U74" s="3">
        <v>357.99</v>
      </c>
      <c r="V74" s="3">
        <v>122.29</v>
      </c>
      <c r="W74" s="3">
        <v>0.44</v>
      </c>
      <c r="X74" s="3">
        <v>622.62</v>
      </c>
      <c r="Y74" s="3">
        <v>97.11</v>
      </c>
      <c r="Z74" s="3">
        <v>186.89</v>
      </c>
      <c r="AA74" s="3">
        <v>20.83</v>
      </c>
      <c r="AB74" s="3">
        <v>75.569999999999993</v>
      </c>
      <c r="AC74" s="3">
        <v>11.68</v>
      </c>
      <c r="AD74" s="3">
        <v>3.54</v>
      </c>
      <c r="AE74" s="3">
        <v>9.59</v>
      </c>
      <c r="AF74" s="3">
        <v>1.18</v>
      </c>
      <c r="AG74" s="3">
        <v>6.35</v>
      </c>
      <c r="AH74" s="3">
        <v>1.2</v>
      </c>
      <c r="AI74" s="3">
        <v>2.82</v>
      </c>
      <c r="AJ74" s="3">
        <v>0.43</v>
      </c>
      <c r="AK74" s="3">
        <v>2.54</v>
      </c>
      <c r="AL74" s="3">
        <v>0.33200000000000002</v>
      </c>
      <c r="AM74" s="3">
        <v>7.53</v>
      </c>
      <c r="AN74" s="3">
        <v>7.1</v>
      </c>
      <c r="AO74" s="3">
        <v>1714.57</v>
      </c>
      <c r="AP74" s="3">
        <v>9.7899999999999991</v>
      </c>
      <c r="AQ74" s="3">
        <v>2.5299999999999998</v>
      </c>
    </row>
    <row r="75" spans="1:43" x14ac:dyDescent="0.2">
      <c r="A75">
        <v>74</v>
      </c>
      <c r="B75" s="3" t="s">
        <v>136</v>
      </c>
      <c r="C75" s="3">
        <v>6.87</v>
      </c>
      <c r="D75" s="3">
        <v>4.87</v>
      </c>
      <c r="E75" s="3">
        <v>26100.17</v>
      </c>
      <c r="F75" s="3">
        <v>177851.2</v>
      </c>
      <c r="G75" s="3">
        <v>86904.08</v>
      </c>
      <c r="H75" s="3">
        <v>301774.65999999997</v>
      </c>
      <c r="I75" s="3">
        <v>3891.53</v>
      </c>
      <c r="J75" s="3">
        <v>12325.35</v>
      </c>
      <c r="K75" s="3">
        <v>97199.32</v>
      </c>
      <c r="L75" s="3">
        <v>38.5</v>
      </c>
      <c r="M75" s="3">
        <v>12992.25</v>
      </c>
      <c r="N75" s="3">
        <v>224.58</v>
      </c>
      <c r="O75" s="3">
        <v>2143.81</v>
      </c>
      <c r="P75" s="3">
        <v>124466.71</v>
      </c>
      <c r="Q75" s="3">
        <v>1.26</v>
      </c>
      <c r="R75" s="3">
        <v>50.88</v>
      </c>
      <c r="S75" s="3">
        <v>1458.3</v>
      </c>
      <c r="T75" s="3">
        <v>27.55</v>
      </c>
      <c r="U75" s="3">
        <v>471.34</v>
      </c>
      <c r="V75" s="3">
        <v>130.94</v>
      </c>
      <c r="W75" s="3">
        <v>0.62</v>
      </c>
      <c r="X75" s="3">
        <v>624.44000000000005</v>
      </c>
      <c r="Y75" s="3">
        <v>116.25</v>
      </c>
      <c r="Z75" s="3">
        <v>227.12</v>
      </c>
      <c r="AA75" s="3">
        <v>23.85</v>
      </c>
      <c r="AB75" s="3">
        <v>81.89</v>
      </c>
      <c r="AC75" s="3">
        <v>10.87</v>
      </c>
      <c r="AD75" s="3">
        <v>2.98</v>
      </c>
      <c r="AE75" s="3">
        <v>8.33</v>
      </c>
      <c r="AF75" s="3">
        <v>1.06</v>
      </c>
      <c r="AG75" s="3">
        <v>5.53</v>
      </c>
      <c r="AH75" s="3">
        <v>1.03</v>
      </c>
      <c r="AI75" s="3">
        <v>2.57</v>
      </c>
      <c r="AJ75" s="3">
        <v>0.34399999999999997</v>
      </c>
      <c r="AK75" s="3">
        <v>2.13</v>
      </c>
      <c r="AL75" s="3">
        <v>0.32800000000000001</v>
      </c>
      <c r="AM75" s="3">
        <v>9.58</v>
      </c>
      <c r="AN75" s="3">
        <v>8.01</v>
      </c>
      <c r="AO75" s="3">
        <v>7.72</v>
      </c>
      <c r="AP75" s="3">
        <v>12.51</v>
      </c>
      <c r="AQ75" s="3">
        <v>2.91</v>
      </c>
    </row>
    <row r="76" spans="1:43" x14ac:dyDescent="0.2">
      <c r="A76">
        <v>75</v>
      </c>
      <c r="B76" s="3" t="s">
        <v>137</v>
      </c>
      <c r="C76" s="3">
        <v>5.03</v>
      </c>
      <c r="D76" s="3">
        <v>1.62</v>
      </c>
      <c r="E76" s="3">
        <v>20926.3</v>
      </c>
      <c r="F76" s="3">
        <v>130308.17</v>
      </c>
      <c r="G76" s="3">
        <v>87380.28</v>
      </c>
      <c r="H76" s="3">
        <v>259355.51999999999</v>
      </c>
      <c r="I76" s="3">
        <v>1964.47</v>
      </c>
      <c r="J76" s="3">
        <v>9553.02</v>
      </c>
      <c r="K76" s="3">
        <v>115638.6</v>
      </c>
      <c r="L76" s="3">
        <v>41.81</v>
      </c>
      <c r="M76" s="3">
        <v>24132.6</v>
      </c>
      <c r="N76" s="3">
        <v>343.74</v>
      </c>
      <c r="O76" s="3">
        <v>1800.64</v>
      </c>
      <c r="P76" s="3">
        <v>105340.88</v>
      </c>
      <c r="Q76" s="3">
        <v>0.6</v>
      </c>
      <c r="R76" s="3">
        <v>26.73</v>
      </c>
      <c r="S76" s="3">
        <v>861.6</v>
      </c>
      <c r="T76" s="3">
        <v>31.26</v>
      </c>
      <c r="U76" s="3">
        <v>283.20999999999998</v>
      </c>
      <c r="V76" s="3">
        <v>79.81</v>
      </c>
      <c r="W76" s="3">
        <v>0.31</v>
      </c>
      <c r="X76" s="3">
        <v>367.12</v>
      </c>
      <c r="Y76" s="3">
        <v>57.52</v>
      </c>
      <c r="Z76" s="3">
        <v>110.53</v>
      </c>
      <c r="AA76" s="3">
        <v>13.45</v>
      </c>
      <c r="AB76" s="3">
        <v>52.91</v>
      </c>
      <c r="AC76" s="3">
        <v>10.01</v>
      </c>
      <c r="AD76" s="3">
        <v>2.71</v>
      </c>
      <c r="AE76" s="3">
        <v>8.32</v>
      </c>
      <c r="AF76" s="3">
        <v>1.1000000000000001</v>
      </c>
      <c r="AG76" s="3">
        <v>6.55</v>
      </c>
      <c r="AH76" s="3">
        <v>1.0900000000000001</v>
      </c>
      <c r="AI76" s="3">
        <v>2.75</v>
      </c>
      <c r="AJ76" s="3">
        <v>0.4</v>
      </c>
      <c r="AK76" s="3">
        <v>2.0699999999999998</v>
      </c>
      <c r="AL76" s="3">
        <v>0.34100000000000003</v>
      </c>
      <c r="AM76" s="3">
        <v>6.92</v>
      </c>
      <c r="AN76" s="3">
        <v>4.3499999999999996</v>
      </c>
      <c r="AO76" s="3">
        <v>7.37</v>
      </c>
      <c r="AP76" s="3">
        <v>6.2</v>
      </c>
      <c r="AQ76" s="3">
        <v>1.55</v>
      </c>
    </row>
    <row r="77" spans="1:43" x14ac:dyDescent="0.2">
      <c r="A77">
        <v>76</v>
      </c>
      <c r="B77" t="s">
        <v>138</v>
      </c>
      <c r="C77">
        <v>5.09</v>
      </c>
      <c r="D77">
        <v>3.13</v>
      </c>
      <c r="E77">
        <v>16812.689999999999</v>
      </c>
      <c r="F77">
        <v>43846.64</v>
      </c>
      <c r="G77">
        <v>68025.53</v>
      </c>
      <c r="H77">
        <v>237209.92</v>
      </c>
      <c r="I77">
        <v>977.62</v>
      </c>
      <c r="J77">
        <v>4045.55</v>
      </c>
      <c r="K77">
        <v>77901.69</v>
      </c>
      <c r="L77">
        <v>32.549999999999997</v>
      </c>
      <c r="M77">
        <v>15526.99</v>
      </c>
      <c r="N77">
        <v>314.20999999999998</v>
      </c>
      <c r="O77">
        <v>1283.19</v>
      </c>
      <c r="P77">
        <v>83340.62</v>
      </c>
      <c r="Q77">
        <v>0.16</v>
      </c>
      <c r="R77">
        <v>8.73</v>
      </c>
      <c r="S77">
        <v>351.57</v>
      </c>
      <c r="T77">
        <v>24.99</v>
      </c>
      <c r="U77">
        <v>148.12</v>
      </c>
      <c r="V77">
        <v>14.77</v>
      </c>
      <c r="W77">
        <v>8.4000000000000005E-2</v>
      </c>
      <c r="X77">
        <v>120.24</v>
      </c>
      <c r="Y77">
        <v>12.75</v>
      </c>
      <c r="Z77">
        <v>32.01</v>
      </c>
      <c r="AA77">
        <v>4.5999999999999996</v>
      </c>
      <c r="AB77">
        <v>21.52</v>
      </c>
      <c r="AC77">
        <v>5.12</v>
      </c>
      <c r="AD77">
        <v>1.97</v>
      </c>
      <c r="AE77">
        <v>5.85</v>
      </c>
      <c r="AF77">
        <v>0.84</v>
      </c>
      <c r="AG77">
        <v>5.0999999999999996</v>
      </c>
      <c r="AH77">
        <v>0.91</v>
      </c>
      <c r="AI77">
        <v>2.36</v>
      </c>
      <c r="AJ77">
        <v>0.34200000000000003</v>
      </c>
      <c r="AK77">
        <v>2</v>
      </c>
      <c r="AL77">
        <v>0.252</v>
      </c>
      <c r="AM77">
        <v>3.71</v>
      </c>
      <c r="AN77">
        <v>0.88</v>
      </c>
      <c r="AO77">
        <v>2.04</v>
      </c>
      <c r="AP77">
        <v>0.98</v>
      </c>
      <c r="AQ77">
        <v>0.55000000000000004</v>
      </c>
    </row>
    <row r="78" spans="1:43" x14ac:dyDescent="0.2">
      <c r="A78">
        <v>77</v>
      </c>
      <c r="B78" t="s">
        <v>139</v>
      </c>
      <c r="C78">
        <v>5.49</v>
      </c>
      <c r="D78">
        <v>3.53</v>
      </c>
      <c r="E78">
        <v>18660.55</v>
      </c>
      <c r="F78">
        <v>46127.8</v>
      </c>
      <c r="G78">
        <v>72836.210000000006</v>
      </c>
      <c r="H78">
        <v>237350.97</v>
      </c>
      <c r="I78">
        <v>959.57</v>
      </c>
      <c r="J78">
        <v>3855.19</v>
      </c>
      <c r="K78">
        <v>77901.69</v>
      </c>
      <c r="L78">
        <v>32.119999999999997</v>
      </c>
      <c r="M78">
        <v>15658.33</v>
      </c>
      <c r="N78">
        <v>320.51</v>
      </c>
      <c r="O78">
        <v>1318.09</v>
      </c>
      <c r="P78">
        <v>86902.23</v>
      </c>
      <c r="Q78">
        <v>0.24</v>
      </c>
      <c r="R78">
        <v>9.0299999999999994</v>
      </c>
      <c r="S78">
        <v>371.1</v>
      </c>
      <c r="T78">
        <v>25.1</v>
      </c>
      <c r="U78">
        <v>154.41</v>
      </c>
      <c r="V78">
        <v>15.3</v>
      </c>
      <c r="W78">
        <v>0.106</v>
      </c>
      <c r="X78">
        <v>135.31</v>
      </c>
      <c r="Y78">
        <v>14.25</v>
      </c>
      <c r="Z78">
        <v>33.57</v>
      </c>
      <c r="AA78">
        <v>4.57</v>
      </c>
      <c r="AB78">
        <v>21.58</v>
      </c>
      <c r="AC78">
        <v>5.77</v>
      </c>
      <c r="AD78">
        <v>2.09</v>
      </c>
      <c r="AE78">
        <v>6.29</v>
      </c>
      <c r="AF78">
        <v>0.9</v>
      </c>
      <c r="AG78">
        <v>5.09</v>
      </c>
      <c r="AH78">
        <v>0.99</v>
      </c>
      <c r="AI78">
        <v>2.69</v>
      </c>
      <c r="AJ78">
        <v>0.32</v>
      </c>
      <c r="AK78">
        <v>2.14</v>
      </c>
      <c r="AL78">
        <v>0.30099999999999999</v>
      </c>
      <c r="AM78">
        <v>4.25</v>
      </c>
      <c r="AN78">
        <v>1.04</v>
      </c>
      <c r="AO78">
        <v>2.17</v>
      </c>
      <c r="AP78">
        <v>0.99</v>
      </c>
      <c r="AQ78">
        <v>0.6</v>
      </c>
    </row>
    <row r="79" spans="1:43" x14ac:dyDescent="0.2">
      <c r="A79">
        <v>78</v>
      </c>
      <c r="B79" t="s">
        <v>140</v>
      </c>
      <c r="C79">
        <v>5.32</v>
      </c>
      <c r="D79">
        <v>3.69</v>
      </c>
      <c r="E79">
        <v>18344.55</v>
      </c>
      <c r="F79">
        <v>47033.02</v>
      </c>
      <c r="G79">
        <v>74728.289999999994</v>
      </c>
      <c r="H79">
        <v>234139.11</v>
      </c>
      <c r="I79">
        <v>987.47</v>
      </c>
      <c r="J79">
        <v>4088.98</v>
      </c>
      <c r="K79">
        <v>77901.7</v>
      </c>
      <c r="L79">
        <v>31</v>
      </c>
      <c r="M79">
        <v>15255.21</v>
      </c>
      <c r="N79">
        <v>314.08</v>
      </c>
      <c r="O79">
        <v>1325.92</v>
      </c>
      <c r="P79">
        <v>86456.66</v>
      </c>
      <c r="Q79">
        <v>0.14000000000000001</v>
      </c>
      <c r="R79">
        <v>9.19</v>
      </c>
      <c r="S79">
        <v>374.86</v>
      </c>
      <c r="T79">
        <v>25.76</v>
      </c>
      <c r="U79">
        <v>153.81</v>
      </c>
      <c r="V79">
        <v>15.07</v>
      </c>
      <c r="W79">
        <v>0.14000000000000001</v>
      </c>
      <c r="X79">
        <v>128.81</v>
      </c>
      <c r="Y79">
        <v>13.81</v>
      </c>
      <c r="Z79">
        <v>33.85</v>
      </c>
      <c r="AA79">
        <v>4.71</v>
      </c>
      <c r="AB79">
        <v>21.04</v>
      </c>
      <c r="AC79">
        <v>5.95</v>
      </c>
      <c r="AD79">
        <v>1.91</v>
      </c>
      <c r="AE79">
        <v>6.31</v>
      </c>
      <c r="AF79">
        <v>0.96</v>
      </c>
      <c r="AG79">
        <v>5.54</v>
      </c>
      <c r="AH79">
        <v>0.94</v>
      </c>
      <c r="AI79">
        <v>2.84</v>
      </c>
      <c r="AJ79">
        <v>0.34599999999999997</v>
      </c>
      <c r="AK79">
        <v>2.09</v>
      </c>
      <c r="AL79">
        <v>0.27800000000000002</v>
      </c>
      <c r="AM79">
        <v>3.95</v>
      </c>
      <c r="AN79">
        <v>1</v>
      </c>
      <c r="AO79">
        <v>2.11</v>
      </c>
      <c r="AP79">
        <v>1.03</v>
      </c>
      <c r="AQ79">
        <v>0.56000000000000005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54FB-C447-2047-A164-7E533D60095B}">
  <sheetPr filterMode="1"/>
  <dimension ref="A1:AP36"/>
  <sheetViews>
    <sheetView workbookViewId="0">
      <selection activeCell="B37" sqref="B37"/>
    </sheetView>
  </sheetViews>
  <sheetFormatPr baseColWidth="10" defaultRowHeight="16" x14ac:dyDescent="0.2"/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s="7" customFormat="1" x14ac:dyDescent="0.2">
      <c r="A2" s="8" t="s">
        <v>49</v>
      </c>
      <c r="B2" s="8">
        <v>5.22</v>
      </c>
      <c r="C2" s="8">
        <v>2.48</v>
      </c>
      <c r="D2" s="8">
        <v>17245.47</v>
      </c>
      <c r="E2" s="8">
        <v>44940.31</v>
      </c>
      <c r="F2" s="8">
        <v>69620.05</v>
      </c>
      <c r="G2" s="8">
        <v>233055.86</v>
      </c>
      <c r="H2" s="8">
        <v>919.53</v>
      </c>
      <c r="I2" s="8">
        <v>4019.08</v>
      </c>
      <c r="J2" s="8">
        <v>77901.7</v>
      </c>
      <c r="K2" s="8">
        <v>31.98</v>
      </c>
      <c r="L2" s="8">
        <v>15304.21</v>
      </c>
      <c r="M2" s="8">
        <v>310.73</v>
      </c>
      <c r="N2" s="8">
        <v>1286.29</v>
      </c>
      <c r="O2" s="8">
        <v>82919.679999999993</v>
      </c>
      <c r="P2" s="8">
        <v>0.107</v>
      </c>
      <c r="Q2" s="8">
        <v>8.89</v>
      </c>
      <c r="R2" s="8">
        <v>353.77</v>
      </c>
      <c r="S2" s="8">
        <v>24.97</v>
      </c>
      <c r="T2" s="8">
        <v>147.91</v>
      </c>
      <c r="U2" s="8">
        <v>14.71</v>
      </c>
      <c r="V2" s="8">
        <v>0.11</v>
      </c>
      <c r="W2" s="8">
        <v>123.03</v>
      </c>
      <c r="X2" s="8">
        <v>13.2</v>
      </c>
      <c r="Y2" s="8">
        <v>31.48</v>
      </c>
      <c r="Z2" s="8">
        <v>4.63</v>
      </c>
      <c r="AA2" s="8">
        <v>21.51</v>
      </c>
      <c r="AB2" s="8">
        <v>5.69</v>
      </c>
      <c r="AC2" s="8">
        <v>1.83</v>
      </c>
      <c r="AD2" s="8">
        <v>5.69</v>
      </c>
      <c r="AE2" s="8">
        <v>0.88900000000000001</v>
      </c>
      <c r="AF2" s="8">
        <v>5.19</v>
      </c>
      <c r="AG2" s="8">
        <v>0.96</v>
      </c>
      <c r="AH2" s="8">
        <v>2.4900000000000002</v>
      </c>
      <c r="AI2" s="8">
        <v>0.33</v>
      </c>
      <c r="AJ2" s="8">
        <v>2.08</v>
      </c>
      <c r="AK2" s="8">
        <v>0.28799999999999998</v>
      </c>
      <c r="AL2" s="8">
        <v>3.69</v>
      </c>
      <c r="AM2" s="8">
        <v>0.93600000000000005</v>
      </c>
      <c r="AN2" s="8">
        <v>2.08</v>
      </c>
      <c r="AO2" s="8">
        <v>0.97699999999999998</v>
      </c>
      <c r="AP2" s="8">
        <v>0.55800000000000005</v>
      </c>
    </row>
    <row r="3" spans="1:42" s="8" customFormat="1" hidden="1" x14ac:dyDescent="0.2">
      <c r="A3" s="8" t="s">
        <v>51</v>
      </c>
      <c r="B3" s="8">
        <v>2.02</v>
      </c>
      <c r="C3" s="8">
        <v>1.67</v>
      </c>
      <c r="D3" s="8">
        <v>872.46</v>
      </c>
      <c r="E3" s="8">
        <v>208008.56</v>
      </c>
      <c r="F3" s="8">
        <v>12476.81</v>
      </c>
      <c r="G3" s="8">
        <v>241693.27</v>
      </c>
      <c r="H3" s="8">
        <v>18.41</v>
      </c>
      <c r="I3" s="8" t="s">
        <v>52</v>
      </c>
      <c r="J3" s="8">
        <v>15008.72</v>
      </c>
      <c r="K3" s="8">
        <v>16.53</v>
      </c>
      <c r="L3" s="8">
        <v>367.15</v>
      </c>
      <c r="M3" s="8">
        <v>56</v>
      </c>
      <c r="N3" s="8">
        <v>835.55</v>
      </c>
      <c r="O3" s="8">
        <v>56222.92</v>
      </c>
      <c r="P3" s="8">
        <v>0.104</v>
      </c>
      <c r="Q3" s="8">
        <v>0.26200000000000001</v>
      </c>
      <c r="R3" s="8">
        <v>0.66900000000000004</v>
      </c>
      <c r="S3" s="8">
        <v>2.21</v>
      </c>
      <c r="T3" s="8">
        <v>20.02</v>
      </c>
      <c r="U3" s="8">
        <v>2.1999999999999999E-2</v>
      </c>
      <c r="V3" s="8">
        <v>0.84</v>
      </c>
      <c r="W3" s="8">
        <v>0.46300000000000002</v>
      </c>
      <c r="X3" s="8">
        <v>0.215</v>
      </c>
      <c r="Y3" s="8">
        <v>0.41399999999999998</v>
      </c>
      <c r="Z3" s="8">
        <v>7.8399999999999997E-2</v>
      </c>
      <c r="AA3" s="8">
        <v>0.41199999999999998</v>
      </c>
      <c r="AB3" s="8">
        <v>0.107</v>
      </c>
      <c r="AC3" s="8">
        <v>4.36E-2</v>
      </c>
      <c r="AD3" s="8">
        <v>0.28199999999999997</v>
      </c>
      <c r="AE3" s="8">
        <v>4.3799999999999999E-2</v>
      </c>
      <c r="AF3" s="8">
        <v>0.35899999999999999</v>
      </c>
      <c r="AG3" s="8">
        <v>8.4000000000000005E-2</v>
      </c>
      <c r="AH3" s="8">
        <v>0.216</v>
      </c>
      <c r="AI3" s="8">
        <v>4.2500000000000003E-2</v>
      </c>
      <c r="AJ3" s="8">
        <v>0.30099999999999999</v>
      </c>
      <c r="AK3" s="8">
        <v>5.6099999999999997E-2</v>
      </c>
      <c r="AL3" s="8">
        <v>0.59</v>
      </c>
      <c r="AM3" s="8">
        <v>4.5999999999999999E-3</v>
      </c>
      <c r="AN3" s="8">
        <v>0.47499999999999998</v>
      </c>
      <c r="AO3" s="8">
        <v>5.6000000000000001E-2</v>
      </c>
      <c r="AP3" s="8">
        <v>8.5000000000000006E-2</v>
      </c>
    </row>
    <row r="4" spans="1:42" s="6" customFormat="1" hidden="1" x14ac:dyDescent="0.2">
      <c r="A4" s="8" t="s">
        <v>53</v>
      </c>
      <c r="B4" s="8">
        <v>1.72</v>
      </c>
      <c r="C4" s="8">
        <v>1.76</v>
      </c>
      <c r="D4" s="8">
        <v>868.99</v>
      </c>
      <c r="E4" s="8">
        <v>208148.02</v>
      </c>
      <c r="F4" s="8">
        <v>12030.06</v>
      </c>
      <c r="G4" s="8">
        <v>241599.27</v>
      </c>
      <c r="H4" s="8">
        <v>17.809999999999999</v>
      </c>
      <c r="I4" s="8" t="s">
        <v>54</v>
      </c>
      <c r="J4" s="8">
        <v>15008.72</v>
      </c>
      <c r="K4" s="8">
        <v>16.46</v>
      </c>
      <c r="L4" s="8">
        <v>348.62</v>
      </c>
      <c r="M4" s="8">
        <v>55.91</v>
      </c>
      <c r="N4" s="8">
        <v>843.48</v>
      </c>
      <c r="O4" s="8">
        <v>56710.61</v>
      </c>
      <c r="P4" s="8" t="s">
        <v>55</v>
      </c>
      <c r="Q4" s="8">
        <v>0.30399999999999999</v>
      </c>
      <c r="R4" s="8">
        <v>0.65</v>
      </c>
      <c r="S4" s="8">
        <v>2.3199999999999998</v>
      </c>
      <c r="T4" s="8">
        <v>19.52</v>
      </c>
      <c r="U4" s="8" t="s">
        <v>56</v>
      </c>
      <c r="V4" s="8">
        <v>0.9</v>
      </c>
      <c r="W4" s="8">
        <v>0.44</v>
      </c>
      <c r="X4" s="8">
        <v>0.17699999999999999</v>
      </c>
      <c r="Y4" s="8">
        <v>0.443</v>
      </c>
      <c r="Z4" s="8">
        <v>7.3400000000000007E-2</v>
      </c>
      <c r="AA4" s="8">
        <v>0.38900000000000001</v>
      </c>
      <c r="AB4" s="8">
        <v>0.151</v>
      </c>
      <c r="AC4" s="8">
        <v>5.2600000000000001E-2</v>
      </c>
      <c r="AD4" s="8">
        <v>0.28000000000000003</v>
      </c>
      <c r="AE4" s="8">
        <v>4.53E-2</v>
      </c>
      <c r="AF4" s="8">
        <v>0.38700000000000001</v>
      </c>
      <c r="AG4" s="8">
        <v>9.0999999999999998E-2</v>
      </c>
      <c r="AH4" s="8">
        <v>0.25800000000000001</v>
      </c>
      <c r="AI4" s="8">
        <v>4.65E-2</v>
      </c>
      <c r="AJ4" s="8">
        <v>0.318</v>
      </c>
      <c r="AK4" s="8">
        <v>5.4800000000000001E-2</v>
      </c>
      <c r="AL4" s="8">
        <v>0.54300000000000004</v>
      </c>
      <c r="AM4" s="8" t="s">
        <v>57</v>
      </c>
      <c r="AN4" s="8">
        <v>0.47899999999999998</v>
      </c>
      <c r="AO4" s="8">
        <v>5.45E-2</v>
      </c>
      <c r="AP4" s="8">
        <v>7.1999999999999995E-2</v>
      </c>
    </row>
    <row r="5" spans="1:42" s="8" customFormat="1" hidden="1" x14ac:dyDescent="0.2">
      <c r="A5" s="8" t="s">
        <v>58</v>
      </c>
      <c r="B5" s="8">
        <v>8.8699999999999992</v>
      </c>
      <c r="C5" s="8">
        <v>11.71</v>
      </c>
      <c r="D5" s="8">
        <v>6672.55</v>
      </c>
      <c r="E5" s="8">
        <v>142794.01999999999</v>
      </c>
      <c r="F5" s="8">
        <v>57438.87</v>
      </c>
      <c r="G5" s="8">
        <v>218643.95</v>
      </c>
      <c r="H5" s="8">
        <v>118.34</v>
      </c>
      <c r="I5" s="8">
        <v>189.71</v>
      </c>
      <c r="J5" s="8">
        <v>60392.23</v>
      </c>
      <c r="K5" s="8">
        <v>35.590000000000003</v>
      </c>
      <c r="L5" s="8">
        <v>1785.51</v>
      </c>
      <c r="M5" s="8">
        <v>233.08</v>
      </c>
      <c r="N5" s="8">
        <v>1251.49</v>
      </c>
      <c r="O5" s="8">
        <v>86376.49</v>
      </c>
      <c r="P5" s="8">
        <v>0.14099999999999999</v>
      </c>
      <c r="Q5" s="8">
        <v>2.31</v>
      </c>
      <c r="R5" s="8">
        <v>15.82</v>
      </c>
      <c r="S5" s="8">
        <v>13.19</v>
      </c>
      <c r="T5" s="8">
        <v>9.58</v>
      </c>
      <c r="U5" s="8">
        <v>6.9000000000000006E-2</v>
      </c>
      <c r="V5" s="8">
        <v>8.2100000000000009</v>
      </c>
      <c r="W5" s="8">
        <v>0.86799999999999999</v>
      </c>
      <c r="X5" s="8">
        <v>9.2999999999999999E-2</v>
      </c>
      <c r="Y5" s="8">
        <v>0.34399999999999997</v>
      </c>
      <c r="Z5" s="8">
        <v>8.7999999999999995E-2</v>
      </c>
      <c r="AA5" s="8">
        <v>0.74299999999999999</v>
      </c>
      <c r="AB5" s="8">
        <v>0.48599999999999999</v>
      </c>
      <c r="AC5" s="8">
        <v>0.26200000000000001</v>
      </c>
      <c r="AD5" s="8">
        <v>1.1399999999999999</v>
      </c>
      <c r="AE5" s="8">
        <v>0.215</v>
      </c>
      <c r="AF5" s="8">
        <v>2.08</v>
      </c>
      <c r="AG5" s="8">
        <v>0.48899999999999999</v>
      </c>
      <c r="AH5" s="8">
        <v>1.6</v>
      </c>
      <c r="AI5" s="8">
        <v>0.22900000000000001</v>
      </c>
      <c r="AJ5" s="8">
        <v>1.42</v>
      </c>
      <c r="AK5" s="8">
        <v>0.23200000000000001</v>
      </c>
      <c r="AL5" s="8">
        <v>0.34799999999999998</v>
      </c>
      <c r="AM5" s="8">
        <v>3.6200000000000003E-2</v>
      </c>
      <c r="AN5" s="8">
        <v>22.24</v>
      </c>
      <c r="AO5" s="8">
        <v>7.4999999999999997E-3</v>
      </c>
      <c r="AP5" s="8">
        <v>5.0999999999999997E-2</v>
      </c>
    </row>
    <row r="6" spans="1:42" s="8" customFormat="1" hidden="1" x14ac:dyDescent="0.2">
      <c r="A6" s="8" t="s">
        <v>59</v>
      </c>
      <c r="B6" s="8">
        <v>8.99</v>
      </c>
      <c r="C6" s="8">
        <v>11.28</v>
      </c>
      <c r="D6" s="8">
        <v>6319.15</v>
      </c>
      <c r="E6" s="8">
        <v>138234.5</v>
      </c>
      <c r="F6" s="8">
        <v>56407.360000000001</v>
      </c>
      <c r="G6" s="8">
        <v>212192.69</v>
      </c>
      <c r="H6" s="8">
        <v>111.61</v>
      </c>
      <c r="I6" s="8">
        <v>165.22</v>
      </c>
      <c r="J6" s="8">
        <v>60392.23</v>
      </c>
      <c r="K6" s="8">
        <v>34.880000000000003</v>
      </c>
      <c r="L6" s="8">
        <v>1743.55</v>
      </c>
      <c r="M6" s="8">
        <v>220.64</v>
      </c>
      <c r="N6" s="8">
        <v>1203.94</v>
      </c>
      <c r="O6" s="8">
        <v>83189.789999999994</v>
      </c>
      <c r="P6" s="8">
        <v>0.107</v>
      </c>
      <c r="Q6" s="8">
        <v>2.15</v>
      </c>
      <c r="R6" s="8">
        <v>15.1</v>
      </c>
      <c r="S6" s="8">
        <v>13.12</v>
      </c>
      <c r="T6" s="8">
        <v>9.84</v>
      </c>
      <c r="U6" s="8">
        <v>2.63E-2</v>
      </c>
      <c r="V6" s="8">
        <v>8.0399999999999991</v>
      </c>
      <c r="W6" s="8">
        <v>0.68300000000000005</v>
      </c>
      <c r="X6" s="8">
        <v>0.08</v>
      </c>
      <c r="Y6" s="8">
        <v>0.311</v>
      </c>
      <c r="Z6" s="8">
        <v>8.4699999999999998E-2</v>
      </c>
      <c r="AA6" s="8">
        <v>0.60899999999999999</v>
      </c>
      <c r="AB6" s="8">
        <v>0.51100000000000001</v>
      </c>
      <c r="AC6" s="8">
        <v>0.27800000000000002</v>
      </c>
      <c r="AD6" s="8">
        <v>1.27</v>
      </c>
      <c r="AE6" s="8">
        <v>0.26400000000000001</v>
      </c>
      <c r="AF6" s="8">
        <v>2.0299999999999998</v>
      </c>
      <c r="AG6" s="8">
        <v>0.504</v>
      </c>
      <c r="AH6" s="8">
        <v>1.55</v>
      </c>
      <c r="AI6" s="8">
        <v>0.222</v>
      </c>
      <c r="AJ6" s="8">
        <v>1.54</v>
      </c>
      <c r="AK6" s="8">
        <v>0.22900000000000001</v>
      </c>
      <c r="AL6" s="8">
        <v>0.32300000000000001</v>
      </c>
      <c r="AM6" s="8">
        <v>2.5899999999999999E-2</v>
      </c>
      <c r="AN6" s="8">
        <v>21.39</v>
      </c>
      <c r="AO6" s="8" t="s">
        <v>60</v>
      </c>
      <c r="AP6" s="8">
        <v>6.6000000000000003E-2</v>
      </c>
    </row>
    <row r="7" spans="1:42" s="8" customFormat="1" hidden="1" x14ac:dyDescent="0.2">
      <c r="A7" s="8" t="s">
        <v>66</v>
      </c>
      <c r="B7" s="8">
        <v>7.61</v>
      </c>
      <c r="C7" s="8">
        <v>2.89</v>
      </c>
      <c r="D7" s="8">
        <v>22549.58</v>
      </c>
      <c r="E7" s="8">
        <v>20741.099999999999</v>
      </c>
      <c r="F7" s="8">
        <v>71778.97</v>
      </c>
      <c r="G7" s="8">
        <v>238369.95</v>
      </c>
      <c r="H7" s="8">
        <v>1266</v>
      </c>
      <c r="I7" s="8">
        <v>14150.35</v>
      </c>
      <c r="J7" s="8">
        <v>50900</v>
      </c>
      <c r="K7" s="8">
        <v>34.51</v>
      </c>
      <c r="L7" s="8">
        <v>13547.25</v>
      </c>
      <c r="M7" s="8">
        <v>401.47</v>
      </c>
      <c r="N7" s="8">
        <v>1453.95</v>
      </c>
      <c r="O7" s="8">
        <v>87000.51</v>
      </c>
      <c r="P7" s="8">
        <v>0.48</v>
      </c>
      <c r="Q7" s="8">
        <v>46.32</v>
      </c>
      <c r="R7" s="8">
        <v>336.82</v>
      </c>
      <c r="S7" s="8">
        <v>36.28</v>
      </c>
      <c r="T7" s="8">
        <v>183.53</v>
      </c>
      <c r="U7" s="8">
        <v>12.04</v>
      </c>
      <c r="V7" s="8">
        <v>1.18</v>
      </c>
      <c r="W7" s="8">
        <v>672.95</v>
      </c>
      <c r="X7" s="8">
        <v>23.96</v>
      </c>
      <c r="Y7" s="8">
        <v>51.39</v>
      </c>
      <c r="Z7" s="8">
        <v>6.45</v>
      </c>
      <c r="AA7" s="8">
        <v>28.41</v>
      </c>
      <c r="AB7" s="8">
        <v>6.08</v>
      </c>
      <c r="AC7" s="8">
        <v>1.91</v>
      </c>
      <c r="AD7" s="8">
        <v>6.75</v>
      </c>
      <c r="AE7" s="8">
        <v>1.008</v>
      </c>
      <c r="AF7" s="8">
        <v>6.58</v>
      </c>
      <c r="AG7" s="8">
        <v>1.36</v>
      </c>
      <c r="AH7" s="8">
        <v>3.72</v>
      </c>
      <c r="AI7" s="8">
        <v>0.53500000000000003</v>
      </c>
      <c r="AJ7" s="8">
        <v>3.53</v>
      </c>
      <c r="AK7" s="8">
        <v>0.498</v>
      </c>
      <c r="AL7" s="8">
        <v>5</v>
      </c>
      <c r="AM7" s="8">
        <v>0.78800000000000003</v>
      </c>
      <c r="AN7" s="8">
        <v>10.52</v>
      </c>
      <c r="AO7" s="8">
        <v>6.08</v>
      </c>
      <c r="AP7" s="8">
        <v>1.6</v>
      </c>
    </row>
    <row r="8" spans="1:42" s="8" customFormat="1" hidden="1" x14ac:dyDescent="0.2">
      <c r="A8" s="8" t="s">
        <v>67</v>
      </c>
      <c r="B8" s="8">
        <v>7.41</v>
      </c>
      <c r="C8" s="8">
        <v>3.94</v>
      </c>
      <c r="D8" s="8">
        <v>22769.95</v>
      </c>
      <c r="E8" s="8">
        <v>20394.13</v>
      </c>
      <c r="F8" s="8">
        <v>70870.83</v>
      </c>
      <c r="G8" s="8">
        <v>243901.92</v>
      </c>
      <c r="H8" s="8">
        <v>1367.88</v>
      </c>
      <c r="I8" s="8">
        <v>14391.35</v>
      </c>
      <c r="J8" s="8">
        <v>50900</v>
      </c>
      <c r="K8" s="8">
        <v>35.090000000000003</v>
      </c>
      <c r="L8" s="8">
        <v>13583.31</v>
      </c>
      <c r="M8" s="8">
        <v>404.07</v>
      </c>
      <c r="N8" s="8">
        <v>1430.87</v>
      </c>
      <c r="O8" s="8">
        <v>87447.33</v>
      </c>
      <c r="P8" s="8">
        <v>0.53</v>
      </c>
      <c r="Q8" s="8">
        <v>46.08</v>
      </c>
      <c r="R8" s="8">
        <v>334.46</v>
      </c>
      <c r="S8" s="8">
        <v>35.840000000000003</v>
      </c>
      <c r="T8" s="8">
        <v>182.19</v>
      </c>
      <c r="U8" s="8">
        <v>12.5</v>
      </c>
      <c r="V8" s="8">
        <v>1.0900000000000001</v>
      </c>
      <c r="W8" s="8">
        <v>660.47</v>
      </c>
      <c r="X8" s="8">
        <v>23.92</v>
      </c>
      <c r="Y8" s="8">
        <v>50.78</v>
      </c>
      <c r="Z8" s="8">
        <v>6.46</v>
      </c>
      <c r="AA8" s="8">
        <v>28.55</v>
      </c>
      <c r="AB8" s="8">
        <v>6.25</v>
      </c>
      <c r="AC8" s="8">
        <v>1.94</v>
      </c>
      <c r="AD8" s="8">
        <v>6.73</v>
      </c>
      <c r="AE8" s="8">
        <v>1.0349999999999999</v>
      </c>
      <c r="AF8" s="8">
        <v>6.31</v>
      </c>
      <c r="AG8" s="8">
        <v>1.28</v>
      </c>
      <c r="AH8" s="8">
        <v>3.68</v>
      </c>
      <c r="AI8" s="8">
        <v>0.54</v>
      </c>
      <c r="AJ8" s="8">
        <v>3.52</v>
      </c>
      <c r="AK8" s="8">
        <v>0.53900000000000003</v>
      </c>
      <c r="AL8" s="8">
        <v>4.9000000000000004</v>
      </c>
      <c r="AM8" s="8">
        <v>0.83499999999999996</v>
      </c>
      <c r="AN8" s="8">
        <v>11.08</v>
      </c>
      <c r="AO8" s="8">
        <v>6.19</v>
      </c>
      <c r="AP8" s="8">
        <v>1.72</v>
      </c>
    </row>
    <row r="9" spans="1:42" s="4" customFormat="1" x14ac:dyDescent="0.2">
      <c r="A9" s="8" t="s">
        <v>77</v>
      </c>
      <c r="B9" s="8">
        <v>5.07</v>
      </c>
      <c r="C9" s="8">
        <v>2.67</v>
      </c>
      <c r="D9" s="8">
        <v>18232.34</v>
      </c>
      <c r="E9" s="8">
        <v>45009.120000000003</v>
      </c>
      <c r="F9" s="8">
        <v>73842.78</v>
      </c>
      <c r="G9" s="8">
        <v>243282.55</v>
      </c>
      <c r="H9" s="8">
        <v>1137.23</v>
      </c>
      <c r="I9" s="8">
        <v>3938.91</v>
      </c>
      <c r="J9" s="8">
        <v>77901.7</v>
      </c>
      <c r="K9" s="8">
        <v>31.33</v>
      </c>
      <c r="L9" s="8">
        <v>15301.9</v>
      </c>
      <c r="M9" s="8">
        <v>304.17</v>
      </c>
      <c r="N9" s="8">
        <v>1274.33</v>
      </c>
      <c r="O9" s="8">
        <v>88705.16</v>
      </c>
      <c r="P9" s="8">
        <v>0.19</v>
      </c>
      <c r="Q9" s="8">
        <v>8.58</v>
      </c>
      <c r="R9" s="8">
        <v>359</v>
      </c>
      <c r="S9" s="8">
        <v>26.11</v>
      </c>
      <c r="T9" s="8">
        <v>154.58000000000001</v>
      </c>
      <c r="U9" s="8">
        <v>14.98</v>
      </c>
      <c r="V9" s="8">
        <v>0.115</v>
      </c>
      <c r="W9" s="8">
        <v>131.63999999999999</v>
      </c>
      <c r="X9" s="8">
        <v>14.4</v>
      </c>
      <c r="Y9" s="8">
        <v>33.36</v>
      </c>
      <c r="Z9" s="8">
        <v>4.6399999999999997</v>
      </c>
      <c r="AA9" s="8">
        <v>21.81</v>
      </c>
      <c r="AB9" s="8">
        <v>5.53</v>
      </c>
      <c r="AC9" s="8">
        <v>1.91</v>
      </c>
      <c r="AD9" s="8">
        <v>6.13</v>
      </c>
      <c r="AE9" s="8">
        <v>0.93899999999999995</v>
      </c>
      <c r="AF9" s="8">
        <v>5.54</v>
      </c>
      <c r="AG9" s="8">
        <v>1.03</v>
      </c>
      <c r="AH9" s="8">
        <v>2.73</v>
      </c>
      <c r="AI9" s="8">
        <v>0.36099999999999999</v>
      </c>
      <c r="AJ9" s="8">
        <v>2.14</v>
      </c>
      <c r="AK9" s="8">
        <v>0.30499999999999999</v>
      </c>
      <c r="AL9" s="8">
        <v>4.51</v>
      </c>
      <c r="AM9" s="8">
        <v>1.05</v>
      </c>
      <c r="AN9" s="8">
        <v>2.17</v>
      </c>
      <c r="AO9" s="8">
        <v>1.0900000000000001</v>
      </c>
      <c r="AP9" s="8">
        <v>0.51300000000000001</v>
      </c>
    </row>
    <row r="10" spans="1:42" s="4" customFormat="1" x14ac:dyDescent="0.2">
      <c r="A10" s="8" t="s">
        <v>78</v>
      </c>
      <c r="B10" s="8">
        <v>4.99</v>
      </c>
      <c r="C10" s="8">
        <v>2.17</v>
      </c>
      <c r="D10" s="8">
        <v>16495.439999999999</v>
      </c>
      <c r="E10" s="8">
        <v>43181.3</v>
      </c>
      <c r="F10" s="8">
        <v>70714.100000000006</v>
      </c>
      <c r="G10" s="8">
        <v>235469.27</v>
      </c>
      <c r="H10" s="8">
        <v>1106.6199999999999</v>
      </c>
      <c r="I10" s="8">
        <v>3869.52</v>
      </c>
      <c r="J10" s="8">
        <v>77901.69</v>
      </c>
      <c r="K10" s="8">
        <v>31.8</v>
      </c>
      <c r="L10" s="8">
        <v>14851.05</v>
      </c>
      <c r="M10" s="8">
        <v>294.01</v>
      </c>
      <c r="N10" s="8">
        <v>1192.07</v>
      </c>
      <c r="O10" s="8">
        <v>76965.73</v>
      </c>
      <c r="P10" s="8">
        <v>0.19700000000000001</v>
      </c>
      <c r="Q10" s="8">
        <v>8.36</v>
      </c>
      <c r="R10" s="8">
        <v>358.73</v>
      </c>
      <c r="S10" s="8">
        <v>26.21</v>
      </c>
      <c r="T10" s="8">
        <v>153.34</v>
      </c>
      <c r="U10" s="8">
        <v>14.44</v>
      </c>
      <c r="V10" s="8">
        <v>0.105</v>
      </c>
      <c r="W10" s="8">
        <v>118.46</v>
      </c>
      <c r="X10" s="8">
        <v>12.9</v>
      </c>
      <c r="Y10" s="8">
        <v>32.85</v>
      </c>
      <c r="Z10" s="8">
        <v>4.7300000000000004</v>
      </c>
      <c r="AA10" s="8">
        <v>21.53</v>
      </c>
      <c r="AB10" s="8">
        <v>5.46</v>
      </c>
      <c r="AC10" s="8">
        <v>2</v>
      </c>
      <c r="AD10" s="8">
        <v>5.65</v>
      </c>
      <c r="AE10" s="8">
        <v>0.877</v>
      </c>
      <c r="AF10" s="8">
        <v>5.41</v>
      </c>
      <c r="AG10" s="8">
        <v>0.99</v>
      </c>
      <c r="AH10" s="8">
        <v>2.5499999999999998</v>
      </c>
      <c r="AI10" s="8">
        <v>0.36499999999999999</v>
      </c>
      <c r="AJ10" s="8">
        <v>2.1</v>
      </c>
      <c r="AK10" s="8">
        <v>0.26400000000000001</v>
      </c>
      <c r="AL10" s="8">
        <v>3.89</v>
      </c>
      <c r="AM10" s="8">
        <v>0.94</v>
      </c>
      <c r="AN10" s="8">
        <v>1.97</v>
      </c>
      <c r="AO10" s="8">
        <v>1.03</v>
      </c>
      <c r="AP10" s="8">
        <v>0.51500000000000001</v>
      </c>
    </row>
    <row r="11" spans="1:42" s="8" customFormat="1" x14ac:dyDescent="0.2">
      <c r="A11" s="8" t="s">
        <v>94</v>
      </c>
      <c r="B11" s="8">
        <v>4.4800000000000004</v>
      </c>
      <c r="C11" s="8">
        <v>2.2400000000000002</v>
      </c>
      <c r="D11" s="8">
        <v>16538.59</v>
      </c>
      <c r="E11" s="8">
        <v>41223.550000000003</v>
      </c>
      <c r="F11" s="8">
        <v>67925.31</v>
      </c>
      <c r="G11" s="8">
        <v>230785.91</v>
      </c>
      <c r="H11" s="8">
        <v>963.73</v>
      </c>
      <c r="I11" s="8">
        <v>4043.26</v>
      </c>
      <c r="J11" s="8">
        <v>77901.69</v>
      </c>
      <c r="K11" s="8">
        <v>31.62</v>
      </c>
      <c r="L11" s="8">
        <v>14438.25</v>
      </c>
      <c r="M11" s="8">
        <v>281.27</v>
      </c>
      <c r="N11" s="8">
        <v>1156.76</v>
      </c>
      <c r="O11" s="8">
        <v>75409.52</v>
      </c>
      <c r="P11" s="8">
        <v>0.124</v>
      </c>
      <c r="Q11" s="8">
        <v>8.5</v>
      </c>
      <c r="R11" s="8">
        <v>341</v>
      </c>
      <c r="S11" s="8">
        <v>26.36</v>
      </c>
      <c r="T11" s="8">
        <v>155.91999999999999</v>
      </c>
      <c r="U11" s="8">
        <v>13.88</v>
      </c>
      <c r="V11" s="8">
        <v>0.127</v>
      </c>
      <c r="W11" s="8">
        <v>107.87</v>
      </c>
      <c r="X11" s="8">
        <v>11.96</v>
      </c>
      <c r="Y11" s="8">
        <v>29.97</v>
      </c>
      <c r="Z11" s="8">
        <v>4.4000000000000004</v>
      </c>
      <c r="AA11" s="8">
        <v>21</v>
      </c>
      <c r="AB11" s="8">
        <v>5.39</v>
      </c>
      <c r="AC11" s="8">
        <v>1.72</v>
      </c>
      <c r="AD11" s="8">
        <v>5.81</v>
      </c>
      <c r="AE11" s="8">
        <v>0.84199999999999997</v>
      </c>
      <c r="AF11" s="8">
        <v>5.2</v>
      </c>
      <c r="AG11" s="8">
        <v>0.9</v>
      </c>
      <c r="AH11" s="8">
        <v>2.23</v>
      </c>
      <c r="AI11" s="8">
        <v>0.315</v>
      </c>
      <c r="AJ11" s="8">
        <v>2.23</v>
      </c>
      <c r="AK11" s="8">
        <v>0.29199999999999998</v>
      </c>
      <c r="AL11" s="8">
        <v>3.91</v>
      </c>
      <c r="AM11" s="8">
        <v>0.89</v>
      </c>
      <c r="AN11" s="8">
        <v>1.88</v>
      </c>
      <c r="AO11" s="8">
        <v>1.02</v>
      </c>
      <c r="AP11" s="8">
        <v>0.438</v>
      </c>
    </row>
    <row r="12" spans="1:42" s="8" customFormat="1" hidden="1" x14ac:dyDescent="0.2">
      <c r="A12" s="8" t="s">
        <v>95</v>
      </c>
      <c r="B12" s="8">
        <v>8.93</v>
      </c>
      <c r="C12" s="8">
        <v>15</v>
      </c>
      <c r="D12" s="8">
        <v>6291.95</v>
      </c>
      <c r="E12" s="8">
        <v>139167.44</v>
      </c>
      <c r="F12" s="8">
        <v>56518.28</v>
      </c>
      <c r="G12" s="8">
        <v>210152.63</v>
      </c>
      <c r="H12" s="8">
        <v>125.28</v>
      </c>
      <c r="I12" s="8">
        <v>175.82</v>
      </c>
      <c r="J12" s="8">
        <v>60392.23</v>
      </c>
      <c r="K12" s="8">
        <v>33.479999999999997</v>
      </c>
      <c r="L12" s="8">
        <v>1809.47</v>
      </c>
      <c r="M12" s="8">
        <v>228.15</v>
      </c>
      <c r="N12" s="8">
        <v>1230.28</v>
      </c>
      <c r="O12" s="8">
        <v>81603.91</v>
      </c>
      <c r="P12" s="8">
        <v>0.14499999999999999</v>
      </c>
      <c r="Q12" s="8">
        <v>2.04</v>
      </c>
      <c r="R12" s="8">
        <v>15.38</v>
      </c>
      <c r="S12" s="8">
        <v>12.05</v>
      </c>
      <c r="T12" s="8">
        <v>9.11</v>
      </c>
      <c r="U12" s="8">
        <v>4.3999999999999997E-2</v>
      </c>
      <c r="V12" s="8">
        <v>7.8</v>
      </c>
      <c r="W12" s="8">
        <v>0.81100000000000005</v>
      </c>
      <c r="X12" s="8">
        <v>7.9000000000000001E-2</v>
      </c>
      <c r="Y12" s="8">
        <v>0.35399999999999998</v>
      </c>
      <c r="Z12" s="8">
        <v>8.48E-2</v>
      </c>
      <c r="AA12" s="8">
        <v>0.56299999999999994</v>
      </c>
      <c r="AB12" s="8">
        <v>0.48099999999999998</v>
      </c>
      <c r="AC12" s="8">
        <v>0.254</v>
      </c>
      <c r="AD12" s="8">
        <v>1.1100000000000001</v>
      </c>
      <c r="AE12" s="8">
        <v>0.23100000000000001</v>
      </c>
      <c r="AF12" s="8">
        <v>2.13</v>
      </c>
      <c r="AG12" s="8">
        <v>0.44600000000000001</v>
      </c>
      <c r="AH12" s="8">
        <v>1.42</v>
      </c>
      <c r="AI12" s="8">
        <v>0.22600000000000001</v>
      </c>
      <c r="AJ12" s="8">
        <v>1.42</v>
      </c>
      <c r="AK12" s="8">
        <v>0.20399999999999999</v>
      </c>
      <c r="AL12" s="8">
        <v>0.36199999999999999</v>
      </c>
      <c r="AM12" s="8">
        <v>2.0199999999999999E-2</v>
      </c>
      <c r="AN12" s="8">
        <v>21.97</v>
      </c>
      <c r="AO12" s="8" t="s">
        <v>96</v>
      </c>
      <c r="AP12" s="8">
        <v>5.0999999999999997E-2</v>
      </c>
    </row>
    <row r="13" spans="1:42" s="5" customFormat="1" x14ac:dyDescent="0.2">
      <c r="A13" s="8" t="s">
        <v>97</v>
      </c>
      <c r="B13" s="8">
        <v>5.07</v>
      </c>
      <c r="C13" s="8">
        <v>2.2799999999999998</v>
      </c>
      <c r="D13" s="8">
        <v>17274.14</v>
      </c>
      <c r="E13" s="8">
        <v>43054.39</v>
      </c>
      <c r="F13" s="8">
        <v>68768.38</v>
      </c>
      <c r="G13" s="8">
        <v>238980.2</v>
      </c>
      <c r="H13" s="8">
        <v>1008.25</v>
      </c>
      <c r="I13" s="8">
        <v>4070.78</v>
      </c>
      <c r="J13" s="8">
        <v>77901.679999999993</v>
      </c>
      <c r="K13" s="8">
        <v>32.54</v>
      </c>
      <c r="L13" s="8">
        <v>15758.94</v>
      </c>
      <c r="M13" s="8">
        <v>313.24</v>
      </c>
      <c r="N13" s="8">
        <v>1277.02</v>
      </c>
      <c r="O13" s="8">
        <v>82468.350000000006</v>
      </c>
      <c r="P13" s="8">
        <v>0.22</v>
      </c>
      <c r="Q13" s="8">
        <v>8.7899999999999991</v>
      </c>
      <c r="R13" s="8">
        <v>347.28</v>
      </c>
      <c r="S13" s="8">
        <v>25.28</v>
      </c>
      <c r="T13" s="8">
        <v>146.94</v>
      </c>
      <c r="U13" s="8">
        <v>15.23</v>
      </c>
      <c r="V13" s="8">
        <v>0.13200000000000001</v>
      </c>
      <c r="W13" s="8">
        <v>122.1</v>
      </c>
      <c r="X13" s="8">
        <v>13.01</v>
      </c>
      <c r="Y13" s="8">
        <v>31.82</v>
      </c>
      <c r="Z13" s="8">
        <v>4.59</v>
      </c>
      <c r="AA13" s="8">
        <v>21.38</v>
      </c>
      <c r="AB13" s="8">
        <v>5.44</v>
      </c>
      <c r="AC13" s="8">
        <v>1.95</v>
      </c>
      <c r="AD13" s="8">
        <v>6.02</v>
      </c>
      <c r="AE13" s="8">
        <v>0.87</v>
      </c>
      <c r="AF13" s="8">
        <v>5.0599999999999996</v>
      </c>
      <c r="AG13" s="8">
        <v>1</v>
      </c>
      <c r="AH13" s="8">
        <v>2.5299999999999998</v>
      </c>
      <c r="AI13" s="8">
        <v>0.32</v>
      </c>
      <c r="AJ13" s="8">
        <v>1.97</v>
      </c>
      <c r="AK13" s="8">
        <v>0.28499999999999998</v>
      </c>
      <c r="AL13" s="8">
        <v>4.1399999999999997</v>
      </c>
      <c r="AM13" s="8">
        <v>0.92</v>
      </c>
      <c r="AN13" s="8">
        <v>2.13</v>
      </c>
      <c r="AO13" s="8">
        <v>1.01</v>
      </c>
      <c r="AP13" s="8">
        <v>0.47399999999999998</v>
      </c>
    </row>
    <row r="14" spans="1:42" s="8" customFormat="1" x14ac:dyDescent="0.2">
      <c r="A14" s="8" t="s">
        <v>98</v>
      </c>
      <c r="B14" s="8">
        <v>4.99</v>
      </c>
      <c r="C14" s="8">
        <v>2.4700000000000002</v>
      </c>
      <c r="D14" s="8">
        <v>17742.599999999999</v>
      </c>
      <c r="E14" s="8">
        <v>43981.13</v>
      </c>
      <c r="F14" s="8">
        <v>69712.149999999994</v>
      </c>
      <c r="G14" s="8">
        <v>240256.08</v>
      </c>
      <c r="H14" s="8">
        <v>1042.94</v>
      </c>
      <c r="I14" s="8">
        <v>3973.53</v>
      </c>
      <c r="J14" s="8">
        <v>77901.69</v>
      </c>
      <c r="K14" s="8">
        <v>31.49</v>
      </c>
      <c r="L14" s="8">
        <v>15681.25</v>
      </c>
      <c r="M14" s="8">
        <v>310.45999999999998</v>
      </c>
      <c r="N14" s="8">
        <v>1267.8599999999999</v>
      </c>
      <c r="O14" s="8">
        <v>84367.95</v>
      </c>
      <c r="P14" s="8">
        <v>0.155</v>
      </c>
      <c r="Q14" s="8">
        <v>8.93</v>
      </c>
      <c r="R14" s="8">
        <v>352.89</v>
      </c>
      <c r="S14" s="8">
        <v>24.92</v>
      </c>
      <c r="T14" s="8">
        <v>148.61000000000001</v>
      </c>
      <c r="U14" s="8">
        <v>14.96</v>
      </c>
      <c r="V14" s="8">
        <v>0.126</v>
      </c>
      <c r="W14" s="8">
        <v>119.61</v>
      </c>
      <c r="X14" s="8">
        <v>12.62</v>
      </c>
      <c r="Y14" s="8">
        <v>32.14</v>
      </c>
      <c r="Z14" s="8">
        <v>4.4400000000000004</v>
      </c>
      <c r="AA14" s="8">
        <v>20.11</v>
      </c>
      <c r="AB14" s="8">
        <v>5.31</v>
      </c>
      <c r="AC14" s="8">
        <v>1.91</v>
      </c>
      <c r="AD14" s="8">
        <v>5.7</v>
      </c>
      <c r="AE14" s="8">
        <v>0.86399999999999999</v>
      </c>
      <c r="AF14" s="8">
        <v>5.03</v>
      </c>
      <c r="AG14" s="8">
        <v>0.9</v>
      </c>
      <c r="AH14" s="8">
        <v>2.5499999999999998</v>
      </c>
      <c r="AI14" s="8">
        <v>0.34</v>
      </c>
      <c r="AJ14" s="8">
        <v>2.06</v>
      </c>
      <c r="AK14" s="8">
        <v>0.32300000000000001</v>
      </c>
      <c r="AL14" s="8">
        <v>3.97</v>
      </c>
      <c r="AM14" s="8">
        <v>0.9</v>
      </c>
      <c r="AN14" s="8">
        <v>2.06</v>
      </c>
      <c r="AO14" s="8">
        <v>1.03</v>
      </c>
      <c r="AP14" s="8">
        <v>0.502</v>
      </c>
    </row>
    <row r="15" spans="1:42" s="8" customFormat="1" x14ac:dyDescent="0.2">
      <c r="A15" s="8" t="s">
        <v>119</v>
      </c>
      <c r="B15" s="8">
        <v>5.36</v>
      </c>
      <c r="C15" s="8">
        <v>2.69</v>
      </c>
      <c r="D15" s="8">
        <v>18456.32</v>
      </c>
      <c r="E15" s="8">
        <v>47137.7</v>
      </c>
      <c r="F15" s="8">
        <v>72412.02</v>
      </c>
      <c r="G15" s="8">
        <v>243090.78</v>
      </c>
      <c r="H15" s="8">
        <v>1039.77</v>
      </c>
      <c r="I15" s="8">
        <v>4065</v>
      </c>
      <c r="J15" s="8">
        <v>77901.69</v>
      </c>
      <c r="K15" s="8">
        <v>32.49</v>
      </c>
      <c r="L15" s="8">
        <v>15717.06</v>
      </c>
      <c r="M15" s="8">
        <v>323.55</v>
      </c>
      <c r="N15" s="8">
        <v>1378.75</v>
      </c>
      <c r="O15" s="8">
        <v>85458.8</v>
      </c>
      <c r="P15" s="8">
        <v>0.108</v>
      </c>
      <c r="Q15" s="8">
        <v>9.07</v>
      </c>
      <c r="R15" s="8">
        <v>354.72</v>
      </c>
      <c r="S15" s="8">
        <v>25.77</v>
      </c>
      <c r="T15" s="8">
        <v>152.74</v>
      </c>
      <c r="U15" s="8">
        <v>15.93</v>
      </c>
      <c r="V15" s="8">
        <v>0.11799999999999999</v>
      </c>
      <c r="W15" s="8">
        <v>127.28</v>
      </c>
      <c r="X15" s="8">
        <v>13.73</v>
      </c>
      <c r="Y15" s="8">
        <v>33.71</v>
      </c>
      <c r="Z15" s="8">
        <v>4.59</v>
      </c>
      <c r="AA15" s="8">
        <v>22.88</v>
      </c>
      <c r="AB15" s="8">
        <v>5.57</v>
      </c>
      <c r="AC15" s="8">
        <v>1.98</v>
      </c>
      <c r="AD15" s="8">
        <v>5.73</v>
      </c>
      <c r="AE15" s="8">
        <v>0.93</v>
      </c>
      <c r="AF15" s="8">
        <v>5.27</v>
      </c>
      <c r="AG15" s="8">
        <v>1.06</v>
      </c>
      <c r="AH15" s="8">
        <v>2.65</v>
      </c>
      <c r="AI15" s="8">
        <v>0.38800000000000001</v>
      </c>
      <c r="AJ15" s="8">
        <v>2.15</v>
      </c>
      <c r="AK15" s="8">
        <v>0.28299999999999997</v>
      </c>
      <c r="AL15" s="8">
        <v>3.91</v>
      </c>
      <c r="AM15" s="8">
        <v>1.01</v>
      </c>
      <c r="AN15" s="8">
        <v>1.94</v>
      </c>
      <c r="AO15" s="8">
        <v>0.97</v>
      </c>
      <c r="AP15" s="8">
        <v>0.56999999999999995</v>
      </c>
    </row>
    <row r="16" spans="1:42" s="6" customFormat="1" x14ac:dyDescent="0.2">
      <c r="A16" s="8" t="s">
        <v>120</v>
      </c>
      <c r="B16" s="8">
        <v>4.9800000000000004</v>
      </c>
      <c r="C16" s="8">
        <v>2.34</v>
      </c>
      <c r="D16" s="8">
        <v>16459.330000000002</v>
      </c>
      <c r="E16" s="8">
        <v>41467.129999999997</v>
      </c>
      <c r="F16" s="8">
        <v>66350.84</v>
      </c>
      <c r="G16" s="8">
        <v>221212.44</v>
      </c>
      <c r="H16" s="8">
        <v>1014.12</v>
      </c>
      <c r="I16" s="8">
        <v>3966.92</v>
      </c>
      <c r="J16" s="8">
        <v>77901.69</v>
      </c>
      <c r="K16" s="8">
        <v>32.270000000000003</v>
      </c>
      <c r="L16" s="8">
        <v>15465.77</v>
      </c>
      <c r="M16" s="8">
        <v>305.41000000000003</v>
      </c>
      <c r="N16" s="8">
        <v>1261.6500000000001</v>
      </c>
      <c r="O16" s="8">
        <v>78220.009999999995</v>
      </c>
      <c r="P16" s="8">
        <v>0.17</v>
      </c>
      <c r="Q16" s="8">
        <v>8.06</v>
      </c>
      <c r="R16" s="8">
        <v>336.72</v>
      </c>
      <c r="S16" s="8">
        <v>25.2</v>
      </c>
      <c r="T16" s="8">
        <v>151.9</v>
      </c>
      <c r="U16" s="8">
        <v>14.9</v>
      </c>
      <c r="V16" s="8">
        <v>0.126</v>
      </c>
      <c r="W16" s="8">
        <v>116.28</v>
      </c>
      <c r="X16" s="8">
        <v>12.11</v>
      </c>
      <c r="Y16" s="8">
        <v>30.23</v>
      </c>
      <c r="Z16" s="8">
        <v>4.5</v>
      </c>
      <c r="AA16" s="8">
        <v>21.77</v>
      </c>
      <c r="AB16" s="8">
        <v>5.66</v>
      </c>
      <c r="AC16" s="8">
        <v>1.79</v>
      </c>
      <c r="AD16" s="8">
        <v>5.68</v>
      </c>
      <c r="AE16" s="8">
        <v>0.85</v>
      </c>
      <c r="AF16" s="8">
        <v>5.3</v>
      </c>
      <c r="AG16" s="8">
        <v>0.95</v>
      </c>
      <c r="AH16" s="8">
        <v>2.35</v>
      </c>
      <c r="AI16" s="8">
        <v>0.29499999999999998</v>
      </c>
      <c r="AJ16" s="8">
        <v>2.1</v>
      </c>
      <c r="AK16" s="8">
        <v>0.30399999999999999</v>
      </c>
      <c r="AL16" s="8">
        <v>3.84</v>
      </c>
      <c r="AM16" s="8">
        <v>0.95</v>
      </c>
      <c r="AN16" s="8">
        <v>2.0099999999999998</v>
      </c>
      <c r="AO16" s="8">
        <v>1.03</v>
      </c>
      <c r="AP16" s="8">
        <v>0.57999999999999996</v>
      </c>
    </row>
    <row r="17" spans="1:42" s="5" customFormat="1" x14ac:dyDescent="0.2">
      <c r="A17" s="8" t="s">
        <v>121</v>
      </c>
      <c r="B17" s="8">
        <v>4.54</v>
      </c>
      <c r="C17" s="8">
        <v>2.38</v>
      </c>
      <c r="D17" s="8">
        <v>16297.88</v>
      </c>
      <c r="E17" s="8">
        <v>42843.3</v>
      </c>
      <c r="F17" s="8">
        <v>70661.759999999995</v>
      </c>
      <c r="G17" s="8">
        <v>244224.97</v>
      </c>
      <c r="H17" s="8">
        <v>1003.72</v>
      </c>
      <c r="I17" s="8">
        <v>4069.83</v>
      </c>
      <c r="J17" s="8">
        <v>77901.69</v>
      </c>
      <c r="K17" s="8">
        <v>30.45</v>
      </c>
      <c r="L17" s="8">
        <v>14316.11</v>
      </c>
      <c r="M17" s="8">
        <v>280.62</v>
      </c>
      <c r="N17" s="8">
        <v>1159.78</v>
      </c>
      <c r="O17" s="8">
        <v>79249.73</v>
      </c>
      <c r="P17" s="8">
        <v>0.16</v>
      </c>
      <c r="Q17" s="8">
        <v>8.4600000000000009</v>
      </c>
      <c r="R17" s="8">
        <v>357.21</v>
      </c>
      <c r="S17" s="8">
        <v>25.5</v>
      </c>
      <c r="T17" s="8">
        <v>155.97</v>
      </c>
      <c r="U17" s="8">
        <v>14.37</v>
      </c>
      <c r="V17" s="8">
        <v>0.10299999999999999</v>
      </c>
      <c r="W17" s="8">
        <v>115.17</v>
      </c>
      <c r="X17" s="8">
        <v>12.3</v>
      </c>
      <c r="Y17" s="8">
        <v>32.25</v>
      </c>
      <c r="Z17" s="8">
        <v>4.75</v>
      </c>
      <c r="AA17" s="8">
        <v>22.75</v>
      </c>
      <c r="AB17" s="8">
        <v>5.37</v>
      </c>
      <c r="AC17" s="8">
        <v>1.79</v>
      </c>
      <c r="AD17" s="8">
        <v>5.45</v>
      </c>
      <c r="AE17" s="8">
        <v>0.9</v>
      </c>
      <c r="AF17" s="8">
        <v>5.1100000000000003</v>
      </c>
      <c r="AG17" s="8">
        <v>0.91</v>
      </c>
      <c r="AH17" s="8">
        <v>2.2999999999999998</v>
      </c>
      <c r="AI17" s="8">
        <v>0.32300000000000001</v>
      </c>
      <c r="AJ17" s="8">
        <v>2.2000000000000002</v>
      </c>
      <c r="AK17" s="8">
        <v>0.28299999999999997</v>
      </c>
      <c r="AL17" s="8">
        <v>3.68</v>
      </c>
      <c r="AM17" s="8">
        <v>0.92</v>
      </c>
      <c r="AN17" s="8">
        <v>2.13</v>
      </c>
      <c r="AO17" s="8">
        <v>1.06</v>
      </c>
      <c r="AP17" s="8">
        <v>0.53</v>
      </c>
    </row>
    <row r="18" spans="1:42" s="5" customFormat="1" hidden="1" x14ac:dyDescent="0.2">
      <c r="A18" s="8" t="s">
        <v>123</v>
      </c>
      <c r="B18" s="8">
        <v>9.08</v>
      </c>
      <c r="C18" s="8">
        <v>19.34</v>
      </c>
      <c r="D18" s="8">
        <v>6606.55</v>
      </c>
      <c r="E18" s="8">
        <v>145912.07999999999</v>
      </c>
      <c r="F18" s="8">
        <v>58787.34</v>
      </c>
      <c r="G18" s="8">
        <v>204403.08</v>
      </c>
      <c r="H18" s="8">
        <v>109.8</v>
      </c>
      <c r="I18" s="8">
        <v>165.11</v>
      </c>
      <c r="J18" s="8">
        <v>60392.23</v>
      </c>
      <c r="K18" s="8">
        <v>36.729999999999997</v>
      </c>
      <c r="L18" s="8">
        <v>1783.36</v>
      </c>
      <c r="M18" s="8">
        <v>224.85</v>
      </c>
      <c r="N18" s="8">
        <v>1262.49</v>
      </c>
      <c r="O18" s="8">
        <v>83573.19</v>
      </c>
      <c r="P18" s="8">
        <v>0.19</v>
      </c>
      <c r="Q18" s="8">
        <v>2.1800000000000002</v>
      </c>
      <c r="R18" s="8">
        <v>15.13</v>
      </c>
      <c r="S18" s="8">
        <v>13.46</v>
      </c>
      <c r="T18" s="8">
        <v>9.98</v>
      </c>
      <c r="U18" s="8">
        <v>4.4999999999999998E-2</v>
      </c>
      <c r="V18" s="8">
        <v>7.73</v>
      </c>
      <c r="W18" s="8">
        <v>0.72</v>
      </c>
      <c r="X18" s="8">
        <v>0.10299999999999999</v>
      </c>
      <c r="Y18" s="8">
        <v>0.34599999999999997</v>
      </c>
      <c r="Z18" s="8">
        <v>8.5999999999999993E-2</v>
      </c>
      <c r="AA18" s="8">
        <v>0.55300000000000005</v>
      </c>
      <c r="AB18" s="8">
        <v>0.53500000000000003</v>
      </c>
      <c r="AC18" s="8">
        <v>0.26</v>
      </c>
      <c r="AD18" s="8">
        <v>1.1599999999999999</v>
      </c>
      <c r="AE18" s="8">
        <v>0.26800000000000002</v>
      </c>
      <c r="AF18" s="8">
        <v>2.14</v>
      </c>
      <c r="AG18" s="8">
        <v>0.51400000000000001</v>
      </c>
      <c r="AH18" s="8">
        <v>1.64</v>
      </c>
      <c r="AI18" s="8">
        <v>0.23300000000000001</v>
      </c>
      <c r="AJ18" s="8">
        <v>1.48</v>
      </c>
      <c r="AK18" s="8">
        <v>0.24199999999999999</v>
      </c>
      <c r="AL18" s="8">
        <v>0.38700000000000001</v>
      </c>
      <c r="AM18" s="8">
        <v>1.7500000000000002E-2</v>
      </c>
      <c r="AN18" s="8">
        <v>21.83</v>
      </c>
      <c r="AO18" s="8" t="s">
        <v>124</v>
      </c>
      <c r="AP18" s="8">
        <v>5.7000000000000002E-2</v>
      </c>
    </row>
    <row r="19" spans="1:42" s="8" customFormat="1" x14ac:dyDescent="0.2">
      <c r="A19" s="8" t="s">
        <v>138</v>
      </c>
      <c r="B19" s="8">
        <v>5.09</v>
      </c>
      <c r="C19" s="8">
        <v>3.13</v>
      </c>
      <c r="D19" s="8">
        <v>16812.689999999999</v>
      </c>
      <c r="E19" s="8">
        <v>43846.64</v>
      </c>
      <c r="F19" s="8">
        <v>68025.53</v>
      </c>
      <c r="G19" s="8">
        <v>237209.92</v>
      </c>
      <c r="H19" s="8">
        <v>977.62</v>
      </c>
      <c r="I19" s="8">
        <v>4045.55</v>
      </c>
      <c r="J19" s="8">
        <v>77901.69</v>
      </c>
      <c r="K19" s="8">
        <v>32.549999999999997</v>
      </c>
      <c r="L19" s="8">
        <v>15526.99</v>
      </c>
      <c r="M19" s="8">
        <v>314.20999999999998</v>
      </c>
      <c r="N19" s="8">
        <v>1283.19</v>
      </c>
      <c r="O19" s="8">
        <v>83340.62</v>
      </c>
      <c r="P19" s="8">
        <v>0.16</v>
      </c>
      <c r="Q19" s="8">
        <v>8.73</v>
      </c>
      <c r="R19" s="8">
        <v>351.57</v>
      </c>
      <c r="S19" s="8">
        <v>24.99</v>
      </c>
      <c r="T19" s="8">
        <v>148.12</v>
      </c>
      <c r="U19" s="8">
        <v>14.77</v>
      </c>
      <c r="V19" s="8">
        <v>8.4000000000000005E-2</v>
      </c>
      <c r="W19" s="8">
        <v>120.24</v>
      </c>
      <c r="X19" s="8">
        <v>12.75</v>
      </c>
      <c r="Y19" s="8">
        <v>32.01</v>
      </c>
      <c r="Z19" s="8">
        <v>4.5999999999999996</v>
      </c>
      <c r="AA19" s="8">
        <v>21.52</v>
      </c>
      <c r="AB19" s="8">
        <v>5.12</v>
      </c>
      <c r="AC19" s="8">
        <v>1.97</v>
      </c>
      <c r="AD19" s="8">
        <v>5.85</v>
      </c>
      <c r="AE19" s="8">
        <v>0.84</v>
      </c>
      <c r="AF19" s="8">
        <v>5.0999999999999996</v>
      </c>
      <c r="AG19" s="8">
        <v>0.91</v>
      </c>
      <c r="AH19" s="8">
        <v>2.36</v>
      </c>
      <c r="AI19" s="8">
        <v>0.34200000000000003</v>
      </c>
      <c r="AJ19" s="8">
        <v>2</v>
      </c>
      <c r="AK19" s="8">
        <v>0.252</v>
      </c>
      <c r="AL19" s="8">
        <v>3.71</v>
      </c>
      <c r="AM19" s="8">
        <v>0.88</v>
      </c>
      <c r="AN19" s="8">
        <v>2.04</v>
      </c>
      <c r="AO19" s="8">
        <v>0.98</v>
      </c>
      <c r="AP19" s="8">
        <v>0.55000000000000004</v>
      </c>
    </row>
    <row r="20" spans="1:42" s="8" customFormat="1" x14ac:dyDescent="0.2">
      <c r="A20" s="8" t="s">
        <v>139</v>
      </c>
      <c r="B20" s="8">
        <v>5.49</v>
      </c>
      <c r="C20" s="8">
        <v>3.53</v>
      </c>
      <c r="D20" s="8">
        <v>18660.55</v>
      </c>
      <c r="E20" s="8">
        <v>46127.8</v>
      </c>
      <c r="F20" s="8">
        <v>72836.210000000006</v>
      </c>
      <c r="G20" s="8">
        <v>237350.97</v>
      </c>
      <c r="H20" s="8">
        <v>959.57</v>
      </c>
      <c r="I20" s="8">
        <v>3855.19</v>
      </c>
      <c r="J20" s="8">
        <v>77901.69</v>
      </c>
      <c r="K20" s="8">
        <v>32.119999999999997</v>
      </c>
      <c r="L20" s="8">
        <v>15658.33</v>
      </c>
      <c r="M20" s="8">
        <v>320.51</v>
      </c>
      <c r="N20" s="8">
        <v>1318.09</v>
      </c>
      <c r="O20" s="8">
        <v>86902.23</v>
      </c>
      <c r="P20" s="8">
        <v>0.24</v>
      </c>
      <c r="Q20" s="8">
        <v>9.0299999999999994</v>
      </c>
      <c r="R20" s="8">
        <v>371.1</v>
      </c>
      <c r="S20" s="8">
        <v>25.1</v>
      </c>
      <c r="T20" s="8">
        <v>154.41</v>
      </c>
      <c r="U20" s="8">
        <v>15.3</v>
      </c>
      <c r="V20" s="8">
        <v>0.106</v>
      </c>
      <c r="W20" s="8">
        <v>135.31</v>
      </c>
      <c r="X20" s="8">
        <v>14.25</v>
      </c>
      <c r="Y20" s="8">
        <v>33.57</v>
      </c>
      <c r="Z20" s="8">
        <v>4.57</v>
      </c>
      <c r="AA20" s="8">
        <v>21.58</v>
      </c>
      <c r="AB20" s="8">
        <v>5.77</v>
      </c>
      <c r="AC20" s="8">
        <v>2.09</v>
      </c>
      <c r="AD20" s="8">
        <v>6.29</v>
      </c>
      <c r="AE20" s="8">
        <v>0.9</v>
      </c>
      <c r="AF20" s="8">
        <v>5.09</v>
      </c>
      <c r="AG20" s="8">
        <v>0.99</v>
      </c>
      <c r="AH20" s="8">
        <v>2.69</v>
      </c>
      <c r="AI20" s="8">
        <v>0.32</v>
      </c>
      <c r="AJ20" s="8">
        <v>2.14</v>
      </c>
      <c r="AK20" s="8">
        <v>0.30099999999999999</v>
      </c>
      <c r="AL20" s="8">
        <v>4.25</v>
      </c>
      <c r="AM20" s="8">
        <v>1.04</v>
      </c>
      <c r="AN20" s="8">
        <v>2.17</v>
      </c>
      <c r="AO20" s="8">
        <v>0.99</v>
      </c>
      <c r="AP20" s="8">
        <v>0.6</v>
      </c>
    </row>
    <row r="21" spans="1:42" s="8" customFormat="1" x14ac:dyDescent="0.2">
      <c r="A21" s="7" t="s">
        <v>48</v>
      </c>
      <c r="B21" s="7">
        <v>5.21</v>
      </c>
      <c r="C21" s="7">
        <v>10.95</v>
      </c>
      <c r="D21" s="7">
        <v>17091.78</v>
      </c>
      <c r="E21" s="7">
        <v>43329.79</v>
      </c>
      <c r="F21" s="7">
        <v>68000.88</v>
      </c>
      <c r="G21" s="7">
        <v>227196.58</v>
      </c>
      <c r="H21" s="7">
        <v>977.73</v>
      </c>
      <c r="I21" s="7">
        <v>4196.2</v>
      </c>
      <c r="J21" s="7">
        <v>77901.7</v>
      </c>
      <c r="K21" s="7">
        <v>31.16</v>
      </c>
      <c r="L21" s="7">
        <v>15566.6</v>
      </c>
      <c r="M21" s="7">
        <v>312.43</v>
      </c>
      <c r="N21" s="7">
        <v>1303.1099999999999</v>
      </c>
      <c r="O21" s="7">
        <v>81991.839999999997</v>
      </c>
      <c r="P21" s="7">
        <v>0.16500000000000001</v>
      </c>
      <c r="Q21" s="7">
        <v>8.56</v>
      </c>
      <c r="R21" s="7">
        <v>351.98</v>
      </c>
      <c r="S21" s="7">
        <v>24.42</v>
      </c>
      <c r="T21" s="7">
        <v>158.88999999999999</v>
      </c>
      <c r="U21" s="7">
        <v>15.42</v>
      </c>
      <c r="V21" s="7">
        <v>0.122</v>
      </c>
      <c r="W21" s="7">
        <v>122.36</v>
      </c>
      <c r="X21" s="7">
        <v>12.99</v>
      </c>
      <c r="Y21" s="7">
        <v>33.229999999999997</v>
      </c>
      <c r="Z21" s="7">
        <v>4.41</v>
      </c>
      <c r="AA21" s="7">
        <v>21.36</v>
      </c>
      <c r="AB21" s="7">
        <v>5.49</v>
      </c>
      <c r="AC21" s="7">
        <v>1.88</v>
      </c>
      <c r="AD21" s="7">
        <v>5.94</v>
      </c>
      <c r="AE21" s="7">
        <v>0.84399999999999997</v>
      </c>
      <c r="AF21" s="7">
        <v>5.15</v>
      </c>
      <c r="AG21" s="7">
        <v>0.94</v>
      </c>
      <c r="AH21" s="7">
        <v>2.41</v>
      </c>
      <c r="AI21" s="7">
        <v>0.28799999999999998</v>
      </c>
      <c r="AJ21" s="7">
        <v>2.1</v>
      </c>
      <c r="AK21" s="7">
        <v>0.26100000000000001</v>
      </c>
      <c r="AL21" s="7">
        <v>3.72</v>
      </c>
      <c r="AM21" s="7">
        <v>0.93400000000000005</v>
      </c>
      <c r="AN21" s="7">
        <v>2.06</v>
      </c>
      <c r="AO21" s="7">
        <v>0.91300000000000003</v>
      </c>
      <c r="AP21" s="7">
        <v>0.63600000000000001</v>
      </c>
    </row>
    <row r="22" spans="1:42" s="8" customFormat="1" x14ac:dyDescent="0.2">
      <c r="A22" s="6" t="s">
        <v>50</v>
      </c>
      <c r="B22" s="6">
        <v>5.23</v>
      </c>
      <c r="C22" s="6">
        <v>2.0699999999999998</v>
      </c>
      <c r="D22" s="6">
        <v>18130.38</v>
      </c>
      <c r="E22" s="6">
        <v>46158.29</v>
      </c>
      <c r="F22" s="6">
        <v>72111.45</v>
      </c>
      <c r="G22" s="6">
        <v>241409.72</v>
      </c>
      <c r="H22" s="6">
        <v>956.5</v>
      </c>
      <c r="I22" s="6">
        <v>4085.24</v>
      </c>
      <c r="J22" s="6">
        <v>77901.7</v>
      </c>
      <c r="K22" s="6">
        <v>31.86</v>
      </c>
      <c r="L22" s="6">
        <v>15292.14</v>
      </c>
      <c r="M22" s="6">
        <v>314.17</v>
      </c>
      <c r="N22" s="6">
        <v>1316.63</v>
      </c>
      <c r="O22" s="6">
        <v>85107.55</v>
      </c>
      <c r="P22" s="6">
        <v>0.19900000000000001</v>
      </c>
      <c r="Q22" s="6">
        <v>9.14</v>
      </c>
      <c r="R22" s="6">
        <v>362.8</v>
      </c>
      <c r="S22" s="6">
        <v>25.12</v>
      </c>
      <c r="T22" s="6">
        <v>149.61000000000001</v>
      </c>
      <c r="U22" s="6">
        <v>15.33</v>
      </c>
      <c r="V22" s="6">
        <v>0.11</v>
      </c>
      <c r="W22" s="6">
        <v>123.64</v>
      </c>
      <c r="X22" s="6">
        <v>12.47</v>
      </c>
      <c r="Y22" s="6">
        <v>32.159999999999997</v>
      </c>
      <c r="Z22" s="6">
        <v>4.63</v>
      </c>
      <c r="AA22" s="6">
        <v>21.58</v>
      </c>
      <c r="AB22" s="6">
        <v>5.58</v>
      </c>
      <c r="AC22" s="6">
        <v>1.95</v>
      </c>
      <c r="AD22" s="6">
        <v>6.14</v>
      </c>
      <c r="AE22" s="6">
        <v>0.90700000000000003</v>
      </c>
      <c r="AF22" s="6">
        <v>4.97</v>
      </c>
      <c r="AG22" s="6">
        <v>0.85899999999999999</v>
      </c>
      <c r="AH22" s="6">
        <v>2.57</v>
      </c>
      <c r="AI22" s="6">
        <v>0.34100000000000003</v>
      </c>
      <c r="AJ22" s="6">
        <v>2.04</v>
      </c>
      <c r="AK22" s="6">
        <v>0.29499999999999998</v>
      </c>
      <c r="AL22" s="6">
        <v>3.87</v>
      </c>
      <c r="AM22" s="6">
        <v>0.97</v>
      </c>
      <c r="AN22" s="6">
        <v>2.11</v>
      </c>
      <c r="AO22" s="6">
        <v>1.05</v>
      </c>
      <c r="AP22" s="6">
        <v>0.57499999999999996</v>
      </c>
    </row>
    <row r="23" spans="1:42" s="6" customFormat="1" hidden="1" x14ac:dyDescent="0.2">
      <c r="A23" s="4" t="s">
        <v>61</v>
      </c>
      <c r="B23" s="4">
        <v>10.119999999999999</v>
      </c>
      <c r="C23" s="4">
        <v>14.42</v>
      </c>
      <c r="D23" s="4">
        <v>4600.63</v>
      </c>
      <c r="E23" s="4">
        <v>147788.48000000001</v>
      </c>
      <c r="F23" s="4">
        <v>50541.61</v>
      </c>
      <c r="G23" s="4">
        <v>213893.53</v>
      </c>
      <c r="H23" s="4">
        <v>86.35</v>
      </c>
      <c r="I23" s="4">
        <v>246.9</v>
      </c>
      <c r="J23" s="4">
        <v>44597.34</v>
      </c>
      <c r="K23" s="4">
        <v>30.37</v>
      </c>
      <c r="L23" s="4">
        <v>1671.98</v>
      </c>
      <c r="M23" s="4">
        <v>183.08</v>
      </c>
      <c r="N23" s="4">
        <v>1441.6</v>
      </c>
      <c r="O23" s="4">
        <v>84292.74</v>
      </c>
      <c r="P23" s="4">
        <v>0.126</v>
      </c>
      <c r="Q23" s="4">
        <v>0.33800000000000002</v>
      </c>
      <c r="R23" s="4">
        <v>29.01</v>
      </c>
      <c r="S23" s="4">
        <v>11.38</v>
      </c>
      <c r="T23" s="4">
        <v>9.33</v>
      </c>
      <c r="U23" s="4">
        <v>0.115</v>
      </c>
      <c r="V23" s="4">
        <v>0.20799999999999999</v>
      </c>
      <c r="W23" s="4">
        <v>0.95599999999999996</v>
      </c>
      <c r="X23" s="4">
        <v>0.104</v>
      </c>
      <c r="Y23" s="4">
        <v>0.40200000000000002</v>
      </c>
      <c r="Z23" s="4">
        <v>9.4E-2</v>
      </c>
      <c r="AA23" s="4">
        <v>0.65900000000000003</v>
      </c>
      <c r="AB23" s="4">
        <v>0.44400000000000001</v>
      </c>
      <c r="AC23" s="4">
        <v>0.27900000000000003</v>
      </c>
      <c r="AD23" s="4">
        <v>1.34</v>
      </c>
      <c r="AE23" s="4">
        <v>0.224</v>
      </c>
      <c r="AF23" s="4">
        <v>1.86</v>
      </c>
      <c r="AG23" s="4">
        <v>0.40699999999999997</v>
      </c>
      <c r="AH23" s="4">
        <v>1.38</v>
      </c>
      <c r="AI23" s="4">
        <v>0.19800000000000001</v>
      </c>
      <c r="AJ23" s="4">
        <v>1.21</v>
      </c>
      <c r="AK23" s="4">
        <v>0.18099999999999999</v>
      </c>
      <c r="AL23" s="4">
        <v>0.34499999999999997</v>
      </c>
      <c r="AM23" s="4">
        <v>1.78E-2</v>
      </c>
      <c r="AN23" s="4">
        <v>0.308</v>
      </c>
      <c r="AO23" s="4" t="s">
        <v>62</v>
      </c>
      <c r="AP23" s="4">
        <v>1.09E-2</v>
      </c>
    </row>
    <row r="24" spans="1:42" s="4" customFormat="1" hidden="1" x14ac:dyDescent="0.2">
      <c r="A24" s="4" t="s">
        <v>63</v>
      </c>
      <c r="B24" s="4">
        <v>11.13</v>
      </c>
      <c r="C24" s="4">
        <v>16.559999999999999</v>
      </c>
      <c r="D24" s="4">
        <v>5316.96</v>
      </c>
      <c r="E24" s="4">
        <v>203682.8</v>
      </c>
      <c r="F24" s="4">
        <v>54948.23</v>
      </c>
      <c r="G24" s="4">
        <v>247541.09</v>
      </c>
      <c r="H24" s="4">
        <v>94.16</v>
      </c>
      <c r="I24" s="4">
        <v>243.42</v>
      </c>
      <c r="J24" s="4">
        <v>44597.34</v>
      </c>
      <c r="K24" s="4">
        <v>32.090000000000003</v>
      </c>
      <c r="L24" s="4">
        <v>1751.93</v>
      </c>
      <c r="M24" s="4">
        <v>197.64</v>
      </c>
      <c r="N24" s="4">
        <v>1506.44</v>
      </c>
      <c r="O24" s="4">
        <v>85512.35</v>
      </c>
      <c r="P24" s="4">
        <v>0.21199999999999999</v>
      </c>
      <c r="Q24" s="4">
        <v>0.48</v>
      </c>
      <c r="R24" s="4">
        <v>31.9</v>
      </c>
      <c r="S24" s="4">
        <v>11.45</v>
      </c>
      <c r="T24" s="4">
        <v>9.7899999999999991</v>
      </c>
      <c r="U24" s="4">
        <v>0.112</v>
      </c>
      <c r="V24" s="4">
        <v>0.24099999999999999</v>
      </c>
      <c r="W24" s="4">
        <v>1.2</v>
      </c>
      <c r="X24" s="4">
        <v>0.106</v>
      </c>
      <c r="Y24" s="4">
        <v>0.439</v>
      </c>
      <c r="Z24" s="4">
        <v>8.2000000000000003E-2</v>
      </c>
      <c r="AA24" s="4">
        <v>0.69599999999999995</v>
      </c>
      <c r="AB24" s="4">
        <v>0.50900000000000001</v>
      </c>
      <c r="AC24" s="4">
        <v>0.245</v>
      </c>
      <c r="AD24" s="4">
        <v>1.1100000000000001</v>
      </c>
      <c r="AE24" s="4">
        <v>0.24299999999999999</v>
      </c>
      <c r="AF24" s="4">
        <v>1.9</v>
      </c>
      <c r="AG24" s="4">
        <v>0.43099999999999999</v>
      </c>
      <c r="AH24" s="4">
        <v>1.33</v>
      </c>
      <c r="AI24" s="4">
        <v>0.188</v>
      </c>
      <c r="AJ24" s="4">
        <v>1.38</v>
      </c>
      <c r="AK24" s="4">
        <v>0.20200000000000001</v>
      </c>
      <c r="AL24" s="4">
        <v>0.35899999999999999</v>
      </c>
      <c r="AM24" s="4">
        <v>1.7600000000000001E-2</v>
      </c>
      <c r="AN24" s="4">
        <v>0.307</v>
      </c>
      <c r="AO24" s="4" t="s">
        <v>64</v>
      </c>
      <c r="AP24" s="4" t="s">
        <v>65</v>
      </c>
    </row>
    <row r="25" spans="1:42" s="5" customFormat="1" hidden="1" x14ac:dyDescent="0.2"/>
    <row r="26" spans="1:42" s="8" customFormat="1" x14ac:dyDescent="0.2">
      <c r="A26" s="6" t="s">
        <v>79</v>
      </c>
      <c r="B26" s="6">
        <v>5.01</v>
      </c>
      <c r="C26" s="6">
        <v>2.4</v>
      </c>
      <c r="D26" s="6">
        <v>18086.45</v>
      </c>
      <c r="E26" s="6">
        <v>44651.37</v>
      </c>
      <c r="F26" s="6">
        <v>72615.41</v>
      </c>
      <c r="G26" s="6">
        <v>229585.39</v>
      </c>
      <c r="H26" s="6">
        <v>1066.42</v>
      </c>
      <c r="I26" s="6">
        <v>3712.55</v>
      </c>
      <c r="J26" s="6">
        <v>77901.7</v>
      </c>
      <c r="K26" s="6">
        <v>32.869999999999997</v>
      </c>
      <c r="L26" s="6">
        <v>15784.55</v>
      </c>
      <c r="M26" s="6">
        <v>322.67</v>
      </c>
      <c r="N26" s="6">
        <v>1334.53</v>
      </c>
      <c r="O26" s="6">
        <v>87010.06</v>
      </c>
      <c r="P26" s="6">
        <v>0.19400000000000001</v>
      </c>
      <c r="Q26" s="6">
        <v>8.6999999999999993</v>
      </c>
      <c r="R26" s="6">
        <v>368.16</v>
      </c>
      <c r="S26" s="6">
        <v>26.9</v>
      </c>
      <c r="T26" s="6">
        <v>155.58000000000001</v>
      </c>
      <c r="U26" s="6">
        <v>15.11</v>
      </c>
      <c r="V26" s="6">
        <v>0.13</v>
      </c>
      <c r="W26" s="6">
        <v>128.28</v>
      </c>
      <c r="X26" s="6">
        <v>14.03</v>
      </c>
      <c r="Y26" s="6">
        <v>33.15</v>
      </c>
      <c r="Z26" s="6">
        <v>4.76</v>
      </c>
      <c r="AA26" s="6">
        <v>22.94</v>
      </c>
      <c r="AB26" s="6">
        <v>5.83</v>
      </c>
      <c r="AC26" s="6">
        <v>2.08</v>
      </c>
      <c r="AD26" s="6">
        <v>6.34</v>
      </c>
      <c r="AE26" s="6">
        <v>0.95</v>
      </c>
      <c r="AF26" s="6">
        <v>5.61</v>
      </c>
      <c r="AG26" s="6">
        <v>1.07</v>
      </c>
      <c r="AH26" s="6">
        <v>2.66</v>
      </c>
      <c r="AI26" s="6">
        <v>0.33300000000000002</v>
      </c>
      <c r="AJ26" s="6">
        <v>2.27</v>
      </c>
      <c r="AK26" s="6">
        <v>0.29699999999999999</v>
      </c>
      <c r="AL26" s="6">
        <v>4.33</v>
      </c>
      <c r="AM26" s="6">
        <v>1.05</v>
      </c>
      <c r="AN26" s="6">
        <v>2.0499999999999998</v>
      </c>
      <c r="AO26" s="6">
        <v>1.1299999999999999</v>
      </c>
      <c r="AP26" s="6">
        <v>0.57099999999999995</v>
      </c>
    </row>
    <row r="27" spans="1:42" s="8" customFormat="1" hidden="1" x14ac:dyDescent="0.2">
      <c r="A27" s="5" t="s">
        <v>81</v>
      </c>
      <c r="B27" s="5">
        <v>7.73</v>
      </c>
      <c r="C27" s="5">
        <v>3.59</v>
      </c>
      <c r="D27" s="5">
        <v>23688.53</v>
      </c>
      <c r="E27" s="5">
        <v>21307.9</v>
      </c>
      <c r="F27" s="5">
        <v>72180.73</v>
      </c>
      <c r="G27" s="5">
        <v>249400.41</v>
      </c>
      <c r="H27" s="5">
        <v>1345.38</v>
      </c>
      <c r="I27" s="5">
        <v>14725.34</v>
      </c>
      <c r="J27" s="5">
        <v>50900</v>
      </c>
      <c r="K27" s="5">
        <v>34.049999999999997</v>
      </c>
      <c r="L27" s="5">
        <v>13594.67</v>
      </c>
      <c r="M27" s="5">
        <v>417.59</v>
      </c>
      <c r="N27" s="5">
        <v>1529.86</v>
      </c>
      <c r="O27" s="5">
        <v>93053.38</v>
      </c>
      <c r="P27" s="5">
        <v>0.52</v>
      </c>
      <c r="Q27" s="5">
        <v>47.08</v>
      </c>
      <c r="R27" s="5">
        <v>332.07</v>
      </c>
      <c r="S27" s="5">
        <v>34.99</v>
      </c>
      <c r="T27" s="5">
        <v>181.6</v>
      </c>
      <c r="U27" s="5">
        <v>12.72</v>
      </c>
      <c r="V27" s="5">
        <v>1.18</v>
      </c>
      <c r="W27" s="5">
        <v>666.44</v>
      </c>
      <c r="X27" s="5">
        <v>24.39</v>
      </c>
      <c r="Y27" s="5">
        <v>50.39</v>
      </c>
      <c r="Z27" s="5">
        <v>6.35</v>
      </c>
      <c r="AA27" s="5">
        <v>27.53</v>
      </c>
      <c r="AB27" s="5">
        <v>5.77</v>
      </c>
      <c r="AC27" s="5">
        <v>1.94</v>
      </c>
      <c r="AD27" s="5">
        <v>6.35</v>
      </c>
      <c r="AE27" s="5">
        <v>1.0049999999999999</v>
      </c>
      <c r="AF27" s="5">
        <v>6.22</v>
      </c>
      <c r="AG27" s="5">
        <v>1.29</v>
      </c>
      <c r="AH27" s="5">
        <v>3.79</v>
      </c>
      <c r="AI27" s="5">
        <v>0.51600000000000001</v>
      </c>
      <c r="AJ27" s="5">
        <v>3.68</v>
      </c>
      <c r="AK27" s="5">
        <v>0.503</v>
      </c>
      <c r="AL27" s="5">
        <v>4.96</v>
      </c>
      <c r="AM27" s="5">
        <v>0.81100000000000005</v>
      </c>
      <c r="AN27" s="5">
        <v>11.14</v>
      </c>
      <c r="AO27" s="5">
        <v>6.13</v>
      </c>
      <c r="AP27" s="5">
        <v>1.75</v>
      </c>
    </row>
    <row r="28" spans="1:42" s="8" customFormat="1" hidden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6" customFormat="1" hidden="1" x14ac:dyDescent="0.2">
      <c r="A29" s="6" t="s">
        <v>99</v>
      </c>
      <c r="B29" s="6">
        <v>5.13</v>
      </c>
      <c r="C29" s="6">
        <v>2.9</v>
      </c>
      <c r="D29" s="6">
        <v>17731.5</v>
      </c>
      <c r="E29" s="6">
        <v>44485.9</v>
      </c>
      <c r="F29" s="6">
        <v>68889.89</v>
      </c>
      <c r="G29" s="6">
        <v>237803.67</v>
      </c>
      <c r="H29" s="6">
        <v>1026.99</v>
      </c>
      <c r="I29" s="6">
        <v>4027.16</v>
      </c>
      <c r="J29" s="6">
        <v>77901.69</v>
      </c>
      <c r="K29" s="6">
        <v>31.07</v>
      </c>
      <c r="L29" s="6">
        <v>15243.38</v>
      </c>
      <c r="M29" s="6">
        <v>309.66000000000003</v>
      </c>
      <c r="N29" s="6">
        <v>1275.52</v>
      </c>
      <c r="O29" s="6">
        <v>85911.7</v>
      </c>
      <c r="P29" s="6">
        <v>0.16500000000000001</v>
      </c>
      <c r="Q29" s="6">
        <v>8.64</v>
      </c>
      <c r="R29" s="6">
        <v>350.88</v>
      </c>
      <c r="S29" s="6">
        <v>24.52</v>
      </c>
      <c r="T29" s="6">
        <v>148.25</v>
      </c>
      <c r="U29" s="6">
        <v>14.96</v>
      </c>
      <c r="V29" s="6">
        <v>0.10199999999999999</v>
      </c>
      <c r="W29" s="6">
        <v>120.9</v>
      </c>
      <c r="X29" s="6">
        <v>12.85</v>
      </c>
      <c r="Y29" s="6">
        <v>31.96</v>
      </c>
      <c r="Z29" s="6">
        <v>4.43</v>
      </c>
      <c r="AA29" s="6">
        <v>20.59</v>
      </c>
      <c r="AB29" s="6">
        <v>5.16</v>
      </c>
      <c r="AC29" s="6">
        <v>1.86</v>
      </c>
      <c r="AD29" s="6">
        <v>6.07</v>
      </c>
      <c r="AE29" s="6">
        <v>0.85399999999999998</v>
      </c>
      <c r="AF29" s="6">
        <v>4.7699999999999996</v>
      </c>
      <c r="AG29" s="6">
        <v>0.93</v>
      </c>
      <c r="AH29" s="6">
        <v>2.5299999999999998</v>
      </c>
      <c r="AI29" s="6">
        <v>0.315</v>
      </c>
      <c r="AJ29" s="6">
        <v>2.0699999999999998</v>
      </c>
      <c r="AK29" s="6">
        <v>0.25600000000000001</v>
      </c>
      <c r="AL29" s="6">
        <v>3.59</v>
      </c>
      <c r="AM29" s="6">
        <v>0.92</v>
      </c>
      <c r="AN29" s="6">
        <v>2.09</v>
      </c>
      <c r="AO29" s="6">
        <v>1</v>
      </c>
      <c r="AP29" s="6">
        <v>0.51400000000000001</v>
      </c>
    </row>
    <row r="30" spans="1:42" s="8" customFormat="1" hidden="1" x14ac:dyDescent="0.2">
      <c r="A30" s="4" t="s">
        <v>100</v>
      </c>
      <c r="B30" s="4">
        <v>9.24</v>
      </c>
      <c r="C30" s="4">
        <v>17.88</v>
      </c>
      <c r="D30" s="4">
        <v>4404.8999999999996</v>
      </c>
      <c r="E30" s="4">
        <v>141464.01999999999</v>
      </c>
      <c r="F30" s="4">
        <v>52126.84</v>
      </c>
      <c r="G30" s="4">
        <v>197711.66</v>
      </c>
      <c r="H30" s="4">
        <v>80.03</v>
      </c>
      <c r="I30" s="4">
        <v>206.4</v>
      </c>
      <c r="J30" s="4">
        <v>44597.33</v>
      </c>
      <c r="K30" s="4">
        <v>29.57</v>
      </c>
      <c r="L30" s="4">
        <v>1726.76</v>
      </c>
      <c r="M30" s="4">
        <v>186.72</v>
      </c>
      <c r="N30" s="4">
        <v>1363.61</v>
      </c>
      <c r="O30" s="4">
        <v>76592.479999999996</v>
      </c>
      <c r="P30" s="4" t="s">
        <v>101</v>
      </c>
      <c r="Q30" s="4">
        <v>0.36399999999999999</v>
      </c>
      <c r="R30" s="4">
        <v>29.94</v>
      </c>
      <c r="S30" s="4">
        <v>11</v>
      </c>
      <c r="T30" s="4">
        <v>8.98</v>
      </c>
      <c r="U30" s="4">
        <v>9.7000000000000003E-2</v>
      </c>
      <c r="V30" s="4">
        <v>0.19400000000000001</v>
      </c>
      <c r="W30" s="4">
        <v>1.02</v>
      </c>
      <c r="X30" s="4">
        <v>0.113</v>
      </c>
      <c r="Y30" s="4">
        <v>0.45300000000000001</v>
      </c>
      <c r="Z30" s="4">
        <v>7.6700000000000004E-2</v>
      </c>
      <c r="AA30" s="4">
        <v>0.72399999999999998</v>
      </c>
      <c r="AB30" s="4">
        <v>0.505</v>
      </c>
      <c r="AC30" s="4">
        <v>0.27100000000000002</v>
      </c>
      <c r="AD30" s="4">
        <v>1.0900000000000001</v>
      </c>
      <c r="AE30" s="4">
        <v>0.23400000000000001</v>
      </c>
      <c r="AF30" s="4">
        <v>1.82</v>
      </c>
      <c r="AG30" s="4">
        <v>0.40100000000000002</v>
      </c>
      <c r="AH30" s="4">
        <v>1.32</v>
      </c>
      <c r="AI30" s="4">
        <v>0.156</v>
      </c>
      <c r="AJ30" s="4">
        <v>1.18</v>
      </c>
      <c r="AK30" s="4">
        <v>0.16700000000000001</v>
      </c>
      <c r="AL30" s="4">
        <v>0.34399999999999997</v>
      </c>
      <c r="AM30" s="4">
        <v>1.66E-2</v>
      </c>
      <c r="AN30" s="4">
        <v>0.31</v>
      </c>
      <c r="AO30" s="4" t="s">
        <v>102</v>
      </c>
      <c r="AP30" s="4">
        <v>9.4999999999999998E-3</v>
      </c>
    </row>
    <row r="31" spans="1:42" s="4" customFormat="1" hidden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4" customFormat="1" x14ac:dyDescent="0.2">
      <c r="A32" s="6" t="s">
        <v>122</v>
      </c>
      <c r="B32" s="6">
        <v>4.63</v>
      </c>
      <c r="C32" s="6">
        <v>2.33</v>
      </c>
      <c r="D32" s="6">
        <v>15818.21</v>
      </c>
      <c r="E32" s="6">
        <v>41401.93</v>
      </c>
      <c r="F32" s="6">
        <v>66749.8</v>
      </c>
      <c r="G32" s="6">
        <v>226600.16</v>
      </c>
      <c r="H32" s="6">
        <v>923.15</v>
      </c>
      <c r="I32" s="6">
        <v>3958.82</v>
      </c>
      <c r="J32" s="6">
        <v>77901.69</v>
      </c>
      <c r="K32" s="6">
        <v>31.02</v>
      </c>
      <c r="L32" s="6">
        <v>14623.09</v>
      </c>
      <c r="M32" s="6">
        <v>290.86</v>
      </c>
      <c r="N32" s="6">
        <v>1183.6199999999999</v>
      </c>
      <c r="O32" s="6">
        <v>79138.84</v>
      </c>
      <c r="P32" s="6">
        <v>0.15</v>
      </c>
      <c r="Q32" s="6">
        <v>8.19</v>
      </c>
      <c r="R32" s="6">
        <v>353.12</v>
      </c>
      <c r="S32" s="6">
        <v>25.86</v>
      </c>
      <c r="T32" s="6">
        <v>153.05000000000001</v>
      </c>
      <c r="U32" s="6">
        <v>14.34</v>
      </c>
      <c r="V32" s="6">
        <v>0.13</v>
      </c>
      <c r="W32" s="6">
        <v>114.44</v>
      </c>
      <c r="X32" s="6">
        <v>12.83</v>
      </c>
      <c r="Y32" s="6">
        <v>30.74</v>
      </c>
      <c r="Z32" s="6">
        <v>4.5599999999999996</v>
      </c>
      <c r="AA32" s="6">
        <v>20.61</v>
      </c>
      <c r="AB32" s="6">
        <v>5.36</v>
      </c>
      <c r="AC32" s="6">
        <v>1.78</v>
      </c>
      <c r="AD32" s="6">
        <v>5.37</v>
      </c>
      <c r="AE32" s="6">
        <v>0.89</v>
      </c>
      <c r="AF32" s="6">
        <v>4.9400000000000004</v>
      </c>
      <c r="AG32" s="6">
        <v>0.93</v>
      </c>
      <c r="AH32" s="6">
        <v>2.29</v>
      </c>
      <c r="AI32" s="6">
        <v>0.33500000000000002</v>
      </c>
      <c r="AJ32" s="6">
        <v>1.91</v>
      </c>
      <c r="AK32" s="6">
        <v>0.27</v>
      </c>
      <c r="AL32" s="6">
        <v>3.8</v>
      </c>
      <c r="AM32" s="6">
        <v>0.85</v>
      </c>
      <c r="AN32" s="6">
        <v>2</v>
      </c>
      <c r="AO32" s="6">
        <v>1.03</v>
      </c>
      <c r="AP32" s="6">
        <v>0.52</v>
      </c>
    </row>
    <row r="33" spans="1:42" s="5" customFormat="1" hidden="1" x14ac:dyDescent="0.2">
      <c r="A33" s="4" t="s">
        <v>125</v>
      </c>
      <c r="B33" s="4">
        <v>9.64</v>
      </c>
      <c r="C33" s="4">
        <v>23.5</v>
      </c>
      <c r="D33" s="4">
        <v>4570.7700000000004</v>
      </c>
      <c r="E33" s="4">
        <v>172213.22</v>
      </c>
      <c r="F33" s="4">
        <v>55151.23</v>
      </c>
      <c r="G33" s="4">
        <v>212924.61</v>
      </c>
      <c r="H33" s="4">
        <v>75.83</v>
      </c>
      <c r="I33" s="4">
        <v>207.78</v>
      </c>
      <c r="J33" s="4">
        <v>44597.33</v>
      </c>
      <c r="K33" s="4">
        <v>32.630000000000003</v>
      </c>
      <c r="L33" s="4">
        <v>1718.38</v>
      </c>
      <c r="M33" s="4">
        <v>187.1</v>
      </c>
      <c r="N33" s="4">
        <v>1413.19</v>
      </c>
      <c r="O33" s="4">
        <v>77758.509999999995</v>
      </c>
      <c r="P33" s="4">
        <v>9.6000000000000002E-2</v>
      </c>
      <c r="Q33" s="4">
        <v>0.42</v>
      </c>
      <c r="R33" s="4">
        <v>30.22</v>
      </c>
      <c r="S33" s="4">
        <v>11.94</v>
      </c>
      <c r="T33" s="4">
        <v>9.86</v>
      </c>
      <c r="U33" s="4">
        <v>7.8E-2</v>
      </c>
      <c r="V33" s="4">
        <v>0.2</v>
      </c>
      <c r="W33" s="4">
        <v>1.07</v>
      </c>
      <c r="X33" s="4">
        <v>0.11600000000000001</v>
      </c>
      <c r="Y33" s="4">
        <v>0.45900000000000002</v>
      </c>
      <c r="Z33" s="4">
        <v>9.7000000000000003E-2</v>
      </c>
      <c r="AA33" s="4">
        <v>0.77</v>
      </c>
      <c r="AB33" s="4">
        <v>0.55000000000000004</v>
      </c>
      <c r="AC33" s="4">
        <v>0.26200000000000001</v>
      </c>
      <c r="AD33" s="4">
        <v>1.22</v>
      </c>
      <c r="AE33" s="4">
        <v>0.23499999999999999</v>
      </c>
      <c r="AF33" s="4">
        <v>1.92</v>
      </c>
      <c r="AG33" s="4">
        <v>0.47199999999999998</v>
      </c>
      <c r="AH33" s="4">
        <v>1.39</v>
      </c>
      <c r="AI33" s="4">
        <v>0.224</v>
      </c>
      <c r="AJ33" s="4">
        <v>1.38</v>
      </c>
      <c r="AK33" s="4">
        <v>0.23499999999999999</v>
      </c>
      <c r="AL33" s="4">
        <v>0.42899999999999999</v>
      </c>
      <c r="AM33" s="4">
        <v>1.7000000000000001E-2</v>
      </c>
      <c r="AN33" s="4">
        <v>0.3</v>
      </c>
      <c r="AO33" s="4">
        <v>1.23E-2</v>
      </c>
      <c r="AP33" s="4" t="s">
        <v>126</v>
      </c>
    </row>
    <row r="34" spans="1:42" s="8" customFormat="1" hidden="1" x14ac:dyDescent="0.2">
      <c r="A34" s="4" t="s">
        <v>127</v>
      </c>
      <c r="B34" s="4">
        <v>21.43</v>
      </c>
      <c r="C34" s="4">
        <v>18.36</v>
      </c>
      <c r="D34" s="4">
        <v>35441.449999999997</v>
      </c>
      <c r="E34" s="4">
        <v>31575.06</v>
      </c>
      <c r="F34" s="4">
        <v>127426.41</v>
      </c>
      <c r="G34" s="4">
        <v>350929.59</v>
      </c>
      <c r="H34" s="4">
        <v>3219.99</v>
      </c>
      <c r="I34" s="4">
        <v>52128.09</v>
      </c>
      <c r="J34" s="4">
        <v>71470.09</v>
      </c>
      <c r="K34" s="4">
        <v>34.26</v>
      </c>
      <c r="L34" s="4">
        <v>7467.19</v>
      </c>
      <c r="M34" s="4">
        <v>267.99</v>
      </c>
      <c r="N34" s="4">
        <v>2042.17</v>
      </c>
      <c r="O34" s="4">
        <v>92144.83</v>
      </c>
      <c r="P34" s="4">
        <v>0.76</v>
      </c>
      <c r="Q34" s="4">
        <v>203.2</v>
      </c>
      <c r="R34" s="4">
        <v>1889.72</v>
      </c>
      <c r="S34" s="4">
        <v>33.76</v>
      </c>
      <c r="T34" s="4">
        <v>332.32</v>
      </c>
      <c r="U34" s="4">
        <v>41.39</v>
      </c>
      <c r="V34" s="4">
        <v>4.0999999999999996</v>
      </c>
      <c r="W34" s="4">
        <v>1382.04</v>
      </c>
      <c r="X34" s="4">
        <v>62.7</v>
      </c>
      <c r="Y34" s="4">
        <v>125.86</v>
      </c>
      <c r="Z34" s="4">
        <v>14.44</v>
      </c>
      <c r="AA34" s="4">
        <v>56.48</v>
      </c>
      <c r="AB34" s="4">
        <v>9.75</v>
      </c>
      <c r="AC34" s="4">
        <v>2.58</v>
      </c>
      <c r="AD34" s="4">
        <v>8.49</v>
      </c>
      <c r="AE34" s="4">
        <v>1.1100000000000001</v>
      </c>
      <c r="AF34" s="4">
        <v>6.49</v>
      </c>
      <c r="AG34" s="4">
        <v>1.28</v>
      </c>
      <c r="AH34" s="4">
        <v>3.56</v>
      </c>
      <c r="AI34" s="4">
        <v>0.54</v>
      </c>
      <c r="AJ34" s="4">
        <v>3.81</v>
      </c>
      <c r="AK34" s="4">
        <v>0.57999999999999996</v>
      </c>
      <c r="AL34" s="4">
        <v>8.4499999999999993</v>
      </c>
      <c r="AM34" s="4">
        <v>2.21</v>
      </c>
      <c r="AN34" s="4">
        <v>25.64</v>
      </c>
      <c r="AO34" s="4">
        <v>21.51</v>
      </c>
      <c r="AP34" s="4">
        <v>6.18</v>
      </c>
    </row>
    <row r="35" spans="1:42" s="8" customFormat="1" hidden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6" customFormat="1" x14ac:dyDescent="0.2">
      <c r="A36" s="6" t="s">
        <v>140</v>
      </c>
      <c r="B36" s="6">
        <v>5.32</v>
      </c>
      <c r="C36" s="6">
        <v>3.69</v>
      </c>
      <c r="D36" s="6">
        <v>18344.55</v>
      </c>
      <c r="E36" s="6">
        <v>47033.02</v>
      </c>
      <c r="F36" s="6">
        <v>74728.289999999994</v>
      </c>
      <c r="G36" s="6">
        <v>234139.11</v>
      </c>
      <c r="H36" s="6">
        <v>987.47</v>
      </c>
      <c r="I36" s="6">
        <v>4088.98</v>
      </c>
      <c r="J36" s="6">
        <v>77901.7</v>
      </c>
      <c r="K36" s="6">
        <v>31</v>
      </c>
      <c r="L36" s="6">
        <v>15255.21</v>
      </c>
      <c r="M36" s="6">
        <v>314.08</v>
      </c>
      <c r="N36" s="6">
        <v>1325.92</v>
      </c>
      <c r="O36" s="6">
        <v>86456.66</v>
      </c>
      <c r="P36" s="6">
        <v>0.14000000000000001</v>
      </c>
      <c r="Q36" s="6">
        <v>9.19</v>
      </c>
      <c r="R36" s="6">
        <v>374.86</v>
      </c>
      <c r="S36" s="6">
        <v>25.76</v>
      </c>
      <c r="T36" s="6">
        <v>153.81</v>
      </c>
      <c r="U36" s="6">
        <v>15.07</v>
      </c>
      <c r="V36" s="6">
        <v>0.14000000000000001</v>
      </c>
      <c r="W36" s="6">
        <v>128.81</v>
      </c>
      <c r="X36" s="6">
        <v>13.81</v>
      </c>
      <c r="Y36" s="6">
        <v>33.85</v>
      </c>
      <c r="Z36" s="6">
        <v>4.71</v>
      </c>
      <c r="AA36" s="6">
        <v>21.04</v>
      </c>
      <c r="AB36" s="6">
        <v>5.95</v>
      </c>
      <c r="AC36" s="6">
        <v>1.91</v>
      </c>
      <c r="AD36" s="6">
        <v>6.31</v>
      </c>
      <c r="AE36" s="6">
        <v>0.96</v>
      </c>
      <c r="AF36" s="6">
        <v>5.54</v>
      </c>
      <c r="AG36" s="6">
        <v>0.94</v>
      </c>
      <c r="AH36" s="6">
        <v>2.84</v>
      </c>
      <c r="AI36" s="6">
        <v>0.34599999999999997</v>
      </c>
      <c r="AJ36" s="6">
        <v>2.09</v>
      </c>
      <c r="AK36" s="6">
        <v>0.27800000000000002</v>
      </c>
      <c r="AL36" s="6">
        <v>3.95</v>
      </c>
      <c r="AM36" s="6">
        <v>1</v>
      </c>
      <c r="AN36" s="6">
        <v>2.11</v>
      </c>
      <c r="AO36" s="6">
        <v>1.03</v>
      </c>
      <c r="AP36" s="6">
        <v>0.56000000000000005</v>
      </c>
    </row>
  </sheetData>
  <autoFilter ref="A1:AP36" xr:uid="{3BE154FB-C447-2047-A164-7E533D60095B}">
    <filterColumn colId="0">
      <filters>
        <filter val="004KL2"/>
        <filter val="005KL2"/>
        <filter val="006KL2"/>
        <filter val="024KL2"/>
        <filter val="025KL2"/>
        <filter val="026KL2"/>
        <filter val="042KL2"/>
        <filter val="044KL2"/>
        <filter val="045KL2"/>
        <filter val="064KL2"/>
        <filter val="065KL2"/>
        <filter val="066KL2"/>
        <filter val="067KL2"/>
        <filter val="081KL2"/>
        <filter val="082KL2"/>
        <filter val="083KL2"/>
      </filters>
    </filterColumn>
    <sortState xmlns:xlrd2="http://schemas.microsoft.com/office/spreadsheetml/2017/richdata2" ref="A2:AP36">
      <sortCondition sortBy="cellColor" ref="A1:A36" dxfId="9"/>
    </sortState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3DA1-84A3-584C-808C-A3A38A09F1C8}">
  <dimension ref="A1:AQ36"/>
  <sheetViews>
    <sheetView topLeftCell="A3" zoomScale="150" workbookViewId="0">
      <selection activeCell="F23" sqref="F23"/>
    </sheetView>
  </sheetViews>
  <sheetFormatPr baseColWidth="10" defaultRowHeight="16" x14ac:dyDescent="0.2"/>
  <cols>
    <col min="1" max="1" width="11" bestFit="1" customWidth="1"/>
    <col min="3" max="3" width="10" customWidth="1"/>
    <col min="4" max="7" width="11" bestFit="1" customWidth="1"/>
    <col min="8" max="8" width="12.83203125" bestFit="1" customWidth="1"/>
    <col min="9" max="9" width="11" bestFit="1" customWidth="1"/>
    <col min="10" max="10" width="12.83203125" bestFit="1" customWidth="1"/>
    <col min="11" max="17" width="11" bestFit="1" customWidth="1"/>
    <col min="18" max="19" width="12.83203125" bestFit="1" customWidth="1"/>
    <col min="20" max="31" width="11" bestFit="1" customWidth="1"/>
  </cols>
  <sheetData>
    <row r="1" spans="1:4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s="5" customFormat="1" x14ac:dyDescent="0.2">
      <c r="B2" s="13" t="s">
        <v>151</v>
      </c>
      <c r="C2" s="14">
        <v>5.0999999999999996</v>
      </c>
      <c r="D2" s="14">
        <v>2.73</v>
      </c>
      <c r="E2" s="15">
        <v>17433.808225366654</v>
      </c>
      <c r="F2" s="15">
        <v>44263.274116712979</v>
      </c>
      <c r="G2" s="15">
        <v>70391.73801747727</v>
      </c>
      <c r="H2" s="15">
        <v>235125.12482524459</v>
      </c>
      <c r="I2" s="15">
        <v>1012.51460093136</v>
      </c>
      <c r="J2" s="15">
        <v>3984.7210573809657</v>
      </c>
      <c r="K2" s="15">
        <v>77901.849243005156</v>
      </c>
      <c r="L2" s="14">
        <v>31.8</v>
      </c>
      <c r="M2" s="15">
        <v>15343.331872534904</v>
      </c>
      <c r="N2" s="14">
        <v>309</v>
      </c>
      <c r="O2" s="15">
        <v>1277.8620466047339</v>
      </c>
      <c r="P2" s="15">
        <v>83172.081175881074</v>
      </c>
      <c r="Q2" s="14">
        <v>0.17</v>
      </c>
      <c r="R2" s="14">
        <v>8.6999999999999993</v>
      </c>
      <c r="S2" s="14">
        <v>356</v>
      </c>
      <c r="T2" s="14">
        <v>25.4</v>
      </c>
      <c r="U2" s="14">
        <v>152</v>
      </c>
      <c r="V2" s="14">
        <v>15</v>
      </c>
      <c r="W2" s="14">
        <v>0.115</v>
      </c>
      <c r="X2" s="14">
        <v>123</v>
      </c>
      <c r="Y2" s="14">
        <v>13.1</v>
      </c>
      <c r="Z2" s="14">
        <v>32.4</v>
      </c>
      <c r="AA2" s="14">
        <v>4.5999999999999996</v>
      </c>
      <c r="AB2" s="14">
        <v>21.6</v>
      </c>
      <c r="AC2" s="14">
        <v>5.54</v>
      </c>
      <c r="AD2" s="14">
        <v>1.92</v>
      </c>
      <c r="AE2" s="14">
        <v>5.92</v>
      </c>
      <c r="AF2" s="14">
        <v>0.89</v>
      </c>
      <c r="AG2" s="14">
        <v>5.22</v>
      </c>
      <c r="AH2" s="14">
        <v>0.96099999999999997</v>
      </c>
      <c r="AI2" s="14">
        <v>2.54</v>
      </c>
      <c r="AJ2" s="14">
        <v>0.33100000000000002</v>
      </c>
      <c r="AK2" s="14">
        <v>2.1</v>
      </c>
      <c r="AL2" s="14">
        <v>0.28499999999999998</v>
      </c>
      <c r="AM2" s="14">
        <v>3.93</v>
      </c>
      <c r="AN2" s="14">
        <v>0.96099999999999997</v>
      </c>
      <c r="AO2" s="14">
        <v>2.0699999999999998</v>
      </c>
      <c r="AP2" s="14">
        <v>1.02</v>
      </c>
      <c r="AQ2" s="14">
        <v>0.54800000000000004</v>
      </c>
    </row>
    <row r="3" spans="1:43" s="5" customFormat="1" x14ac:dyDescent="0.2">
      <c r="B3" s="12"/>
      <c r="C3"/>
      <c r="D3"/>
      <c r="E3" s="11"/>
      <c r="F3" s="11"/>
      <c r="G3" s="11"/>
      <c r="H3" s="11"/>
      <c r="I3" s="11"/>
      <c r="J3" s="11"/>
      <c r="K3" s="11"/>
      <c r="L3"/>
      <c r="M3" s="11"/>
      <c r="N3"/>
      <c r="O3" s="11"/>
      <c r="P3" s="11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s="5" customFormat="1" x14ac:dyDescent="0.2">
      <c r="A4" s="5">
        <v>2</v>
      </c>
      <c r="B4" s="5" t="s">
        <v>49</v>
      </c>
      <c r="C4" s="5">
        <v>5.22</v>
      </c>
      <c r="D4" s="5">
        <v>2.48</v>
      </c>
      <c r="E4" s="5">
        <v>17245.47</v>
      </c>
      <c r="F4" s="5">
        <v>44940.31</v>
      </c>
      <c r="G4" s="5">
        <v>69620.05</v>
      </c>
      <c r="H4" s="5">
        <v>233055.86</v>
      </c>
      <c r="I4" s="5">
        <v>919.53</v>
      </c>
      <c r="J4" s="5">
        <v>4019.08</v>
      </c>
      <c r="K4" s="5">
        <v>77901.7</v>
      </c>
      <c r="L4" s="5">
        <v>31.98</v>
      </c>
      <c r="M4" s="5">
        <v>15304.21</v>
      </c>
      <c r="N4" s="5">
        <v>310.73</v>
      </c>
      <c r="O4" s="5">
        <v>1286.29</v>
      </c>
      <c r="P4" s="5">
        <v>82919.679999999993</v>
      </c>
      <c r="Q4" s="5">
        <v>0.107</v>
      </c>
      <c r="R4" s="5">
        <v>8.89</v>
      </c>
      <c r="S4" s="5">
        <v>353.77</v>
      </c>
      <c r="T4" s="5">
        <v>24.97</v>
      </c>
      <c r="U4" s="5">
        <v>147.91</v>
      </c>
      <c r="V4" s="5">
        <v>14.71</v>
      </c>
      <c r="W4" s="5">
        <v>0.11</v>
      </c>
      <c r="X4" s="5">
        <v>123.03</v>
      </c>
      <c r="Y4" s="5">
        <v>13.2</v>
      </c>
      <c r="Z4" s="5">
        <v>31.48</v>
      </c>
      <c r="AA4" s="5">
        <v>4.63</v>
      </c>
      <c r="AB4" s="5">
        <v>21.51</v>
      </c>
      <c r="AC4" s="5">
        <v>5.69</v>
      </c>
      <c r="AD4" s="5">
        <v>1.83</v>
      </c>
      <c r="AE4" s="5">
        <v>5.69</v>
      </c>
      <c r="AF4" s="5">
        <v>0.88900000000000001</v>
      </c>
      <c r="AG4" s="5">
        <v>5.19</v>
      </c>
      <c r="AH4" s="5">
        <v>0.96</v>
      </c>
      <c r="AI4" s="5">
        <v>2.4900000000000002</v>
      </c>
      <c r="AJ4" s="5">
        <v>0.33</v>
      </c>
      <c r="AK4" s="5">
        <v>2.08</v>
      </c>
      <c r="AL4" s="5">
        <v>0.28799999999999998</v>
      </c>
      <c r="AM4" s="5">
        <v>3.69</v>
      </c>
      <c r="AN4" s="5">
        <v>0.93600000000000005</v>
      </c>
      <c r="AO4" s="5">
        <v>2.08</v>
      </c>
      <c r="AP4" s="5">
        <v>0.97699999999999998</v>
      </c>
      <c r="AQ4" s="5">
        <v>0.55800000000000005</v>
      </c>
    </row>
    <row r="5" spans="1:43" s="5" customFormat="1" x14ac:dyDescent="0.2">
      <c r="A5">
        <v>21</v>
      </c>
      <c r="B5" s="5" t="s">
        <v>77</v>
      </c>
      <c r="C5" s="5">
        <v>5.07</v>
      </c>
      <c r="D5" s="5">
        <v>2.67</v>
      </c>
      <c r="E5" s="5">
        <v>18232.34</v>
      </c>
      <c r="F5" s="5">
        <v>45009.120000000003</v>
      </c>
      <c r="G5" s="5">
        <v>73842.78</v>
      </c>
      <c r="H5" s="5">
        <v>243282.55</v>
      </c>
      <c r="I5" s="5">
        <v>1137.23</v>
      </c>
      <c r="J5" s="5">
        <v>3938.91</v>
      </c>
      <c r="K5" s="5">
        <v>77901.7</v>
      </c>
      <c r="L5" s="5">
        <v>31.33</v>
      </c>
      <c r="M5" s="5">
        <v>15301.9</v>
      </c>
      <c r="N5" s="5">
        <v>304.17</v>
      </c>
      <c r="O5" s="5">
        <v>1274.33</v>
      </c>
      <c r="P5" s="5">
        <v>88705.16</v>
      </c>
      <c r="Q5" s="5">
        <v>0.19</v>
      </c>
      <c r="R5" s="5">
        <v>8.58</v>
      </c>
      <c r="S5" s="5">
        <v>359</v>
      </c>
      <c r="T5" s="5">
        <v>26.11</v>
      </c>
      <c r="U5" s="5">
        <v>154.58000000000001</v>
      </c>
      <c r="V5" s="5">
        <v>14.98</v>
      </c>
      <c r="W5" s="5">
        <v>0.115</v>
      </c>
      <c r="X5" s="5">
        <v>131.63999999999999</v>
      </c>
      <c r="Y5" s="5">
        <v>14.4</v>
      </c>
      <c r="Z5" s="5">
        <v>33.36</v>
      </c>
      <c r="AA5" s="5">
        <v>4.6399999999999997</v>
      </c>
      <c r="AB5" s="5">
        <v>21.81</v>
      </c>
      <c r="AC5" s="5">
        <v>5.53</v>
      </c>
      <c r="AD5" s="5">
        <v>1.91</v>
      </c>
      <c r="AE5" s="5">
        <v>6.13</v>
      </c>
      <c r="AF5" s="5">
        <v>0.93899999999999995</v>
      </c>
      <c r="AG5" s="5">
        <v>5.54</v>
      </c>
      <c r="AH5" s="5">
        <v>1.03</v>
      </c>
      <c r="AI5" s="5">
        <v>2.73</v>
      </c>
      <c r="AJ5" s="5">
        <v>0.36099999999999999</v>
      </c>
      <c r="AK5" s="5">
        <v>2.14</v>
      </c>
      <c r="AL5" s="5">
        <v>0.30499999999999999</v>
      </c>
      <c r="AM5" s="5">
        <v>4.51</v>
      </c>
      <c r="AN5" s="5">
        <v>1.05</v>
      </c>
      <c r="AO5" s="5">
        <v>2.17</v>
      </c>
      <c r="AP5" s="5">
        <v>1.0900000000000001</v>
      </c>
      <c r="AQ5" s="5">
        <v>0.51300000000000001</v>
      </c>
    </row>
    <row r="6" spans="1:43" s="5" customFormat="1" x14ac:dyDescent="0.2">
      <c r="A6">
        <v>22</v>
      </c>
      <c r="B6" s="5" t="s">
        <v>78</v>
      </c>
      <c r="C6" s="5">
        <v>4.99</v>
      </c>
      <c r="D6" s="5">
        <v>2.17</v>
      </c>
      <c r="E6" s="5">
        <v>16495.439999999999</v>
      </c>
      <c r="F6" s="5">
        <v>43181.3</v>
      </c>
      <c r="G6" s="5">
        <v>70714.100000000006</v>
      </c>
      <c r="H6" s="5">
        <v>235469.27</v>
      </c>
      <c r="I6" s="5">
        <v>1106.6199999999999</v>
      </c>
      <c r="J6" s="5">
        <v>3869.52</v>
      </c>
      <c r="K6" s="5">
        <v>77901.69</v>
      </c>
      <c r="L6" s="5">
        <v>31.8</v>
      </c>
      <c r="M6" s="5">
        <v>14851.05</v>
      </c>
      <c r="N6" s="5">
        <v>294.01</v>
      </c>
      <c r="O6" s="5">
        <v>1192.07</v>
      </c>
      <c r="P6" s="5">
        <v>76965.73</v>
      </c>
      <c r="Q6" s="5">
        <v>0.19700000000000001</v>
      </c>
      <c r="R6" s="5">
        <v>8.36</v>
      </c>
      <c r="S6" s="5">
        <v>358.73</v>
      </c>
      <c r="T6" s="5">
        <v>26.21</v>
      </c>
      <c r="U6" s="5">
        <v>153.34</v>
      </c>
      <c r="V6" s="5">
        <v>14.44</v>
      </c>
      <c r="W6" s="5">
        <v>0.105</v>
      </c>
      <c r="X6" s="5">
        <v>118.46</v>
      </c>
      <c r="Y6" s="5">
        <v>12.9</v>
      </c>
      <c r="Z6" s="5">
        <v>32.85</v>
      </c>
      <c r="AA6" s="5">
        <v>4.7300000000000004</v>
      </c>
      <c r="AB6" s="5">
        <v>21.53</v>
      </c>
      <c r="AC6" s="5">
        <v>5.46</v>
      </c>
      <c r="AD6" s="5">
        <v>2</v>
      </c>
      <c r="AE6" s="5">
        <v>5.65</v>
      </c>
      <c r="AF6" s="5">
        <v>0.877</v>
      </c>
      <c r="AG6" s="5">
        <v>5.41</v>
      </c>
      <c r="AH6" s="5">
        <v>0.99</v>
      </c>
      <c r="AI6" s="5">
        <v>2.5499999999999998</v>
      </c>
      <c r="AJ6" s="5">
        <v>0.36499999999999999</v>
      </c>
      <c r="AK6" s="5">
        <v>2.1</v>
      </c>
      <c r="AL6" s="5">
        <v>0.26400000000000001</v>
      </c>
      <c r="AM6" s="5">
        <v>3.89</v>
      </c>
      <c r="AN6" s="5">
        <v>0.94</v>
      </c>
      <c r="AO6" s="5">
        <v>1.97</v>
      </c>
      <c r="AP6" s="5">
        <v>1.03</v>
      </c>
      <c r="AQ6" s="5">
        <v>0.51500000000000001</v>
      </c>
    </row>
    <row r="7" spans="1:43" s="5" customFormat="1" x14ac:dyDescent="0.2">
      <c r="A7">
        <v>37</v>
      </c>
      <c r="B7" s="5" t="s">
        <v>94</v>
      </c>
      <c r="C7" s="5">
        <v>4.4800000000000004</v>
      </c>
      <c r="D7" s="5">
        <v>2.2400000000000002</v>
      </c>
      <c r="E7" s="5">
        <v>16538.59</v>
      </c>
      <c r="F7" s="5">
        <v>41223.550000000003</v>
      </c>
      <c r="G7" s="5">
        <v>67925.31</v>
      </c>
      <c r="H7" s="5">
        <v>230785.91</v>
      </c>
      <c r="I7" s="5">
        <v>963.73</v>
      </c>
      <c r="J7" s="5">
        <v>4043.26</v>
      </c>
      <c r="K7" s="5">
        <v>77901.69</v>
      </c>
      <c r="L7" s="5">
        <v>31.62</v>
      </c>
      <c r="M7" s="5">
        <v>14438.25</v>
      </c>
      <c r="N7" s="5">
        <v>281.27</v>
      </c>
      <c r="O7" s="5">
        <v>1156.76</v>
      </c>
      <c r="P7" s="5">
        <v>75409.52</v>
      </c>
      <c r="Q7" s="5">
        <v>0.124</v>
      </c>
      <c r="R7" s="5">
        <v>8.5</v>
      </c>
      <c r="S7" s="5">
        <v>341</v>
      </c>
      <c r="T7" s="5">
        <v>26.36</v>
      </c>
      <c r="U7" s="5">
        <v>155.91999999999999</v>
      </c>
      <c r="V7" s="5">
        <v>13.88</v>
      </c>
      <c r="W7" s="5">
        <v>0.127</v>
      </c>
      <c r="X7" s="5">
        <v>107.87</v>
      </c>
      <c r="Y7" s="5">
        <v>11.96</v>
      </c>
      <c r="Z7" s="5">
        <v>29.97</v>
      </c>
      <c r="AA7" s="5">
        <v>4.4000000000000004</v>
      </c>
      <c r="AB7" s="5">
        <v>21</v>
      </c>
      <c r="AC7" s="5">
        <v>5.39</v>
      </c>
      <c r="AD7" s="5">
        <v>1.72</v>
      </c>
      <c r="AE7" s="5">
        <v>5.81</v>
      </c>
      <c r="AF7" s="5">
        <v>0.84199999999999997</v>
      </c>
      <c r="AG7" s="5">
        <v>5.2</v>
      </c>
      <c r="AH7" s="5">
        <v>0.9</v>
      </c>
      <c r="AI7" s="5">
        <v>2.23</v>
      </c>
      <c r="AJ7" s="5">
        <v>0.315</v>
      </c>
      <c r="AK7" s="5">
        <v>2.23</v>
      </c>
      <c r="AL7" s="5">
        <v>0.29199999999999998</v>
      </c>
      <c r="AM7" s="5">
        <v>3.91</v>
      </c>
      <c r="AN7" s="5">
        <v>0.89</v>
      </c>
      <c r="AO7" s="5">
        <v>1.88</v>
      </c>
      <c r="AP7" s="5">
        <v>1.02</v>
      </c>
      <c r="AQ7" s="5">
        <v>0.438</v>
      </c>
    </row>
    <row r="8" spans="1:43" s="5" customFormat="1" x14ac:dyDescent="0.2">
      <c r="A8">
        <v>39</v>
      </c>
      <c r="B8" s="5" t="s">
        <v>97</v>
      </c>
      <c r="C8" s="5">
        <v>5.07</v>
      </c>
      <c r="D8" s="5">
        <v>2.2799999999999998</v>
      </c>
      <c r="E8" s="5">
        <v>17274.14</v>
      </c>
      <c r="F8" s="5">
        <v>43054.39</v>
      </c>
      <c r="G8" s="5">
        <v>68768.38</v>
      </c>
      <c r="H8" s="5">
        <v>238980.2</v>
      </c>
      <c r="I8" s="5">
        <v>1008.25</v>
      </c>
      <c r="J8" s="5">
        <v>4070.78</v>
      </c>
      <c r="K8" s="5">
        <v>77901.679999999993</v>
      </c>
      <c r="L8" s="5">
        <v>32.54</v>
      </c>
      <c r="M8" s="5">
        <v>15758.94</v>
      </c>
      <c r="N8" s="5">
        <v>313.24</v>
      </c>
      <c r="O8" s="5">
        <v>1277.02</v>
      </c>
      <c r="P8" s="5">
        <v>82468.350000000006</v>
      </c>
      <c r="Q8" s="5">
        <v>0.22</v>
      </c>
      <c r="R8" s="5">
        <v>8.7899999999999991</v>
      </c>
      <c r="S8" s="5">
        <v>347.28</v>
      </c>
      <c r="T8" s="5">
        <v>25.28</v>
      </c>
      <c r="U8" s="5">
        <v>146.94</v>
      </c>
      <c r="V8" s="5">
        <v>15.23</v>
      </c>
      <c r="W8" s="5">
        <v>0.13200000000000001</v>
      </c>
      <c r="X8" s="5">
        <v>122.1</v>
      </c>
      <c r="Y8" s="5">
        <v>13.01</v>
      </c>
      <c r="Z8" s="5">
        <v>31.82</v>
      </c>
      <c r="AA8" s="5">
        <v>4.59</v>
      </c>
      <c r="AB8" s="5">
        <v>21.38</v>
      </c>
      <c r="AC8" s="5">
        <v>5.44</v>
      </c>
      <c r="AD8" s="5">
        <v>1.95</v>
      </c>
      <c r="AE8" s="5">
        <v>6.02</v>
      </c>
      <c r="AF8" s="5">
        <v>0.87</v>
      </c>
      <c r="AG8" s="5">
        <v>5.0599999999999996</v>
      </c>
      <c r="AH8" s="5">
        <v>1</v>
      </c>
      <c r="AI8" s="5">
        <v>2.5299999999999998</v>
      </c>
      <c r="AJ8" s="5">
        <v>0.32</v>
      </c>
      <c r="AK8" s="5">
        <v>1.97</v>
      </c>
      <c r="AL8" s="5">
        <v>0.28499999999999998</v>
      </c>
      <c r="AM8" s="5">
        <v>4.1399999999999997</v>
      </c>
      <c r="AN8" s="5">
        <v>0.92</v>
      </c>
      <c r="AO8" s="5">
        <v>2.13</v>
      </c>
      <c r="AP8" s="5">
        <v>1.01</v>
      </c>
      <c r="AQ8" s="5">
        <v>0.47399999999999998</v>
      </c>
    </row>
    <row r="9" spans="1:43" s="5" customFormat="1" x14ac:dyDescent="0.2">
      <c r="A9">
        <v>40</v>
      </c>
      <c r="B9" s="5" t="s">
        <v>98</v>
      </c>
      <c r="C9" s="5">
        <v>4.99</v>
      </c>
      <c r="D9" s="5">
        <v>2.4700000000000002</v>
      </c>
      <c r="E9" s="5">
        <v>17742.599999999999</v>
      </c>
      <c r="F9" s="5">
        <v>43981.13</v>
      </c>
      <c r="G9" s="5">
        <v>69712.149999999994</v>
      </c>
      <c r="H9" s="5">
        <v>240256.08</v>
      </c>
      <c r="I9" s="5">
        <v>1042.94</v>
      </c>
      <c r="J9" s="5">
        <v>3973.53</v>
      </c>
      <c r="K9" s="5">
        <v>77901.69</v>
      </c>
      <c r="L9" s="5">
        <v>31.49</v>
      </c>
      <c r="M9" s="5">
        <v>15681.25</v>
      </c>
      <c r="N9" s="5">
        <v>310.45999999999998</v>
      </c>
      <c r="O9" s="5">
        <v>1267.8599999999999</v>
      </c>
      <c r="P9" s="5">
        <v>84367.95</v>
      </c>
      <c r="Q9" s="5">
        <v>0.155</v>
      </c>
      <c r="R9" s="5">
        <v>8.93</v>
      </c>
      <c r="S9" s="5">
        <v>352.89</v>
      </c>
      <c r="T9" s="5">
        <v>24.92</v>
      </c>
      <c r="U9" s="5">
        <v>148.61000000000001</v>
      </c>
      <c r="V9" s="5">
        <v>14.96</v>
      </c>
      <c r="W9" s="5">
        <v>0.126</v>
      </c>
      <c r="X9" s="5">
        <v>119.61</v>
      </c>
      <c r="Y9" s="5">
        <v>12.62</v>
      </c>
      <c r="Z9" s="5">
        <v>32.14</v>
      </c>
      <c r="AA9" s="5">
        <v>4.4400000000000004</v>
      </c>
      <c r="AB9" s="5">
        <v>20.11</v>
      </c>
      <c r="AC9" s="5">
        <v>5.31</v>
      </c>
      <c r="AD9" s="5">
        <v>1.91</v>
      </c>
      <c r="AE9" s="5">
        <v>5.7</v>
      </c>
      <c r="AF9" s="5">
        <v>0.86399999999999999</v>
      </c>
      <c r="AG9" s="5">
        <v>5.03</v>
      </c>
      <c r="AH9" s="5">
        <v>0.9</v>
      </c>
      <c r="AI9" s="5">
        <v>2.5499999999999998</v>
      </c>
      <c r="AJ9" s="5">
        <v>0.34</v>
      </c>
      <c r="AK9" s="5">
        <v>2.06</v>
      </c>
      <c r="AL9" s="5">
        <v>0.32300000000000001</v>
      </c>
      <c r="AM9" s="5">
        <v>3.97</v>
      </c>
      <c r="AN9" s="5">
        <v>0.9</v>
      </c>
      <c r="AO9" s="5">
        <v>2.06</v>
      </c>
      <c r="AP9" s="5">
        <v>1.03</v>
      </c>
      <c r="AQ9" s="5">
        <v>0.502</v>
      </c>
    </row>
    <row r="10" spans="1:43" s="5" customFormat="1" x14ac:dyDescent="0.2">
      <c r="A10">
        <v>59</v>
      </c>
      <c r="B10" s="5" t="s">
        <v>119</v>
      </c>
      <c r="C10" s="5">
        <v>5.36</v>
      </c>
      <c r="D10" s="5">
        <v>2.69</v>
      </c>
      <c r="E10" s="5">
        <v>18456.32</v>
      </c>
      <c r="F10" s="5">
        <v>47137.7</v>
      </c>
      <c r="G10" s="5">
        <v>72412.02</v>
      </c>
      <c r="H10" s="5">
        <v>243090.78</v>
      </c>
      <c r="I10" s="5">
        <v>1039.77</v>
      </c>
      <c r="J10" s="5">
        <v>4065</v>
      </c>
      <c r="K10" s="5">
        <v>77901.69</v>
      </c>
      <c r="L10" s="5">
        <v>32.49</v>
      </c>
      <c r="M10" s="5">
        <v>15717.06</v>
      </c>
      <c r="N10" s="5">
        <v>323.55</v>
      </c>
      <c r="O10" s="5">
        <v>1378.75</v>
      </c>
      <c r="P10" s="5">
        <v>85458.8</v>
      </c>
      <c r="Q10" s="5">
        <v>0.108</v>
      </c>
      <c r="R10" s="5">
        <v>9.07</v>
      </c>
      <c r="S10" s="5">
        <v>354.72</v>
      </c>
      <c r="T10" s="5">
        <v>25.77</v>
      </c>
      <c r="U10" s="5">
        <v>152.74</v>
      </c>
      <c r="V10" s="5">
        <v>15.93</v>
      </c>
      <c r="W10" s="5">
        <v>0.11799999999999999</v>
      </c>
      <c r="X10" s="5">
        <v>127.28</v>
      </c>
      <c r="Y10" s="5">
        <v>13.73</v>
      </c>
      <c r="Z10" s="5">
        <v>33.71</v>
      </c>
      <c r="AA10" s="5">
        <v>4.59</v>
      </c>
      <c r="AB10" s="5">
        <v>22.88</v>
      </c>
      <c r="AC10" s="5">
        <v>5.57</v>
      </c>
      <c r="AD10" s="5">
        <v>1.98</v>
      </c>
      <c r="AE10" s="5">
        <v>5.73</v>
      </c>
      <c r="AF10" s="5">
        <v>0.93</v>
      </c>
      <c r="AG10" s="5">
        <v>5.27</v>
      </c>
      <c r="AH10" s="5">
        <v>1.06</v>
      </c>
      <c r="AI10" s="5">
        <v>2.65</v>
      </c>
      <c r="AJ10" s="5">
        <v>0.38800000000000001</v>
      </c>
      <c r="AK10" s="5">
        <v>2.15</v>
      </c>
      <c r="AL10" s="5">
        <v>0.28299999999999997</v>
      </c>
      <c r="AM10" s="5">
        <v>3.91</v>
      </c>
      <c r="AN10" s="5">
        <v>1.01</v>
      </c>
      <c r="AO10" s="5">
        <v>1.94</v>
      </c>
      <c r="AP10" s="5">
        <v>0.97</v>
      </c>
      <c r="AQ10" s="5">
        <v>0.56999999999999995</v>
      </c>
    </row>
    <row r="11" spans="1:43" s="5" customFormat="1" x14ac:dyDescent="0.2">
      <c r="A11">
        <v>60</v>
      </c>
      <c r="B11" s="5" t="s">
        <v>120</v>
      </c>
      <c r="C11" s="5">
        <v>4.9800000000000004</v>
      </c>
      <c r="D11" s="5">
        <v>2.34</v>
      </c>
      <c r="E11" s="5">
        <v>16459.330000000002</v>
      </c>
      <c r="F11" s="5">
        <v>41467.129999999997</v>
      </c>
      <c r="G11" s="5">
        <v>66350.84</v>
      </c>
      <c r="H11" s="5">
        <v>221212.44</v>
      </c>
      <c r="I11" s="5">
        <v>1014.12</v>
      </c>
      <c r="J11" s="5">
        <v>3966.92</v>
      </c>
      <c r="K11" s="5">
        <v>77901.69</v>
      </c>
      <c r="L11" s="5">
        <v>32.270000000000003</v>
      </c>
      <c r="M11" s="5">
        <v>15465.77</v>
      </c>
      <c r="N11" s="5">
        <v>305.41000000000003</v>
      </c>
      <c r="O11" s="5">
        <v>1261.6500000000001</v>
      </c>
      <c r="P11" s="5">
        <v>78220.009999999995</v>
      </c>
      <c r="Q11" s="5">
        <v>0.17</v>
      </c>
      <c r="R11" s="5">
        <v>8.06</v>
      </c>
      <c r="S11" s="5">
        <v>336.72</v>
      </c>
      <c r="T11" s="5">
        <v>25.2</v>
      </c>
      <c r="U11" s="5">
        <v>151.9</v>
      </c>
      <c r="V11" s="5">
        <v>14.9</v>
      </c>
      <c r="W11" s="5">
        <v>0.126</v>
      </c>
      <c r="X11" s="5">
        <v>116.28</v>
      </c>
      <c r="Y11" s="5">
        <v>12.11</v>
      </c>
      <c r="Z11" s="5">
        <v>30.23</v>
      </c>
      <c r="AA11" s="5">
        <v>4.5</v>
      </c>
      <c r="AB11" s="5">
        <v>21.77</v>
      </c>
      <c r="AC11" s="5">
        <v>5.66</v>
      </c>
      <c r="AD11" s="5">
        <v>1.79</v>
      </c>
      <c r="AE11" s="5">
        <v>5.68</v>
      </c>
      <c r="AF11" s="5">
        <v>0.85</v>
      </c>
      <c r="AG11" s="5">
        <v>5.3</v>
      </c>
      <c r="AH11" s="5">
        <v>0.95</v>
      </c>
      <c r="AI11" s="5">
        <v>2.35</v>
      </c>
      <c r="AJ11" s="5">
        <v>0.29499999999999998</v>
      </c>
      <c r="AK11" s="5">
        <v>2.1</v>
      </c>
      <c r="AL11" s="5">
        <v>0.30399999999999999</v>
      </c>
      <c r="AM11" s="5">
        <v>3.84</v>
      </c>
      <c r="AN11" s="5">
        <v>0.95</v>
      </c>
      <c r="AO11" s="5">
        <v>2.0099999999999998</v>
      </c>
      <c r="AP11" s="5">
        <v>1.03</v>
      </c>
      <c r="AQ11" s="5">
        <v>0.57999999999999996</v>
      </c>
    </row>
    <row r="12" spans="1:43" s="5" customFormat="1" x14ac:dyDescent="0.2">
      <c r="A12">
        <v>61</v>
      </c>
      <c r="B12" s="5" t="s">
        <v>121</v>
      </c>
      <c r="C12" s="5">
        <v>4.54</v>
      </c>
      <c r="D12" s="5">
        <v>2.38</v>
      </c>
      <c r="E12" s="5">
        <v>16297.88</v>
      </c>
      <c r="F12" s="5">
        <v>42843.3</v>
      </c>
      <c r="G12" s="5">
        <v>70661.759999999995</v>
      </c>
      <c r="H12" s="5">
        <v>244224.97</v>
      </c>
      <c r="I12" s="5">
        <v>1003.72</v>
      </c>
      <c r="J12" s="5">
        <v>4069.83</v>
      </c>
      <c r="K12" s="5">
        <v>77901.69</v>
      </c>
      <c r="L12" s="5">
        <v>30.45</v>
      </c>
      <c r="M12" s="5">
        <v>14316.11</v>
      </c>
      <c r="N12" s="5">
        <v>280.62</v>
      </c>
      <c r="O12" s="5">
        <v>1159.78</v>
      </c>
      <c r="P12" s="5">
        <v>79249.73</v>
      </c>
      <c r="Q12" s="5">
        <v>0.16</v>
      </c>
      <c r="R12" s="5">
        <v>8.4600000000000009</v>
      </c>
      <c r="S12" s="5">
        <v>357.21</v>
      </c>
      <c r="T12" s="5">
        <v>25.5</v>
      </c>
      <c r="U12" s="5">
        <v>155.97</v>
      </c>
      <c r="V12" s="5">
        <v>14.37</v>
      </c>
      <c r="W12" s="5">
        <v>0.10299999999999999</v>
      </c>
      <c r="X12" s="5">
        <v>115.17</v>
      </c>
      <c r="Y12" s="5">
        <v>12.3</v>
      </c>
      <c r="Z12" s="5">
        <v>32.25</v>
      </c>
      <c r="AA12" s="5">
        <v>4.75</v>
      </c>
      <c r="AB12" s="5">
        <v>22.75</v>
      </c>
      <c r="AC12" s="5">
        <v>5.37</v>
      </c>
      <c r="AD12" s="5">
        <v>1.79</v>
      </c>
      <c r="AE12" s="5">
        <v>5.45</v>
      </c>
      <c r="AF12" s="5">
        <v>0.9</v>
      </c>
      <c r="AG12" s="5">
        <v>5.1100000000000003</v>
      </c>
      <c r="AH12" s="5">
        <v>0.91</v>
      </c>
      <c r="AI12" s="5">
        <v>2.2999999999999998</v>
      </c>
      <c r="AJ12" s="5">
        <v>0.32300000000000001</v>
      </c>
      <c r="AK12" s="5">
        <v>2.2000000000000002</v>
      </c>
      <c r="AL12" s="5">
        <v>0.28299999999999997</v>
      </c>
      <c r="AM12" s="5">
        <v>3.68</v>
      </c>
      <c r="AN12" s="5">
        <v>0.92</v>
      </c>
      <c r="AO12" s="5">
        <v>2.13</v>
      </c>
      <c r="AP12" s="5">
        <v>1.06</v>
      </c>
      <c r="AQ12" s="5">
        <v>0.53</v>
      </c>
    </row>
    <row r="13" spans="1:43" s="5" customFormat="1" x14ac:dyDescent="0.2">
      <c r="A13">
        <v>76</v>
      </c>
      <c r="B13" s="5" t="s">
        <v>138</v>
      </c>
      <c r="C13" s="5">
        <v>5.09</v>
      </c>
      <c r="D13" s="5">
        <v>3.13</v>
      </c>
      <c r="E13" s="5">
        <v>16812.689999999999</v>
      </c>
      <c r="F13" s="5">
        <v>43846.64</v>
      </c>
      <c r="G13" s="5">
        <v>68025.53</v>
      </c>
      <c r="H13" s="5">
        <v>237209.92</v>
      </c>
      <c r="I13" s="5">
        <v>977.62</v>
      </c>
      <c r="J13" s="5">
        <v>4045.55</v>
      </c>
      <c r="K13" s="5">
        <v>77901.69</v>
      </c>
      <c r="L13" s="5">
        <v>32.549999999999997</v>
      </c>
      <c r="M13" s="5">
        <v>15526.99</v>
      </c>
      <c r="N13" s="5">
        <v>314.20999999999998</v>
      </c>
      <c r="O13" s="5">
        <v>1283.19</v>
      </c>
      <c r="P13" s="5">
        <v>83340.62</v>
      </c>
      <c r="Q13" s="5">
        <v>0.16</v>
      </c>
      <c r="R13" s="5">
        <v>8.73</v>
      </c>
      <c r="S13" s="5">
        <v>351.57</v>
      </c>
      <c r="T13" s="5">
        <v>24.99</v>
      </c>
      <c r="U13" s="5">
        <v>148.12</v>
      </c>
      <c r="V13" s="5">
        <v>14.77</v>
      </c>
      <c r="W13" s="5">
        <v>8.4000000000000005E-2</v>
      </c>
      <c r="X13" s="5">
        <v>120.24</v>
      </c>
      <c r="Y13" s="5">
        <v>12.75</v>
      </c>
      <c r="Z13" s="5">
        <v>32.01</v>
      </c>
      <c r="AA13" s="5">
        <v>4.5999999999999996</v>
      </c>
      <c r="AB13" s="5">
        <v>21.52</v>
      </c>
      <c r="AC13" s="5">
        <v>5.12</v>
      </c>
      <c r="AD13" s="5">
        <v>1.97</v>
      </c>
      <c r="AE13" s="5">
        <v>5.85</v>
      </c>
      <c r="AF13" s="5">
        <v>0.84</v>
      </c>
      <c r="AG13" s="5">
        <v>5.0999999999999996</v>
      </c>
      <c r="AH13" s="5">
        <v>0.91</v>
      </c>
      <c r="AI13" s="5">
        <v>2.36</v>
      </c>
      <c r="AJ13" s="5">
        <v>0.34200000000000003</v>
      </c>
      <c r="AK13" s="5">
        <v>2</v>
      </c>
      <c r="AL13" s="5">
        <v>0.252</v>
      </c>
      <c r="AM13" s="5">
        <v>3.71</v>
      </c>
      <c r="AN13" s="5">
        <v>0.88</v>
      </c>
      <c r="AO13" s="5">
        <v>2.04</v>
      </c>
      <c r="AP13" s="5">
        <v>0.98</v>
      </c>
      <c r="AQ13" s="5">
        <v>0.55000000000000004</v>
      </c>
    </row>
    <row r="14" spans="1:43" x14ac:dyDescent="0.2">
      <c r="A14">
        <v>77</v>
      </c>
      <c r="B14" s="5" t="s">
        <v>139</v>
      </c>
      <c r="C14" s="5">
        <v>5.49</v>
      </c>
      <c r="D14" s="5">
        <v>3.53</v>
      </c>
      <c r="E14" s="5">
        <v>18660.55</v>
      </c>
      <c r="F14" s="5">
        <v>46127.8</v>
      </c>
      <c r="G14" s="5">
        <v>72836.210000000006</v>
      </c>
      <c r="H14" s="5">
        <v>237350.97</v>
      </c>
      <c r="I14" s="5">
        <v>959.57</v>
      </c>
      <c r="J14" s="5">
        <v>3855.19</v>
      </c>
      <c r="K14" s="5">
        <v>77901.69</v>
      </c>
      <c r="L14" s="5">
        <v>32.119999999999997</v>
      </c>
      <c r="M14" s="5">
        <v>15658.33</v>
      </c>
      <c r="N14" s="5">
        <v>320.51</v>
      </c>
      <c r="O14" s="5">
        <v>1318.09</v>
      </c>
      <c r="P14" s="5">
        <v>86902.23</v>
      </c>
      <c r="Q14" s="5">
        <v>0.24</v>
      </c>
      <c r="R14" s="5">
        <v>9.0299999999999994</v>
      </c>
      <c r="S14" s="5">
        <v>371.1</v>
      </c>
      <c r="T14" s="5">
        <v>25.1</v>
      </c>
      <c r="U14" s="5">
        <v>154.41</v>
      </c>
      <c r="V14" s="5">
        <v>15.3</v>
      </c>
      <c r="W14" s="5">
        <v>0.106</v>
      </c>
      <c r="X14" s="5">
        <v>135.31</v>
      </c>
      <c r="Y14" s="5">
        <v>14.25</v>
      </c>
      <c r="Z14" s="5">
        <v>33.57</v>
      </c>
      <c r="AA14" s="5">
        <v>4.57</v>
      </c>
      <c r="AB14" s="5">
        <v>21.58</v>
      </c>
      <c r="AC14" s="5">
        <v>5.77</v>
      </c>
      <c r="AD14" s="5">
        <v>2.09</v>
      </c>
      <c r="AE14" s="5">
        <v>6.29</v>
      </c>
      <c r="AF14" s="5">
        <v>0.9</v>
      </c>
      <c r="AG14" s="5">
        <v>5.09</v>
      </c>
      <c r="AH14" s="5">
        <v>0.99</v>
      </c>
      <c r="AI14" s="5">
        <v>2.69</v>
      </c>
      <c r="AJ14" s="5">
        <v>0.32</v>
      </c>
      <c r="AK14" s="5">
        <v>2.14</v>
      </c>
      <c r="AL14" s="5">
        <v>0.30099999999999999</v>
      </c>
      <c r="AM14" s="5">
        <v>4.25</v>
      </c>
      <c r="AN14" s="5">
        <v>1.04</v>
      </c>
      <c r="AO14" s="5">
        <v>2.17</v>
      </c>
      <c r="AP14" s="5">
        <v>0.99</v>
      </c>
      <c r="AQ14">
        <v>0.6</v>
      </c>
    </row>
    <row r="15" spans="1:43" x14ac:dyDescent="0.2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x14ac:dyDescent="0.2">
      <c r="B16" s="5" t="s">
        <v>147</v>
      </c>
      <c r="C16">
        <f>AVERAGE(C4:C14)</f>
        <v>5.0254545454545445</v>
      </c>
      <c r="D16">
        <f t="shared" ref="D16:AQ16" si="0">AVERAGE(D4:D14)</f>
        <v>2.58</v>
      </c>
      <c r="E16">
        <f t="shared" si="0"/>
        <v>17292.304545454543</v>
      </c>
      <c r="F16">
        <f t="shared" si="0"/>
        <v>43892.033636363638</v>
      </c>
      <c r="G16">
        <f t="shared" si="0"/>
        <v>70079.011818181825</v>
      </c>
      <c r="H16">
        <f t="shared" si="0"/>
        <v>236810.81363636366</v>
      </c>
      <c r="I16">
        <f t="shared" si="0"/>
        <v>1015.7363636363639</v>
      </c>
      <c r="J16">
        <f t="shared" si="0"/>
        <v>3992.5063636363643</v>
      </c>
      <c r="K16">
        <f t="shared" si="0"/>
        <v>77901.690909090903</v>
      </c>
      <c r="L16">
        <f t="shared" si="0"/>
        <v>31.876363636363639</v>
      </c>
      <c r="M16">
        <f t="shared" si="0"/>
        <v>15274.532727272726</v>
      </c>
      <c r="N16">
        <f t="shared" si="0"/>
        <v>305.28909090909093</v>
      </c>
      <c r="O16">
        <f t="shared" si="0"/>
        <v>1259.6172727272726</v>
      </c>
      <c r="P16">
        <f t="shared" si="0"/>
        <v>82182.525454545452</v>
      </c>
      <c r="Q16">
        <f t="shared" si="0"/>
        <v>0.16645454545454544</v>
      </c>
      <c r="R16">
        <f t="shared" si="0"/>
        <v>8.672727272727272</v>
      </c>
      <c r="S16">
        <f t="shared" si="0"/>
        <v>353.09000000000009</v>
      </c>
      <c r="T16">
        <f t="shared" si="0"/>
        <v>25.491818181818186</v>
      </c>
      <c r="U16">
        <f t="shared" si="0"/>
        <v>151.85818181818183</v>
      </c>
      <c r="V16">
        <f t="shared" si="0"/>
        <v>14.860909090909097</v>
      </c>
      <c r="W16">
        <f t="shared" si="0"/>
        <v>0.11381818181818183</v>
      </c>
      <c r="X16">
        <f t="shared" si="0"/>
        <v>121.54454545454546</v>
      </c>
      <c r="Y16">
        <f t="shared" si="0"/>
        <v>13.020909090909093</v>
      </c>
      <c r="Z16">
        <f t="shared" si="0"/>
        <v>32.126363636363635</v>
      </c>
      <c r="AA16">
        <f t="shared" si="0"/>
        <v>4.585454545454545</v>
      </c>
      <c r="AB16">
        <f t="shared" si="0"/>
        <v>21.621818181818185</v>
      </c>
      <c r="AC16">
        <f t="shared" si="0"/>
        <v>5.4827272727272716</v>
      </c>
      <c r="AD16">
        <f t="shared" si="0"/>
        <v>1.9036363636363633</v>
      </c>
      <c r="AE16">
        <f t="shared" si="0"/>
        <v>5.8181818181818192</v>
      </c>
      <c r="AF16">
        <f t="shared" si="0"/>
        <v>0.88190909090909098</v>
      </c>
      <c r="AG16">
        <f t="shared" si="0"/>
        <v>5.209090909090909</v>
      </c>
      <c r="AH16">
        <f t="shared" si="0"/>
        <v>0.96363636363636362</v>
      </c>
      <c r="AI16">
        <f t="shared" si="0"/>
        <v>2.4936363636363637</v>
      </c>
      <c r="AJ16">
        <f t="shared" si="0"/>
        <v>0.33627272727272728</v>
      </c>
      <c r="AK16">
        <f t="shared" si="0"/>
        <v>2.1063636363636364</v>
      </c>
      <c r="AL16">
        <f t="shared" si="0"/>
        <v>0.28909090909090907</v>
      </c>
      <c r="AM16">
        <f t="shared" si="0"/>
        <v>3.9545454545454546</v>
      </c>
      <c r="AN16">
        <f t="shared" si="0"/>
        <v>0.94872727272727309</v>
      </c>
      <c r="AO16">
        <f t="shared" si="0"/>
        <v>2.0527272727272727</v>
      </c>
      <c r="AP16">
        <f t="shared" si="0"/>
        <v>1.0170000000000001</v>
      </c>
      <c r="AQ16">
        <f t="shared" si="0"/>
        <v>0.52999999999999992</v>
      </c>
    </row>
    <row r="17" spans="1:43" s="9" customFormat="1" x14ac:dyDescent="0.2">
      <c r="B17" s="5" t="s">
        <v>148</v>
      </c>
      <c r="C17">
        <f>STDEV(C4:C14)</f>
        <v>0.3019060660657098</v>
      </c>
      <c r="D17">
        <f t="shared" ref="D17:AQ17" si="1">STDEV(D4:D14)</f>
        <v>0.41456000771902846</v>
      </c>
      <c r="E17">
        <f t="shared" si="1"/>
        <v>862.08000103660481</v>
      </c>
      <c r="F17">
        <f t="shared" si="1"/>
        <v>1822.0142525802187</v>
      </c>
      <c r="G17">
        <f t="shared" si="1"/>
        <v>2297.2032097958536</v>
      </c>
      <c r="H17">
        <f t="shared" si="1"/>
        <v>6699.4503956492908</v>
      </c>
      <c r="I17">
        <f t="shared" si="1"/>
        <v>64.116368935354913</v>
      </c>
      <c r="J17">
        <f t="shared" si="1"/>
        <v>78.310609277763575</v>
      </c>
      <c r="K17">
        <f t="shared" si="1"/>
        <v>5.3935988998236681E-3</v>
      </c>
      <c r="L17">
        <f t="shared" si="1"/>
        <v>0.63636896101668472</v>
      </c>
      <c r="M17">
        <f t="shared" si="1"/>
        <v>514.04442424932313</v>
      </c>
      <c r="N17">
        <f t="shared" si="1"/>
        <v>14.416115603410967</v>
      </c>
      <c r="O17">
        <f t="shared" si="1"/>
        <v>66.768182406129512</v>
      </c>
      <c r="P17">
        <f t="shared" si="1"/>
        <v>4238.9630669477747</v>
      </c>
      <c r="Q17">
        <f t="shared" si="1"/>
        <v>4.3295181340106841E-2</v>
      </c>
      <c r="R17">
        <f t="shared" si="1"/>
        <v>0.31190033373149523</v>
      </c>
      <c r="S17">
        <f t="shared" si="1"/>
        <v>9.2813953692319373</v>
      </c>
      <c r="T17">
        <f t="shared" si="1"/>
        <v>0.53514144264517904</v>
      </c>
      <c r="U17">
        <f t="shared" si="1"/>
        <v>3.3852911785600295</v>
      </c>
      <c r="V17">
        <f t="shared" si="1"/>
        <v>0.53934134915570031</v>
      </c>
      <c r="W17">
        <f t="shared" si="1"/>
        <v>1.4069955094584781E-2</v>
      </c>
      <c r="X17">
        <f t="shared" si="1"/>
        <v>7.7273454221179501</v>
      </c>
      <c r="Y17">
        <f t="shared" si="1"/>
        <v>0.81677970769913899</v>
      </c>
      <c r="Z17">
        <f t="shared" si="1"/>
        <v>1.2419442236048506</v>
      </c>
      <c r="AA17">
        <f t="shared" si="1"/>
        <v>0.10782983226951949</v>
      </c>
      <c r="AB17">
        <f t="shared" si="1"/>
        <v>0.75345627851678532</v>
      </c>
      <c r="AC17">
        <f t="shared" si="1"/>
        <v>0.18756816942599347</v>
      </c>
      <c r="AD17">
        <f t="shared" si="1"/>
        <v>0.11020641789593988</v>
      </c>
      <c r="AE17">
        <f t="shared" si="1"/>
        <v>0.24140497848297074</v>
      </c>
      <c r="AF17">
        <f t="shared" si="1"/>
        <v>3.3363017086152594E-2</v>
      </c>
      <c r="AG17">
        <f t="shared" si="1"/>
        <v>0.15889962526416138</v>
      </c>
      <c r="AH17">
        <f t="shared" si="1"/>
        <v>5.5185637130095236E-2</v>
      </c>
      <c r="AI17">
        <f t="shared" si="1"/>
        <v>0.16494076071564162</v>
      </c>
      <c r="AJ17">
        <f t="shared" si="1"/>
        <v>2.6571002649847106E-2</v>
      </c>
      <c r="AK17">
        <f t="shared" si="1"/>
        <v>7.8137408105558193E-2</v>
      </c>
      <c r="AL17">
        <f t="shared" si="1"/>
        <v>1.9679708054006012E-2</v>
      </c>
      <c r="AM17">
        <f t="shared" si="1"/>
        <v>0.25629528424704323</v>
      </c>
      <c r="AN17">
        <f t="shared" si="1"/>
        <v>5.8973029274560607E-2</v>
      </c>
      <c r="AO17">
        <f t="shared" si="1"/>
        <v>9.5717387040276977E-2</v>
      </c>
      <c r="AP17">
        <f t="shared" si="1"/>
        <v>3.6945906403822365E-2</v>
      </c>
      <c r="AQ17">
        <f t="shared" si="1"/>
        <v>4.8043730080001068E-2</v>
      </c>
    </row>
    <row r="18" spans="1:43" x14ac:dyDescent="0.2">
      <c r="B18" s="5" t="s">
        <v>150</v>
      </c>
      <c r="C18" s="10">
        <f>C17/C16</f>
        <v>6.0075374940716506E-2</v>
      </c>
      <c r="D18" s="10">
        <f t="shared" ref="D18:AQ18" si="2">D17/D16</f>
        <v>0.16068217353450714</v>
      </c>
      <c r="E18" s="10">
        <f t="shared" si="2"/>
        <v>4.9853389915181158E-2</v>
      </c>
      <c r="F18" s="10">
        <f t="shared" si="2"/>
        <v>4.151127440745233E-2</v>
      </c>
      <c r="G18" s="10">
        <f t="shared" si="2"/>
        <v>3.2780188393008274E-2</v>
      </c>
      <c r="H18" s="10">
        <f t="shared" si="2"/>
        <v>2.8290306058137506E-2</v>
      </c>
      <c r="I18" s="10">
        <f t="shared" si="2"/>
        <v>6.3123041795822454E-2</v>
      </c>
      <c r="J18" s="10">
        <f t="shared" si="2"/>
        <v>1.9614398111175074E-2</v>
      </c>
      <c r="K18" s="10">
        <f t="shared" si="2"/>
        <v>6.9235966984565814E-8</v>
      </c>
      <c r="L18" s="10">
        <f t="shared" si="2"/>
        <v>1.9963662363630879E-2</v>
      </c>
      <c r="M18" s="10">
        <f t="shared" si="2"/>
        <v>3.3653692288176856E-2</v>
      </c>
      <c r="N18" s="10">
        <f t="shared" si="2"/>
        <v>4.7221194705918276E-2</v>
      </c>
      <c r="O18" s="10">
        <f t="shared" si="2"/>
        <v>5.3006721844616918E-2</v>
      </c>
      <c r="P18" s="10">
        <f t="shared" si="2"/>
        <v>5.1579858899472662E-2</v>
      </c>
      <c r="Q18" s="10">
        <f t="shared" si="2"/>
        <v>0.26010212711151026</v>
      </c>
      <c r="R18" s="10">
        <f t="shared" si="2"/>
        <v>3.5963350849543475E-2</v>
      </c>
      <c r="S18" s="10">
        <f t="shared" si="2"/>
        <v>2.6286202863949518E-2</v>
      </c>
      <c r="T18" s="10">
        <f t="shared" si="2"/>
        <v>2.0992674544762915E-2</v>
      </c>
      <c r="U18" s="10">
        <f t="shared" si="2"/>
        <v>2.2292451667920023E-2</v>
      </c>
      <c r="V18" s="10">
        <f t="shared" si="2"/>
        <v>3.6292621525128167E-2</v>
      </c>
      <c r="W18" s="10">
        <f t="shared" si="2"/>
        <v>0.12361781632622409</v>
      </c>
      <c r="X18" s="10">
        <f t="shared" si="2"/>
        <v>6.357624188909225E-2</v>
      </c>
      <c r="Y18" s="10">
        <f t="shared" si="2"/>
        <v>6.272831658654282E-2</v>
      </c>
      <c r="Z18" s="10">
        <f t="shared" si="2"/>
        <v>3.8658101416716252E-2</v>
      </c>
      <c r="AA18" s="10">
        <f t="shared" si="2"/>
        <v>2.3515625594066506E-2</v>
      </c>
      <c r="AB18" s="10">
        <f t="shared" si="2"/>
        <v>3.4847036090164131E-2</v>
      </c>
      <c r="AC18" s="10">
        <f t="shared" si="2"/>
        <v>3.4210742226594738E-2</v>
      </c>
      <c r="AD18" s="10">
        <f t="shared" si="2"/>
        <v>5.7892578646386764E-2</v>
      </c>
      <c r="AE18" s="10">
        <f t="shared" si="2"/>
        <v>4.1491480676760589E-2</v>
      </c>
      <c r="AF18" s="10">
        <f t="shared" si="2"/>
        <v>3.7830449226644525E-2</v>
      </c>
      <c r="AG18" s="10">
        <f t="shared" si="2"/>
        <v>3.0504291062928013E-2</v>
      </c>
      <c r="AH18" s="10">
        <f t="shared" si="2"/>
        <v>5.726811400292902E-2</v>
      </c>
      <c r="AI18" s="10">
        <f t="shared" si="2"/>
        <v>6.6144672543640454E-2</v>
      </c>
      <c r="AJ18" s="10">
        <f t="shared" si="2"/>
        <v>7.9016228480215778E-2</v>
      </c>
      <c r="AK18" s="10">
        <f t="shared" si="2"/>
        <v>3.709587782309625E-2</v>
      </c>
      <c r="AL18" s="10">
        <f t="shared" si="2"/>
        <v>6.8074461822033375E-2</v>
      </c>
      <c r="AM18" s="10">
        <f t="shared" si="2"/>
        <v>6.4810301763620126E-2</v>
      </c>
      <c r="AN18" s="10">
        <f t="shared" si="2"/>
        <v>6.2160149676137068E-2</v>
      </c>
      <c r="AO18" s="10">
        <f t="shared" si="2"/>
        <v>4.6629373668868324E-2</v>
      </c>
      <c r="AP18" s="10">
        <f t="shared" si="2"/>
        <v>3.6328324880847945E-2</v>
      </c>
      <c r="AQ18" s="10">
        <f t="shared" si="2"/>
        <v>9.064854732075675E-2</v>
      </c>
    </row>
    <row r="19" spans="1:43" x14ac:dyDescent="0.2">
      <c r="B19" s="5" t="s">
        <v>149</v>
      </c>
      <c r="C19" s="9">
        <f>(2*C17)/C16</f>
        <v>0.12015074988143301</v>
      </c>
      <c r="D19" s="9">
        <f t="shared" ref="D19:AQ19" si="3">(2*D17)/D16</f>
        <v>0.32136434706901429</v>
      </c>
      <c r="E19" s="9">
        <f t="shared" si="3"/>
        <v>9.9706779830362316E-2</v>
      </c>
      <c r="F19" s="9">
        <f t="shared" si="3"/>
        <v>8.3022548814904659E-2</v>
      </c>
      <c r="G19" s="9">
        <f t="shared" si="3"/>
        <v>6.5560376786016547E-2</v>
      </c>
      <c r="H19" s="9">
        <f t="shared" si="3"/>
        <v>5.6580612116275013E-2</v>
      </c>
      <c r="I19" s="9">
        <f t="shared" si="3"/>
        <v>0.12624608359164491</v>
      </c>
      <c r="J19" s="9">
        <f t="shared" si="3"/>
        <v>3.9228796222350149E-2</v>
      </c>
      <c r="K19" s="9">
        <f t="shared" si="3"/>
        <v>1.3847193396913163E-7</v>
      </c>
      <c r="L19" s="9">
        <f t="shared" si="3"/>
        <v>3.9927324727261758E-2</v>
      </c>
      <c r="M19" s="9">
        <f t="shared" si="3"/>
        <v>6.7307384576353713E-2</v>
      </c>
      <c r="N19" s="9">
        <f t="shared" si="3"/>
        <v>9.4442389411836553E-2</v>
      </c>
      <c r="O19" s="9">
        <f t="shared" si="3"/>
        <v>0.10601344368923384</v>
      </c>
      <c r="P19" s="9">
        <f t="shared" si="3"/>
        <v>0.10315971779894532</v>
      </c>
      <c r="Q19" s="9">
        <f t="shared" si="3"/>
        <v>0.52020425422302052</v>
      </c>
      <c r="R19" s="9">
        <f t="shared" si="3"/>
        <v>7.1926701699086951E-2</v>
      </c>
      <c r="S19" s="9">
        <f t="shared" si="3"/>
        <v>5.2572405727899035E-2</v>
      </c>
      <c r="T19" s="9">
        <f t="shared" si="3"/>
        <v>4.1985349089525829E-2</v>
      </c>
      <c r="U19" s="9">
        <f t="shared" si="3"/>
        <v>4.4584903335840045E-2</v>
      </c>
      <c r="V19" s="9">
        <f t="shared" si="3"/>
        <v>7.2585243050256334E-2</v>
      </c>
      <c r="W19" s="9">
        <f t="shared" si="3"/>
        <v>0.24723563265244819</v>
      </c>
      <c r="X19" s="9">
        <f t="shared" si="3"/>
        <v>0.1271524837781845</v>
      </c>
      <c r="Y19" s="9">
        <f t="shared" si="3"/>
        <v>0.12545663317308564</v>
      </c>
      <c r="Z19" s="9">
        <f t="shared" si="3"/>
        <v>7.7316202833432504E-2</v>
      </c>
      <c r="AA19" s="9">
        <f t="shared" si="3"/>
        <v>4.7031251188133012E-2</v>
      </c>
      <c r="AB19" s="9">
        <f t="shared" si="3"/>
        <v>6.9694072180328262E-2</v>
      </c>
      <c r="AC19" s="9">
        <f t="shared" si="3"/>
        <v>6.8421484453189477E-2</v>
      </c>
      <c r="AD19" s="9">
        <f t="shared" si="3"/>
        <v>0.11578515729277353</v>
      </c>
      <c r="AE19" s="9">
        <f t="shared" si="3"/>
        <v>8.2982961353521179E-2</v>
      </c>
      <c r="AF19" s="9">
        <f t="shared" si="3"/>
        <v>7.5660898453289049E-2</v>
      </c>
      <c r="AG19" s="9">
        <f t="shared" si="3"/>
        <v>6.1008582125856026E-2</v>
      </c>
      <c r="AH19" s="9">
        <f t="shared" si="3"/>
        <v>0.11453622800585804</v>
      </c>
      <c r="AI19" s="9">
        <f t="shared" si="3"/>
        <v>0.13228934508728091</v>
      </c>
      <c r="AJ19" s="9">
        <f t="shared" si="3"/>
        <v>0.15803245696043156</v>
      </c>
      <c r="AK19" s="9">
        <f t="shared" si="3"/>
        <v>7.41917556461925E-2</v>
      </c>
      <c r="AL19" s="9">
        <f t="shared" si="3"/>
        <v>0.13614892364406675</v>
      </c>
      <c r="AM19" s="9">
        <f t="shared" si="3"/>
        <v>0.12962060352724025</v>
      </c>
      <c r="AN19" s="9">
        <f t="shared" si="3"/>
        <v>0.12432029935227414</v>
      </c>
      <c r="AO19" s="9">
        <f t="shared" si="3"/>
        <v>9.3258747337736647E-2</v>
      </c>
      <c r="AP19" s="9">
        <f t="shared" si="3"/>
        <v>7.2656649761695891E-2</v>
      </c>
      <c r="AQ19" s="9">
        <f t="shared" si="3"/>
        <v>0.1812970946415135</v>
      </c>
    </row>
    <row r="20" spans="1:43" x14ac:dyDescent="0.2">
      <c r="B20" s="5"/>
    </row>
    <row r="21" spans="1:43" s="5" customFormat="1" x14ac:dyDescent="0.2"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</row>
    <row r="22" spans="1:43" s="5" customFormat="1" x14ac:dyDescent="0.2">
      <c r="A22" s="5">
        <v>2</v>
      </c>
      <c r="B22" s="5" t="s">
        <v>49</v>
      </c>
      <c r="C22" s="16">
        <f>C4/C$2</f>
        <v>1.0235294117647058</v>
      </c>
      <c r="D22" s="16">
        <f t="shared" ref="D22:AQ22" si="4">D4/D$2</f>
        <v>0.90842490842490842</v>
      </c>
      <c r="E22" s="16">
        <f t="shared" si="4"/>
        <v>0.9891969543927519</v>
      </c>
      <c r="F22" s="16">
        <f t="shared" si="4"/>
        <v>1.0152956575580427</v>
      </c>
      <c r="G22" s="16">
        <f t="shared" si="4"/>
        <v>0.98903723591416837</v>
      </c>
      <c r="H22" s="16">
        <f t="shared" si="4"/>
        <v>0.99119930366105036</v>
      </c>
      <c r="I22" s="16">
        <f t="shared" si="4"/>
        <v>0.90816468143192386</v>
      </c>
      <c r="J22" s="16">
        <f t="shared" si="4"/>
        <v>1.008622671982369</v>
      </c>
      <c r="K22" s="16">
        <f t="shared" si="4"/>
        <v>0.99999808421742731</v>
      </c>
      <c r="L22" s="16">
        <f t="shared" si="4"/>
        <v>1.0056603773584905</v>
      </c>
      <c r="M22" s="16">
        <f t="shared" si="4"/>
        <v>0.99745023617686757</v>
      </c>
      <c r="N22" s="16">
        <f t="shared" si="4"/>
        <v>1.0055987055016182</v>
      </c>
      <c r="O22" s="16">
        <f t="shared" si="4"/>
        <v>1.0065953546532342</v>
      </c>
      <c r="P22" s="16">
        <f t="shared" si="4"/>
        <v>0.99696531369285646</v>
      </c>
      <c r="Q22" s="16">
        <f t="shared" si="4"/>
        <v>0.62941176470588234</v>
      </c>
      <c r="R22" s="16">
        <f t="shared" si="4"/>
        <v>1.0218390804597703</v>
      </c>
      <c r="S22" s="16">
        <f t="shared" si="4"/>
        <v>0.99373595505617973</v>
      </c>
      <c r="T22" s="16">
        <f t="shared" si="4"/>
        <v>0.98307086614173234</v>
      </c>
      <c r="U22" s="16">
        <f t="shared" si="4"/>
        <v>0.97309210526315792</v>
      </c>
      <c r="V22" s="16">
        <f t="shared" si="4"/>
        <v>0.98066666666666669</v>
      </c>
      <c r="W22" s="16">
        <f t="shared" si="4"/>
        <v>0.9565217391304347</v>
      </c>
      <c r="X22" s="16">
        <f t="shared" si="4"/>
        <v>1.0002439024390244</v>
      </c>
      <c r="Y22" s="16">
        <f t="shared" si="4"/>
        <v>1.0076335877862594</v>
      </c>
      <c r="Z22" s="16">
        <f t="shared" si="4"/>
        <v>0.97160493827160499</v>
      </c>
      <c r="AA22" s="16">
        <f t="shared" si="4"/>
        <v>1.0065217391304349</v>
      </c>
      <c r="AB22" s="16">
        <f t="shared" si="4"/>
        <v>0.99583333333333335</v>
      </c>
      <c r="AC22" s="16">
        <f t="shared" si="4"/>
        <v>1.0270758122743684</v>
      </c>
      <c r="AD22" s="16">
        <f t="shared" si="4"/>
        <v>0.95312500000000011</v>
      </c>
      <c r="AE22" s="16">
        <f t="shared" si="4"/>
        <v>0.96114864864864868</v>
      </c>
      <c r="AF22" s="16">
        <f t="shared" si="4"/>
        <v>0.99887640449438198</v>
      </c>
      <c r="AG22" s="16">
        <f t="shared" si="4"/>
        <v>0.99425287356321856</v>
      </c>
      <c r="AH22" s="16">
        <f t="shared" si="4"/>
        <v>0.99895941727367321</v>
      </c>
      <c r="AI22" s="16">
        <f t="shared" si="4"/>
        <v>0.98031496062992129</v>
      </c>
      <c r="AJ22" s="16">
        <f t="shared" si="4"/>
        <v>0.99697885196374625</v>
      </c>
      <c r="AK22" s="16">
        <f t="shared" si="4"/>
        <v>0.99047619047619051</v>
      </c>
      <c r="AL22" s="16">
        <f t="shared" si="4"/>
        <v>1.0105263157894737</v>
      </c>
      <c r="AM22" s="16">
        <f t="shared" si="4"/>
        <v>0.93893129770992356</v>
      </c>
      <c r="AN22" s="16">
        <f t="shared" si="4"/>
        <v>0.97398543184183151</v>
      </c>
      <c r="AO22" s="16">
        <f t="shared" si="4"/>
        <v>1.0048309178743962</v>
      </c>
      <c r="AP22" s="16">
        <f t="shared" si="4"/>
        <v>0.95784313725490189</v>
      </c>
      <c r="AQ22" s="16">
        <f t="shared" si="4"/>
        <v>1.0182481751824817</v>
      </c>
    </row>
    <row r="23" spans="1:43" s="5" customFormat="1" x14ac:dyDescent="0.2">
      <c r="A23">
        <v>21</v>
      </c>
      <c r="B23" s="5" t="s">
        <v>77</v>
      </c>
      <c r="C23" s="16">
        <f t="shared" ref="C23:AQ23" si="5">C5/C$2</f>
        <v>0.99411764705882366</v>
      </c>
      <c r="D23" s="16">
        <f t="shared" si="5"/>
        <v>0.97802197802197799</v>
      </c>
      <c r="E23" s="16">
        <f t="shared" si="5"/>
        <v>1.0458036341980326</v>
      </c>
      <c r="F23" s="16">
        <f t="shared" si="5"/>
        <v>1.0168502194690883</v>
      </c>
      <c r="G23" s="16">
        <f t="shared" si="5"/>
        <v>1.0490262363129303</v>
      </c>
      <c r="H23" s="16">
        <f t="shared" si="5"/>
        <v>1.0346939748817501</v>
      </c>
      <c r="I23" s="16">
        <f t="shared" si="5"/>
        <v>1.1231739265329317</v>
      </c>
      <c r="J23" s="16">
        <f t="shared" si="5"/>
        <v>0.9885033213815283</v>
      </c>
      <c r="K23" s="16">
        <f t="shared" si="5"/>
        <v>0.99999808421742731</v>
      </c>
      <c r="L23" s="16">
        <f t="shared" si="5"/>
        <v>0.98522012578616347</v>
      </c>
      <c r="M23" s="16">
        <f t="shared" si="5"/>
        <v>0.99729968217600318</v>
      </c>
      <c r="N23" s="16">
        <f t="shared" si="5"/>
        <v>0.98436893203883502</v>
      </c>
      <c r="O23" s="16">
        <f t="shared" si="5"/>
        <v>0.9972359719000039</v>
      </c>
      <c r="P23" s="16">
        <f t="shared" si="5"/>
        <v>1.0665256747924621</v>
      </c>
      <c r="Q23" s="16">
        <f t="shared" si="5"/>
        <v>1.1176470588235294</v>
      </c>
      <c r="R23" s="16">
        <f t="shared" si="5"/>
        <v>0.98620689655172422</v>
      </c>
      <c r="S23" s="16">
        <f t="shared" si="5"/>
        <v>1.0084269662921348</v>
      </c>
      <c r="T23" s="16">
        <f t="shared" si="5"/>
        <v>1.0279527559055119</v>
      </c>
      <c r="U23" s="16">
        <f t="shared" si="5"/>
        <v>1.0169736842105264</v>
      </c>
      <c r="V23" s="16">
        <f t="shared" si="5"/>
        <v>0.9986666666666667</v>
      </c>
      <c r="W23" s="16">
        <f t="shared" si="5"/>
        <v>1</v>
      </c>
      <c r="X23" s="16">
        <f t="shared" si="5"/>
        <v>1.0702439024390242</v>
      </c>
      <c r="Y23" s="16">
        <f t="shared" si="5"/>
        <v>1.0992366412213741</v>
      </c>
      <c r="Z23" s="16">
        <f t="shared" si="5"/>
        <v>1.0296296296296297</v>
      </c>
      <c r="AA23" s="16">
        <f t="shared" si="5"/>
        <v>1.008695652173913</v>
      </c>
      <c r="AB23" s="16">
        <f t="shared" si="5"/>
        <v>1.0097222222222222</v>
      </c>
      <c r="AC23" s="16">
        <f t="shared" si="5"/>
        <v>0.99819494584837554</v>
      </c>
      <c r="AD23" s="16">
        <f t="shared" si="5"/>
        <v>0.99479166666666663</v>
      </c>
      <c r="AE23" s="16">
        <f t="shared" si="5"/>
        <v>1.035472972972973</v>
      </c>
      <c r="AF23" s="16">
        <f t="shared" si="5"/>
        <v>1.0550561797752809</v>
      </c>
      <c r="AG23" s="16">
        <f t="shared" si="5"/>
        <v>1.0613026819923372</v>
      </c>
      <c r="AH23" s="16">
        <f t="shared" si="5"/>
        <v>1.0718002081165454</v>
      </c>
      <c r="AI23" s="16">
        <f t="shared" si="5"/>
        <v>1.0748031496062991</v>
      </c>
      <c r="AJ23" s="16">
        <f t="shared" si="5"/>
        <v>1.0906344410876132</v>
      </c>
      <c r="AK23" s="16">
        <f t="shared" si="5"/>
        <v>1.019047619047619</v>
      </c>
      <c r="AL23" s="16">
        <f t="shared" si="5"/>
        <v>1.0701754385964912</v>
      </c>
      <c r="AM23" s="16">
        <f t="shared" si="5"/>
        <v>1.1475826972010177</v>
      </c>
      <c r="AN23" s="16">
        <f t="shared" si="5"/>
        <v>1.0926118626430803</v>
      </c>
      <c r="AO23" s="16">
        <f t="shared" si="5"/>
        <v>1.0483091787439613</v>
      </c>
      <c r="AP23" s="16">
        <f t="shared" si="5"/>
        <v>1.0686274509803921</v>
      </c>
      <c r="AQ23" s="16">
        <f t="shared" si="5"/>
        <v>0.93613138686131381</v>
      </c>
    </row>
    <row r="24" spans="1:43" s="5" customFormat="1" x14ac:dyDescent="0.2">
      <c r="A24">
        <v>22</v>
      </c>
      <c r="B24" s="5" t="s">
        <v>78</v>
      </c>
      <c r="C24" s="16">
        <f t="shared" ref="C24:AQ24" si="6">C6/C$2</f>
        <v>0.97843137254901968</v>
      </c>
      <c r="D24" s="16">
        <f t="shared" si="6"/>
        <v>0.79487179487179482</v>
      </c>
      <c r="E24" s="16">
        <f t="shared" si="6"/>
        <v>0.94617537297437371</v>
      </c>
      <c r="F24" s="16">
        <f t="shared" si="6"/>
        <v>0.97555594026189663</v>
      </c>
      <c r="G24" s="16">
        <f t="shared" si="6"/>
        <v>1.0045795428782096</v>
      </c>
      <c r="H24" s="16">
        <f t="shared" si="6"/>
        <v>1.0014636682277624</v>
      </c>
      <c r="I24" s="16">
        <f t="shared" si="6"/>
        <v>1.0929422637284216</v>
      </c>
      <c r="J24" s="16">
        <f t="shared" si="6"/>
        <v>0.97108930444012465</v>
      </c>
      <c r="K24" s="16">
        <f t="shared" si="6"/>
        <v>0.99999795585076989</v>
      </c>
      <c r="L24" s="16">
        <f t="shared" si="6"/>
        <v>1</v>
      </c>
      <c r="M24" s="16">
        <f t="shared" si="6"/>
        <v>0.96791558205059058</v>
      </c>
      <c r="N24" s="16">
        <f t="shared" si="6"/>
        <v>0.95148867313915853</v>
      </c>
      <c r="O24" s="16">
        <f t="shared" si="6"/>
        <v>0.93286282597352155</v>
      </c>
      <c r="P24" s="16">
        <f t="shared" si="6"/>
        <v>0.9253793930831582</v>
      </c>
      <c r="Q24" s="16">
        <f t="shared" si="6"/>
        <v>1.1588235294117646</v>
      </c>
      <c r="R24" s="16">
        <f t="shared" si="6"/>
        <v>0.96091954022988502</v>
      </c>
      <c r="S24" s="16">
        <f t="shared" si="6"/>
        <v>1.0076685393258427</v>
      </c>
      <c r="T24" s="16">
        <f t="shared" si="6"/>
        <v>1.0318897637795277</v>
      </c>
      <c r="U24" s="16">
        <f t="shared" si="6"/>
        <v>1.0088157894736842</v>
      </c>
      <c r="V24" s="16">
        <f t="shared" si="6"/>
        <v>0.96266666666666667</v>
      </c>
      <c r="W24" s="16">
        <f t="shared" si="6"/>
        <v>0.91304347826086951</v>
      </c>
      <c r="X24" s="16">
        <f t="shared" si="6"/>
        <v>0.96308943089430887</v>
      </c>
      <c r="Y24" s="16">
        <f t="shared" si="6"/>
        <v>0.984732824427481</v>
      </c>
      <c r="Z24" s="16">
        <f t="shared" si="6"/>
        <v>1.0138888888888891</v>
      </c>
      <c r="AA24" s="16">
        <f t="shared" si="6"/>
        <v>1.0282608695652176</v>
      </c>
      <c r="AB24" s="16">
        <f t="shared" si="6"/>
        <v>0.99675925925925923</v>
      </c>
      <c r="AC24" s="16">
        <f t="shared" si="6"/>
        <v>0.98555956678700363</v>
      </c>
      <c r="AD24" s="16">
        <f t="shared" si="6"/>
        <v>1.0416666666666667</v>
      </c>
      <c r="AE24" s="16">
        <f t="shared" si="6"/>
        <v>0.954391891891892</v>
      </c>
      <c r="AF24" s="16">
        <f t="shared" si="6"/>
        <v>0.98539325842696623</v>
      </c>
      <c r="AG24" s="16">
        <f t="shared" si="6"/>
        <v>1.0363984674329503</v>
      </c>
      <c r="AH24" s="16">
        <f t="shared" si="6"/>
        <v>1.0301768990634756</v>
      </c>
      <c r="AI24" s="16">
        <f t="shared" si="6"/>
        <v>1.0039370078740157</v>
      </c>
      <c r="AJ24" s="16">
        <f t="shared" si="6"/>
        <v>1.1027190332326282</v>
      </c>
      <c r="AK24" s="16">
        <f t="shared" si="6"/>
        <v>1</v>
      </c>
      <c r="AL24" s="16">
        <f t="shared" si="6"/>
        <v>0.92631578947368431</v>
      </c>
      <c r="AM24" s="16">
        <f t="shared" si="6"/>
        <v>0.98982188295165396</v>
      </c>
      <c r="AN24" s="16">
        <f t="shared" si="6"/>
        <v>0.97814776274713833</v>
      </c>
      <c r="AO24" s="16">
        <f t="shared" si="6"/>
        <v>0.95169082125603865</v>
      </c>
      <c r="AP24" s="16">
        <f t="shared" si="6"/>
        <v>1.0098039215686274</v>
      </c>
      <c r="AQ24" s="16">
        <f t="shared" si="6"/>
        <v>0.93978102189781021</v>
      </c>
    </row>
    <row r="25" spans="1:43" s="5" customFormat="1" x14ac:dyDescent="0.2">
      <c r="A25">
        <v>37</v>
      </c>
      <c r="B25" s="5" t="s">
        <v>94</v>
      </c>
      <c r="C25" s="16">
        <f t="shared" ref="C25:AQ25" si="7">C7/C$2</f>
        <v>0.87843137254901971</v>
      </c>
      <c r="D25" s="16">
        <f t="shared" si="7"/>
        <v>0.8205128205128206</v>
      </c>
      <c r="E25" s="16">
        <f t="shared" si="7"/>
        <v>0.94865044895560524</v>
      </c>
      <c r="F25" s="16">
        <f t="shared" si="7"/>
        <v>0.93132627042685856</v>
      </c>
      <c r="G25" s="16">
        <f t="shared" si="7"/>
        <v>0.96496139906554246</v>
      </c>
      <c r="H25" s="16">
        <f t="shared" si="7"/>
        <v>0.98154508231108994</v>
      </c>
      <c r="I25" s="16">
        <f t="shared" si="7"/>
        <v>0.95181837290397042</v>
      </c>
      <c r="J25" s="16">
        <f t="shared" si="7"/>
        <v>1.0146908508214401</v>
      </c>
      <c r="K25" s="16">
        <f t="shared" si="7"/>
        <v>0.99999795585076989</v>
      </c>
      <c r="L25" s="16">
        <f t="shared" si="7"/>
        <v>0.99433962264150944</v>
      </c>
      <c r="M25" s="16">
        <f t="shared" si="7"/>
        <v>0.94101138657145056</v>
      </c>
      <c r="N25" s="16">
        <f t="shared" si="7"/>
        <v>0.9102588996763753</v>
      </c>
      <c r="O25" s="16">
        <f t="shared" si="7"/>
        <v>0.90523073525307307</v>
      </c>
      <c r="P25" s="16">
        <f t="shared" si="7"/>
        <v>0.90666866734444396</v>
      </c>
      <c r="Q25" s="16">
        <f t="shared" si="7"/>
        <v>0.72941176470588232</v>
      </c>
      <c r="R25" s="16">
        <f t="shared" si="7"/>
        <v>0.97701149425287359</v>
      </c>
      <c r="S25" s="16">
        <f t="shared" si="7"/>
        <v>0.9578651685393258</v>
      </c>
      <c r="T25" s="16">
        <f t="shared" si="7"/>
        <v>1.0377952755905513</v>
      </c>
      <c r="U25" s="16">
        <f t="shared" si="7"/>
        <v>1.0257894736842104</v>
      </c>
      <c r="V25" s="16">
        <f t="shared" si="7"/>
        <v>0.92533333333333334</v>
      </c>
      <c r="W25" s="16">
        <f t="shared" si="7"/>
        <v>1.1043478260869566</v>
      </c>
      <c r="X25" s="16">
        <f t="shared" si="7"/>
        <v>0.87699186991869926</v>
      </c>
      <c r="Y25" s="16">
        <f t="shared" si="7"/>
        <v>0.91297709923664128</v>
      </c>
      <c r="Z25" s="16">
        <f t="shared" si="7"/>
        <v>0.92500000000000004</v>
      </c>
      <c r="AA25" s="16">
        <f t="shared" si="7"/>
        <v>0.95652173913043492</v>
      </c>
      <c r="AB25" s="16">
        <f t="shared" si="7"/>
        <v>0.97222222222222221</v>
      </c>
      <c r="AC25" s="16">
        <f t="shared" si="7"/>
        <v>0.97292418772563172</v>
      </c>
      <c r="AD25" s="16">
        <f t="shared" si="7"/>
        <v>0.89583333333333337</v>
      </c>
      <c r="AE25" s="16">
        <f t="shared" si="7"/>
        <v>0.98141891891891886</v>
      </c>
      <c r="AF25" s="16">
        <f t="shared" si="7"/>
        <v>0.94606741573033704</v>
      </c>
      <c r="AG25" s="16">
        <f t="shared" si="7"/>
        <v>0.99616858237547901</v>
      </c>
      <c r="AH25" s="16">
        <f t="shared" si="7"/>
        <v>0.93652445369406878</v>
      </c>
      <c r="AI25" s="16">
        <f t="shared" si="7"/>
        <v>0.87795275590551181</v>
      </c>
      <c r="AJ25" s="16">
        <f t="shared" si="7"/>
        <v>0.95166163141993954</v>
      </c>
      <c r="AK25" s="16">
        <f t="shared" si="7"/>
        <v>1.0619047619047619</v>
      </c>
      <c r="AL25" s="16">
        <f t="shared" si="7"/>
        <v>1.024561403508772</v>
      </c>
      <c r="AM25" s="16">
        <f t="shared" si="7"/>
        <v>0.99491094147582693</v>
      </c>
      <c r="AN25" s="16">
        <f t="shared" si="7"/>
        <v>0.92611862643080134</v>
      </c>
      <c r="AO25" s="16">
        <f t="shared" si="7"/>
        <v>0.90821256038647347</v>
      </c>
      <c r="AP25" s="16">
        <f t="shared" si="7"/>
        <v>1</v>
      </c>
      <c r="AQ25" s="16">
        <f t="shared" si="7"/>
        <v>0.7992700729927007</v>
      </c>
    </row>
    <row r="26" spans="1:43" s="5" customFormat="1" x14ac:dyDescent="0.2">
      <c r="A26">
        <v>39</v>
      </c>
      <c r="B26" s="5" t="s">
        <v>97</v>
      </c>
      <c r="C26" s="16">
        <f t="shared" ref="C26:AQ26" si="8">C8/C$2</f>
        <v>0.99411764705882366</v>
      </c>
      <c r="D26" s="16">
        <f t="shared" si="8"/>
        <v>0.83516483516483508</v>
      </c>
      <c r="E26" s="16">
        <f t="shared" si="8"/>
        <v>0.99084146026487008</v>
      </c>
      <c r="F26" s="16">
        <f t="shared" si="8"/>
        <v>0.97268877775454643</v>
      </c>
      <c r="G26" s="16">
        <f t="shared" si="8"/>
        <v>0.9769382307754042</v>
      </c>
      <c r="H26" s="16">
        <f t="shared" si="8"/>
        <v>1.0163958453084105</v>
      </c>
      <c r="I26" s="16">
        <f t="shared" si="8"/>
        <v>0.99578810920115413</v>
      </c>
      <c r="J26" s="16">
        <f t="shared" si="8"/>
        <v>1.0215972313694646</v>
      </c>
      <c r="K26" s="16">
        <f t="shared" si="8"/>
        <v>0.99999782748411226</v>
      </c>
      <c r="L26" s="16">
        <f t="shared" si="8"/>
        <v>1.0232704402515722</v>
      </c>
      <c r="M26" s="16">
        <f t="shared" si="8"/>
        <v>1.0270872148838186</v>
      </c>
      <c r="N26" s="16">
        <f t="shared" si="8"/>
        <v>1.0137216828478965</v>
      </c>
      <c r="O26" s="16">
        <f t="shared" si="8"/>
        <v>0.99934105046239441</v>
      </c>
      <c r="P26" s="16">
        <f t="shared" si="8"/>
        <v>0.9915388533516083</v>
      </c>
      <c r="Q26" s="16">
        <f t="shared" si="8"/>
        <v>1.2941176470588234</v>
      </c>
      <c r="R26" s="16">
        <f t="shared" si="8"/>
        <v>1.0103448275862068</v>
      </c>
      <c r="S26" s="16">
        <f t="shared" si="8"/>
        <v>0.97550561797752799</v>
      </c>
      <c r="T26" s="16">
        <f t="shared" si="8"/>
        <v>0.9952755905511812</v>
      </c>
      <c r="U26" s="16">
        <f t="shared" si="8"/>
        <v>0.96671052631578946</v>
      </c>
      <c r="V26" s="16">
        <f t="shared" si="8"/>
        <v>1.0153333333333334</v>
      </c>
      <c r="W26" s="16">
        <f t="shared" si="8"/>
        <v>1.1478260869565218</v>
      </c>
      <c r="X26" s="16">
        <f t="shared" si="8"/>
        <v>0.99268292682926829</v>
      </c>
      <c r="Y26" s="16">
        <f t="shared" si="8"/>
        <v>0.99312977099236643</v>
      </c>
      <c r="Z26" s="16">
        <f t="shared" si="8"/>
        <v>0.98209876543209884</v>
      </c>
      <c r="AA26" s="16">
        <f t="shared" si="8"/>
        <v>0.99782608695652175</v>
      </c>
      <c r="AB26" s="16">
        <f t="shared" si="8"/>
        <v>0.9898148148148147</v>
      </c>
      <c r="AC26" s="16">
        <f t="shared" si="8"/>
        <v>0.98194945848375459</v>
      </c>
      <c r="AD26" s="16">
        <f t="shared" si="8"/>
        <v>1.015625</v>
      </c>
      <c r="AE26" s="16">
        <f t="shared" si="8"/>
        <v>1.0168918918918919</v>
      </c>
      <c r="AF26" s="16">
        <f t="shared" si="8"/>
        <v>0.97752808988764039</v>
      </c>
      <c r="AG26" s="16">
        <f t="shared" si="8"/>
        <v>0.96934865900383138</v>
      </c>
      <c r="AH26" s="16">
        <f t="shared" si="8"/>
        <v>1.0405827263267431</v>
      </c>
      <c r="AI26" s="16">
        <f t="shared" si="8"/>
        <v>0.99606299212598415</v>
      </c>
      <c r="AJ26" s="16">
        <f t="shared" si="8"/>
        <v>0.9667673716012084</v>
      </c>
      <c r="AK26" s="16">
        <f t="shared" si="8"/>
        <v>0.93809523809523809</v>
      </c>
      <c r="AL26" s="16">
        <f t="shared" si="8"/>
        <v>1</v>
      </c>
      <c r="AM26" s="16">
        <f t="shared" si="8"/>
        <v>1.0534351145038168</v>
      </c>
      <c r="AN26" s="16">
        <f t="shared" si="8"/>
        <v>0.95733610822060367</v>
      </c>
      <c r="AO26" s="16">
        <f t="shared" si="8"/>
        <v>1.0289855072463769</v>
      </c>
      <c r="AP26" s="16">
        <f t="shared" si="8"/>
        <v>0.99019607843137258</v>
      </c>
      <c r="AQ26" s="16">
        <f t="shared" si="8"/>
        <v>0.86496350364963492</v>
      </c>
    </row>
    <row r="27" spans="1:43" s="5" customFormat="1" x14ac:dyDescent="0.2">
      <c r="A27">
        <v>40</v>
      </c>
      <c r="B27" s="5" t="s">
        <v>98</v>
      </c>
      <c r="C27" s="16">
        <f t="shared" ref="C27:AQ27" si="9">C9/C$2</f>
        <v>0.97843137254901968</v>
      </c>
      <c r="D27" s="16">
        <f t="shared" si="9"/>
        <v>0.90476190476190488</v>
      </c>
      <c r="E27" s="16">
        <f t="shared" si="9"/>
        <v>1.0177122388087327</v>
      </c>
      <c r="F27" s="16">
        <f t="shared" si="9"/>
        <v>0.99362577390978746</v>
      </c>
      <c r="G27" s="16">
        <f t="shared" si="9"/>
        <v>0.9903456281004378</v>
      </c>
      <c r="H27" s="16">
        <f t="shared" si="9"/>
        <v>1.021822232645571</v>
      </c>
      <c r="I27" s="16">
        <f t="shared" si="9"/>
        <v>1.0300493435261608</v>
      </c>
      <c r="J27" s="16">
        <f t="shared" si="9"/>
        <v>0.99719150795756806</v>
      </c>
      <c r="K27" s="16">
        <f t="shared" si="9"/>
        <v>0.99999795585076989</v>
      </c>
      <c r="L27" s="16">
        <f t="shared" si="9"/>
        <v>0.99025157232704397</v>
      </c>
      <c r="M27" s="16">
        <f t="shared" si="9"/>
        <v>1.0220237775127567</v>
      </c>
      <c r="N27" s="16">
        <f t="shared" si="9"/>
        <v>1.004724919093851</v>
      </c>
      <c r="O27" s="16">
        <f t="shared" si="9"/>
        <v>0.9921728275510574</v>
      </c>
      <c r="P27" s="16">
        <f t="shared" si="9"/>
        <v>1.0143782481718844</v>
      </c>
      <c r="Q27" s="16">
        <f t="shared" si="9"/>
        <v>0.91176470588235292</v>
      </c>
      <c r="R27" s="16">
        <f t="shared" si="9"/>
        <v>1.0264367816091955</v>
      </c>
      <c r="S27" s="16">
        <f t="shared" si="9"/>
        <v>0.99126404494382014</v>
      </c>
      <c r="T27" s="16">
        <f t="shared" si="9"/>
        <v>0.98110236220472458</v>
      </c>
      <c r="U27" s="16">
        <f t="shared" si="9"/>
        <v>0.9776973684210527</v>
      </c>
      <c r="V27" s="16">
        <f t="shared" si="9"/>
        <v>0.9973333333333334</v>
      </c>
      <c r="W27" s="16">
        <f t="shared" si="9"/>
        <v>1.0956521739130434</v>
      </c>
      <c r="X27" s="16">
        <f t="shared" si="9"/>
        <v>0.97243902439024388</v>
      </c>
      <c r="Y27" s="16">
        <f t="shared" si="9"/>
        <v>0.9633587786259542</v>
      </c>
      <c r="Z27" s="16">
        <f t="shared" si="9"/>
        <v>0.99197530864197536</v>
      </c>
      <c r="AA27" s="16">
        <f t="shared" si="9"/>
        <v>0.96521739130434803</v>
      </c>
      <c r="AB27" s="16">
        <f t="shared" si="9"/>
        <v>0.93101851851851847</v>
      </c>
      <c r="AC27" s="16">
        <f t="shared" si="9"/>
        <v>0.95848375451263534</v>
      </c>
      <c r="AD27" s="16">
        <f t="shared" si="9"/>
        <v>0.99479166666666663</v>
      </c>
      <c r="AE27" s="16">
        <f t="shared" si="9"/>
        <v>0.96283783783783783</v>
      </c>
      <c r="AF27" s="16">
        <f t="shared" si="9"/>
        <v>0.97078651685393258</v>
      </c>
      <c r="AG27" s="16">
        <f t="shared" si="9"/>
        <v>0.96360153256704995</v>
      </c>
      <c r="AH27" s="16">
        <f t="shared" si="9"/>
        <v>0.93652445369406878</v>
      </c>
      <c r="AI27" s="16">
        <f t="shared" si="9"/>
        <v>1.0039370078740157</v>
      </c>
      <c r="AJ27" s="16">
        <f t="shared" si="9"/>
        <v>1.0271903323262841</v>
      </c>
      <c r="AK27" s="16">
        <f t="shared" si="9"/>
        <v>0.98095238095238091</v>
      </c>
      <c r="AL27" s="16">
        <f t="shared" si="9"/>
        <v>1.1333333333333335</v>
      </c>
      <c r="AM27" s="16">
        <f t="shared" si="9"/>
        <v>1.0101781170483461</v>
      </c>
      <c r="AN27" s="16">
        <f t="shared" si="9"/>
        <v>0.93652445369406878</v>
      </c>
      <c r="AO27" s="16">
        <f t="shared" si="9"/>
        <v>0.99516908212560395</v>
      </c>
      <c r="AP27" s="16">
        <f t="shared" si="9"/>
        <v>1.0098039215686274</v>
      </c>
      <c r="AQ27" s="16">
        <f t="shared" si="9"/>
        <v>0.91605839416058388</v>
      </c>
    </row>
    <row r="28" spans="1:43" s="5" customFormat="1" x14ac:dyDescent="0.2">
      <c r="A28">
        <v>59</v>
      </c>
      <c r="B28" s="5" t="s">
        <v>119</v>
      </c>
      <c r="C28" s="16">
        <f t="shared" ref="C28:AQ28" si="10">C10/C$2</f>
        <v>1.0509803921568628</v>
      </c>
      <c r="D28" s="16">
        <f t="shared" si="10"/>
        <v>0.98534798534798529</v>
      </c>
      <c r="E28" s="16">
        <f t="shared" si="10"/>
        <v>1.0586510853747699</v>
      </c>
      <c r="F28" s="16">
        <f t="shared" si="10"/>
        <v>1.0649392965307483</v>
      </c>
      <c r="G28" s="16">
        <f t="shared" si="10"/>
        <v>1.0287005554831041</v>
      </c>
      <c r="H28" s="16">
        <f t="shared" si="10"/>
        <v>1.033878366595981</v>
      </c>
      <c r="I28" s="16">
        <f t="shared" si="10"/>
        <v>1.0269185244771475</v>
      </c>
      <c r="J28" s="16">
        <f t="shared" si="10"/>
        <v>1.020146690687503</v>
      </c>
      <c r="K28" s="16">
        <f t="shared" si="10"/>
        <v>0.99999795585076989</v>
      </c>
      <c r="L28" s="16">
        <f t="shared" si="10"/>
        <v>1.0216981132075471</v>
      </c>
      <c r="M28" s="16">
        <f t="shared" si="10"/>
        <v>1.0243576904006151</v>
      </c>
      <c r="N28" s="16">
        <f t="shared" si="10"/>
        <v>1.0470873786407768</v>
      </c>
      <c r="O28" s="16">
        <f t="shared" si="10"/>
        <v>1.0789505828608998</v>
      </c>
      <c r="P28" s="16">
        <f t="shared" si="10"/>
        <v>1.0274938271567748</v>
      </c>
      <c r="Q28" s="16">
        <f t="shared" si="10"/>
        <v>0.63529411764705879</v>
      </c>
      <c r="R28" s="16">
        <f t="shared" si="10"/>
        <v>1.042528735632184</v>
      </c>
      <c r="S28" s="16">
        <f t="shared" si="10"/>
        <v>0.9964044943820225</v>
      </c>
      <c r="T28" s="16">
        <f t="shared" si="10"/>
        <v>1.0145669291338584</v>
      </c>
      <c r="U28" s="16">
        <f t="shared" si="10"/>
        <v>1.0048684210526317</v>
      </c>
      <c r="V28" s="16">
        <f t="shared" si="10"/>
        <v>1.0620000000000001</v>
      </c>
      <c r="W28" s="16">
        <f t="shared" si="10"/>
        <v>1.026086956521739</v>
      </c>
      <c r="X28" s="16">
        <f t="shared" si="10"/>
        <v>1.0347967479674798</v>
      </c>
      <c r="Y28" s="16">
        <f t="shared" si="10"/>
        <v>1.0480916030534351</v>
      </c>
      <c r="Z28" s="16">
        <f t="shared" si="10"/>
        <v>1.0404320987654321</v>
      </c>
      <c r="AA28" s="16">
        <f t="shared" si="10"/>
        <v>0.99782608695652175</v>
      </c>
      <c r="AB28" s="16">
        <f t="shared" si="10"/>
        <v>1.0592592592592591</v>
      </c>
      <c r="AC28" s="16">
        <f t="shared" si="10"/>
        <v>1.0054151624548737</v>
      </c>
      <c r="AD28" s="16">
        <f t="shared" si="10"/>
        <v>1.03125</v>
      </c>
      <c r="AE28" s="16">
        <f t="shared" si="10"/>
        <v>0.96790540540540548</v>
      </c>
      <c r="AF28" s="16">
        <f t="shared" si="10"/>
        <v>1.0449438202247192</v>
      </c>
      <c r="AG28" s="16">
        <f t="shared" si="10"/>
        <v>1.0095785440613025</v>
      </c>
      <c r="AH28" s="16">
        <f t="shared" si="10"/>
        <v>1.1030176899063477</v>
      </c>
      <c r="AI28" s="16">
        <f t="shared" si="10"/>
        <v>1.0433070866141732</v>
      </c>
      <c r="AJ28" s="16">
        <f t="shared" si="10"/>
        <v>1.1722054380664653</v>
      </c>
      <c r="AK28" s="16">
        <f t="shared" si="10"/>
        <v>1.0238095238095237</v>
      </c>
      <c r="AL28" s="16">
        <f t="shared" si="10"/>
        <v>0.99298245614035086</v>
      </c>
      <c r="AM28" s="16">
        <f t="shared" si="10"/>
        <v>0.99491094147582693</v>
      </c>
      <c r="AN28" s="16">
        <f t="shared" si="10"/>
        <v>1.0509885535900105</v>
      </c>
      <c r="AO28" s="16">
        <f t="shared" si="10"/>
        <v>0.9371980676328503</v>
      </c>
      <c r="AP28" s="16">
        <f t="shared" si="10"/>
        <v>0.9509803921568627</v>
      </c>
      <c r="AQ28" s="16">
        <f t="shared" si="10"/>
        <v>1.0401459854014596</v>
      </c>
    </row>
    <row r="29" spans="1:43" s="5" customFormat="1" x14ac:dyDescent="0.2">
      <c r="A29">
        <v>60</v>
      </c>
      <c r="B29" s="5" t="s">
        <v>120</v>
      </c>
      <c r="C29" s="16">
        <f t="shared" ref="C29:AQ29" si="11">C11/C$2</f>
        <v>0.97647058823529431</v>
      </c>
      <c r="D29" s="16">
        <f t="shared" si="11"/>
        <v>0.8571428571428571</v>
      </c>
      <c r="E29" s="16">
        <f t="shared" si="11"/>
        <v>0.94410411008486594</v>
      </c>
      <c r="F29" s="16">
        <f t="shared" si="11"/>
        <v>0.93682925241047155</v>
      </c>
      <c r="G29" s="16">
        <f t="shared" si="11"/>
        <v>0.94259414341390502</v>
      </c>
      <c r="H29" s="16">
        <f t="shared" si="11"/>
        <v>0.94082859143366704</v>
      </c>
      <c r="I29" s="16">
        <f t="shared" si="11"/>
        <v>1.0015855564622607</v>
      </c>
      <c r="J29" s="16">
        <f t="shared" si="11"/>
        <v>0.99553267164134551</v>
      </c>
      <c r="K29" s="16">
        <f t="shared" si="11"/>
        <v>0.99999795585076989</v>
      </c>
      <c r="L29" s="16">
        <f t="shared" si="11"/>
        <v>1.0147798742138365</v>
      </c>
      <c r="M29" s="16">
        <f t="shared" si="11"/>
        <v>1.0079798917524729</v>
      </c>
      <c r="N29" s="16">
        <f t="shared" si="11"/>
        <v>0.98838187702265379</v>
      </c>
      <c r="O29" s="16">
        <f t="shared" si="11"/>
        <v>0.98731314804457249</v>
      </c>
      <c r="P29" s="16">
        <f t="shared" si="11"/>
        <v>0.94045993432087971</v>
      </c>
      <c r="Q29" s="16">
        <f t="shared" si="11"/>
        <v>1</v>
      </c>
      <c r="R29" s="16">
        <f t="shared" si="11"/>
        <v>0.92643678160919551</v>
      </c>
      <c r="S29" s="16">
        <f t="shared" si="11"/>
        <v>0.94584269662921361</v>
      </c>
      <c r="T29" s="16">
        <f t="shared" si="11"/>
        <v>0.99212598425196852</v>
      </c>
      <c r="U29" s="16">
        <f t="shared" si="11"/>
        <v>0.99934210526315792</v>
      </c>
      <c r="V29" s="16">
        <f t="shared" si="11"/>
        <v>0.9933333333333334</v>
      </c>
      <c r="W29" s="16">
        <f t="shared" si="11"/>
        <v>1.0956521739130434</v>
      </c>
      <c r="X29" s="16">
        <f t="shared" si="11"/>
        <v>0.94536585365853665</v>
      </c>
      <c r="Y29" s="16">
        <f t="shared" si="11"/>
        <v>0.92442748091603055</v>
      </c>
      <c r="Z29" s="16">
        <f t="shared" si="11"/>
        <v>0.93302469135802479</v>
      </c>
      <c r="AA29" s="16">
        <f t="shared" si="11"/>
        <v>0.97826086956521752</v>
      </c>
      <c r="AB29" s="16">
        <f t="shared" si="11"/>
        <v>1.0078703703703702</v>
      </c>
      <c r="AC29" s="16">
        <f t="shared" si="11"/>
        <v>1.0216606498194947</v>
      </c>
      <c r="AD29" s="16">
        <f t="shared" si="11"/>
        <v>0.93229166666666674</v>
      </c>
      <c r="AE29" s="16">
        <f t="shared" si="11"/>
        <v>0.95945945945945943</v>
      </c>
      <c r="AF29" s="16">
        <f t="shared" si="11"/>
        <v>0.9550561797752809</v>
      </c>
      <c r="AG29" s="16">
        <f t="shared" si="11"/>
        <v>1.0153256704980842</v>
      </c>
      <c r="AH29" s="16">
        <f t="shared" si="11"/>
        <v>0.98855359001040577</v>
      </c>
      <c r="AI29" s="16">
        <f t="shared" si="11"/>
        <v>0.92519685039370081</v>
      </c>
      <c r="AJ29" s="16">
        <f t="shared" si="11"/>
        <v>0.89123867069486395</v>
      </c>
      <c r="AK29" s="16">
        <f t="shared" si="11"/>
        <v>1</v>
      </c>
      <c r="AL29" s="16">
        <f t="shared" si="11"/>
        <v>1.0666666666666667</v>
      </c>
      <c r="AM29" s="16">
        <f t="shared" si="11"/>
        <v>0.97709923664122134</v>
      </c>
      <c r="AN29" s="16">
        <f t="shared" si="11"/>
        <v>0.98855359001040577</v>
      </c>
      <c r="AO29" s="16">
        <f t="shared" si="11"/>
        <v>0.97101449275362317</v>
      </c>
      <c r="AP29" s="16">
        <f t="shared" si="11"/>
        <v>1.0098039215686274</v>
      </c>
      <c r="AQ29" s="16">
        <f t="shared" si="11"/>
        <v>1.0583941605839415</v>
      </c>
    </row>
    <row r="30" spans="1:43" s="5" customFormat="1" x14ac:dyDescent="0.2">
      <c r="A30">
        <v>61</v>
      </c>
      <c r="B30" s="5" t="s">
        <v>121</v>
      </c>
      <c r="C30" s="16">
        <f t="shared" ref="C30:AQ30" si="12">C12/C$2</f>
        <v>0.89019607843137261</v>
      </c>
      <c r="D30" s="16">
        <f t="shared" si="12"/>
        <v>0.87179487179487181</v>
      </c>
      <c r="E30" s="16">
        <f t="shared" si="12"/>
        <v>0.93484336808788282</v>
      </c>
      <c r="F30" s="16">
        <f t="shared" si="12"/>
        <v>0.96791981286859163</v>
      </c>
      <c r="G30" s="16">
        <f t="shared" si="12"/>
        <v>1.0038359897074238</v>
      </c>
      <c r="H30" s="16">
        <f t="shared" si="12"/>
        <v>1.0387021386230793</v>
      </c>
      <c r="I30" s="16">
        <f t="shared" si="12"/>
        <v>0.99131409964530859</v>
      </c>
      <c r="J30" s="16">
        <f t="shared" si="12"/>
        <v>1.0213588207037443</v>
      </c>
      <c r="K30" s="16">
        <f t="shared" si="12"/>
        <v>0.99999795585076989</v>
      </c>
      <c r="L30" s="16">
        <f t="shared" si="12"/>
        <v>0.95754716981132071</v>
      </c>
      <c r="M30" s="16">
        <f t="shared" si="12"/>
        <v>0.93305092524436195</v>
      </c>
      <c r="N30" s="16">
        <f t="shared" si="12"/>
        <v>0.9081553398058253</v>
      </c>
      <c r="O30" s="16">
        <f t="shared" si="12"/>
        <v>0.90759405765397239</v>
      </c>
      <c r="P30" s="16">
        <f t="shared" si="12"/>
        <v>0.95284053109616651</v>
      </c>
      <c r="Q30" s="16">
        <f t="shared" si="12"/>
        <v>0.94117647058823528</v>
      </c>
      <c r="R30" s="16">
        <f t="shared" si="12"/>
        <v>0.97241379310344844</v>
      </c>
      <c r="S30" s="16">
        <f t="shared" si="12"/>
        <v>1.0033988764044943</v>
      </c>
      <c r="T30" s="16">
        <f t="shared" si="12"/>
        <v>1.0039370078740157</v>
      </c>
      <c r="U30" s="16">
        <f t="shared" si="12"/>
        <v>1.0261184210526315</v>
      </c>
      <c r="V30" s="16">
        <f t="shared" si="12"/>
        <v>0.95799999999999996</v>
      </c>
      <c r="W30" s="16">
        <f t="shared" si="12"/>
        <v>0.89565217391304341</v>
      </c>
      <c r="X30" s="16">
        <f t="shared" si="12"/>
        <v>0.9363414634146342</v>
      </c>
      <c r="Y30" s="16">
        <f t="shared" si="12"/>
        <v>0.93893129770992378</v>
      </c>
      <c r="Z30" s="16">
        <f t="shared" si="12"/>
        <v>0.99537037037037046</v>
      </c>
      <c r="AA30" s="16">
        <f t="shared" si="12"/>
        <v>1.0326086956521741</v>
      </c>
      <c r="AB30" s="16">
        <f t="shared" si="12"/>
        <v>1.0532407407407407</v>
      </c>
      <c r="AC30" s="16">
        <f t="shared" si="12"/>
        <v>0.96931407942238268</v>
      </c>
      <c r="AD30" s="16">
        <f t="shared" si="12"/>
        <v>0.93229166666666674</v>
      </c>
      <c r="AE30" s="16">
        <f t="shared" si="12"/>
        <v>0.92060810810810811</v>
      </c>
      <c r="AF30" s="16">
        <f t="shared" si="12"/>
        <v>1.0112359550561798</v>
      </c>
      <c r="AG30" s="16">
        <f t="shared" si="12"/>
        <v>0.97892720306513425</v>
      </c>
      <c r="AH30" s="16">
        <f t="shared" si="12"/>
        <v>0.94693028095733622</v>
      </c>
      <c r="AI30" s="16">
        <f t="shared" si="12"/>
        <v>0.90551181102362199</v>
      </c>
      <c r="AJ30" s="16">
        <f t="shared" si="12"/>
        <v>0.97583081570996977</v>
      </c>
      <c r="AK30" s="16">
        <f t="shared" si="12"/>
        <v>1.0476190476190477</v>
      </c>
      <c r="AL30" s="16">
        <f t="shared" si="12"/>
        <v>0.99298245614035086</v>
      </c>
      <c r="AM30" s="16">
        <f t="shared" si="12"/>
        <v>0.93638676844783719</v>
      </c>
      <c r="AN30" s="16">
        <f t="shared" si="12"/>
        <v>0.95733610822060367</v>
      </c>
      <c r="AO30" s="16">
        <f t="shared" si="12"/>
        <v>1.0289855072463769</v>
      </c>
      <c r="AP30" s="16">
        <f t="shared" si="12"/>
        <v>1.0392156862745099</v>
      </c>
      <c r="AQ30" s="16">
        <f t="shared" si="12"/>
        <v>0.96715328467153283</v>
      </c>
    </row>
    <row r="31" spans="1:43" s="5" customFormat="1" x14ac:dyDescent="0.2">
      <c r="A31">
        <v>76</v>
      </c>
      <c r="B31" s="5" t="s">
        <v>138</v>
      </c>
      <c r="C31" s="16">
        <f t="shared" ref="C31:AQ31" si="13">C13/C$2</f>
        <v>0.99803921568627452</v>
      </c>
      <c r="D31" s="16">
        <f t="shared" si="13"/>
        <v>1.1465201465201464</v>
      </c>
      <c r="E31" s="16">
        <f t="shared" si="13"/>
        <v>0.9643727740183059</v>
      </c>
      <c r="F31" s="16">
        <f t="shared" si="13"/>
        <v>0.99058736333841002</v>
      </c>
      <c r="G31" s="16">
        <f t="shared" si="13"/>
        <v>0.96638514569863621</v>
      </c>
      <c r="H31" s="16">
        <f t="shared" si="13"/>
        <v>1.0088667477637914</v>
      </c>
      <c r="I31" s="16">
        <f t="shared" si="13"/>
        <v>0.96553669359507288</v>
      </c>
      <c r="J31" s="16">
        <f t="shared" si="13"/>
        <v>1.0152655460051236</v>
      </c>
      <c r="K31" s="16">
        <f t="shared" si="13"/>
        <v>0.99999795585076989</v>
      </c>
      <c r="L31" s="16">
        <f t="shared" si="13"/>
        <v>1.0235849056603772</v>
      </c>
      <c r="M31" s="16">
        <f t="shared" si="13"/>
        <v>1.0119698986498395</v>
      </c>
      <c r="N31" s="16">
        <f t="shared" si="13"/>
        <v>1.0168608414239482</v>
      </c>
      <c r="O31" s="16">
        <f t="shared" si="13"/>
        <v>1.0041694276854238</v>
      </c>
      <c r="P31" s="16">
        <f t="shared" si="13"/>
        <v>1.0020263870007355</v>
      </c>
      <c r="Q31" s="16">
        <f t="shared" si="13"/>
        <v>0.94117647058823528</v>
      </c>
      <c r="R31" s="16">
        <f t="shared" si="13"/>
        <v>1.0034482758620691</v>
      </c>
      <c r="S31" s="16">
        <f t="shared" si="13"/>
        <v>0.98755617977528087</v>
      </c>
      <c r="T31" s="16">
        <f t="shared" si="13"/>
        <v>0.9838582677165354</v>
      </c>
      <c r="U31" s="16">
        <f t="shared" si="13"/>
        <v>0.97447368421052638</v>
      </c>
      <c r="V31" s="16">
        <f t="shared" si="13"/>
        <v>0.98466666666666669</v>
      </c>
      <c r="W31" s="16">
        <f t="shared" si="13"/>
        <v>0.73043478260869565</v>
      </c>
      <c r="X31" s="16">
        <f t="shared" si="13"/>
        <v>0.97756097560975608</v>
      </c>
      <c r="Y31" s="16">
        <f t="shared" si="13"/>
        <v>0.97328244274809161</v>
      </c>
      <c r="Z31" s="16">
        <f t="shared" si="13"/>
        <v>0.98796296296296293</v>
      </c>
      <c r="AA31" s="16">
        <f t="shared" si="13"/>
        <v>1</v>
      </c>
      <c r="AB31" s="16">
        <f t="shared" si="13"/>
        <v>0.99629629629629624</v>
      </c>
      <c r="AC31" s="16">
        <f t="shared" si="13"/>
        <v>0.92418772563176899</v>
      </c>
      <c r="AD31" s="16">
        <f t="shared" si="13"/>
        <v>1.0260416666666667</v>
      </c>
      <c r="AE31" s="16">
        <f t="shared" si="13"/>
        <v>0.98817567567567566</v>
      </c>
      <c r="AF31" s="16">
        <f t="shared" si="13"/>
        <v>0.9438202247191011</v>
      </c>
      <c r="AG31" s="16">
        <f t="shared" si="13"/>
        <v>0.97701149425287359</v>
      </c>
      <c r="AH31" s="16">
        <f t="shared" si="13"/>
        <v>0.94693028095733622</v>
      </c>
      <c r="AI31" s="16">
        <f t="shared" si="13"/>
        <v>0.92913385826771644</v>
      </c>
      <c r="AJ31" s="16">
        <f t="shared" si="13"/>
        <v>1.0332326283987916</v>
      </c>
      <c r="AK31" s="16">
        <f t="shared" si="13"/>
        <v>0.95238095238095233</v>
      </c>
      <c r="AL31" s="16">
        <f t="shared" si="13"/>
        <v>0.88421052631578956</v>
      </c>
      <c r="AM31" s="16">
        <f t="shared" si="13"/>
        <v>0.94402035623409664</v>
      </c>
      <c r="AN31" s="16">
        <f t="shared" si="13"/>
        <v>0.9157127991675339</v>
      </c>
      <c r="AO31" s="16">
        <f t="shared" si="13"/>
        <v>0.98550724637681164</v>
      </c>
      <c r="AP31" s="16">
        <f t="shared" si="13"/>
        <v>0.96078431372549011</v>
      </c>
      <c r="AQ31" s="16">
        <f t="shared" si="13"/>
        <v>1.0036496350364963</v>
      </c>
    </row>
    <row r="32" spans="1:43" s="5" customFormat="1" x14ac:dyDescent="0.2">
      <c r="A32">
        <v>77</v>
      </c>
      <c r="B32" s="5" t="s">
        <v>139</v>
      </c>
      <c r="C32" s="16">
        <f t="shared" ref="C32:AQ32" si="14">C14/C$2</f>
        <v>1.0764705882352943</v>
      </c>
      <c r="D32" s="16">
        <f t="shared" si="14"/>
        <v>1.2930402930402929</v>
      </c>
      <c r="E32" s="16">
        <f t="shared" si="14"/>
        <v>1.0703656802217432</v>
      </c>
      <c r="F32" s="16">
        <f t="shared" si="14"/>
        <v>1.0421235419316397</v>
      </c>
      <c r="G32" s="16">
        <f t="shared" si="14"/>
        <v>1.0347266888326554</v>
      </c>
      <c r="H32" s="16">
        <f t="shared" si="14"/>
        <v>1.0094666411188926</v>
      </c>
      <c r="I32" s="16">
        <f t="shared" si="14"/>
        <v>0.9477097901771897</v>
      </c>
      <c r="J32" s="16">
        <f t="shared" si="14"/>
        <v>0.9674930677666802</v>
      </c>
      <c r="K32" s="16">
        <f t="shared" si="14"/>
        <v>0.99999795585076989</v>
      </c>
      <c r="L32" s="16">
        <f t="shared" si="14"/>
        <v>1.010062893081761</v>
      </c>
      <c r="M32" s="16">
        <f t="shared" si="14"/>
        <v>1.0205299689846998</v>
      </c>
      <c r="N32" s="16">
        <f t="shared" si="14"/>
        <v>1.0372491909385113</v>
      </c>
      <c r="O32" s="16">
        <f t="shared" si="14"/>
        <v>1.0314806700004522</v>
      </c>
      <c r="P32" s="16">
        <f t="shared" si="14"/>
        <v>1.0448485690316069</v>
      </c>
      <c r="Q32" s="16">
        <f t="shared" si="14"/>
        <v>1.4117647058823528</v>
      </c>
      <c r="R32" s="16">
        <f t="shared" si="14"/>
        <v>1.0379310344827586</v>
      </c>
      <c r="S32" s="16">
        <f t="shared" si="14"/>
        <v>1.0424157303370787</v>
      </c>
      <c r="T32" s="16">
        <f t="shared" si="14"/>
        <v>0.98818897637795289</v>
      </c>
      <c r="U32" s="16">
        <f t="shared" si="14"/>
        <v>1.0158552631578948</v>
      </c>
      <c r="V32" s="16">
        <f t="shared" si="14"/>
        <v>1.02</v>
      </c>
      <c r="W32" s="16">
        <f t="shared" si="14"/>
        <v>0.92173913043478251</v>
      </c>
      <c r="X32" s="16">
        <f t="shared" si="14"/>
        <v>1.1000813008130081</v>
      </c>
      <c r="Y32" s="16">
        <f t="shared" si="14"/>
        <v>1.0877862595419847</v>
      </c>
      <c r="Z32" s="16">
        <f t="shared" si="14"/>
        <v>1.0361111111111112</v>
      </c>
      <c r="AA32" s="16">
        <f t="shared" si="14"/>
        <v>0.99347826086956537</v>
      </c>
      <c r="AB32" s="16">
        <f t="shared" si="14"/>
        <v>0.99907407407407389</v>
      </c>
      <c r="AC32" s="16">
        <f t="shared" si="14"/>
        <v>1.0415162454873645</v>
      </c>
      <c r="AD32" s="16">
        <f t="shared" si="14"/>
        <v>1.0885416666666667</v>
      </c>
      <c r="AE32" s="16">
        <f t="shared" si="14"/>
        <v>1.0625</v>
      </c>
      <c r="AF32" s="16">
        <f t="shared" si="14"/>
        <v>1.0112359550561798</v>
      </c>
      <c r="AG32" s="16">
        <f t="shared" si="14"/>
        <v>0.97509578544061304</v>
      </c>
      <c r="AH32" s="16">
        <f t="shared" si="14"/>
        <v>1.0301768990634756</v>
      </c>
      <c r="AI32" s="16">
        <f t="shared" si="14"/>
        <v>1.0590551181102361</v>
      </c>
      <c r="AJ32" s="16">
        <f t="shared" si="14"/>
        <v>0.9667673716012084</v>
      </c>
      <c r="AK32" s="16">
        <f t="shared" si="14"/>
        <v>1.019047619047619</v>
      </c>
      <c r="AL32" s="16">
        <f t="shared" si="14"/>
        <v>1.0561403508771929</v>
      </c>
      <c r="AM32" s="16">
        <f t="shared" si="14"/>
        <v>1.0814249363867685</v>
      </c>
      <c r="AN32" s="16">
        <f t="shared" si="14"/>
        <v>1.0822060353798129</v>
      </c>
      <c r="AO32" s="16">
        <f t="shared" si="14"/>
        <v>1.0483091787439613</v>
      </c>
      <c r="AP32" s="16">
        <f t="shared" si="14"/>
        <v>0.97058823529411764</v>
      </c>
      <c r="AQ32" s="16">
        <f t="shared" si="14"/>
        <v>1.0948905109489049</v>
      </c>
    </row>
    <row r="33" spans="2:43" s="5" customFormat="1" x14ac:dyDescent="0.2"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 s="16"/>
    </row>
    <row r="34" spans="2:43" s="5" customFormat="1" x14ac:dyDescent="0.2">
      <c r="B34" s="5" t="s">
        <v>152</v>
      </c>
      <c r="C34">
        <f>SLOPE(C22:C32,$A$22:$A$32)</f>
        <v>2.990390138636623E-4</v>
      </c>
      <c r="D34" s="17">
        <f t="shared" ref="D34:AQ34" si="15">SLOPE(D22:D32,$A$22:$A$32)</f>
        <v>3.7536651788433245E-3</v>
      </c>
      <c r="E34">
        <f t="shared" si="15"/>
        <v>1.8458896852318105E-4</v>
      </c>
      <c r="F34">
        <f t="shared" si="15"/>
        <v>1.2912651461084631E-4</v>
      </c>
      <c r="G34">
        <f t="shared" si="15"/>
        <v>-1.178841784950079E-4</v>
      </c>
      <c r="H34">
        <f t="shared" si="15"/>
        <v>4.2361675416500808E-5</v>
      </c>
      <c r="I34">
        <f t="shared" si="15"/>
        <v>-5.8549071130243593E-4</v>
      </c>
      <c r="J34">
        <f t="shared" si="15"/>
        <v>5.726835409119199E-5</v>
      </c>
      <c r="K34">
        <f t="shared" si="15"/>
        <v>-1.3619265313296882E-9</v>
      </c>
      <c r="L34">
        <f t="shared" si="15"/>
        <v>1.6852656896577494E-4</v>
      </c>
      <c r="M34">
        <f t="shared" si="15"/>
        <v>2.6558834602897314E-4</v>
      </c>
      <c r="N34">
        <f t="shared" si="15"/>
        <v>4.4944512346675443E-4</v>
      </c>
      <c r="O34">
        <f t="shared" si="15"/>
        <v>4.6804460516201233E-4</v>
      </c>
      <c r="P34">
        <f t="shared" si="15"/>
        <v>2.0885388779876246E-4</v>
      </c>
      <c r="Q34" s="17">
        <f t="shared" si="15"/>
        <v>2.7147314983000329E-3</v>
      </c>
      <c r="R34">
        <f t="shared" si="15"/>
        <v>1.1297676577388209E-4</v>
      </c>
      <c r="S34">
        <f t="shared" si="15"/>
        <v>9.9899027640628461E-5</v>
      </c>
      <c r="T34">
        <f t="shared" si="15"/>
        <v>-2.755344418052267E-4</v>
      </c>
      <c r="U34">
        <f t="shared" si="15"/>
        <v>1.4686627495103606E-4</v>
      </c>
      <c r="V34">
        <f t="shared" si="15"/>
        <v>4.3408814990762728E-4</v>
      </c>
      <c r="W34">
        <f t="shared" si="15"/>
        <v>-1.580088815449758E-3</v>
      </c>
      <c r="X34">
        <f t="shared" si="15"/>
        <v>2.5477473302049075E-4</v>
      </c>
      <c r="Y34">
        <f t="shared" si="15"/>
        <v>-1.5689047644950501E-4</v>
      </c>
      <c r="Z34">
        <f t="shared" si="15"/>
        <v>2.0889905476867676E-4</v>
      </c>
      <c r="AA34">
        <f t="shared" si="15"/>
        <v>-1.1339460910874712E-4</v>
      </c>
      <c r="AB34">
        <f t="shared" si="15"/>
        <v>4.0145450280050239E-4</v>
      </c>
      <c r="AC34">
        <f t="shared" si="15"/>
        <v>-2.4013079853995133E-4</v>
      </c>
      <c r="AD34">
        <f t="shared" si="15"/>
        <v>6.8256795988387456E-4</v>
      </c>
      <c r="AE34">
        <f t="shared" si="15"/>
        <v>2.421037426975662E-4</v>
      </c>
      <c r="AF34">
        <f t="shared" si="15"/>
        <v>-2.5797325789319052E-4</v>
      </c>
      <c r="AG34">
        <f t="shared" si="15"/>
        <v>-5.4862381424753651E-4</v>
      </c>
      <c r="AH34">
        <f t="shared" si="15"/>
        <v>-3.5641812146393348E-4</v>
      </c>
      <c r="AI34">
        <f t="shared" si="15"/>
        <v>-4.2013453781460319E-4</v>
      </c>
      <c r="AJ34">
        <f t="shared" si="15"/>
        <v>-6.2398786756703026E-4</v>
      </c>
      <c r="AK34">
        <f t="shared" si="15"/>
        <v>2.707084417298125E-5</v>
      </c>
      <c r="AL34">
        <f t="shared" si="15"/>
        <v>-3.9966106874470523E-4</v>
      </c>
      <c r="AM34">
        <f t="shared" si="15"/>
        <v>-2.7326995178892575E-4</v>
      </c>
      <c r="AN34">
        <f t="shared" si="15"/>
        <v>7.4447391251690552E-5</v>
      </c>
      <c r="AO34">
        <f t="shared" si="15"/>
        <v>9.868383306367424E-5</v>
      </c>
      <c r="AP34">
        <f t="shared" si="15"/>
        <v>-3.6955273003896704E-4</v>
      </c>
      <c r="AQ34">
        <f t="shared" si="15"/>
        <v>1.5673780998780554E-3</v>
      </c>
    </row>
    <row r="35" spans="2:43" s="5" customFormat="1" x14ac:dyDescent="0.2">
      <c r="B35" s="5" t="s">
        <v>153</v>
      </c>
      <c r="C35">
        <f>INTERCEPT(C22:C32,$A$22:$A$32)</f>
        <v>0.97195367394780563</v>
      </c>
      <c r="D35" s="17">
        <f t="shared" ref="D35:AQ35" si="16">INTERCEPT(D22:D32,$A$22:$A$32)</f>
        <v>0.77648125429598114</v>
      </c>
      <c r="E35">
        <f t="shared" si="16"/>
        <v>0.98359365244831665</v>
      </c>
      <c r="F35">
        <f t="shared" si="16"/>
        <v>0.98581394620384744</v>
      </c>
      <c r="G35">
        <f t="shared" si="16"/>
        <v>1.0008514163962683</v>
      </c>
      <c r="H35">
        <f t="shared" si="16"/>
        <v>1.0052669022650267</v>
      </c>
      <c r="I35">
        <f t="shared" si="16"/>
        <v>1.0294757975513587</v>
      </c>
      <c r="J35">
        <f t="shared" si="16"/>
        <v>0.99938191980325852</v>
      </c>
      <c r="K35">
        <f t="shared" si="16"/>
        <v>0.99999802868334831</v>
      </c>
      <c r="L35">
        <f t="shared" si="16"/>
        <v>0.99483299720641183</v>
      </c>
      <c r="M35">
        <f t="shared" si="16"/>
        <v>0.98358869195137866</v>
      </c>
      <c r="N35">
        <f t="shared" si="16"/>
        <v>0.96780641355789787</v>
      </c>
      <c r="O35">
        <f t="shared" si="16"/>
        <v>0.96470296518986998</v>
      </c>
      <c r="P35">
        <f t="shared" si="16"/>
        <v>0.9787228707699992</v>
      </c>
      <c r="Q35" s="17">
        <f t="shared" si="16"/>
        <v>0.85722826137580932</v>
      </c>
      <c r="R35">
        <f t="shared" si="16"/>
        <v>0.99179151991700121</v>
      </c>
      <c r="S35">
        <f t="shared" si="16"/>
        <v>0.98733946818258622</v>
      </c>
      <c r="T35">
        <f t="shared" si="16"/>
        <v>1.0159888903435765</v>
      </c>
      <c r="U35">
        <f t="shared" si="16"/>
        <v>0.99247135475267734</v>
      </c>
      <c r="V35">
        <f t="shared" si="16"/>
        <v>0.97123276854051221</v>
      </c>
      <c r="W35">
        <f t="shared" si="16"/>
        <v>1.0606836724155737</v>
      </c>
      <c r="X35">
        <f t="shared" si="16"/>
        <v>0.97672533456926014</v>
      </c>
      <c r="Y35">
        <f t="shared" si="16"/>
        <v>1.0010083346932364</v>
      </c>
      <c r="Z35">
        <f t="shared" si="16"/>
        <v>0.98217296657967024</v>
      </c>
      <c r="AA35">
        <f t="shared" si="16"/>
        <v>1.0019303934730972</v>
      </c>
      <c r="AB35">
        <f t="shared" si="16"/>
        <v>0.98298114424796923</v>
      </c>
      <c r="AC35">
        <f t="shared" si="16"/>
        <v>1.0004460184478536</v>
      </c>
      <c r="AD35">
        <f t="shared" si="16"/>
        <v>0.96082376616521503</v>
      </c>
      <c r="AE35">
        <f t="shared" si="16"/>
        <v>0.97192832381074667</v>
      </c>
      <c r="AF35">
        <f t="shared" si="16"/>
        <v>1.0024944353999303</v>
      </c>
      <c r="AG35">
        <f t="shared" si="16"/>
        <v>1.0225483325901052</v>
      </c>
      <c r="AH35">
        <f t="shared" si="16"/>
        <v>1.0187497682787872</v>
      </c>
      <c r="AI35">
        <f t="shared" si="16"/>
        <v>1.000614460009601</v>
      </c>
      <c r="AJ35">
        <f t="shared" si="16"/>
        <v>1.043952417516439</v>
      </c>
      <c r="AK35">
        <f t="shared" si="16"/>
        <v>1.0018145760283528</v>
      </c>
      <c r="AL35">
        <f t="shared" si="16"/>
        <v>1.0323024822547264</v>
      </c>
      <c r="AM35">
        <f t="shared" si="16"/>
        <v>1.0185179678418241</v>
      </c>
      <c r="AN35">
        <f t="shared" si="16"/>
        <v>0.98388584733341389</v>
      </c>
      <c r="AO35">
        <f t="shared" si="16"/>
        <v>0.98722388607754719</v>
      </c>
      <c r="AP35">
        <f t="shared" si="16"/>
        <v>1.0136551006784347</v>
      </c>
      <c r="AQ35">
        <f t="shared" si="16"/>
        <v>0.8967637590951909</v>
      </c>
    </row>
    <row r="36" spans="2:43" s="5" customFormat="1" x14ac:dyDescent="0.2"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</row>
  </sheetData>
  <conditionalFormatting sqref="C22:AQ32">
    <cfRule type="cellIs" dxfId="7" priority="1" operator="notBetween">
      <formula>0.9</formula>
      <formula>1.1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1FA2D-60AF-A84E-AF34-571AB95002E9}">
  <dimension ref="A1:AQ119"/>
  <sheetViews>
    <sheetView tabSelected="1" topLeftCell="B1" zoomScaleNormal="90" workbookViewId="0">
      <pane ySplit="1" topLeftCell="A73" activePane="bottomLeft" state="frozen"/>
      <selection pane="bottomLeft" activeCell="J90" sqref="J90"/>
    </sheetView>
  </sheetViews>
  <sheetFormatPr baseColWidth="10" defaultRowHeight="16" x14ac:dyDescent="0.2"/>
  <cols>
    <col min="2" max="2" width="14.5" bestFit="1" customWidth="1"/>
    <col min="11" max="11" width="11.1640625" bestFit="1" customWidth="1"/>
  </cols>
  <sheetData>
    <row r="1" spans="1:4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s="20" customFormat="1" x14ac:dyDescent="0.2">
      <c r="A2" s="19">
        <v>1</v>
      </c>
      <c r="B2" s="19" t="s">
        <v>48</v>
      </c>
      <c r="C2" s="19">
        <f>'Not MDL Filltered'!C2/(Calibration!C$34*'Corrected data'!$A2+Calibration!C$35)</f>
        <v>5.3586890841675672</v>
      </c>
      <c r="D2" s="19">
        <f>'Not MDL Filltered'!D2/(Calibration!D$34*'Corrected data'!$A2+Calibration!D$35)</f>
        <v>14.034234724293595</v>
      </c>
      <c r="E2" s="19">
        <f>'Not MDL Filltered'!E2/(Calibration!E$34*'Corrected data'!$A2+Calibration!E$35)</f>
        <v>17373.610515500299</v>
      </c>
      <c r="F2" s="19">
        <f>'Not MDL Filltered'!F2/(Calibration!F$34*'Corrected data'!$A2+Calibration!F$35)</f>
        <v>43947.557621689455</v>
      </c>
      <c r="G2" s="19">
        <f>'Not MDL Filltered'!G2/(Calibration!G$34*'Corrected data'!$A2+Calibration!G$35)</f>
        <v>67951.03572606387</v>
      </c>
      <c r="H2" s="19">
        <f>'Not MDL Filltered'!H2/(Calibration!H$34*'Corrected data'!$A2+Calibration!H$35)</f>
        <v>225996.7038495923</v>
      </c>
      <c r="I2" s="19">
        <f>'Not MDL Filltered'!I2/(Calibration!I$34*'Corrected data'!$A2+Calibration!I$35)</f>
        <v>950.27622818492637</v>
      </c>
      <c r="J2" s="19">
        <f>'Not MDL Filltered'!J2/(Calibration!J$34*'Corrected data'!$A2+Calibration!J$35)</f>
        <v>4198.5545991412118</v>
      </c>
      <c r="K2" s="19">
        <f>'Not MDL Filltered'!K2/(Calibration!K$34*'Corrected data'!$A2+Calibration!K$35)</f>
        <v>77901.853675317951</v>
      </c>
      <c r="L2" s="19">
        <f>'Not MDL Filltered'!L2/(Calibration!L$34*'Corrected data'!$A2+Calibration!L$35)</f>
        <v>31.316534955412184</v>
      </c>
      <c r="M2" s="19">
        <f>'Not MDL Filltered'!M2/(Calibration!M$34*'Corrected data'!$A2+Calibration!M$35)</f>
        <v>15822.058522014459</v>
      </c>
      <c r="N2" s="19">
        <f>'Not MDL Filltered'!N2/(Calibration!N$34*'Corrected data'!$A2+Calibration!N$35)</f>
        <v>322.67297656787537</v>
      </c>
      <c r="O2" s="19">
        <f>'Not MDL Filltered'!O2/(Calibration!O$34*'Corrected data'!$A2+Calibration!O$35)</f>
        <v>1350.1337967835711</v>
      </c>
      <c r="P2" s="19">
        <f>'Not MDL Filltered'!P2/(Calibration!P$34*'Corrected data'!$A2+Calibration!P$35)</f>
        <v>83756.443820085231</v>
      </c>
      <c r="Q2" s="19">
        <f>'Not MDL Filltered'!Q2/(Calibration!Q$34*'Corrected data'!$A2+Calibration!Q$35)</f>
        <v>0.19187318388226585</v>
      </c>
      <c r="R2" s="19">
        <f>'Not MDL Filltered'!R2/(Calibration!R$34*'Corrected data'!$A2+Calibration!R$35)</f>
        <v>8.6298630852337066</v>
      </c>
      <c r="S2" s="19">
        <f>'Not MDL Filltered'!S2/(Calibration!S$34*'Corrected data'!$A2+Calibration!S$35)</f>
        <v>356.4573296226128</v>
      </c>
      <c r="T2" s="19">
        <f>'Not MDL Filltered'!T2/(Calibration!T$34*'Corrected data'!$A2+Calibration!T$35)</f>
        <v>24.042216101726282</v>
      </c>
      <c r="U2" s="19">
        <f>'Not MDL Filltered'!U2/(Calibration!U$34*'Corrected data'!$A2+Calibration!U$35)</f>
        <v>160.07161326890196</v>
      </c>
      <c r="V2" s="19">
        <f>'Not MDL Filltered'!V2/(Calibration!V$34*'Corrected data'!$A2+Calibration!V$35)</f>
        <v>15.869636690626491</v>
      </c>
      <c r="W2" s="19">
        <f>'Not MDL Filltered'!W2/(Calibration!W$34*'Corrected data'!$A2+Calibration!W$35)</f>
        <v>0.11519175450742543</v>
      </c>
      <c r="X2" s="19">
        <f>'Not MDL Filltered'!X2/(Calibration!X$34*'Corrected data'!$A2+Calibration!X$35)</f>
        <v>125.24308205965885</v>
      </c>
      <c r="Y2" s="19">
        <f>'Not MDL Filltered'!Y2/(Calibration!Y$34*'Corrected data'!$A2+Calibration!Y$35)</f>
        <v>12.978949148807278</v>
      </c>
      <c r="Z2" s="19">
        <f>'Not MDL Filltered'!Z2/(Calibration!Z$34*'Corrected data'!$A2+Calibration!Z$35)</f>
        <v>33.82595013451261</v>
      </c>
      <c r="AA2" s="19">
        <f>'Not MDL Filltered'!AA2/(Calibration!AA$34*'Corrected data'!$A2+Calibration!AA$35)</f>
        <v>4.4020015681513938</v>
      </c>
      <c r="AB2" s="19">
        <f>'Not MDL Filltered'!AB2/(Calibration!AB$34*'Corrected data'!$A2+Calibration!AB$35)</f>
        <v>21.720945669706239</v>
      </c>
      <c r="AC2" s="19">
        <f>'Not MDL Filltered'!AC2/(Calibration!AC$34*'Corrected data'!$A2+Calibration!AC$35)</f>
        <v>5.48886990947695</v>
      </c>
      <c r="AD2" s="19">
        <f>'Not MDL Filltered'!AD2/(Calibration!AD$34*'Corrected data'!$A2+Calibration!AD$35)</f>
        <v>1.9552653303222007</v>
      </c>
      <c r="AE2" s="19">
        <f>'Not MDL Filltered'!AE2/(Calibration!AE$34*'Corrected data'!$A2+Calibration!AE$35)</f>
        <v>6.1100397951299064</v>
      </c>
      <c r="AF2" s="19">
        <f>'Not MDL Filltered'!AF2/(Calibration!AF$34*'Corrected data'!$A2+Calibration!AF$35)</f>
        <v>0.84211663801988879</v>
      </c>
      <c r="AG2" s="19">
        <f>'Not MDL Filltered'!AG2/(Calibration!AG$34*'Corrected data'!$A2+Calibration!AG$35)</f>
        <v>5.0391403791774323</v>
      </c>
      <c r="AH2" s="19">
        <f>'Not MDL Filltered'!AH2/(Calibration!AH$34*'Corrected data'!$A2+Calibration!AH$35)</f>
        <v>0.92302252352176795</v>
      </c>
      <c r="AI2" s="19">
        <f>'Not MDL Filltered'!AI2/(Calibration!AI$34*'Corrected data'!$A2+Calibration!AI$35)</f>
        <v>2.4095317666026705</v>
      </c>
      <c r="AJ2" s="19">
        <f>'Not MDL Filltered'!AJ2/(Calibration!AJ$34*'Corrected data'!$A2+Calibration!AJ$35)</f>
        <v>0.27603963604914444</v>
      </c>
      <c r="AK2" s="19">
        <f>'Not MDL Filltered'!AK2/(Calibration!AK$34*'Corrected data'!$A2+Calibration!AK$35)</f>
        <v>2.0961396509674186</v>
      </c>
      <c r="AL2" s="19">
        <f>'Not MDL Filltered'!AL2/(Calibration!AL$34*'Corrected data'!$A2+Calibration!AL$35)</f>
        <v>0.25293079410329422</v>
      </c>
      <c r="AM2" s="19">
        <f>'Not MDL Filltered'!AM2/(Calibration!AM$34*'Corrected data'!$A2+Calibration!AM$35)</f>
        <v>3.6533458094193185</v>
      </c>
      <c r="AN2" s="19">
        <f>'Not MDL Filltered'!AN2/(Calibration!AN$34*'Corrected data'!$A2+Calibration!AN$35)</f>
        <v>0.94922529395492972</v>
      </c>
      <c r="AO2" s="19">
        <f>'Not MDL Filltered'!AO2/(Calibration!AO$34*'Corrected data'!$A2+Calibration!AO$35)</f>
        <v>2.0864508345904684</v>
      </c>
      <c r="AP2" s="19">
        <f>'Not MDL Filltered'!AP2/(Calibration!AP$34*'Corrected data'!$A2+Calibration!AP$35)</f>
        <v>0.90102933161195842</v>
      </c>
      <c r="AQ2" s="19">
        <f>'Not MDL Filltered'!AQ2/(Calibration!AQ$34*'Corrected data'!$A2+Calibration!AQ$35)</f>
        <v>0.70797946733298545</v>
      </c>
    </row>
    <row r="3" spans="1:43" s="20" customFormat="1" x14ac:dyDescent="0.2">
      <c r="A3" s="19">
        <v>2</v>
      </c>
      <c r="B3" s="19" t="s">
        <v>49</v>
      </c>
      <c r="C3" s="19">
        <f>'Not MDL Filltered'!C3/(Calibration!C$34*'Corrected data'!$A3+Calibration!C$35)</f>
        <v>5.367323630230139</v>
      </c>
      <c r="D3" s="19">
        <f>'Not MDL Filltered'!D3/(Calibration!D$34*'Corrected data'!$A3+Calibration!D$35)</f>
        <v>3.1633113651719258</v>
      </c>
      <c r="E3" s="19">
        <f>'Not MDL Filltered'!E3/(Calibration!E$34*'Corrected data'!$A3+Calibration!E$35)</f>
        <v>17526.546194073122</v>
      </c>
      <c r="F3" s="19">
        <f>'Not MDL Filltered'!F3/(Calibration!F$34*'Corrected data'!$A3+Calibration!F$35)</f>
        <v>45575.070501889139</v>
      </c>
      <c r="G3" s="19">
        <f>'Not MDL Filltered'!G3/(Calibration!G$34*'Corrected data'!$A3+Calibration!G$35)</f>
        <v>69577.214924053565</v>
      </c>
      <c r="H3" s="19">
        <f>'Not MDL Filltered'!H3/(Calibration!H$34*'Corrected data'!$A3+Calibration!H$35)</f>
        <v>231815.27145513325</v>
      </c>
      <c r="I3" s="19">
        <f>'Not MDL Filltered'!I3/(Calibration!I$34*'Corrected data'!$A3+Calibration!I$35)</f>
        <v>894.21928748884307</v>
      </c>
      <c r="J3" s="19">
        <f>'Not MDL Filltered'!J3/(Calibration!J$34*'Corrected data'!$A3+Calibration!J$35)</f>
        <v>4021.1048011394273</v>
      </c>
      <c r="K3" s="19">
        <f>'Not MDL Filltered'!K3/(Calibration!K$34*'Corrected data'!$A3+Calibration!K$35)</f>
        <v>77901.853781414757</v>
      </c>
      <c r="L3" s="19">
        <f>'Not MDL Filltered'!L3/(Calibration!L$34*'Corrected data'!$A3+Calibration!L$35)</f>
        <v>32.135211453494257</v>
      </c>
      <c r="M3" s="19">
        <f>'Not MDL Filltered'!M3/(Calibration!M$34*'Corrected data'!$A3+Calibration!M$35)</f>
        <v>15551.164535572419</v>
      </c>
      <c r="N3" s="19">
        <f>'Not MDL Filltered'!N3/(Calibration!N$34*'Corrected data'!$A3+Calibration!N$35)</f>
        <v>320.768347999676</v>
      </c>
      <c r="O3" s="19">
        <f>'Not MDL Filltered'!O3/(Calibration!O$34*'Corrected data'!$A3+Calibration!O$35)</f>
        <v>1332.0608711284756</v>
      </c>
      <c r="P3" s="19">
        <f>'Not MDL Filltered'!P3/(Calibration!P$34*'Corrected data'!$A3+Calibration!P$35)</f>
        <v>84686.184820537062</v>
      </c>
      <c r="Q3" s="19">
        <f>'Not MDL Filltered'!Q3/(Calibration!Q$34*'Corrected data'!$A3+Calibration!Q$35)</f>
        <v>0.12403528882540683</v>
      </c>
      <c r="R3" s="19">
        <f>'Not MDL Filltered'!R3/(Calibration!R$34*'Corrected data'!$A3+Calibration!R$35)</f>
        <v>8.9615356966402082</v>
      </c>
      <c r="S3" s="19">
        <f>'Not MDL Filltered'!S3/(Calibration!S$34*'Corrected data'!$A3+Calibration!S$35)</f>
        <v>358.23385671308364</v>
      </c>
      <c r="T3" s="19">
        <f>'Not MDL Filltered'!T3/(Calibration!T$34*'Corrected data'!$A3+Calibration!T$35)</f>
        <v>24.5903781327535</v>
      </c>
      <c r="U3" s="19">
        <f>'Not MDL Filltered'!U3/(Calibration!U$34*'Corrected data'!$A3+Calibration!U$35)</f>
        <v>148.98791455477456</v>
      </c>
      <c r="V3" s="19">
        <f>'Not MDL Filltered'!V3/(Calibration!V$34*'Corrected data'!$A3+Calibration!V$35)</f>
        <v>15.13217333866103</v>
      </c>
      <c r="W3" s="19">
        <f>'Not MDL Filltered'!W3/(Calibration!W$34*'Corrected data'!$A3+Calibration!W$35)</f>
        <v>0.10401660156250001</v>
      </c>
      <c r="X3" s="19">
        <f>'Not MDL Filltered'!X3/(Calibration!X$34*'Corrected data'!$A3+Calibration!X$35)</f>
        <v>125.89603790234297</v>
      </c>
      <c r="Y3" s="19">
        <f>'Not MDL Filltered'!Y3/(Calibration!Y$34*'Corrected data'!$A3+Calibration!Y$35)</f>
        <v>13.190838253952531</v>
      </c>
      <c r="Z3" s="19">
        <f>'Not MDL Filltered'!Z3/(Calibration!Z$34*'Corrected data'!$A3+Calibration!Z$35)</f>
        <v>32.037752776922439</v>
      </c>
      <c r="AA3" s="19">
        <f>'Not MDL Filltered'!AA3/(Calibration!AA$34*'Corrected data'!$A3+Calibration!AA$35)</f>
        <v>4.6221257269449874</v>
      </c>
      <c r="AB3" s="19">
        <f>'Not MDL Filltered'!AB3/(Calibration!AB$34*'Corrected data'!$A3+Calibration!AB$35)</f>
        <v>21.864554450605432</v>
      </c>
      <c r="AC3" s="19">
        <f>'Not MDL Filltered'!AC3/(Calibration!AC$34*'Corrected data'!$A3+Calibration!AC$35)</f>
        <v>5.6901948501913822</v>
      </c>
      <c r="AD3" s="19">
        <f>'Not MDL Filltered'!AD3/(Calibration!AD$34*'Corrected data'!$A3+Calibration!AD$35)</f>
        <v>1.9019134351212568</v>
      </c>
      <c r="AE3" s="19">
        <f>'Not MDL Filltered'!AE3/(Calibration!AE$34*'Corrected data'!$A3+Calibration!AE$35)</f>
        <v>5.851426032545799</v>
      </c>
      <c r="AF3" s="19">
        <f>'Not MDL Filltered'!AF3/(Calibration!AF$34*'Corrected data'!$A3+Calibration!AF$35)</f>
        <v>0.88724459642844966</v>
      </c>
      <c r="AG3" s="19">
        <f>'Not MDL Filltered'!AG3/(Calibration!AG$34*'Corrected data'!$A3+Calibration!AG$35)</f>
        <v>5.0810068895223308</v>
      </c>
      <c r="AH3" s="19">
        <f>'Not MDL Filltered'!AH3/(Calibration!AH$34*'Corrected data'!$A3+Calibration!AH$35)</f>
        <v>0.94299132947976871</v>
      </c>
      <c r="AI3" s="19">
        <f>'Not MDL Filltered'!AI3/(Calibration!AI$34*'Corrected data'!$A3+Calibration!AI$35)</f>
        <v>2.4905623915675252</v>
      </c>
      <c r="AJ3" s="19">
        <f>'Not MDL Filltered'!AJ3/(Calibration!AJ$34*'Corrected data'!$A3+Calibration!AJ$35)</f>
        <v>0.31648469765434611</v>
      </c>
      <c r="AK3" s="19">
        <f>'Not MDL Filltered'!AK3/(Calibration!AK$34*'Corrected data'!$A3+Calibration!AK$35)</f>
        <v>2.0761203171812852</v>
      </c>
      <c r="AL3" s="19">
        <f>'Not MDL Filltered'!AL3/(Calibration!AL$34*'Corrected data'!$A3+Calibration!AL$35)</f>
        <v>0.2792041858284437</v>
      </c>
      <c r="AM3" s="19">
        <f>'Not MDL Filltered'!AM3/(Calibration!AM$34*'Corrected data'!$A3+Calibration!AM$35)</f>
        <v>3.6248561587564008</v>
      </c>
      <c r="AN3" s="19">
        <f>'Not MDL Filltered'!AN3/(Calibration!AN$34*'Corrected data'!$A3+Calibration!AN$35)</f>
        <v>0.95118592864655305</v>
      </c>
      <c r="AO3" s="19">
        <f>'Not MDL Filltered'!AO3/(Calibration!AO$34*'Corrected data'!$A3+Calibration!AO$35)</f>
        <v>2.1064970924151782</v>
      </c>
      <c r="AP3" s="19">
        <f>'Not MDL Filltered'!AP3/(Calibration!AP$34*'Corrected data'!$A3+Calibration!AP$35)</f>
        <v>0.96454198039333527</v>
      </c>
      <c r="AQ3" s="19">
        <f>'Not MDL Filltered'!AQ3/(Calibration!AQ$34*'Corrected data'!$A3+Calibration!AQ$35)</f>
        <v>0.62006991956988866</v>
      </c>
    </row>
    <row r="4" spans="1:43" s="20" customFormat="1" x14ac:dyDescent="0.2">
      <c r="A4" s="19">
        <v>3</v>
      </c>
      <c r="B4" s="19" t="s">
        <v>50</v>
      </c>
      <c r="C4" s="19">
        <f>'Not MDL Filltered'!C4/(Calibration!C$34*'Corrected data'!$A4+Calibration!C$35)</f>
        <v>5.3759528680457267</v>
      </c>
      <c r="D4" s="19">
        <f>'Not MDL Filltered'!D4/(Calibration!D$34*'Corrected data'!$A4+Calibration!D$35)</f>
        <v>2.6277630791545343</v>
      </c>
      <c r="E4" s="19">
        <f>'Not MDL Filltered'!E4/(Calibration!E$34*'Corrected data'!$A4+Calibration!E$35)</f>
        <v>18422.422945439397</v>
      </c>
      <c r="F4" s="19">
        <f>'Not MDL Filltered'!F4/(Calibration!F$34*'Corrected data'!$A4+Calibration!F$35)</f>
        <v>46804.124872784465</v>
      </c>
      <c r="G4" s="19">
        <f>'Not MDL Filltered'!G4/(Calibration!G$34*'Corrected data'!$A4+Calibration!G$35)</f>
        <v>72075.573384324045</v>
      </c>
      <c r="H4" s="19">
        <f>'Not MDL Filltered'!H4/(Calibration!H$34*'Corrected data'!$A4+Calibration!H$35)</f>
        <v>240114.54519476884</v>
      </c>
      <c r="I4" s="19">
        <f>'Not MDL Filltered'!I4/(Calibration!I$34*'Corrected data'!$A4+Calibration!I$35)</f>
        <v>930.70158003643405</v>
      </c>
      <c r="J4" s="19">
        <f>'Not MDL Filltered'!J4/(Calibration!J$34*'Corrected data'!$A4+Calibration!J$35)</f>
        <v>4087.0639550161036</v>
      </c>
      <c r="K4" s="19">
        <f>'Not MDL Filltered'!K4/(Calibration!K$34*'Corrected data'!$A4+Calibration!K$35)</f>
        <v>77901.853887511563</v>
      </c>
      <c r="L4" s="19">
        <f>'Not MDL Filltered'!L4/(Calibration!L$34*'Corrected data'!$A4+Calibration!L$35)</f>
        <v>32.009208463317606</v>
      </c>
      <c r="M4" s="19">
        <f>'Not MDL Filltered'!M4/(Calibration!M$34*'Corrected data'!$A4+Calibration!M$35)</f>
        <v>15534.707356168965</v>
      </c>
      <c r="N4" s="19">
        <f>'Not MDL Filltered'!N4/(Calibration!N$34*'Corrected data'!$A4+Calibration!N$35)</f>
        <v>324.1690765560532</v>
      </c>
      <c r="O4" s="19">
        <f>'Not MDL Filltered'!O4/(Calibration!O$34*'Corrected data'!$A4+Calibration!O$35)</f>
        <v>1362.8199206439128</v>
      </c>
      <c r="P4" s="19">
        <f>'Not MDL Filltered'!P4/(Calibration!P$34*'Corrected data'!$A4+Calibration!P$35)</f>
        <v>86902.128271553447</v>
      </c>
      <c r="Q4" s="19">
        <f>'Not MDL Filltered'!Q4/(Calibration!Q$34*'Corrected data'!$A4+Calibration!Q$35)</f>
        <v>0.2299587867050526</v>
      </c>
      <c r="R4" s="19">
        <f>'Not MDL Filltered'!R4/(Calibration!R$34*'Corrected data'!$A4+Calibration!R$35)</f>
        <v>9.2124982133403446</v>
      </c>
      <c r="S4" s="19">
        <f>'Not MDL Filltered'!S4/(Calibration!S$34*'Corrected data'!$A4+Calibration!S$35)</f>
        <v>367.34063690403377</v>
      </c>
      <c r="T4" s="19">
        <f>'Not MDL Filltered'!T4/(Calibration!T$34*'Corrected data'!$A4+Calibration!T$35)</f>
        <v>24.744812057375622</v>
      </c>
      <c r="U4" s="19">
        <f>'Not MDL Filltered'!U4/(Calibration!U$34*'Corrected data'!$A4+Calibration!U$35)</f>
        <v>150.67801274921189</v>
      </c>
      <c r="V4" s="19">
        <f>'Not MDL Filltered'!V4/(Calibration!V$34*'Corrected data'!$A4+Calibration!V$35)</f>
        <v>15.7629283058988</v>
      </c>
      <c r="W4" s="19">
        <f>'Not MDL Filltered'!W4/(Calibration!W$34*'Corrected data'!$A4+Calibration!W$35)</f>
        <v>0.10417224955255409</v>
      </c>
      <c r="X4" s="19">
        <f>'Not MDL Filltered'!X4/(Calibration!X$34*'Corrected data'!$A4+Calibration!X$35)</f>
        <v>126.48727164622042</v>
      </c>
      <c r="Y4" s="19">
        <f>'Not MDL Filltered'!Y4/(Calibration!Y$34*'Corrected data'!$A4+Calibration!Y$35)</f>
        <v>12.463298942012029</v>
      </c>
      <c r="Z4" s="19">
        <f>'Not MDL Filltered'!Z4/(Calibration!Z$34*'Corrected data'!$A4+Calibration!Z$35)</f>
        <v>32.722843918654227</v>
      </c>
      <c r="AA4" s="19">
        <f>'Not MDL Filltered'!AA4/(Calibration!AA$34*'Corrected data'!$A4+Calibration!AA$35)</f>
        <v>4.6226490189410665</v>
      </c>
      <c r="AB4" s="19">
        <f>'Not MDL Filltered'!AB4/(Calibration!AB$34*'Corrected data'!$A4+Calibration!AB$35)</f>
        <v>21.926760585202601</v>
      </c>
      <c r="AC4" s="19">
        <f>'Not MDL Filltered'!AC4/(Calibration!AC$34*'Corrected data'!$A4+Calibration!AC$35)</f>
        <v>5.5815314268121554</v>
      </c>
      <c r="AD4" s="19">
        <f>'Not MDL Filltered'!AD4/(Calibration!AD$34*'Corrected data'!$A4+Calibration!AD$35)</f>
        <v>2.0251924173318132</v>
      </c>
      <c r="AE4" s="19">
        <f>'Not MDL Filltered'!AE4/(Calibration!AE$34*'Corrected data'!$A4+Calibration!AE$35)</f>
        <v>6.3126209230009183</v>
      </c>
      <c r="AF4" s="19">
        <f>'Not MDL Filltered'!AF4/(Calibration!AF$34*'Corrected data'!$A4+Calibration!AF$35)</f>
        <v>0.90544217259338666</v>
      </c>
      <c r="AG4" s="19">
        <f>'Not MDL Filltered'!AG4/(Calibration!AG$34*'Corrected data'!$A4+Calibration!AG$35)</f>
        <v>4.8682417656377872</v>
      </c>
      <c r="AH4" s="19">
        <f>'Not MDL Filltered'!AH4/(Calibration!AH$34*'Corrected data'!$A4+Calibration!AH$35)</f>
        <v>0.84407629728111</v>
      </c>
      <c r="AI4" s="19">
        <f>'Not MDL Filltered'!AI4/(Calibration!AI$34*'Corrected data'!$A4+Calibration!AI$35)</f>
        <v>2.5716611480698468</v>
      </c>
      <c r="AJ4" s="19">
        <f>'Not MDL Filltered'!AJ4/(Calibration!AJ$34*'Corrected data'!$A4+Calibration!AJ$35)</f>
        <v>0.32723001253819467</v>
      </c>
      <c r="AK4" s="19">
        <f>'Not MDL Filltered'!AK4/(Calibration!AK$34*'Corrected data'!$A4+Calibration!AK$35)</f>
        <v>2.0361399092517063</v>
      </c>
      <c r="AL4" s="19">
        <f>'Not MDL Filltered'!AL4/(Calibration!AL$34*'Corrected data'!$A4+Calibration!AL$35)</f>
        <v>0.28610125004155984</v>
      </c>
      <c r="AM4" s="19">
        <f>'Not MDL Filltered'!AM4/(Calibration!AM$34*'Corrected data'!$A4+Calibration!AM$35)</f>
        <v>3.80269922828287</v>
      </c>
      <c r="AN4" s="19">
        <f>'Not MDL Filltered'!AN4/(Calibration!AN$34*'Corrected data'!$A4+Calibration!AN$35)</f>
        <v>0.98566298368351313</v>
      </c>
      <c r="AO4" s="19">
        <f>'Not MDL Filltered'!AO4/(Calibration!AO$34*'Corrected data'!$A4+Calibration!AO$35)</f>
        <v>2.1366657215829994</v>
      </c>
      <c r="AP4" s="19">
        <f>'Not MDL Filltered'!AP4/(Calibration!AP$34*'Corrected data'!$A4+Calibration!AP$35)</f>
        <v>1.03698947123812</v>
      </c>
      <c r="AQ4" s="19">
        <f>'Not MDL Filltered'!AQ4/(Calibration!AQ$34*'Corrected data'!$A4+Calibration!AQ$35)</f>
        <v>0.63784997770088769</v>
      </c>
    </row>
    <row r="5" spans="1:43" s="4" customFormat="1" x14ac:dyDescent="0.2">
      <c r="A5" s="4">
        <v>4</v>
      </c>
      <c r="B5" s="4" t="s">
        <v>51</v>
      </c>
      <c r="C5" s="4">
        <f>'Not MDL Filltered'!C5/(Calibration!C$34*'Corrected data'!$A5+Calibration!C$35)</f>
        <v>2.0757338055469141</v>
      </c>
      <c r="D5" s="4">
        <f>'Not MDL Filltered'!D5/(Calibration!D$34*'Corrected data'!$A5+Calibration!D$35)</f>
        <v>2.109928766942585</v>
      </c>
      <c r="E5" s="4">
        <f>'Not MDL Filltered'!E5/(Calibration!E$34*'Corrected data'!$A5+Calibration!E$35)</f>
        <v>886.34728183524976</v>
      </c>
      <c r="F5" s="4">
        <f>'Not MDL Filltered'!F5/(Calibration!F$34*'Corrected data'!$A5+Calibration!F$35)</f>
        <v>210891.34936765101</v>
      </c>
      <c r="G5" s="4">
        <f>'Not MDL Filltered'!G5/(Calibration!G$34*'Corrected data'!$A5+Calibration!G$35)</f>
        <v>12472.072113208158</v>
      </c>
      <c r="H5" s="4">
        <f>'Not MDL Filltered'!H5/(Calibration!H$34*'Corrected data'!$A5+Calibration!H$35)</f>
        <v>240386.44539596472</v>
      </c>
      <c r="I5" s="4">
        <f>'Not MDL Filltered'!I5/(Calibration!I$34*'Corrected data'!$A5+Calibration!I$35)</f>
        <v>17.923662309563472</v>
      </c>
      <c r="J5" s="36" t="e">
        <f>'Not MDL Filltered'!J5/(Calibration!J$34*'Corrected data'!$A5+Calibration!J$35)</f>
        <v>#VALUE!</v>
      </c>
      <c r="K5" s="4">
        <f>'Not MDL Filltered'!K5/(Calibration!K$34*'Corrected data'!$A5+Calibration!K$35)</f>
        <v>15008.7496687614</v>
      </c>
      <c r="L5" s="4">
        <f>'Not MDL Filltered'!L5/(Calibration!L$34*'Corrected data'!$A5+Calibration!L$35)</f>
        <v>16.604602761927271</v>
      </c>
      <c r="M5" s="4">
        <f>'Not MDL Filltered'!M5/(Calibration!M$34*'Corrected data'!$A5+Calibration!M$35)</f>
        <v>372.87321405818756</v>
      </c>
      <c r="N5" s="4">
        <f>'Not MDL Filltered'!N5/(Calibration!N$34*'Corrected data'!$A5+Calibration!N$35)</f>
        <v>57.755525753233584</v>
      </c>
      <c r="O5" s="4">
        <f>'Not MDL Filltered'!O5/(Calibration!O$34*'Corrected data'!$A5+Calibration!O$35)</f>
        <v>864.44391367122239</v>
      </c>
      <c r="P5" s="4">
        <f>'Not MDL Filltered'!P5/(Calibration!P$34*'Corrected data'!$A5+Calibration!P$35)</f>
        <v>57396.196617507529</v>
      </c>
      <c r="Q5" s="4">
        <f>'Not MDL Filltered'!Q5/(Calibration!Q$34*'Corrected data'!$A5+Calibration!Q$35)</f>
        <v>0.11980363437364192</v>
      </c>
      <c r="R5" s="4">
        <f>'Not MDL Filltered'!R5/(Calibration!R$34*'Corrected data'!$A5+Calibration!R$35)</f>
        <v>0.26404810843383442</v>
      </c>
      <c r="S5" s="4">
        <f>'Not MDL Filltered'!S5/(Calibration!S$34*'Corrected data'!$A5+Calibration!S$35)</f>
        <v>0.67730438552488914</v>
      </c>
      <c r="T5" s="4">
        <f>'Not MDL Filltered'!T5/(Calibration!T$34*'Corrected data'!$A5+Calibration!T$35)</f>
        <v>2.1775828627083484</v>
      </c>
      <c r="U5" s="4">
        <f>'Not MDL Filltered'!U5/(Calibration!U$34*'Corrected data'!$A5+Calibration!U$35)</f>
        <v>20.159933731794421</v>
      </c>
      <c r="V5" s="4">
        <f>'Not MDL Filltered'!V5/(Calibration!V$34*'Corrected data'!$A5+Calibration!V$35)</f>
        <v>2.2611200624969477E-2</v>
      </c>
      <c r="W5" s="4">
        <f>'Not MDL Filltered'!W5/(Calibration!W$34*'Corrected data'!$A5+Calibration!W$35)</f>
        <v>0.796689325523537</v>
      </c>
      <c r="X5" s="4">
        <f>'Not MDL Filltered'!X5/(Calibration!X$34*'Corrected data'!$A5+Calibration!X$35)</f>
        <v>0.47353887594325483</v>
      </c>
      <c r="Y5" s="4">
        <f>'Not MDL Filltered'!Y5/(Calibration!Y$34*'Corrected data'!$A5+Calibration!Y$35)</f>
        <v>0.21491816501123753</v>
      </c>
      <c r="Z5" s="4">
        <f>'Not MDL Filltered'!Z5/(Calibration!Z$34*'Corrected data'!$A5+Calibration!Z$35)</f>
        <v>0.42115604651631072</v>
      </c>
      <c r="AA5" s="4">
        <f>'Not MDL Filltered'!AA5/(Calibration!AA$34*'Corrected data'!$A5+Calibration!AA$35)</f>
        <v>7.8284388438018826E-2</v>
      </c>
      <c r="AB5" s="4">
        <f>'Not MDL Filltered'!AB5/(Calibration!AB$34*'Corrected data'!$A5+Calibration!AB$35)</f>
        <v>0.41844957915616793</v>
      </c>
      <c r="AC5" s="4">
        <f>'Not MDL Filltered'!AC5/(Calibration!AC$34*'Corrected data'!$A5+Calibration!AC$35)</f>
        <v>0.1070550803469547</v>
      </c>
      <c r="AD5" s="4">
        <f>'Not MDL Filltered'!AD5/(Calibration!AD$34*'Corrected data'!$A5+Calibration!AD$35)</f>
        <v>4.5249148755873977E-2</v>
      </c>
      <c r="AE5" s="4">
        <f>'Not MDL Filltered'!AE5/(Calibration!AE$34*'Corrected data'!$A5+Calibration!AE$35)</f>
        <v>0.28985604407840737</v>
      </c>
      <c r="AF5" s="4">
        <f>'Not MDL Filltered'!AF5/(Calibration!AF$34*'Corrected data'!$A5+Calibration!AF$35)</f>
        <v>4.3736034196963001E-2</v>
      </c>
      <c r="AG5" s="4">
        <f>'Not MDL Filltered'!AG5/(Calibration!AG$34*'Corrected data'!$A5+Calibration!AG$35)</f>
        <v>0.35183873168773822</v>
      </c>
      <c r="AH5" s="4">
        <f>'Not MDL Filltered'!AH5/(Calibration!AH$34*'Corrected data'!$A5+Calibration!AH$35)</f>
        <v>8.2569557083505427E-2</v>
      </c>
      <c r="AI5" s="4">
        <f>'Not MDL Filltered'!AI5/(Calibration!AI$34*'Corrected data'!$A5+Calibration!AI$35)</f>
        <v>0.21623051862947013</v>
      </c>
      <c r="AJ5" s="4">
        <f>'Not MDL Filltered'!AJ5/(Calibration!AJ$34*'Corrected data'!$A5+Calibration!AJ$35)</f>
        <v>4.080823479962517E-2</v>
      </c>
      <c r="AK5" s="4">
        <f>'Not MDL Filltered'!AK5/(Calibration!AK$34*'Corrected data'!$A5+Calibration!AK$35)</f>
        <v>0.30042233009708735</v>
      </c>
      <c r="AL5" s="4">
        <f>'Not MDL Filltered'!AL5/(Calibration!AL$34*'Corrected data'!$A5+Calibration!AL$35)</f>
        <v>5.4428826140746664E-2</v>
      </c>
      <c r="AM5" s="4">
        <f>'Not MDL Filltered'!AM5/(Calibration!AM$34*'Corrected data'!$A5+Calibration!AM$35)</f>
        <v>0.57989538779583694</v>
      </c>
      <c r="AN5" s="4">
        <f>'Not MDL Filltered'!AN5/(Calibration!AN$34*'Corrected data'!$A5+Calibration!AN$35)</f>
        <v>4.6739244867924721E-3</v>
      </c>
      <c r="AO5" s="4">
        <f>'Not MDL Filltered'!AO5/(Calibration!AO$34*'Corrected data'!$A5+Calibration!AO$35)</f>
        <v>0.48095488450992235</v>
      </c>
      <c r="AP5" s="4">
        <f>'Not MDL Filltered'!AP5/(Calibration!AP$34*'Corrected data'!$A5+Calibration!AP$35)</f>
        <v>5.5326297771305114E-2</v>
      </c>
      <c r="AQ5" s="4">
        <f>'Not MDL Filltered'!AQ5/(Calibration!AQ$34*'Corrected data'!$A5+Calibration!AQ$35)</f>
        <v>9.4127207361150461E-2</v>
      </c>
    </row>
    <row r="6" spans="1:43" s="4" customFormat="1" x14ac:dyDescent="0.2">
      <c r="A6" s="4">
        <v>5</v>
      </c>
      <c r="B6" s="4" t="s">
        <v>53</v>
      </c>
      <c r="C6" s="4">
        <f>'Not MDL Filltered'!C6/(Calibration!C$34*'Corrected data'!$A6+Calibration!C$35)</f>
        <v>1.766913553186062</v>
      </c>
      <c r="D6" s="4">
        <f>'Not MDL Filltered'!D6/(Calibration!D$34*'Corrected data'!$A6+Calibration!D$35)</f>
        <v>2.2131416901585355</v>
      </c>
      <c r="E6" s="4">
        <f>'Not MDL Filltered'!E6/(Calibration!E$34*'Corrected data'!$A6+Calibration!E$35)</f>
        <v>882.65652645285627</v>
      </c>
      <c r="F6" s="4">
        <f>'Not MDL Filltered'!F6/(Calibration!F$34*'Corrected data'!$A6+Calibration!F$35)</f>
        <v>211005.11818039214</v>
      </c>
      <c r="G6" s="4">
        <f>'Not MDL Filltered'!G6/(Calibration!G$34*'Corrected data'!$A6+Calibration!G$35)</f>
        <v>12026.909003916442</v>
      </c>
      <c r="H6" s="4">
        <f>'Not MDL Filltered'!H6/(Calibration!H$34*'Corrected data'!$A6+Calibration!H$35)</f>
        <v>240282.82990269596</v>
      </c>
      <c r="I6" s="4">
        <f>'Not MDL Filltered'!I6/(Calibration!I$34*'Corrected data'!$A6+Calibration!I$35)</f>
        <v>17.34940210481642</v>
      </c>
      <c r="J6" s="36" t="e">
        <f>'Not MDL Filltered'!J6/(Calibration!J$34*'Corrected data'!$A6+Calibration!J$35)</f>
        <v>#VALUE!</v>
      </c>
      <c r="K6" s="4">
        <f>'Not MDL Filltered'!K6/(Calibration!K$34*'Corrected data'!$A6+Calibration!K$35)</f>
        <v>15008.749689202254</v>
      </c>
      <c r="L6" s="4">
        <f>'Not MDL Filltered'!L6/(Calibration!L$34*'Corrected data'!$A6+Calibration!L$35)</f>
        <v>16.53148827108776</v>
      </c>
      <c r="M6" s="4">
        <f>'Not MDL Filltered'!M6/(Calibration!M$34*'Corrected data'!$A6+Calibration!M$35)</f>
        <v>353.95889162404745</v>
      </c>
      <c r="N6" s="4">
        <f>'Not MDL Filltered'!N6/(Calibration!N$34*'Corrected data'!$A6+Calibration!N$35)</f>
        <v>57.635988096015325</v>
      </c>
      <c r="O6" s="4">
        <f>'Not MDL Filltered'!O6/(Calibration!O$34*'Corrected data'!$A6+Calibration!O$35)</f>
        <v>872.22578089436718</v>
      </c>
      <c r="P6" s="4">
        <f>'Not MDL Filltered'!P6/(Calibration!P$34*'Corrected data'!$A6+Calibration!P$35)</f>
        <v>57881.722781500022</v>
      </c>
      <c r="Q6" s="4">
        <f>'Not MDL Filltered'!Q6/(Calibration!Q$34*'Corrected data'!$A6+Calibration!Q$35)</f>
        <v>8.3830775309905514E-2</v>
      </c>
      <c r="R6" s="4">
        <f>'Not MDL Filltered'!R6/(Calibration!R$34*'Corrected data'!$A6+Calibration!R$35)</f>
        <v>0.30634155113272227</v>
      </c>
      <c r="S6" s="4">
        <f>'Not MDL Filltered'!S6/(Calibration!S$34*'Corrected data'!$A6+Calibration!S$35)</f>
        <v>0.6580019862902694</v>
      </c>
      <c r="T6" s="4">
        <f>'Not MDL Filltered'!T6/(Calibration!T$34*'Corrected data'!$A6+Calibration!T$35)</f>
        <v>2.2865901327855598</v>
      </c>
      <c r="U6" s="4">
        <f>'Not MDL Filltered'!U6/(Calibration!U$34*'Corrected data'!$A6+Calibration!U$35)</f>
        <v>19.653532266926128</v>
      </c>
      <c r="V6" s="4">
        <f>'Not MDL Filltered'!V6/(Calibration!V$34*'Corrected data'!$A6+Calibration!V$35)</f>
        <v>6.1639410500568294E-3</v>
      </c>
      <c r="W6" s="4">
        <f>'Not MDL Filltered'!W6/(Calibration!W$34*'Corrected data'!$A6+Calibration!W$35)</f>
        <v>0.85487684052540192</v>
      </c>
      <c r="X6" s="4">
        <f>'Not MDL Filltered'!X6/(Calibration!X$34*'Corrected data'!$A6+Calibration!X$35)</f>
        <v>0.44989811473810593</v>
      </c>
      <c r="Y6" s="4">
        <f>'Not MDL Filltered'!Y6/(Calibration!Y$34*'Corrected data'!$A6+Calibration!Y$35)</f>
        <v>0.17696038170079137</v>
      </c>
      <c r="Z6" s="4">
        <f>'Not MDL Filltered'!Z6/(Calibration!Z$34*'Corrected data'!$A6+Calibration!Z$35)</f>
        <v>0.45056156668015029</v>
      </c>
      <c r="AA6" s="4">
        <f>'Not MDL Filltered'!AA6/(Calibration!AA$34*'Corrected data'!$A6+Calibration!AA$35)</f>
        <v>7.3300061199220071E-2</v>
      </c>
      <c r="AB6" s="4">
        <f>'Not MDL Filltered'!AB6/(Calibration!AB$34*'Corrected data'!$A6+Calibration!AB$35)</f>
        <v>0.39492850208207486</v>
      </c>
      <c r="AC6" s="4">
        <f>'Not MDL Filltered'!AC6/(Calibration!AC$34*'Corrected data'!$A6+Calibration!AC$35)</f>
        <v>0.15111403602290804</v>
      </c>
      <c r="AD6" s="4">
        <f>'Not MDL Filltered'!AD6/(Calibration!AD$34*'Corrected data'!$A6+Calibration!AD$35)</f>
        <v>5.4550926271232252E-2</v>
      </c>
      <c r="AE6" s="4">
        <f>'Not MDL Filltered'!AE6/(Calibration!AE$34*'Corrected data'!$A6+Calibration!AE$35)</f>
        <v>0.28772872663648408</v>
      </c>
      <c r="AF6" s="4">
        <f>'Not MDL Filltered'!AF6/(Calibration!AF$34*'Corrected data'!$A6+Calibration!AF$35)</f>
        <v>4.5245498669914667E-2</v>
      </c>
      <c r="AG6" s="4">
        <f>'Not MDL Filltered'!AG6/(Calibration!AG$34*'Corrected data'!$A6+Calibration!AG$35)</f>
        <v>0.37948423372405132</v>
      </c>
      <c r="AH6" s="4">
        <f>'Not MDL Filltered'!AH6/(Calibration!AH$34*'Corrected data'!$A6+Calibration!AH$35)</f>
        <v>8.9481703300896484E-2</v>
      </c>
      <c r="AI6" s="4">
        <f>'Not MDL Filltered'!AI6/(Calibration!AI$34*'Corrected data'!$A6+Calibration!AI$35)</f>
        <v>0.25838401359718099</v>
      </c>
      <c r="AJ6" s="4">
        <f>'Not MDL Filltered'!AJ6/(Calibration!AJ$34*'Corrected data'!$A6+Calibration!AJ$35)</f>
        <v>4.4675777298352842E-2</v>
      </c>
      <c r="AK6" s="4">
        <f>'Not MDL Filltered'!AK6/(Calibration!AK$34*'Corrected data'!$A6+Calibration!AK$35)</f>
        <v>0.31738112893615655</v>
      </c>
      <c r="AL6" s="4">
        <f>'Not MDL Filltered'!AL6/(Calibration!AL$34*'Corrected data'!$A6+Calibration!AL$35)</f>
        <v>5.3188176101836376E-2</v>
      </c>
      <c r="AM6" s="4">
        <f>'Not MDL Filltered'!AM6/(Calibration!AM$34*'Corrected data'!$A6+Calibration!AM$35)</f>
        <v>0.53384371645934436</v>
      </c>
      <c r="AN6" s="4">
        <f>'Not MDL Filltered'!AN6/(Calibration!AN$34*'Corrected data'!$A6+Calibration!AN$35)</f>
        <v>2.4383848487584962E-3</v>
      </c>
      <c r="AO6" s="4">
        <f>'Not MDL Filltered'!AO6/(Calibration!AO$34*'Corrected data'!$A6+Calibration!AO$35)</f>
        <v>0.48495657356354682</v>
      </c>
      <c r="AP6" s="4">
        <f>'Not MDL Filltered'!AP6/(Calibration!AP$34*'Corrected data'!$A6+Calibration!AP$35)</f>
        <v>5.3864009486302912E-2</v>
      </c>
      <c r="AQ6" s="4">
        <f>'Not MDL Filltered'!AQ6/(Calibration!AQ$34*'Corrected data'!$A6+Calibration!AQ$35)</f>
        <v>7.9593133204435076E-2</v>
      </c>
    </row>
    <row r="7" spans="1:43" s="8" customFormat="1" x14ac:dyDescent="0.2">
      <c r="A7" s="8">
        <v>6</v>
      </c>
      <c r="B7" s="8" t="s">
        <v>58</v>
      </c>
      <c r="C7" s="8">
        <f>'Not MDL Filltered'!C7/(Calibration!C$34*'Corrected data'!$A7+Calibration!C$35)</f>
        <v>9.1091338187683473</v>
      </c>
      <c r="D7" s="8">
        <f>'Not MDL Filltered'!D7/(Calibration!D$34*'Corrected data'!$A7+Calibration!D$35)</f>
        <v>14.65576024611943</v>
      </c>
      <c r="E7" s="8">
        <f>'Not MDL Filltered'!E7/(Calibration!E$34*'Corrected data'!$A7+Calibration!E$35)</f>
        <v>6776.2180985551004</v>
      </c>
      <c r="F7" s="8">
        <f>'Not MDL Filltered'!F7/(Calibration!F$34*'Corrected data'!$A7+Calibration!F$35)</f>
        <v>144735.10514982825</v>
      </c>
      <c r="G7" s="8">
        <f>'Not MDL Filltered'!G7/(Calibration!G$34*'Corrected data'!$A7+Calibration!G$35)</f>
        <v>57430.593601043489</v>
      </c>
      <c r="H7" s="8">
        <f>'Not MDL Filltered'!H7/(Calibration!H$34*'Corrected data'!$A7+Calibration!H$35)</f>
        <v>217443.42910295186</v>
      </c>
      <c r="I7" s="8">
        <f>'Not MDL Filltered'!I7/(Calibration!I$34*'Corrected data'!$A7+Calibration!I$35)</f>
        <v>115.34530672456474</v>
      </c>
      <c r="J7" s="8">
        <f>'Not MDL Filltered'!J7/(Calibration!J$34*'Corrected data'!$A7+Calibration!J$35)</f>
        <v>189.76208401289875</v>
      </c>
      <c r="K7" s="8">
        <f>'Not MDL Filltered'!K7/(Calibration!K$34*'Corrected data'!$A7+Calibration!K$35)</f>
        <v>60392.349545943958</v>
      </c>
      <c r="L7" s="8">
        <f>'Not MDL Filltered'!L7/(Calibration!L$34*'Corrected data'!$A7+Calibration!L$35)</f>
        <v>35.738523707151963</v>
      </c>
      <c r="M7" s="8">
        <f>'Not MDL Filltered'!M7/(Calibration!M$34*'Corrected data'!$A7+Calibration!M$35)</f>
        <v>1812.3652255166912</v>
      </c>
      <c r="N7" s="8">
        <f>'Not MDL Filltered'!N7/(Calibration!N$34*'Corrected data'!$A7+Calibration!N$35)</f>
        <v>240.16410021862782</v>
      </c>
      <c r="O7" s="8">
        <f>'Not MDL Filltered'!O7/(Calibration!O$34*'Corrected data'!$A7+Calibration!O$35)</f>
        <v>1293.5146978616458</v>
      </c>
      <c r="P7" s="8">
        <f>'Not MDL Filltered'!P7/(Calibration!P$34*'Corrected data'!$A7+Calibration!P$35)</f>
        <v>88141.434606885523</v>
      </c>
      <c r="Q7" s="8">
        <f>'Not MDL Filltered'!Q7/(Calibration!Q$34*'Corrected data'!$A7+Calibration!Q$35)</f>
        <v>0.16141649954924681</v>
      </c>
      <c r="R7" s="8">
        <f>'Not MDL Filltered'!R7/(Calibration!R$34*'Corrected data'!$A7+Calibration!R$35)</f>
        <v>2.3275277256504712</v>
      </c>
      <c r="S7" s="8">
        <f>'Not MDL Filltered'!S7/(Calibration!S$34*'Corrected data'!$A7+Calibration!S$35)</f>
        <v>16.013136645312514</v>
      </c>
      <c r="T7" s="8">
        <f>'Not MDL Filltered'!T7/(Calibration!T$34*'Corrected data'!$A7+Calibration!T$35)</f>
        <v>13.003584722545771</v>
      </c>
      <c r="U7" s="8">
        <f>'Not MDL Filltered'!U7/(Calibration!U$34*'Corrected data'!$A7+Calibration!U$35)</f>
        <v>9.6441087072572085</v>
      </c>
      <c r="V7" s="8">
        <f>'Not MDL Filltered'!V7/(Calibration!V$34*'Corrected data'!$A7+Calibration!V$35)</f>
        <v>7.0853724930631148E-2</v>
      </c>
      <c r="W7" s="8">
        <f>'Not MDL Filltered'!W7/(Calibration!W$34*'Corrected data'!$A7+Calibration!W$35)</f>
        <v>7.8100984398946842</v>
      </c>
      <c r="X7" s="8">
        <f>'Not MDL Filltered'!X7/(Calibration!X$34*'Corrected data'!$A7+Calibration!X$35)</f>
        <v>0.88729513512130609</v>
      </c>
      <c r="Y7" s="8">
        <f>'Not MDL Filltered'!Y7/(Calibration!Y$34*'Corrected data'!$A7+Calibration!Y$35)</f>
        <v>9.299377017673513E-2</v>
      </c>
      <c r="Z7" s="8">
        <f>'Not MDL Filltered'!Z7/(Calibration!Z$34*'Corrected data'!$A7+Calibration!Z$35)</f>
        <v>0.34979741613015658</v>
      </c>
      <c r="AA7" s="8">
        <f>'Not MDL Filltered'!AA7/(Calibration!AA$34*'Corrected data'!$A7+Calibration!AA$35)</f>
        <v>8.7890135061985925E-2</v>
      </c>
      <c r="AB7" s="8">
        <f>'Not MDL Filltered'!AB7/(Calibration!AB$34*'Corrected data'!$A7+Calibration!AB$35)</f>
        <v>0.75401627484392664</v>
      </c>
      <c r="AC7" s="8">
        <f>'Not MDL Filltered'!AC7/(Calibration!AC$34*'Corrected data'!$A7+Calibration!AC$35)</f>
        <v>0.48648393784796906</v>
      </c>
      <c r="AD7" s="8">
        <f>'Not MDL Filltered'!AD7/(Calibration!AD$34*'Corrected data'!$A7+Calibration!AD$35)</f>
        <v>0.27152533298140802</v>
      </c>
      <c r="AE7" s="8">
        <f>'Not MDL Filltered'!AE7/(Calibration!AE$34*'Corrected data'!$A7+Calibration!AE$35)</f>
        <v>1.1711755858506148</v>
      </c>
      <c r="AF7" s="8">
        <f>'Not MDL Filltered'!AF7/(Calibration!AF$34*'Corrected data'!$A7+Calibration!AF$35)</f>
        <v>0.21479667435890579</v>
      </c>
      <c r="AG7" s="8">
        <f>'Not MDL Filltered'!AG7/(Calibration!AG$34*'Corrected data'!$A7+Calibration!AG$35)</f>
        <v>2.0407030192493365</v>
      </c>
      <c r="AH7" s="8">
        <f>'Not MDL Filltered'!AH7/(Calibration!AH$34*'Corrected data'!$A7+Calibration!AH$35)</f>
        <v>0.48100982101698603</v>
      </c>
      <c r="AI7" s="8">
        <f>'Not MDL Filltered'!AI7/(Calibration!AI$34*'Corrected data'!$A7+Calibration!AI$35)</f>
        <v>1.6030559813091234</v>
      </c>
      <c r="AJ7" s="8">
        <f>'Not MDL Filltered'!AJ7/(Calibration!AJ$34*'Corrected data'!$A7+Calibration!AJ$35)</f>
        <v>0.22014817426795455</v>
      </c>
      <c r="AK7" s="8">
        <f>'Not MDL Filltered'!AK7/(Calibration!AK$34*'Corrected data'!$A7+Calibration!AK$35)</f>
        <v>1.4171981976137664</v>
      </c>
      <c r="AL7" s="8">
        <f>'Not MDL Filltered'!AL7/(Calibration!AL$34*'Corrected data'!$A7+Calibration!AL$35)</f>
        <v>0.22526360107302754</v>
      </c>
      <c r="AM7" s="8">
        <f>'Not MDL Filltered'!AM7/(Calibration!AM$34*'Corrected data'!$A7+Calibration!AM$35)</f>
        <v>0.34222382710732835</v>
      </c>
      <c r="AN7" s="8">
        <f>'Not MDL Filltered'!AN7/(Calibration!AN$34*'Corrected data'!$A7+Calibration!AN$35)</f>
        <v>3.6776189788406181E-2</v>
      </c>
      <c r="AO7" s="8">
        <f>'Not MDL Filltered'!AO7/(Calibration!AO$34*'Corrected data'!$A7+Calibration!AO$35)</f>
        <v>22.514314655713175</v>
      </c>
      <c r="AP7" s="8">
        <f>'Not MDL Filltered'!AP7/(Calibration!AP$34*'Corrected data'!$A7+Calibration!AP$35)</f>
        <v>7.4151866940624237E-3</v>
      </c>
      <c r="AQ7" s="8">
        <f>'Not MDL Filltered'!AQ7/(Calibration!AQ$34*'Corrected data'!$A7+Calibration!AQ$35)</f>
        <v>5.6280952804920771E-2</v>
      </c>
    </row>
    <row r="8" spans="1:43" s="8" customFormat="1" x14ac:dyDescent="0.2">
      <c r="A8" s="8">
        <v>7</v>
      </c>
      <c r="B8" s="8" t="s">
        <v>59</v>
      </c>
      <c r="C8" s="8">
        <f>'Not MDL Filltered'!C8/(Calibration!C$34*'Corrected data'!$A8+Calibration!C$35)</f>
        <v>9.2295346002311778</v>
      </c>
      <c r="D8" s="8">
        <f>'Not MDL Filltered'!D8/(Calibration!D$34*'Corrected data'!$A8+Calibration!D$35)</f>
        <v>14.051576326264646</v>
      </c>
      <c r="E8" s="8">
        <f>'Not MDL Filltered'!E8/(Calibration!E$34*'Corrected data'!$A8+Calibration!E$35)</f>
        <v>6416.124751661946</v>
      </c>
      <c r="F8" s="8">
        <f>'Not MDL Filltered'!F8/(Calibration!F$34*'Corrected data'!$A8+Calibration!F$35)</f>
        <v>140095.26892502862</v>
      </c>
      <c r="G8" s="8">
        <f>'Not MDL Filltered'!G8/(Calibration!G$34*'Corrected data'!$A8+Calibration!G$35)</f>
        <v>56405.88063468803</v>
      </c>
      <c r="H8" s="8">
        <f>'Not MDL Filltered'!H8/(Calibration!H$34*'Corrected data'!$A8+Calibration!H$35)</f>
        <v>211018.70138357609</v>
      </c>
      <c r="I8" s="8">
        <f>'Not MDL Filltered'!I8/(Calibration!I$34*'Corrected data'!$A8+Calibration!I$35)</f>
        <v>108.84773164878278</v>
      </c>
      <c r="J8" s="8">
        <f>'Not MDL Filltered'!J8/(Calibration!J$34*'Corrected data'!$A8+Calibration!J$35)</f>
        <v>165.25589386407395</v>
      </c>
      <c r="K8" s="8">
        <f>'Not MDL Filltered'!K8/(Calibration!K$34*'Corrected data'!$A8+Calibration!K$35)</f>
        <v>60392.349628194061</v>
      </c>
      <c r="L8" s="8">
        <f>'Not MDL Filltered'!L8/(Calibration!L$34*'Corrected data'!$A8+Calibration!L$35)</f>
        <v>35.019634376859898</v>
      </c>
      <c r="M8" s="8">
        <f>'Not MDL Filltered'!M8/(Calibration!M$34*'Corrected data'!$A8+Calibration!M$35)</f>
        <v>1769.2971475973177</v>
      </c>
      <c r="N8" s="8">
        <f>'Not MDL Filltered'!N8/(Calibration!N$34*'Corrected data'!$A8+Calibration!N$35)</f>
        <v>227.24076956811433</v>
      </c>
      <c r="O8" s="8">
        <f>'Not MDL Filltered'!O8/(Calibration!O$34*'Corrected data'!$A8+Calibration!O$35)</f>
        <v>1243.7662954949299</v>
      </c>
      <c r="P8" s="8">
        <f>'Not MDL Filltered'!P8/(Calibration!P$34*'Corrected data'!$A8+Calibration!P$35)</f>
        <v>84871.532314594428</v>
      </c>
      <c r="Q8" s="8">
        <f>'Not MDL Filltered'!Q8/(Calibration!Q$34*'Corrected data'!$A8+Calibration!Q$35)</f>
        <v>0.12211386423114726</v>
      </c>
      <c r="R8" s="8">
        <f>'Not MDL Filltered'!R8/(Calibration!R$34*'Corrected data'!$A8+Calibration!R$35)</f>
        <v>2.1660671119495762</v>
      </c>
      <c r="S8" s="8">
        <f>'Not MDL Filltered'!S8/(Calibration!S$34*'Corrected data'!$A8+Calibration!S$35)</f>
        <v>15.28280123238261</v>
      </c>
      <c r="T8" s="8">
        <f>'Not MDL Filltered'!T8/(Calibration!T$34*'Corrected data'!$A8+Calibration!T$35)</f>
        <v>12.938088544048796</v>
      </c>
      <c r="U8" s="8">
        <f>'Not MDL Filltered'!U8/(Calibration!U$34*'Corrected data'!$A8+Calibration!U$35)</f>
        <v>9.9043842553025208</v>
      </c>
      <c r="V8" s="8">
        <f>'Not MDL Filltered'!V8/(Calibration!V$34*'Corrected data'!$A8+Calibration!V$35)</f>
        <v>2.6994531902501534E-2</v>
      </c>
      <c r="W8" s="8">
        <f>'Not MDL Filltered'!W8/(Calibration!W$34*'Corrected data'!$A8+Calibration!W$35)</f>
        <v>7.6598927534805918</v>
      </c>
      <c r="X8" s="8">
        <f>'Not MDL Filltered'!X8/(Calibration!X$34*'Corrected data'!$A8+Calibration!X$35)</f>
        <v>0.69800090660927805</v>
      </c>
      <c r="Y8" s="8">
        <f>'Not MDL Filltered'!Y8/(Calibration!Y$34*'Corrected data'!$A8+Calibration!Y$35)</f>
        <v>8.0007192537952215E-2</v>
      </c>
      <c r="Z8" s="8">
        <f>'Not MDL Filltered'!Z8/(Calibration!Z$34*'Corrected data'!$A8+Calibration!Z$35)</f>
        <v>0.316174107068592</v>
      </c>
      <c r="AA8" s="8">
        <f>'Not MDL Filltered'!AA8/(Calibration!AA$34*'Corrected data'!$A8+Calibration!AA$35)</f>
        <v>8.4603836638846727E-2</v>
      </c>
      <c r="AB8" s="8">
        <f>'Not MDL Filltered'!AB8/(Calibration!AB$34*'Corrected data'!$A8+Calibration!AB$35)</f>
        <v>0.61777780355879131</v>
      </c>
      <c r="AC8" s="8">
        <f>'Not MDL Filltered'!AC8/(Calibration!AC$34*'Corrected data'!$A8+Calibration!AC$35)</f>
        <v>0.51163181266317626</v>
      </c>
      <c r="AD8" s="8">
        <f>'Not MDL Filltered'!AD8/(Calibration!AD$34*'Corrected data'!$A8+Calibration!AD$35)</f>
        <v>0.28790337459155185</v>
      </c>
      <c r="AE8" s="8">
        <f>'Not MDL Filltered'!AE8/(Calibration!AE$34*'Corrected data'!$A8+Calibration!AE$35)</f>
        <v>1.3044062586515788</v>
      </c>
      <c r="AF8" s="8">
        <f>'Not MDL Filltered'!AF8/(Calibration!AF$34*'Corrected data'!$A8+Calibration!AF$35)</f>
        <v>0.26381832873794087</v>
      </c>
      <c r="AG8" s="8">
        <f>'Not MDL Filltered'!AG8/(Calibration!AG$34*'Corrected data'!$A8+Calibration!AG$35)</f>
        <v>1.9927202573955887</v>
      </c>
      <c r="AH8" s="8">
        <f>'Not MDL Filltered'!AH8/(Calibration!AH$34*'Corrected data'!$A8+Calibration!AH$35)</f>
        <v>0.4959385967515117</v>
      </c>
      <c r="AI8" s="8">
        <f>'Not MDL Filltered'!AI8/(Calibration!AI$34*'Corrected data'!$A8+Calibration!AI$35)</f>
        <v>1.5536144556856142</v>
      </c>
      <c r="AJ8" s="8">
        <f>'Not MDL Filltered'!AJ8/(Calibration!AJ$34*'Corrected data'!$A8+Calibration!AJ$35)</f>
        <v>0.21354685403466936</v>
      </c>
      <c r="AK8" s="8">
        <f>'Not MDL Filltered'!AK8/(Calibration!AK$34*'Corrected data'!$A8+Calibration!AK$35)</f>
        <v>1.5369199019542106</v>
      </c>
      <c r="AL8" s="8">
        <f>'Not MDL Filltered'!AL8/(Calibration!AL$34*'Corrected data'!$A8+Calibration!AL$35)</f>
        <v>0.22243702779855176</v>
      </c>
      <c r="AM8" s="8">
        <f>'Not MDL Filltered'!AM8/(Calibration!AM$34*'Corrected data'!$A8+Calibration!AM$35)</f>
        <v>0.31772416539417636</v>
      </c>
      <c r="AN8" s="8">
        <f>'Not MDL Filltered'!AN8/(Calibration!AN$34*'Corrected data'!$A8+Calibration!AN$35)</f>
        <v>2.6310256378323623E-2</v>
      </c>
      <c r="AO8" s="8">
        <f>'Not MDL Filltered'!AO8/(Calibration!AO$34*'Corrected data'!$A8+Calibration!AO$35)</f>
        <v>21.651667483605092</v>
      </c>
      <c r="AP8" s="8">
        <f>'Not MDL Filltered'!AP8/(Calibration!AP$34*'Corrected data'!$A8+Calibration!AP$35)</f>
        <v>1.7802952795858385E-3</v>
      </c>
      <c r="AQ8" s="8">
        <f>'Not MDL Filltered'!AQ8/(Calibration!AQ$34*'Corrected data'!$A8+Calibration!AQ$35)</f>
        <v>7.2708412141581052E-2</v>
      </c>
    </row>
    <row r="9" spans="1:43" s="20" customFormat="1" x14ac:dyDescent="0.2">
      <c r="A9" s="20">
        <v>8</v>
      </c>
      <c r="B9" s="20" t="s">
        <v>61</v>
      </c>
      <c r="C9" s="20">
        <f>'Not MDL Filltered'!C9/(Calibration!C$34*'Corrected data'!$A9+Calibration!C$35)</f>
        <v>10.386454241922806</v>
      </c>
      <c r="D9" s="20">
        <f>'Not MDL Filltered'!D9/(Calibration!D$34*'Corrected data'!$A9+Calibration!D$35)</f>
        <v>17.879492760533832</v>
      </c>
      <c r="E9" s="20">
        <f>'Not MDL Filltered'!E9/(Calibration!E$34*'Corrected data'!$A9+Calibration!E$35)</f>
        <v>4670.3567249763137</v>
      </c>
      <c r="F9" s="20">
        <f>'Not MDL Filltered'!F9/(Calibration!F$34*'Corrected data'!$A9+Calibration!F$35)</f>
        <v>149758.25659075237</v>
      </c>
      <c r="G9" s="20">
        <f>'Not MDL Filltered'!G9/(Calibration!G$34*'Corrected data'!$A9+Calibration!G$35)</f>
        <v>50546.242918589087</v>
      </c>
      <c r="H9" s="20">
        <f>'Not MDL Filltered'!H9/(Calibration!H$34*'Corrected data'!$A9+Calibration!H$35)</f>
        <v>212701.17069864273</v>
      </c>
      <c r="I9" s="20">
        <f>'Not MDL Filltered'!I9/(Calibration!I$34*'Corrected data'!$A9+Calibration!I$35)</f>
        <v>84.261011792760783</v>
      </c>
      <c r="J9" s="20">
        <f>'Not MDL Filltered'!J9/(Calibration!J$34*'Corrected data'!$A9+Calibration!J$35)</f>
        <v>246.93949386396108</v>
      </c>
      <c r="K9" s="20">
        <f>'Not MDL Filltered'!K9/(Calibration!K$34*'Corrected data'!$A9+Calibration!K$35)</f>
        <v>44597.428401560595</v>
      </c>
      <c r="L9" s="20">
        <f>'Not MDL Filltered'!L9/(Calibration!L$34*'Corrected data'!$A9+Calibration!L$35)</f>
        <v>30.486421247971045</v>
      </c>
      <c r="M9" s="20">
        <f>'Not MDL Filltered'!M9/(Calibration!M$34*'Corrected data'!$A9+Calibration!M$35)</f>
        <v>1696.2131205397163</v>
      </c>
      <c r="N9" s="20">
        <f>'Not MDL Filltered'!N9/(Calibration!N$34*'Corrected data'!$A9+Calibration!N$35)</f>
        <v>188.4698660259927</v>
      </c>
      <c r="O9" s="20">
        <f>'Not MDL Filltered'!O9/(Calibration!O$34*'Corrected data'!$A9+Calibration!O$35)</f>
        <v>1488.5683167324687</v>
      </c>
      <c r="P9" s="20">
        <f>'Not MDL Filltered'!P9/(Calibration!P$34*'Corrected data'!$A9+Calibration!P$35)</f>
        <v>85978.459305700206</v>
      </c>
      <c r="Q9" s="20">
        <f>'Not MDL Filltered'!Q9/(Calibration!Q$34*'Corrected data'!$A9+Calibration!Q$35)</f>
        <v>0.14335349810924755</v>
      </c>
      <c r="R9" s="20">
        <f>'Not MDL Filltered'!R9/(Calibration!R$34*'Corrected data'!$A9+Calibration!R$35)</f>
        <v>0.34048714485575854</v>
      </c>
      <c r="S9" s="20">
        <f>'Not MDL Filltered'!S9/(Calibration!S$34*'Corrected data'!$A9+Calibration!S$35)</f>
        <v>29.35822791119999</v>
      </c>
      <c r="T9" s="20">
        <f>'Not MDL Filltered'!T9/(Calibration!T$34*'Corrected data'!$A9+Calibration!T$35)</f>
        <v>11.225264058818365</v>
      </c>
      <c r="U9" s="20">
        <f>'Not MDL Filltered'!U9/(Calibration!U$34*'Corrected data'!$A9+Calibration!U$35)</f>
        <v>9.3896592190731347</v>
      </c>
      <c r="V9" s="20">
        <f>'Not MDL Filltered'!V9/(Calibration!V$34*'Corrected data'!$A9+Calibration!V$35)</f>
        <v>0.11798435845319023</v>
      </c>
      <c r="W9" s="20">
        <f>'Not MDL Filltered'!W9/(Calibration!W$34*'Corrected data'!$A9+Calibration!W$35)</f>
        <v>0.19846514652844841</v>
      </c>
      <c r="X9" s="20">
        <f>'Not MDL Filltered'!X9/(Calibration!X$34*'Corrected data'!$A9+Calibration!X$35)</f>
        <v>0.97674256173314011</v>
      </c>
      <c r="Y9" s="20">
        <f>'Not MDL Filltered'!Y9/(Calibration!Y$34*'Corrected data'!$A9+Calibration!Y$35)</f>
        <v>0.10402567240397935</v>
      </c>
      <c r="Z9" s="20">
        <f>'Not MDL Filltered'!Z9/(Calibration!Z$34*'Corrected data'!$A9+Calibration!Z$35)</f>
        <v>0.4086012975889598</v>
      </c>
      <c r="AA9" s="20">
        <f>'Not MDL Filltered'!AA9/(Calibration!AA$34*'Corrected data'!$A9+Calibration!AA$35)</f>
        <v>9.3903914078210582E-2</v>
      </c>
      <c r="AB9" s="20">
        <f>'Not MDL Filltered'!AB9/(Calibration!AB$34*'Corrected data'!$A9+Calibration!AB$35)</f>
        <v>0.66822634801618552</v>
      </c>
      <c r="AC9" s="20">
        <f>'Not MDL Filltered'!AC9/(Calibration!AC$34*'Corrected data'!$A9+Calibration!AC$35)</f>
        <v>0.44465587984666632</v>
      </c>
      <c r="AD9" s="20">
        <f>'Not MDL Filltered'!AD9/(Calibration!AD$34*'Corrected data'!$A9+Calibration!AD$35)</f>
        <v>0.28873489630082072</v>
      </c>
      <c r="AE9" s="20">
        <f>'Not MDL Filltered'!AE9/(Calibration!AE$34*'Corrected data'!$A9+Calibration!AE$35)</f>
        <v>1.3759605165427122</v>
      </c>
      <c r="AF9" s="20">
        <f>'Not MDL Filltered'!AF9/(Calibration!AF$34*'Corrected data'!$A9+Calibration!AF$35)</f>
        <v>0.22390357607346023</v>
      </c>
      <c r="AG9" s="20">
        <f>'Not MDL Filltered'!AG9/(Calibration!AG$34*'Corrected data'!$A9+Calibration!AG$35)</f>
        <v>1.8268260410077668</v>
      </c>
      <c r="AH9" s="20">
        <f>'Not MDL Filltered'!AH9/(Calibration!AH$34*'Corrected data'!$A9+Calibration!AH$35)</f>
        <v>0.40063060505112735</v>
      </c>
      <c r="AI9" s="20">
        <f>'Not MDL Filltered'!AI9/(Calibration!AI$34*'Corrected data'!$A9+Calibration!AI$35)</f>
        <v>1.3838007697403181</v>
      </c>
      <c r="AJ9" s="20">
        <f>'Not MDL Filltered'!AJ9/(Calibration!AJ$34*'Corrected data'!$A9+Calibration!AJ$35)</f>
        <v>0.19057509618719476</v>
      </c>
      <c r="AK9" s="20">
        <f>'Not MDL Filltered'!AK9/(Calibration!AK$34*'Corrected data'!$A9+Calibration!AK$35)</f>
        <v>1.20754729901999</v>
      </c>
      <c r="AL9" s="20">
        <f>'Not MDL Filltered'!AL9/(Calibration!AL$34*'Corrected data'!$A9+Calibration!AL$35)</f>
        <v>0.17588095085634708</v>
      </c>
      <c r="AM9" s="20">
        <f>'Not MDL Filltered'!AM9/(Calibration!AM$34*'Corrected data'!$A9+Calibration!AM$35)</f>
        <v>0.33945606858618499</v>
      </c>
      <c r="AN9" s="20">
        <f>'Not MDL Filltered'!AN9/(Calibration!AN$34*'Corrected data'!$A9+Calibration!AN$35)</f>
        <v>1.8080584886139804E-2</v>
      </c>
      <c r="AO9" s="20">
        <f>'Not MDL Filltered'!AO9/(Calibration!AO$34*'Corrected data'!$A9+Calibration!AO$35)</f>
        <v>0.31173667632957963</v>
      </c>
      <c r="AP9" s="20">
        <f>'Not MDL Filltered'!AP9/(Calibration!AP$34*'Corrected data'!$A9+Calibration!AP$35)</f>
        <v>-4.3534241135628517E-3</v>
      </c>
      <c r="AQ9" s="20">
        <f>'Not MDL Filltered'!AQ9/(Calibration!AQ$34*'Corrected data'!$A9+Calibration!AQ$35)</f>
        <v>1.1987206234340598E-2</v>
      </c>
    </row>
    <row r="10" spans="1:43" s="20" customFormat="1" x14ac:dyDescent="0.2">
      <c r="A10" s="20">
        <v>9</v>
      </c>
      <c r="B10" s="20" t="s">
        <v>63</v>
      </c>
      <c r="C10" s="20">
        <f>'Not MDL Filltered'!C10/(Calibration!C$34*'Corrected data'!$A10+Calibration!C$35)</f>
        <v>11.419542206323976</v>
      </c>
      <c r="D10" s="20">
        <f>'Not MDL Filltered'!D10/(Calibration!D$34*'Corrected data'!$A10+Calibration!D$35)</f>
        <v>20.437777164511346</v>
      </c>
      <c r="E10" s="20">
        <f>'Not MDL Filltered'!E10/(Calibration!E$34*'Corrected data'!$A10+Calibration!E$35)</f>
        <v>5396.5321188387225</v>
      </c>
      <c r="F10" s="20">
        <f>'Not MDL Filltered'!F10/(Calibration!F$34*'Corrected data'!$A10+Calibration!F$35)</f>
        <v>206370.55256914347</v>
      </c>
      <c r="G10" s="20">
        <f>'Not MDL Filltered'!G10/(Calibration!G$34*'Corrected data'!$A10+Calibration!G$35)</f>
        <v>54959.746331757917</v>
      </c>
      <c r="H10" s="20">
        <f>'Not MDL Filltered'!H10/(Calibration!H$34*'Corrected data'!$A10+Calibration!H$35)</f>
        <v>246150.7915987554</v>
      </c>
      <c r="I10" s="20">
        <f>'Not MDL Filltered'!I10/(Calibration!I$34*'Corrected data'!$A10+Calibration!I$35)</f>
        <v>91.934596125351817</v>
      </c>
      <c r="J10" s="20">
        <f>'Not MDL Filltered'!J10/(Calibration!J$34*'Corrected data'!$A10+Calibration!J$35)</f>
        <v>243.4449932826505</v>
      </c>
      <c r="K10" s="20">
        <f>'Not MDL Filltered'!K10/(Calibration!K$34*'Corrected data'!$A10+Calibration!K$35)</f>
        <v>44597.42846229914</v>
      </c>
      <c r="L10" s="20">
        <f>'Not MDL Filltered'!L10/(Calibration!L$34*'Corrected data'!$A10+Calibration!L$35)</f>
        <v>32.207566108558481</v>
      </c>
      <c r="M10" s="20">
        <f>'Not MDL Filltered'!M10/(Calibration!M$34*'Corrected data'!$A10+Calibration!M$35)</f>
        <v>1776.8431406574884</v>
      </c>
      <c r="N10" s="20">
        <f>'Not MDL Filltered'!N10/(Calibration!N$34*'Corrected data'!$A10+Calibration!N$35)</f>
        <v>203.3644197044992</v>
      </c>
      <c r="O10" s="20">
        <f>'Not MDL Filltered'!O10/(Calibration!O$34*'Corrected data'!$A10+Calibration!O$35)</f>
        <v>1554.7694379435166</v>
      </c>
      <c r="P10" s="20">
        <f>'Not MDL Filltered'!P10/(Calibration!P$34*'Corrected data'!$A10+Calibration!P$35)</f>
        <v>87203.882447265962</v>
      </c>
      <c r="Q10" s="20">
        <f>'Not MDL Filltered'!Q10/(Calibration!Q$34*'Corrected data'!$A10+Calibration!Q$35)</f>
        <v>0.24045527397050415</v>
      </c>
      <c r="R10" s="20">
        <f>'Not MDL Filltered'!R10/(Calibration!R$34*'Corrected data'!$A10+Calibration!R$35)</f>
        <v>0.48347701643319591</v>
      </c>
      <c r="S10" s="20">
        <f>'Not MDL Filltered'!S10/(Calibration!S$34*'Corrected data'!$A10+Calibration!S$35)</f>
        <v>32.27965524676123</v>
      </c>
      <c r="T10" s="20">
        <f>'Not MDL Filltered'!T10/(Calibration!T$34*'Corrected data'!$A10+Calibration!T$35)</f>
        <v>11.297382748509898</v>
      </c>
      <c r="U10" s="20">
        <f>'Not MDL Filltered'!U10/(Calibration!U$34*'Corrected data'!$A10+Calibration!U$35)</f>
        <v>9.8511445645507951</v>
      </c>
      <c r="V10" s="20">
        <f>'Not MDL Filltered'!V10/(Calibration!V$34*'Corrected data'!$A10+Calibration!V$35)</f>
        <v>0.11485535443045715</v>
      </c>
      <c r="W10" s="20">
        <f>'Not MDL Filltered'!W10/(Calibration!W$34*'Corrected data'!$A10+Calibration!W$35)</f>
        <v>0.23029961807577295</v>
      </c>
      <c r="X10" s="20">
        <f>'Not MDL Filltered'!X10/(Calibration!X$34*'Corrected data'!$A10+Calibration!X$35)</f>
        <v>1.2257176308307645</v>
      </c>
      <c r="Y10" s="20">
        <f>'Not MDL Filltered'!Y10/(Calibration!Y$34*'Corrected data'!$A10+Calibration!Y$35)</f>
        <v>0.10604280731749034</v>
      </c>
      <c r="Z10" s="20">
        <f>'Not MDL Filltered'!Z10/(Calibration!Z$34*'Corrected data'!$A10+Calibration!Z$35)</f>
        <v>0.44611415654745856</v>
      </c>
      <c r="AA10" s="20">
        <f>'Not MDL Filltered'!AA10/(Calibration!AA$34*'Corrected data'!$A10+Calibration!AA$35)</f>
        <v>8.1925460775644596E-2</v>
      </c>
      <c r="AB10" s="20">
        <f>'Not MDL Filltered'!AB10/(Calibration!AB$34*'Corrected data'!$A10+Calibration!AB$35)</f>
        <v>0.70545719351382197</v>
      </c>
      <c r="AC10" s="20">
        <f>'Not MDL Filltered'!AC10/(Calibration!AC$34*'Corrected data'!$A10+Calibration!AC$35)</f>
        <v>0.50987451573145326</v>
      </c>
      <c r="AD10" s="20">
        <f>'Not MDL Filltered'!AD10/(Calibration!AD$34*'Corrected data'!$A10+Calibration!AD$35)</f>
        <v>0.25336958858027958</v>
      </c>
      <c r="AE10" s="20">
        <f>'Not MDL Filltered'!AE10/(Calibration!AE$34*'Corrected data'!$A10+Calibration!AE$35)</f>
        <v>1.139504907143831</v>
      </c>
      <c r="AF10" s="20">
        <f>'Not MDL Filltered'!AF10/(Calibration!AF$34*'Corrected data'!$A10+Calibration!AF$35)</f>
        <v>0.24295804695711629</v>
      </c>
      <c r="AG10" s="20">
        <f>'Not MDL Filltered'!AG10/(Calibration!AG$34*'Corrected data'!$A10+Calibration!AG$35)</f>
        <v>1.8671186986368236</v>
      </c>
      <c r="AH10" s="20">
        <f>'Not MDL Filltered'!AH10/(Calibration!AH$34*'Corrected data'!$A10+Calibration!AH$35)</f>
        <v>0.4244039121958581</v>
      </c>
      <c r="AI10" s="20">
        <f>'Not MDL Filltered'!AI10/(Calibration!AI$34*'Corrected data'!$A10+Calibration!AI$35)</f>
        <v>1.3342251586294716</v>
      </c>
      <c r="AJ10" s="20">
        <f>'Not MDL Filltered'!AJ10/(Calibration!AJ$34*'Corrected data'!$A10+Calibration!AJ$35)</f>
        <v>0.18105883320505434</v>
      </c>
      <c r="AK10" s="20">
        <f>'Not MDL Filltered'!AK10/(Calibration!AK$34*'Corrected data'!$A10+Calibration!AK$35)</f>
        <v>1.3771654992044049</v>
      </c>
      <c r="AL10" s="20">
        <f>'Not MDL Filltered'!AL10/(Calibration!AL$34*'Corrected data'!$A10+Calibration!AL$35)</f>
        <v>0.1963632872493469</v>
      </c>
      <c r="AM10" s="20">
        <f>'Not MDL Filltered'!AM10/(Calibration!AM$34*'Corrected data'!$A10+Calibration!AM$35)</f>
        <v>0.35332609931041153</v>
      </c>
      <c r="AN10" s="20">
        <f>'Not MDL Filltered'!AN10/(Calibration!AN$34*'Corrected data'!$A10+Calibration!AN$35)</f>
        <v>1.7876080441319643E-2</v>
      </c>
      <c r="AO10" s="20">
        <f>'Not MDL Filltered'!AO10/(Calibration!AO$34*'Corrected data'!$A10+Calibration!AO$35)</f>
        <v>0.31069351186259592</v>
      </c>
      <c r="AP10" s="20">
        <f>'Not MDL Filltered'!AP10/(Calibration!AP$34*'Corrected data'!$A10+Calibration!AP$35)</f>
        <v>3.8601282485275809E-3</v>
      </c>
      <c r="AQ10" s="20">
        <f>'Not MDL Filltered'!AQ10/(Calibration!AQ$34*'Corrected data'!$A10+Calibration!AQ$35)</f>
        <v>6.5871078561457012E-3</v>
      </c>
    </row>
    <row r="11" spans="1:43" s="21" customFormat="1" x14ac:dyDescent="0.2">
      <c r="A11" s="21">
        <v>10</v>
      </c>
      <c r="B11" s="21" t="s">
        <v>66</v>
      </c>
      <c r="C11" s="21">
        <f>'Not MDL Filltered'!C11/(Calibration!C$34*'Corrected data'!$A11+Calibration!C$35)</f>
        <v>7.8055760123334297</v>
      </c>
      <c r="D11" s="21">
        <f>'Not MDL Filltered'!D11/(Calibration!D$34*'Corrected data'!$A11+Calibration!D$35)</f>
        <v>3.5502904523334951</v>
      </c>
      <c r="E11" s="21">
        <f>'Not MDL Filltered'!E11/(Calibration!E$34*'Corrected data'!$A11+Calibration!E$35)</f>
        <v>22882.763514013775</v>
      </c>
      <c r="F11" s="21">
        <f>'Not MDL Filltered'!F11/(Calibration!F$34*'Corrected data'!$A11+Calibration!F$35)</f>
        <v>21012.045890867765</v>
      </c>
      <c r="G11" s="21">
        <f>'Not MDL Filltered'!G11/(Calibration!G$34*'Corrected data'!$A11+Calibration!G$35)</f>
        <v>71802.479954907554</v>
      </c>
      <c r="H11" s="21">
        <f>'Not MDL Filltered'!H11/(Calibration!H$34*'Corrected data'!$A11+Calibration!H$35)</f>
        <v>237021.17648724816</v>
      </c>
      <c r="I11" s="21">
        <f>'Not MDL Filltered'!I11/(Calibration!I$34*'Corrected data'!$A11+Calibration!I$35)</f>
        <v>1236.7860130891565</v>
      </c>
      <c r="J11" s="21">
        <f>'Not MDL Filltered'!J11/(Calibration!J$34*'Corrected data'!$A11+Calibration!J$35)</f>
        <v>14150.992407731981</v>
      </c>
      <c r="K11" s="21">
        <f>'Not MDL Filltered'!K11/(Calibration!K$34*'Corrected data'!$A11+Calibration!K$35)</f>
        <v>50900.101033438717</v>
      </c>
      <c r="L11" s="21">
        <f>'Not MDL Filltered'!L11/(Calibration!L$34*'Corrected data'!$A11+Calibration!L$35)</f>
        <v>34.630574556363314</v>
      </c>
      <c r="M11" s="21">
        <f>'Not MDL Filltered'!M11/(Calibration!M$34*'Corrected data'!$A11+Calibration!M$35)</f>
        <v>13736.197225059759</v>
      </c>
      <c r="N11" s="21">
        <f>'Not MDL Filltered'!N11/(Calibration!N$34*'Corrected data'!$A11+Calibration!N$35)</f>
        <v>412.90717157353475</v>
      </c>
      <c r="O11" s="21">
        <f>'Not MDL Filltered'!O11/(Calibration!O$34*'Corrected data'!$A11+Calibration!O$35)</f>
        <v>1499.870931500597</v>
      </c>
      <c r="P11" s="21">
        <f>'Not MDL Filltered'!P11/(Calibration!P$34*'Corrected data'!$A11+Calibration!P$35)</f>
        <v>88702.587616945108</v>
      </c>
      <c r="Q11" s="21">
        <f>'Not MDL Filltered'!Q11/(Calibration!Q$34*'Corrected data'!$A11+Calibration!Q$35)</f>
        <v>0.5427558300244758</v>
      </c>
      <c r="R11" s="21">
        <f>'Not MDL Filltered'!R11/(Calibration!R$34*'Corrected data'!$A11+Calibration!R$35)</f>
        <v>46.650223516849877</v>
      </c>
      <c r="S11" s="21">
        <f>'Not MDL Filltered'!S11/(Calibration!S$34*'Corrected data'!$A11+Calibration!S$35)</f>
        <v>340.7941855517455</v>
      </c>
      <c r="T11" s="21">
        <f>'Not MDL Filltered'!T11/(Calibration!T$34*'Corrected data'!$A11+Calibration!T$35)</f>
        <v>35.806157569388937</v>
      </c>
      <c r="U11" s="21">
        <f>'Not MDL Filltered'!U11/(Calibration!U$34*'Corrected data'!$A11+Calibration!U$35)</f>
        <v>184.64896952355178</v>
      </c>
      <c r="V11" s="21">
        <f>'Not MDL Filltered'!V11/(Calibration!V$34*'Corrected data'!$A11+Calibration!V$35)</f>
        <v>12.341456741386382</v>
      </c>
      <c r="W11" s="21">
        <f>'Not MDL Filltered'!W11/(Calibration!W$34*'Corrected data'!$A11+Calibration!W$35)</f>
        <v>1.1293132758757016</v>
      </c>
      <c r="X11" s="21">
        <f>'Not MDL Filltered'!X11/(Calibration!X$34*'Corrected data'!$A11+Calibration!X$35)</f>
        <v>687.19340134898857</v>
      </c>
      <c r="Y11" s="21">
        <f>'Not MDL Filltered'!Y11/(Calibration!Y$34*'Corrected data'!$A11+Calibration!Y$35)</f>
        <v>23.973438792292111</v>
      </c>
      <c r="Z11" s="21">
        <f>'Not MDL Filltered'!Z11/(Calibration!Z$34*'Corrected data'!$A11+Calibration!Z$35)</f>
        <v>52.211710132519606</v>
      </c>
      <c r="AA11" s="21">
        <f>'Not MDL Filltered'!AA11/(Calibration!AA$34*'Corrected data'!$A11+Calibration!AA$35)</f>
        <v>6.4448670025484196</v>
      </c>
      <c r="AB11" s="21">
        <f>'Not MDL Filltered'!AB11/(Calibration!AB$34*'Corrected data'!$A11+Calibration!AB$35)</f>
        <v>28.784320244438543</v>
      </c>
      <c r="AC11" s="21">
        <f>'Not MDL Filltered'!AC11/(Calibration!AC$34*'Corrected data'!$A11+Calibration!AC$35)</f>
        <v>6.0919114507232548</v>
      </c>
      <c r="AD11" s="21">
        <f>'Not MDL Filltered'!AD11/(Calibration!AD$34*'Corrected data'!$A11+Calibration!AD$35)</f>
        <v>1.9738553133690562</v>
      </c>
      <c r="AE11" s="21">
        <f>'Not MDL Filltered'!AE11/(Calibration!AE$34*'Corrected data'!$A11+Calibration!AE$35)</f>
        <v>6.9276999283146559</v>
      </c>
      <c r="AF11" s="21">
        <f>'Not MDL Filltered'!AF11/(Calibration!AF$34*'Corrected data'!$A11+Calibration!AF$35)</f>
        <v>1.0080859868908729</v>
      </c>
      <c r="AG11" s="21">
        <f>'Not MDL Filltered'!AG11/(Calibration!AG$34*'Corrected data'!$A11+Calibration!AG$35)</f>
        <v>6.4696148208862532</v>
      </c>
      <c r="AH11" s="21">
        <f>'Not MDL Filltered'!AH11/(Calibration!AH$34*'Corrected data'!$A11+Calibration!AH$35)</f>
        <v>1.3396565291406803</v>
      </c>
      <c r="AI11" s="21">
        <f>'Not MDL Filltered'!AI11/(Calibration!AI$34*'Corrected data'!$A11+Calibration!AI$35)</f>
        <v>3.7333912464368986</v>
      </c>
      <c r="AJ11" s="21">
        <f>'Not MDL Filltered'!AJ11/(Calibration!AJ$34*'Corrected data'!$A11+Calibration!AJ$35)</f>
        <v>0.51555703528228536</v>
      </c>
      <c r="AK11" s="21">
        <f>'Not MDL Filltered'!AK11/(Calibration!AK$34*'Corrected data'!$A11+Calibration!AK$35)</f>
        <v>3.5226542637702898</v>
      </c>
      <c r="AL11" s="21">
        <f>'Not MDL Filltered'!AL11/(Calibration!AL$34*'Corrected data'!$A11+Calibration!AL$35)</f>
        <v>0.48429170130185056</v>
      </c>
      <c r="AM11" s="21">
        <f>'Not MDL Filltered'!AM11/(Calibration!AM$34*'Corrected data'!$A11+Calibration!AM$35)</f>
        <v>4.9223001710293515</v>
      </c>
      <c r="AN11" s="21">
        <f>'Not MDL Filltered'!AN11/(Calibration!AN$34*'Corrected data'!$A11+Calibration!AN$35)</f>
        <v>0.80030035943122413</v>
      </c>
      <c r="AO11" s="21">
        <f>'Not MDL Filltered'!AO11/(Calibration!AO$34*'Corrected data'!$A11+Calibration!AO$35)</f>
        <v>10.645502765920881</v>
      </c>
      <c r="AP11" s="21">
        <f>'Not MDL Filltered'!AP11/(Calibration!AP$34*'Corrected data'!$A11+Calibration!AP$35)</f>
        <v>6.0200429405941698</v>
      </c>
      <c r="AQ11" s="21">
        <f>'Not MDL Filltered'!AQ11/(Calibration!AQ$34*'Corrected data'!$A11+Calibration!AQ$35)</f>
        <v>1.7535446862863806</v>
      </c>
    </row>
    <row r="12" spans="1:43" s="21" customFormat="1" x14ac:dyDescent="0.2">
      <c r="A12" s="21">
        <v>11</v>
      </c>
      <c r="B12" s="21" t="s">
        <v>67</v>
      </c>
      <c r="C12" s="21">
        <f>'Not MDL Filltered'!C12/(Calibration!C$34*'Corrected data'!$A12+Calibration!C$35)</f>
        <v>7.5981055148644971</v>
      </c>
      <c r="D12" s="21">
        <f>'Not MDL Filltered'!D12/(Calibration!D$34*'Corrected data'!$A12+Calibration!D$35)</f>
        <v>4.8179713485437752</v>
      </c>
      <c r="E12" s="21">
        <f>'Not MDL Filltered'!E12/(Calibration!E$34*'Corrected data'!$A12+Calibration!E$35)</f>
        <v>23102.062217713636</v>
      </c>
      <c r="F12" s="21">
        <f>'Not MDL Filltered'!F12/(Calibration!F$34*'Corrected data'!$A12+Calibration!F$35)</f>
        <v>20657.841018894705</v>
      </c>
      <c r="G12" s="21">
        <f>'Not MDL Filltered'!G12/(Calibration!G$34*'Corrected data'!$A12+Calibration!G$35)</f>
        <v>70902.403518622668</v>
      </c>
      <c r="H12" s="21">
        <f>'Not MDL Filltered'!H12/(Calibration!H$34*'Corrected data'!$A12+Calibration!H$35)</f>
        <v>242511.62975953362</v>
      </c>
      <c r="I12" s="21">
        <f>'Not MDL Filltered'!I12/(Calibration!I$34*'Corrected data'!$A12+Calibration!I$35)</f>
        <v>1337.0798316118683</v>
      </c>
      <c r="J12" s="21">
        <f>'Not MDL Filltered'!J12/(Calibration!J$34*'Corrected data'!$A12+Calibration!J$35)</f>
        <v>14391.179152263478</v>
      </c>
      <c r="K12" s="21">
        <f>'Not MDL Filltered'!K12/(Calibration!K$34*'Corrected data'!$A12+Calibration!K$35)</f>
        <v>50900.101102761058</v>
      </c>
      <c r="L12" s="21">
        <f>'Not MDL Filltered'!L12/(Calibration!L$34*'Corrected data'!$A12+Calibration!L$35)</f>
        <v>35.206647033853351</v>
      </c>
      <c r="M12" s="21">
        <f>'Not MDL Filltered'!M12/(Calibration!M$34*'Corrected data'!$A12+Calibration!M$35)</f>
        <v>13769.052260201828</v>
      </c>
      <c r="N12" s="21">
        <f>'Not MDL Filltered'!N12/(Calibration!N$34*'Corrected data'!$A12+Calibration!N$35)</f>
        <v>415.38922771957721</v>
      </c>
      <c r="O12" s="21">
        <f>'Not MDL Filltered'!O12/(Calibration!O$34*'Corrected data'!$A12+Calibration!O$35)</f>
        <v>1475.3496438801467</v>
      </c>
      <c r="P12" s="21">
        <f>'Not MDL Filltered'!P12/(Calibration!P$34*'Corrected data'!$A12+Calibration!P$35)</f>
        <v>89139.167915678947</v>
      </c>
      <c r="Q12" s="21">
        <f>'Not MDL Filltered'!Q12/(Calibration!Q$34*'Corrected data'!$A12+Calibration!Q$35)</f>
        <v>0.59745890052647388</v>
      </c>
      <c r="R12" s="21">
        <f>'Not MDL Filltered'!R12/(Calibration!R$34*'Corrected data'!$A12+Calibration!R$35)</f>
        <v>46.403232652402266</v>
      </c>
      <c r="S12" s="21">
        <f>'Not MDL Filltered'!S12/(Calibration!S$34*'Corrected data'!$A12+Calibration!S$35)</f>
        <v>338.37213769248422</v>
      </c>
      <c r="T12" s="21">
        <f>'Not MDL Filltered'!T12/(Calibration!T$34*'Corrected data'!$A12+Calibration!T$35)</f>
        <v>35.381525782597599</v>
      </c>
      <c r="U12" s="21">
        <f>'Not MDL Filltered'!U12/(Calibration!U$34*'Corrected data'!$A12+Calibration!U$35)</f>
        <v>183.27371879985955</v>
      </c>
      <c r="V12" s="21">
        <f>'Not MDL Filltered'!V12/(Calibration!V$34*'Corrected data'!$A12+Calibration!V$35)</f>
        <v>12.80727550704426</v>
      </c>
      <c r="W12" s="21">
        <f>'Not MDL Filltered'!W12/(Calibration!W$34*'Corrected data'!$A12+Calibration!W$35)</f>
        <v>1.044759114261109</v>
      </c>
      <c r="X12" s="21">
        <f>'Not MDL Filltered'!X12/(Calibration!X$34*'Corrected data'!$A12+Calibration!X$35)</f>
        <v>674.27383052752259</v>
      </c>
      <c r="Y12" s="21">
        <f>'Not MDL Filltered'!Y12/(Calibration!Y$34*'Corrected data'!$A12+Calibration!Y$35)</f>
        <v>23.93717397795281</v>
      </c>
      <c r="Z12" s="21">
        <f>'Not MDL Filltered'!Z12/(Calibration!Z$34*'Corrected data'!$A12+Calibration!Z$35)</f>
        <v>51.581008905565582</v>
      </c>
      <c r="AA12" s="21">
        <f>'Not MDL Filltered'!AA12/(Calibration!AA$34*'Corrected data'!$A12+Calibration!AA$35)</f>
        <v>6.4555904910143997</v>
      </c>
      <c r="AB12" s="21">
        <f>'Not MDL Filltered'!AB12/(Calibration!AB$34*'Corrected data'!$A12+Calibration!AB$35)</f>
        <v>28.914404077308731</v>
      </c>
      <c r="AC12" s="21">
        <f>'Not MDL Filltered'!AC12/(Calibration!AC$34*'Corrected data'!$A12+Calibration!AC$35)</f>
        <v>6.2637515675716369</v>
      </c>
      <c r="AD12" s="21">
        <f>'Not MDL Filltered'!AD12/(Calibration!AD$34*'Corrected data'!$A12+Calibration!AD$35)</f>
        <v>2.0034450710137066</v>
      </c>
      <c r="AE12" s="21">
        <f>'Not MDL Filltered'!AE12/(Calibration!AE$34*'Corrected data'!$A12+Calibration!AE$35)</f>
        <v>6.9054575602457282</v>
      </c>
      <c r="AF12" s="21">
        <f>'Not MDL Filltered'!AF12/(Calibration!AF$34*'Corrected data'!$A12+Calibration!AF$35)</f>
        <v>1.0353554069028688</v>
      </c>
      <c r="AG12" s="21">
        <f>'Not MDL Filltered'!AG12/(Calibration!AG$34*'Corrected data'!$A12+Calibration!AG$35)</f>
        <v>6.2074927507534987</v>
      </c>
      <c r="AH12" s="21">
        <f>'Not MDL Filltered'!AH12/(Calibration!AH$34*'Corrected data'!$A12+Calibration!AH$35)</f>
        <v>1.2612960281123853</v>
      </c>
      <c r="AI12" s="21">
        <f>'Not MDL Filltered'!AI12/(Calibration!AI$34*'Corrected data'!$A12+Calibration!AI$35)</f>
        <v>3.6948051578174952</v>
      </c>
      <c r="AJ12" s="21">
        <f>'Not MDL Filltered'!AJ12/(Calibration!AJ$34*'Corrected data'!$A12+Calibration!AJ$35)</f>
        <v>0.52068842095813817</v>
      </c>
      <c r="AK12" s="21">
        <f>'Not MDL Filltered'!AK12/(Calibration!AK$34*'Corrected data'!$A12+Calibration!AK$35)</f>
        <v>3.5125801825845691</v>
      </c>
      <c r="AL12" s="21">
        <f>'Not MDL Filltered'!AL12/(Calibration!AL$34*'Corrected data'!$A12+Calibration!AL$35)</f>
        <v>0.5243669067225355</v>
      </c>
      <c r="AM12" s="21">
        <f>'Not MDL Filltered'!AM12/(Calibration!AM$34*'Corrected data'!$A12+Calibration!AM$35)</f>
        <v>4.8251522462114131</v>
      </c>
      <c r="AN12" s="21">
        <f>'Not MDL Filltered'!AN12/(Calibration!AN$34*'Corrected data'!$A12+Calibration!AN$35)</f>
        <v>0.84796989574411041</v>
      </c>
      <c r="AO12" s="21">
        <f>'Not MDL Filltered'!AO12/(Calibration!AO$34*'Corrected data'!$A12+Calibration!AO$35)</f>
        <v>11.211063972078831</v>
      </c>
      <c r="AP12" s="21">
        <f>'Not MDL Filltered'!AP12/(Calibration!AP$34*'Corrected data'!$A12+Calibration!AP$35)</f>
        <v>6.1312016495834074</v>
      </c>
      <c r="AQ12" s="21">
        <f>'Not MDL Filltered'!AQ12/(Calibration!AQ$34*'Corrected data'!$A12+Calibration!AQ$35)</f>
        <v>1.8818279483647247</v>
      </c>
    </row>
    <row r="13" spans="1:43" s="24" customFormat="1" x14ac:dyDescent="0.2">
      <c r="A13" s="24">
        <v>12</v>
      </c>
      <c r="B13" s="24" t="s">
        <v>68</v>
      </c>
      <c r="C13" s="24">
        <f>'Not MDL Filltered'!C13/(Calibration!C$34*'Corrected data'!$A13+Calibration!C$35)</f>
        <v>5.2278623135105287</v>
      </c>
      <c r="D13" s="24">
        <f>'Not MDL Filltered'!D13/(Calibration!D$34*'Corrected data'!$A13+Calibration!D$35)</f>
        <v>1.4850426327542068</v>
      </c>
      <c r="E13" s="24">
        <f>'Not MDL Filltered'!E13/(Calibration!E$34*'Corrected data'!$A13+Calibration!E$35)</f>
        <v>20858.387211798559</v>
      </c>
      <c r="F13" s="24">
        <f>'Not MDL Filltered'!F13/(Calibration!F$34*'Corrected data'!$A13+Calibration!F$35)</f>
        <v>235808.27972644815</v>
      </c>
      <c r="G13" s="24">
        <f>'Not MDL Filltered'!G13/(Calibration!G$34*'Corrected data'!$A13+Calibration!G$35)</f>
        <v>68088.747156549187</v>
      </c>
      <c r="H13" s="24">
        <f>'Not MDL Filltered'!H13/(Calibration!H$34*'Corrected data'!$A13+Calibration!H$35)</f>
        <v>283274.30224732211</v>
      </c>
      <c r="I13" s="24">
        <f>'Not MDL Filltered'!I13/(Calibration!I$34*'Corrected data'!$A13+Calibration!I$35)</f>
        <v>2487.5252837064631</v>
      </c>
      <c r="J13" s="24">
        <f>'Not MDL Filltered'!J13/(Calibration!J$34*'Corrected data'!$A13+Calibration!J$35)</f>
        <v>9763.9049231024474</v>
      </c>
      <c r="K13" s="24">
        <f>'Not MDL Filltered'!K13/(Calibration!K$34*'Corrected data'!$A13+Calibration!K$35)</f>
        <v>88337.21558432962</v>
      </c>
      <c r="L13" s="24">
        <f>'Not MDL Filltered'!L13/(Calibration!L$34*'Corrected data'!$A13+Calibration!L$35)</f>
        <v>38.180064235823203</v>
      </c>
      <c r="M13" s="24">
        <f>'Not MDL Filltered'!M13/(Calibration!M$34*'Corrected data'!$A13+Calibration!M$35)</f>
        <v>19584.165864230323</v>
      </c>
      <c r="N13" s="24">
        <f>'Not MDL Filltered'!N13/(Calibration!N$34*'Corrected data'!$A13+Calibration!N$35)</f>
        <v>316.54344178035359</v>
      </c>
      <c r="O13" s="24">
        <f>'Not MDL Filltered'!O13/(Calibration!O$34*'Corrected data'!$A13+Calibration!O$35)</f>
        <v>2529.1875499330654</v>
      </c>
      <c r="P13" s="24">
        <f>'Not MDL Filltered'!P13/(Calibration!P$34*'Corrected data'!$A13+Calibration!P$35)</f>
        <v>150083.24496798139</v>
      </c>
      <c r="Q13" s="24">
        <f>'Not MDL Filltered'!Q13/(Calibration!Q$34*'Corrected data'!$A13+Calibration!Q$35)</f>
        <v>0.79792760053858136</v>
      </c>
      <c r="R13" s="24">
        <f>'Not MDL Filltered'!R13/(Calibration!R$34*'Corrected data'!$A13+Calibration!R$35)</f>
        <v>29.824379280362955</v>
      </c>
      <c r="S13" s="24">
        <f>'Not MDL Filltered'!S13/(Calibration!S$34*'Corrected data'!$A13+Calibration!S$35)</f>
        <v>897.64861820214969</v>
      </c>
      <c r="T13" s="24">
        <f>'Not MDL Filltered'!T13/(Calibration!T$34*'Corrected data'!$A13+Calibration!T$35)</f>
        <v>20.49013434162659</v>
      </c>
      <c r="U13" s="24">
        <f>'Not MDL Filltered'!U13/(Calibration!U$34*'Corrected data'!$A13+Calibration!U$35)</f>
        <v>293.02968239082219</v>
      </c>
      <c r="V13" s="24">
        <f>'Not MDL Filltered'!V13/(Calibration!V$34*'Corrected data'!$A13+Calibration!V$35)</f>
        <v>96.155241886744562</v>
      </c>
      <c r="W13" s="24">
        <f>'Not MDL Filltered'!W13/(Calibration!W$34*'Corrected data'!$A13+Calibration!W$35)</f>
        <v>0.33022226628333495</v>
      </c>
      <c r="X13" s="24">
        <f>'Not MDL Filltered'!X13/(Calibration!X$34*'Corrected data'!$A13+Calibration!X$35)</f>
        <v>408.83557962415864</v>
      </c>
      <c r="Y13" s="24">
        <f>'Not MDL Filltered'!Y13/(Calibration!Y$34*'Corrected data'!$A13+Calibration!Y$35)</f>
        <v>62.164353466119202</v>
      </c>
      <c r="Z13" s="24">
        <f>'Not MDL Filltered'!Z13/(Calibration!Z$34*'Corrected data'!$A13+Calibration!Z$35)</f>
        <v>129.57512259333939</v>
      </c>
      <c r="AA13" s="24">
        <f>'Not MDL Filltered'!AA13/(Calibration!AA$34*'Corrected data'!$A13+Calibration!AA$35)</f>
        <v>14.651653565933112</v>
      </c>
      <c r="AB13" s="24">
        <f>'Not MDL Filltered'!AB13/(Calibration!AB$34*'Corrected data'!$A13+Calibration!AB$35)</f>
        <v>58.038146743409222</v>
      </c>
      <c r="AC13" s="24">
        <f>'Not MDL Filltered'!AC13/(Calibration!AC$34*'Corrected data'!$A13+Calibration!AC$35)</f>
        <v>9.272583852121949</v>
      </c>
      <c r="AD13" s="24">
        <f>'Not MDL Filltered'!AD13/(Calibration!AD$34*'Corrected data'!$A13+Calibration!AD$35)</f>
        <v>2.972091498350343</v>
      </c>
      <c r="AE13" s="24">
        <f>'Not MDL Filltered'!AE13/(Calibration!AE$34*'Corrected data'!$A13+Calibration!AE$35)</f>
        <v>6.9755496919407047</v>
      </c>
      <c r="AF13" s="24">
        <f>'Not MDL Filltered'!AF13/(Calibration!AF$34*'Corrected data'!$A13+Calibration!AF$35)</f>
        <v>0.87752760794127704</v>
      </c>
      <c r="AG13" s="24">
        <f>'Not MDL Filltered'!AG13/(Calibration!AG$34*'Corrected data'!$A13+Calibration!AG$35)</f>
        <v>4.5474014327018013</v>
      </c>
      <c r="AH13" s="24">
        <f>'Not MDL Filltered'!AH13/(Calibration!AH$34*'Corrected data'!$A13+Calibration!AH$35)</f>
        <v>0.86744567489628122</v>
      </c>
      <c r="AI13" s="24">
        <f>'Not MDL Filltered'!AI13/(Calibration!AI$34*'Corrected data'!$A13+Calibration!AI$35)</f>
        <v>2.480983698004545</v>
      </c>
      <c r="AJ13" s="24">
        <f>'Not MDL Filltered'!AJ13/(Calibration!AJ$34*'Corrected data'!$A13+Calibration!AJ$35)</f>
        <v>0.25278240021535348</v>
      </c>
      <c r="AK13" s="24">
        <f>'Not MDL Filltered'!AK13/(Calibration!AK$34*'Corrected data'!$A13+Calibration!AK$35)</f>
        <v>1.3670752434635938</v>
      </c>
      <c r="AL13" s="24">
        <f>'Not MDL Filltered'!AL13/(Calibration!AL$34*'Corrected data'!$A13+Calibration!AL$35)</f>
        <v>0.28029018419378859</v>
      </c>
      <c r="AM13" s="24">
        <f>'Not MDL Filltered'!AM13/(Calibration!AM$34*'Corrected data'!$A13+Calibration!AM$35)</f>
        <v>6.7570314330637267</v>
      </c>
      <c r="AN13" s="24">
        <f>'Not MDL Filltered'!AN13/(Calibration!AN$34*'Corrected data'!$A13+Calibration!AN$35)</f>
        <v>5.0366619433779629</v>
      </c>
      <c r="AO13" s="24">
        <f>'Not MDL Filltered'!AO13/(Calibration!AO$34*'Corrected data'!$A13+Calibration!AO$35)</f>
        <v>12.019326931114229</v>
      </c>
      <c r="AP13" s="24">
        <f>'Not MDL Filltered'!AP13/(Calibration!AP$34*'Corrected data'!$A13+Calibration!AP$35)</f>
        <v>7.2531228137903714</v>
      </c>
      <c r="AQ13" s="24">
        <f>'Not MDL Filltered'!AQ13/(Calibration!AQ$34*'Corrected data'!$A13+Calibration!AQ$35)</f>
        <v>2.0533605129931445</v>
      </c>
    </row>
    <row r="14" spans="1:43" s="24" customFormat="1" x14ac:dyDescent="0.2">
      <c r="A14" s="24">
        <v>13</v>
      </c>
      <c r="B14" s="24" t="s">
        <v>69</v>
      </c>
      <c r="C14" s="24">
        <f>'Not MDL Filltered'!C14/(Calibration!C$34*'Corrected data'!$A14+Calibration!C$35)</f>
        <v>3.7608578844332308</v>
      </c>
      <c r="D14" s="24">
        <f>'Not MDL Filltered'!D14/(Calibration!D$34*'Corrected data'!$A14+Calibration!D$35)</f>
        <v>1.6236935142387421</v>
      </c>
      <c r="E14" s="24">
        <f>'Not MDL Filltered'!E14/(Calibration!E$34*'Corrected data'!$A14+Calibration!E$35)</f>
        <v>19745.336830909066</v>
      </c>
      <c r="F14" s="24">
        <f>'Not MDL Filltered'!F14/(Calibration!F$34*'Corrected data'!$A14+Calibration!F$35)</f>
        <v>28983.123786372125</v>
      </c>
      <c r="G14" s="24">
        <f>'Not MDL Filltered'!G14/(Calibration!G$34*'Corrected data'!$A14+Calibration!G$35)</f>
        <v>70799.059676597491</v>
      </c>
      <c r="H14" s="24">
        <f>'Not MDL Filltered'!H14/(Calibration!H$34*'Corrected data'!$A14+Calibration!H$35)</f>
        <v>167672.2393023266</v>
      </c>
      <c r="I14" s="24">
        <f>'Not MDL Filltered'!I14/(Calibration!I$34*'Corrected data'!$A14+Calibration!I$35)</f>
        <v>1694.9410988141622</v>
      </c>
      <c r="J14" s="24">
        <f>'Not MDL Filltered'!J14/(Calibration!J$34*'Corrected data'!$A14+Calibration!J$35)</f>
        <v>8131.8520655389566</v>
      </c>
      <c r="K14" s="24">
        <f>'Not MDL Filltered'!K14/(Calibration!K$34*'Corrected data'!$A14+Calibration!K$35)</f>
        <v>96484.821910404178</v>
      </c>
      <c r="L14" s="24">
        <f>'Not MDL Filltered'!L14/(Calibration!L$34*'Corrected data'!$A14+Calibration!L$35)</f>
        <v>36.899819671263813</v>
      </c>
      <c r="M14" s="24">
        <f>'Not MDL Filltered'!M14/(Calibration!M$34*'Corrected data'!$A14+Calibration!M$35)</f>
        <v>25444.06092307785</v>
      </c>
      <c r="N14" s="24">
        <f>'Not MDL Filltered'!N14/(Calibration!N$34*'Corrected data'!$A14+Calibration!N$35)</f>
        <v>383.7419061582583</v>
      </c>
      <c r="O14" s="24">
        <f>'Not MDL Filltered'!O14/(Calibration!O$34*'Corrected data'!$A14+Calibration!O$35)</f>
        <v>1137.4064342113031</v>
      </c>
      <c r="P14" s="24">
        <f>'Not MDL Filltered'!P14/(Calibration!P$34*'Corrected data'!$A14+Calibration!P$35)</f>
        <v>65710.622459235194</v>
      </c>
      <c r="Q14" s="24">
        <f>'Not MDL Filltered'!Q14/(Calibration!Q$34*'Corrected data'!$A14+Calibration!Q$35)</f>
        <v>0.40335240938769806</v>
      </c>
      <c r="R14" s="24">
        <f>'Not MDL Filltered'!R14/(Calibration!R$34*'Corrected data'!$A14+Calibration!R$35)</f>
        <v>22.149281330457697</v>
      </c>
      <c r="S14" s="24">
        <f>'Not MDL Filltered'!S14/(Calibration!S$34*'Corrected data'!$A14+Calibration!S$35)</f>
        <v>757.04138648153673</v>
      </c>
      <c r="T14" s="24">
        <f>'Not MDL Filltered'!T14/(Calibration!T$34*'Corrected data'!$A14+Calibration!T$35)</f>
        <v>30.037328588343819</v>
      </c>
      <c r="U14" s="24">
        <f>'Not MDL Filltered'!U14/(Calibration!U$34*'Corrected data'!$A14+Calibration!U$35)</f>
        <v>309.18744286833834</v>
      </c>
      <c r="V14" s="24">
        <f>'Not MDL Filltered'!V14/(Calibration!V$34*'Corrected data'!$A14+Calibration!V$35)</f>
        <v>65.156688844431983</v>
      </c>
      <c r="W14" s="24">
        <f>'Not MDL Filltered'!W14/(Calibration!W$34*'Corrected data'!$A14+Calibration!W$35)</f>
        <v>0.23939027175154146</v>
      </c>
      <c r="X14" s="24">
        <f>'Not MDL Filltered'!X14/(Calibration!X$34*'Corrected data'!$A14+Calibration!X$35)</f>
        <v>314.76349584251221</v>
      </c>
      <c r="Y14" s="24">
        <f>'Not MDL Filltered'!Y14/(Calibration!Y$34*'Corrected data'!$A14+Calibration!Y$35)</f>
        <v>42.643976238047586</v>
      </c>
      <c r="Z14" s="24">
        <f>'Not MDL Filltered'!Z14/(Calibration!Z$34*'Corrected data'!$A14+Calibration!Z$35)</f>
        <v>90.31477783036631</v>
      </c>
      <c r="AA14" s="24">
        <f>'Not MDL Filltered'!AA14/(Calibration!AA$34*'Corrected data'!$A14+Calibration!AA$35)</f>
        <v>11.214883057590786</v>
      </c>
      <c r="AB14" s="24">
        <f>'Not MDL Filltered'!AB14/(Calibration!AB$34*'Corrected data'!$A14+Calibration!AB$35)</f>
        <v>52.762595845941426</v>
      </c>
      <c r="AC14" s="24">
        <f>'Not MDL Filltered'!AC14/(Calibration!AC$34*'Corrected data'!$A14+Calibration!AC$35)</f>
        <v>10.317606633663202</v>
      </c>
      <c r="AD14" s="24">
        <f>'Not MDL Filltered'!AD14/(Calibration!AD$34*'Corrected data'!$A14+Calibration!AD$35)</f>
        <v>3.1762494105831709</v>
      </c>
      <c r="AE14" s="24">
        <f>'Not MDL Filltered'!AE14/(Calibration!AE$34*'Corrected data'!$A14+Calibration!AE$35)</f>
        <v>7.5994101886074752</v>
      </c>
      <c r="AF14" s="24">
        <f>'Not MDL Filltered'!AF14/(Calibration!AF$34*'Corrected data'!$A14+Calibration!AF$35)</f>
        <v>1.0609115531917976</v>
      </c>
      <c r="AG14" s="24">
        <f>'Not MDL Filltered'!AG14/(Calibration!AG$34*'Corrected data'!$A14+Calibration!AG$35)</f>
        <v>6.4604049564888877</v>
      </c>
      <c r="AH14" s="24">
        <f>'Not MDL Filltered'!AH14/(Calibration!AH$34*'Corrected data'!$A14+Calibration!AH$35)</f>
        <v>1.1438529906247303</v>
      </c>
      <c r="AI14" s="24">
        <f>'Not MDL Filltered'!AI14/(Calibration!AI$34*'Corrected data'!$A14+Calibration!AI$35)</f>
        <v>2.9945152809276379</v>
      </c>
      <c r="AJ14" s="24">
        <f>'Not MDL Filltered'!AJ14/(Calibration!AJ$34*'Corrected data'!$A14+Calibration!AJ$35)</f>
        <v>0.32437424062363751</v>
      </c>
      <c r="AK14" s="24">
        <f>'Not MDL Filltered'!AK14/(Calibration!AK$34*'Corrected data'!$A14+Calibration!AK$35)</f>
        <v>2.0355899005818632</v>
      </c>
      <c r="AL14" s="24">
        <f>'Not MDL Filltered'!AL14/(Calibration!AL$34*'Corrected data'!$A14+Calibration!AL$35)</f>
        <v>0.36510318862566254</v>
      </c>
      <c r="AM14" s="24">
        <f>'Not MDL Filltered'!AM14/(Calibration!AM$34*'Corrected data'!$A14+Calibration!AM$35)</f>
        <v>7.5174972077498428</v>
      </c>
      <c r="AN14" s="24">
        <f>'Not MDL Filltered'!AN14/(Calibration!AN$34*'Corrected data'!$A14+Calibration!AN$35)</f>
        <v>3.5944426380139922</v>
      </c>
      <c r="AO14" s="24">
        <f>'Not MDL Filltered'!AO14/(Calibration!AO$34*'Corrected data'!$A14+Calibration!AO$35)</f>
        <v>6.1405750045852709</v>
      </c>
      <c r="AP14" s="24">
        <f>'Not MDL Filltered'!AP14/(Calibration!AP$34*'Corrected data'!$A14+Calibration!AP$35)</f>
        <v>4.5398184519135221</v>
      </c>
      <c r="AQ14" s="24">
        <f>'Not MDL Filltered'!AQ14/(Calibration!AQ$34*'Corrected data'!$A14+Calibration!AQ$35)</f>
        <v>1.3847400079379386</v>
      </c>
    </row>
    <row r="15" spans="1:43" s="24" customFormat="1" x14ac:dyDescent="0.2">
      <c r="A15" s="24">
        <v>14</v>
      </c>
      <c r="B15" s="24" t="s">
        <v>70</v>
      </c>
      <c r="C15" s="24">
        <f>'Not MDL Filltered'!C15/(Calibration!C$34*'Corrected data'!$A15+Calibration!C$35)</f>
        <v>4.5792601388253589</v>
      </c>
      <c r="D15" s="24">
        <f>'Not MDL Filltered'!D15/(Calibration!D$34*'Corrected data'!$A15+Calibration!D$35)</f>
        <v>1.14591397014374</v>
      </c>
      <c r="E15" s="24">
        <f>'Not MDL Filltered'!E15/(Calibration!E$34*'Corrected data'!$A15+Calibration!E$35)</f>
        <v>15559.565906922309</v>
      </c>
      <c r="F15" s="24">
        <f>'Not MDL Filltered'!F15/(Calibration!F$34*'Corrected data'!$A15+Calibration!F$35)</f>
        <v>108369.88303664632</v>
      </c>
      <c r="G15" s="24">
        <f>'Not MDL Filltered'!G15/(Calibration!G$34*'Corrected data'!$A15+Calibration!G$35)</f>
        <v>59164.880497325881</v>
      </c>
      <c r="H15" s="24">
        <f>'Not MDL Filltered'!H15/(Calibration!H$34*'Corrected data'!$A15+Calibration!H$35)</f>
        <v>188595.60621249041</v>
      </c>
      <c r="I15" s="24">
        <f>'Not MDL Filltered'!I15/(Calibration!I$34*'Corrected data'!$A15+Calibration!I$35)</f>
        <v>1158.1752722418191</v>
      </c>
      <c r="J15" s="24">
        <f>'Not MDL Filltered'!J15/(Calibration!J$34*'Corrected data'!$A15+Calibration!J$35)</f>
        <v>5738.5659587945711</v>
      </c>
      <c r="K15" s="24">
        <f>'Not MDL Filltered'!K15/(Calibration!K$34*'Corrected data'!$A15+Calibration!K$35)</f>
        <v>94269.237631946758</v>
      </c>
      <c r="L15" s="24">
        <f>'Not MDL Filltered'!L15/(Calibration!L$34*'Corrected data'!$A15+Calibration!L$35)</f>
        <v>33.784855401547176</v>
      </c>
      <c r="M15" s="24">
        <f>'Not MDL Filltered'!M15/(Calibration!M$34*'Corrected data'!$A15+Calibration!M$35)</f>
        <v>24224.472960168012</v>
      </c>
      <c r="N15" s="24">
        <f>'Not MDL Filltered'!N15/(Calibration!N$34*'Corrected data'!$A15+Calibration!N$35)</f>
        <v>295.50395269809468</v>
      </c>
      <c r="O15" s="24">
        <f>'Not MDL Filltered'!O15/(Calibration!O$34*'Corrected data'!$A15+Calibration!O$35)</f>
        <v>1860.1694746781127</v>
      </c>
      <c r="P15" s="24">
        <f>'Not MDL Filltered'!P15/(Calibration!P$34*'Corrected data'!$A15+Calibration!P$35)</f>
        <v>111637.62484309345</v>
      </c>
      <c r="Q15" s="24">
        <f>'Not MDL Filltered'!Q15/(Calibration!Q$34*'Corrected data'!$A15+Calibration!Q$35)</f>
        <v>0.41329953104791589</v>
      </c>
      <c r="R15" s="24">
        <f>'Not MDL Filltered'!R15/(Calibration!R$34*'Corrected data'!$A15+Calibration!R$35)</f>
        <v>11.767984140403492</v>
      </c>
      <c r="S15" s="24">
        <f>'Not MDL Filltered'!S15/(Calibration!S$34*'Corrected data'!$A15+Calibration!S$35)</f>
        <v>3899.0407845466439</v>
      </c>
      <c r="T15" s="24">
        <f>'Not MDL Filltered'!T15/(Calibration!T$34*'Corrected data'!$A15+Calibration!T$35)</f>
        <v>24.571908152968007</v>
      </c>
      <c r="U15" s="24">
        <f>'Not MDL Filltered'!U15/(Calibration!U$34*'Corrected data'!$A15+Calibration!U$35)</f>
        <v>277.12658003066832</v>
      </c>
      <c r="V15" s="24">
        <f>'Not MDL Filltered'!V15/(Calibration!V$34*'Corrected data'!$A15+Calibration!V$35)</f>
        <v>58.937286883846063</v>
      </c>
      <c r="W15" s="24">
        <f>'Not MDL Filltered'!W15/(Calibration!W$34*'Corrected data'!$A15+Calibration!W$35)</f>
        <v>0.13191311005926573</v>
      </c>
      <c r="X15" s="24">
        <f>'Not MDL Filltered'!X15/(Calibration!X$34*'Corrected data'!$A15+Calibration!X$35)</f>
        <v>375.86752929871221</v>
      </c>
      <c r="Y15" s="24">
        <f>'Not MDL Filltered'!Y15/(Calibration!Y$34*'Corrected data'!$A15+Calibration!Y$35)</f>
        <v>37.494548472004894</v>
      </c>
      <c r="Z15" s="24">
        <f>'Not MDL Filltered'!Z15/(Calibration!Z$34*'Corrected data'!$A15+Calibration!Z$35)</f>
        <v>80.134195574678245</v>
      </c>
      <c r="AA15" s="24">
        <f>'Not MDL Filltered'!AA15/(Calibration!AA$34*'Corrected data'!$A15+Calibration!AA$35)</f>
        <v>10.626356552333602</v>
      </c>
      <c r="AB15" s="24">
        <f>'Not MDL Filltered'!AB15/(Calibration!AB$34*'Corrected data'!$A15+Calibration!AB$35)</f>
        <v>50.697879408999093</v>
      </c>
      <c r="AC15" s="24">
        <f>'Not MDL Filltered'!AC15/(Calibration!AC$34*'Corrected data'!$A15+Calibration!AC$35)</f>
        <v>9.8386877710661533</v>
      </c>
      <c r="AD15" s="24">
        <f>'Not MDL Filltered'!AD15/(Calibration!AD$34*'Corrected data'!$A15+Calibration!AD$35)</f>
        <v>2.5247848399494801</v>
      </c>
      <c r="AE15" s="24">
        <f>'Not MDL Filltered'!AE15/(Calibration!AE$34*'Corrected data'!$A15+Calibration!AE$35)</f>
        <v>6.2646248730872589</v>
      </c>
      <c r="AF15" s="24">
        <f>'Not MDL Filltered'!AF15/(Calibration!AF$34*'Corrected data'!$A15+Calibration!AF$35)</f>
        <v>0.83993837092548362</v>
      </c>
      <c r="AG15" s="24">
        <f>'Not MDL Filltered'!AG15/(Calibration!AG$34*'Corrected data'!$A15+Calibration!AG$35)</f>
        <v>5.9712222607489585</v>
      </c>
      <c r="AH15" s="24">
        <f>'Not MDL Filltered'!AH15/(Calibration!AH$34*'Corrected data'!$A15+Calibration!AH$35)</f>
        <v>1.0258839248271356</v>
      </c>
      <c r="AI15" s="24">
        <f>'Not MDL Filltered'!AI15/(Calibration!AI$34*'Corrected data'!$A15+Calibration!AI$35)</f>
        <v>2.4730264778344417</v>
      </c>
      <c r="AJ15" s="24">
        <f>'Not MDL Filltered'!AJ15/(Calibration!AJ$34*'Corrected data'!$A15+Calibration!AJ$35)</f>
        <v>0.29752228061021962</v>
      </c>
      <c r="AK15" s="24">
        <f>'Not MDL Filltered'!AK15/(Calibration!AK$34*'Corrected data'!$A15+Calibration!AK$35)</f>
        <v>1.9157975680537882</v>
      </c>
      <c r="AL15" s="24">
        <f>'Not MDL Filltered'!AL15/(Calibration!AL$34*'Corrected data'!$A15+Calibration!AL$35)</f>
        <v>0.38082911038930811</v>
      </c>
      <c r="AM15" s="24">
        <f>'Not MDL Filltered'!AM15/(Calibration!AM$34*'Corrected data'!$A15+Calibration!AM$35)</f>
        <v>5.8737024562217215</v>
      </c>
      <c r="AN15" s="24">
        <f>'Not MDL Filltered'!AN15/(Calibration!AN$34*'Corrected data'!$A15+Calibration!AN$35)</f>
        <v>2.8428470761126192</v>
      </c>
      <c r="AO15" s="24">
        <f>'Not MDL Filltered'!AO15/(Calibration!AO$34*'Corrected data'!$A15+Calibration!AO$35)</f>
        <v>9.093617591754299</v>
      </c>
      <c r="AP15" s="24">
        <f>'Not MDL Filltered'!AP15/(Calibration!AP$34*'Corrected data'!$A15+Calibration!AP$35)</f>
        <v>4.6108933423092076</v>
      </c>
      <c r="AQ15" s="24">
        <f>'Not MDL Filltered'!AQ15/(Calibration!AQ$34*'Corrected data'!$A15+Calibration!AQ$35)</f>
        <v>1.273528919609876</v>
      </c>
    </row>
    <row r="16" spans="1:43" s="24" customFormat="1" x14ac:dyDescent="0.2">
      <c r="A16" s="24">
        <v>15</v>
      </c>
      <c r="B16" s="24" t="s">
        <v>71</v>
      </c>
      <c r="C16" s="24">
        <f>'Not MDL Filltered'!C16/(Calibration!C$34*'Corrected data'!$A16+Calibration!C$35)</f>
        <v>7.5068673563346824</v>
      </c>
      <c r="D16" s="24">
        <f>'Not MDL Filltered'!D16/(Calibration!D$34*'Corrected data'!$A16+Calibration!D$35)</f>
        <v>1.84921404901362</v>
      </c>
      <c r="E16" s="24">
        <f>'Not MDL Filltered'!E16/(Calibration!E$34*'Corrected data'!$A16+Calibration!E$35)</f>
        <v>31328.087197163171</v>
      </c>
      <c r="F16" s="24">
        <f>'Not MDL Filltered'!F16/(Calibration!F$34*'Corrected data'!$A16+Calibration!F$35)</f>
        <v>30564.347462459009</v>
      </c>
      <c r="G16" s="24">
        <f>'Not MDL Filltered'!G16/(Calibration!G$34*'Corrected data'!$A16+Calibration!G$35)</f>
        <v>80425.888176483335</v>
      </c>
      <c r="H16" s="24">
        <f>'Not MDL Filltered'!H16/(Calibration!H$34*'Corrected data'!$A16+Calibration!H$35)</f>
        <v>206725.55807506348</v>
      </c>
      <c r="I16" s="24">
        <f>'Not MDL Filltered'!I16/(Calibration!I$34*'Corrected data'!$A16+Calibration!I$35)</f>
        <v>2406.3836517882705</v>
      </c>
      <c r="J16" s="24">
        <f>'Not MDL Filltered'!J16/(Calibration!J$34*'Corrected data'!$A16+Calibration!J$35)</f>
        <v>11274.233528510149</v>
      </c>
      <c r="K16" s="24">
        <f>'Not MDL Filltered'!K16/(Calibration!K$34*'Corrected data'!$A16+Calibration!K$35)</f>
        <v>95484.240180310444</v>
      </c>
      <c r="L16" s="24">
        <f>'Not MDL Filltered'!L16/(Calibration!L$34*'Corrected data'!$A16+Calibration!L$35)</f>
        <v>30.159594313806338</v>
      </c>
      <c r="M16" s="24">
        <f>'Not MDL Filltered'!M16/(Calibration!M$34*'Corrected data'!$A16+Calibration!M$35)</f>
        <v>19137.703481967208</v>
      </c>
      <c r="N16" s="24">
        <f>'Not MDL Filltered'!N16/(Calibration!N$34*'Corrected data'!$A16+Calibration!N$35)</f>
        <v>291.59156207517361</v>
      </c>
      <c r="O16" s="24">
        <f>'Not MDL Filltered'!O16/(Calibration!O$34*'Corrected data'!$A16+Calibration!O$35)</f>
        <v>1545.3467910475138</v>
      </c>
      <c r="P16" s="24">
        <f>'Not MDL Filltered'!P16/(Calibration!P$34*'Corrected data'!$A16+Calibration!P$35)</f>
        <v>83522.651797724277</v>
      </c>
      <c r="Q16" s="24">
        <f>'Not MDL Filltered'!Q16/(Calibration!Q$34*'Corrected data'!$A16+Calibration!Q$35)</f>
        <v>0.76841760534875025</v>
      </c>
      <c r="R16" s="24">
        <f>'Not MDL Filltered'!R16/(Calibration!R$34*'Corrected data'!$A16+Calibration!R$35)</f>
        <v>38.571246488374406</v>
      </c>
      <c r="S16" s="24">
        <f>'Not MDL Filltered'!S16/(Calibration!S$34*'Corrected data'!$A16+Calibration!S$35)</f>
        <v>1196.4548849446137</v>
      </c>
      <c r="T16" s="24">
        <f>'Not MDL Filltered'!T16/(Calibration!T$34*'Corrected data'!$A16+Calibration!T$35)</f>
        <v>34.639320589465989</v>
      </c>
      <c r="U16" s="24">
        <f>'Not MDL Filltered'!U16/(Calibration!U$34*'Corrected data'!$A16+Calibration!U$35)</f>
        <v>397.23553788847397</v>
      </c>
      <c r="V16" s="24">
        <f>'Not MDL Filltered'!V16/(Calibration!V$34*'Corrected data'!$A16+Calibration!V$35)</f>
        <v>98.082924666514899</v>
      </c>
      <c r="W16" s="24">
        <f>'Not MDL Filltered'!W16/(Calibration!W$34*'Corrected data'!$A16+Calibration!W$35)</f>
        <v>0.45323819103484675</v>
      </c>
      <c r="X16" s="24">
        <f>'Not MDL Filltered'!X16/(Calibration!X$34*'Corrected data'!$A16+Calibration!X$35)</f>
        <v>490.88929119448426</v>
      </c>
      <c r="Y16" s="24">
        <f>'Not MDL Filltered'!Y16/(Calibration!Y$34*'Corrected data'!$A16+Calibration!Y$35)</f>
        <v>75.451483940049727</v>
      </c>
      <c r="Z16" s="24">
        <f>'Not MDL Filltered'!Z16/(Calibration!Z$34*'Corrected data'!$A16+Calibration!Z$35)</f>
        <v>153.03868114587442</v>
      </c>
      <c r="AA16" s="24">
        <f>'Not MDL Filltered'!AA16/(Calibration!AA$34*'Corrected data'!$A16+Calibration!AA$35)</f>
        <v>17.465992003074373</v>
      </c>
      <c r="AB16" s="24">
        <f>'Not MDL Filltered'!AB16/(Calibration!AB$34*'Corrected data'!$A16+Calibration!AB$35)</f>
        <v>68.614556904037514</v>
      </c>
      <c r="AC16" s="24">
        <f>'Not MDL Filltered'!AC16/(Calibration!AC$34*'Corrected data'!$A16+Calibration!AC$35)</f>
        <v>11.807263055449754</v>
      </c>
      <c r="AD16" s="24">
        <f>'Not MDL Filltered'!AD16/(Calibration!AD$34*'Corrected data'!$A16+Calibration!AD$35)</f>
        <v>3.6660882138309567</v>
      </c>
      <c r="AE16" s="24">
        <f>'Not MDL Filltered'!AE16/(Calibration!AE$34*'Corrected data'!$A16+Calibration!AE$35)</f>
        <v>10.394031374585765</v>
      </c>
      <c r="AF16" s="24">
        <f>'Not MDL Filltered'!AF16/(Calibration!AF$34*'Corrected data'!$A16+Calibration!AF$35)</f>
        <v>1.351859027148653</v>
      </c>
      <c r="AG16" s="24">
        <f>'Not MDL Filltered'!AG16/(Calibration!AG$34*'Corrected data'!$A16+Calibration!AG$35)</f>
        <v>7.3349707346637922</v>
      </c>
      <c r="AH16" s="24">
        <f>'Not MDL Filltered'!AH16/(Calibration!AH$34*'Corrected data'!$A16+Calibration!AH$35)</f>
        <v>1.2630704398349479</v>
      </c>
      <c r="AI16" s="24">
        <f>'Not MDL Filltered'!AI16/(Calibration!AI$34*'Corrected data'!$A16+Calibration!AI$35)</f>
        <v>3.3389907034798889</v>
      </c>
      <c r="AJ16" s="24">
        <f>'Not MDL Filltered'!AJ16/(Calibration!AJ$34*'Corrected data'!$A16+Calibration!AJ$35)</f>
        <v>0.4494522773731493</v>
      </c>
      <c r="AK16" s="24">
        <f>'Not MDL Filltered'!AK16/(Calibration!AK$34*'Corrected data'!$A16+Calibration!AK$35)</f>
        <v>2.6740618747389671</v>
      </c>
      <c r="AL16" s="24">
        <f>'Not MDL Filltered'!AL16/(Calibration!AL$34*'Corrected data'!$A16+Calibration!AL$35)</f>
        <v>0.35077204129427886</v>
      </c>
      <c r="AM16" s="24">
        <f>'Not MDL Filltered'!AM16/(Calibration!AM$34*'Corrected data'!$A16+Calibration!AM$35)</f>
        <v>8.6946327977369364</v>
      </c>
      <c r="AN16" s="24">
        <f>'Not MDL Filltered'!AN16/(Calibration!AN$34*'Corrected data'!$A16+Calibration!AN$35)</f>
        <v>5.9898321591860482</v>
      </c>
      <c r="AO16" s="24">
        <f>'Not MDL Filltered'!AO16/(Calibration!AO$34*'Corrected data'!$A16+Calibration!AO$35)</f>
        <v>5.2796380332069823</v>
      </c>
      <c r="AP16" s="24">
        <f>'Not MDL Filltered'!AP16/(Calibration!AP$34*'Corrected data'!$A16+Calibration!AP$35)</f>
        <v>8.7490295370917721</v>
      </c>
      <c r="AQ16" s="24">
        <f>'Not MDL Filltered'!AQ16/(Calibration!AQ$34*'Corrected data'!$A16+Calibration!AQ$35)</f>
        <v>2.2601953622235125</v>
      </c>
    </row>
    <row r="17" spans="1:43" s="24" customFormat="1" x14ac:dyDescent="0.2">
      <c r="A17" s="24">
        <v>16</v>
      </c>
      <c r="B17" s="24" t="s">
        <v>72</v>
      </c>
      <c r="C17" s="24">
        <f>'Not MDL Filltered'!C17/(Calibration!C$34*'Corrected data'!$A17+Calibration!C$35)</f>
        <v>7.2383769667360749</v>
      </c>
      <c r="D17" s="24">
        <f>'Not MDL Filltered'!D17/(Calibration!D$34*'Corrected data'!$A17+Calibration!D$35)</f>
        <v>2.1756284502201026</v>
      </c>
      <c r="E17" s="24">
        <f>'Not MDL Filltered'!E17/(Calibration!E$34*'Corrected data'!$A17+Calibration!E$35)</f>
        <v>30438.608285615795</v>
      </c>
      <c r="F17" s="24">
        <f>'Not MDL Filltered'!F17/(Calibration!F$34*'Corrected data'!$A17+Calibration!F$35)</f>
        <v>31746.508623013244</v>
      </c>
      <c r="G17" s="24">
        <f>'Not MDL Filltered'!G17/(Calibration!G$34*'Corrected data'!$A17+Calibration!G$35)</f>
        <v>78446.951450132285</v>
      </c>
      <c r="H17" s="24">
        <f>'Not MDL Filltered'!H17/(Calibration!H$34*'Corrected data'!$A17+Calibration!H$35)</f>
        <v>202821.01214558887</v>
      </c>
      <c r="I17" s="24">
        <f>'Not MDL Filltered'!I17/(Calibration!I$34*'Corrected data'!$A17+Calibration!I$35)</f>
        <v>2393.5212044626674</v>
      </c>
      <c r="J17" s="24">
        <f>'Not MDL Filltered'!J17/(Calibration!J$34*'Corrected data'!$A17+Calibration!J$35)</f>
        <v>11188.533428636385</v>
      </c>
      <c r="K17" s="24">
        <f>'Not MDL Filltered'!K17/(Calibration!K$34*'Corrected data'!$A17+Calibration!K$35)</f>
        <v>95484.240310353227</v>
      </c>
      <c r="L17" s="24">
        <f>'Not MDL Filltered'!L17/(Calibration!L$34*'Corrected data'!$A17+Calibration!L$35)</f>
        <v>30.896331788022522</v>
      </c>
      <c r="M17" s="24">
        <f>'Not MDL Filltered'!M17/(Calibration!M$34*'Corrected data'!$A17+Calibration!M$35)</f>
        <v>18767.093410356567</v>
      </c>
      <c r="N17" s="24">
        <f>'Not MDL Filltered'!N17/(Calibration!N$34*'Corrected data'!$A17+Calibration!N$35)</f>
        <v>286.17508232711987</v>
      </c>
      <c r="O17" s="24">
        <f>'Not MDL Filltered'!O17/(Calibration!O$34*'Corrected data'!$A17+Calibration!O$35)</f>
        <v>1525.4296372089707</v>
      </c>
      <c r="P17" s="24">
        <f>'Not MDL Filltered'!P17/(Calibration!P$34*'Corrected data'!$A17+Calibration!P$35)</f>
        <v>81430.697591492935</v>
      </c>
      <c r="Q17" s="24">
        <f>'Not MDL Filltered'!Q17/(Calibration!Q$34*'Corrected data'!$A17+Calibration!Q$35)</f>
        <v>0.7994102436654249</v>
      </c>
      <c r="R17" s="24">
        <f>'Not MDL Filltered'!R17/(Calibration!R$34*'Corrected data'!$A17+Calibration!R$35)</f>
        <v>36.533847746225895</v>
      </c>
      <c r="S17" s="24">
        <f>'Not MDL Filltered'!S17/(Calibration!S$34*'Corrected data'!$A17+Calibration!S$35)</f>
        <v>1183.0268169984074</v>
      </c>
      <c r="T17" s="24">
        <f>'Not MDL Filltered'!T17/(Calibration!T$34*'Corrected data'!$A17+Calibration!T$35)</f>
        <v>34.806924010845947</v>
      </c>
      <c r="U17" s="24">
        <f>'Not MDL Filltered'!U17/(Calibration!U$34*'Corrected data'!$A17+Calibration!U$35)</f>
        <v>399.22751339732918</v>
      </c>
      <c r="V17" s="24">
        <f>'Not MDL Filltered'!V17/(Calibration!V$34*'Corrected data'!$A17+Calibration!V$35)</f>
        <v>96.567273768521972</v>
      </c>
      <c r="W17" s="24">
        <f>'Not MDL Filltered'!W17/(Calibration!W$34*'Corrected data'!$A17+Calibration!W$35)</f>
        <v>0.42495561451455244</v>
      </c>
      <c r="X17" s="24">
        <f>'Not MDL Filltered'!X17/(Calibration!X$34*'Corrected data'!$A17+Calibration!X$35)</f>
        <v>478.52688826068459</v>
      </c>
      <c r="Y17" s="24">
        <f>'Not MDL Filltered'!Y17/(Calibration!Y$34*'Corrected data'!$A17+Calibration!Y$35)</f>
        <v>74.17139898316573</v>
      </c>
      <c r="Z17" s="24">
        <f>'Not MDL Filltered'!Z17/(Calibration!Z$34*'Corrected data'!$A17+Calibration!Z$35)</f>
        <v>150.00273692500139</v>
      </c>
      <c r="AA17" s="24">
        <f>'Not MDL Filltered'!AA17/(Calibration!AA$34*'Corrected data'!$A17+Calibration!AA$35)</f>
        <v>17.527965358560053</v>
      </c>
      <c r="AB17" s="24">
        <f>'Not MDL Filltered'!AB17/(Calibration!AB$34*'Corrected data'!$A17+Calibration!AB$35)</f>
        <v>68.010612133843608</v>
      </c>
      <c r="AC17" s="24">
        <f>'Not MDL Filltered'!AC17/(Calibration!AC$34*'Corrected data'!$A17+Calibration!AC$35)</f>
        <v>11.870312463431725</v>
      </c>
      <c r="AD17" s="24">
        <f>'Not MDL Filltered'!AD17/(Calibration!AD$34*'Corrected data'!$A17+Calibration!AD$35)</f>
        <v>3.519442359380395</v>
      </c>
      <c r="AE17" s="24">
        <f>'Not MDL Filltered'!AE17/(Calibration!AE$34*'Corrected data'!$A17+Calibration!AE$35)</f>
        <v>10.370956576344151</v>
      </c>
      <c r="AF17" s="24">
        <f>'Not MDL Filltered'!AF17/(Calibration!AF$34*'Corrected data'!$A17+Calibration!AF$35)</f>
        <v>1.3822574153502929</v>
      </c>
      <c r="AG17" s="24">
        <f>'Not MDL Filltered'!AG17/(Calibration!AG$34*'Corrected data'!$A17+Calibration!AG$35)</f>
        <v>7.1416568741073361</v>
      </c>
      <c r="AH17" s="24">
        <f>'Not MDL Filltered'!AH17/(Calibration!AH$34*'Corrected data'!$A17+Calibration!AH$35)</f>
        <v>1.263514823124797</v>
      </c>
      <c r="AI17" s="24">
        <f>'Not MDL Filltered'!AI17/(Calibration!AI$34*'Corrected data'!$A17+Calibration!AI$35)</f>
        <v>3.1089887475527109</v>
      </c>
      <c r="AJ17" s="24">
        <f>'Not MDL Filltered'!AJ17/(Calibration!AJ$34*'Corrected data'!$A17+Calibration!AJ$35)</f>
        <v>0.41490621201883127</v>
      </c>
      <c r="AK17" s="24">
        <f>'Not MDL Filltered'!AK17/(Calibration!AK$34*'Corrected data'!$A17+Calibration!AK$35)</f>
        <v>2.7238775145380725</v>
      </c>
      <c r="AL17" s="24">
        <f>'Not MDL Filltered'!AL17/(Calibration!AL$34*'Corrected data'!$A17+Calibration!AL$35)</f>
        <v>0.3791763354638536</v>
      </c>
      <c r="AM17" s="24">
        <f>'Not MDL Filltered'!AM17/(Calibration!AM$34*'Corrected data'!$A17+Calibration!AM$35)</f>
        <v>8.5983704726477992</v>
      </c>
      <c r="AN17" s="24">
        <f>'Not MDL Filltered'!AN17/(Calibration!AN$34*'Corrected data'!$A17+Calibration!AN$35)</f>
        <v>5.9386220232354106</v>
      </c>
      <c r="AO17" s="24">
        <f>'Not MDL Filltered'!AO17/(Calibration!AO$34*'Corrected data'!$A17+Calibration!AO$35)</f>
        <v>18.3353035584975</v>
      </c>
      <c r="AP17" s="24">
        <f>'Not MDL Filltered'!AP17/(Calibration!AP$34*'Corrected data'!$A17+Calibration!AP$35)</f>
        <v>8.94077819743503</v>
      </c>
      <c r="AQ17" s="24">
        <f>'Not MDL Filltered'!AQ17/(Calibration!AQ$34*'Corrected data'!$A17+Calibration!AQ$35)</f>
        <v>2.0719390051396425</v>
      </c>
    </row>
    <row r="18" spans="1:43" s="24" customFormat="1" x14ac:dyDescent="0.2">
      <c r="A18" s="24">
        <v>17</v>
      </c>
      <c r="B18" s="24" t="s">
        <v>73</v>
      </c>
      <c r="C18" s="24">
        <f>'Not MDL Filltered'!C18/(Calibration!C$34*'Corrected data'!$A18+Calibration!C$35)</f>
        <v>5.8339633328972145</v>
      </c>
      <c r="D18" s="24">
        <f>'Not MDL Filltered'!D18/(Calibration!D$34*'Corrected data'!$A18+Calibration!D$35)</f>
        <v>1.8683946544048684</v>
      </c>
      <c r="E18" s="24">
        <f>'Not MDL Filltered'!E18/(Calibration!E$34*'Corrected data'!$A18+Calibration!E$35)</f>
        <v>25459.789011848155</v>
      </c>
      <c r="F18" s="24">
        <f>'Not MDL Filltered'!F18/(Calibration!F$34*'Corrected data'!$A18+Calibration!F$35)</f>
        <v>21995.516101053356</v>
      </c>
      <c r="G18" s="24">
        <f>'Not MDL Filltered'!G18/(Calibration!G$34*'Corrected data'!$A18+Calibration!G$35)</f>
        <v>70570.320384293649</v>
      </c>
      <c r="H18" s="24">
        <f>'Not MDL Filltered'!H18/(Calibration!H$34*'Corrected data'!$A18+Calibration!H$35)</f>
        <v>173475.42383412915</v>
      </c>
      <c r="I18" s="24">
        <f>'Not MDL Filltered'!I18/(Calibration!I$34*'Corrected data'!$A18+Calibration!I$35)</f>
        <v>2225.0221050582268</v>
      </c>
      <c r="J18" s="24">
        <f>'Not MDL Filltered'!J18/(Calibration!J$34*'Corrected data'!$A18+Calibration!J$35)</f>
        <v>12717.279238395166</v>
      </c>
      <c r="K18" s="24">
        <f>'Not MDL Filltered'!K18/(Calibration!K$34*'Corrected data'!$A18+Calibration!K$35)</f>
        <v>75615.510812822686</v>
      </c>
      <c r="L18" s="24">
        <f>'Not MDL Filltered'!L18/(Calibration!L$34*'Corrected data'!$A18+Calibration!L$35)</f>
        <v>17.971371014793569</v>
      </c>
      <c r="M18" s="24">
        <f>'Not MDL Filltered'!M18/(Calibration!M$34*'Corrected data'!$A18+Calibration!M$35)</f>
        <v>16209.442490651043</v>
      </c>
      <c r="N18" s="24">
        <f>'Not MDL Filltered'!N18/(Calibration!N$34*'Corrected data'!$A18+Calibration!N$35)</f>
        <v>218.15639826647242</v>
      </c>
      <c r="O18" s="24">
        <f>'Not MDL Filltered'!O18/(Calibration!O$34*'Corrected data'!$A18+Calibration!O$35)</f>
        <v>1295.2936875965784</v>
      </c>
      <c r="P18" s="24">
        <f>'Not MDL Filltered'!P18/(Calibration!P$34*'Corrected data'!$A18+Calibration!P$35)</f>
        <v>67440.277712896816</v>
      </c>
      <c r="Q18" s="24">
        <f>'Not MDL Filltered'!Q18/(Calibration!Q$34*'Corrected data'!$A18+Calibration!Q$35)</f>
        <v>0.79700794640502137</v>
      </c>
      <c r="R18" s="24">
        <f>'Not MDL Filltered'!R18/(Calibration!R$34*'Corrected data'!$A18+Calibration!R$35)</f>
        <v>39.95120820588815</v>
      </c>
      <c r="S18" s="24">
        <f>'Not MDL Filltered'!S18/(Calibration!S$34*'Corrected data'!$A18+Calibration!S$35)</f>
        <v>1255.3716963033285</v>
      </c>
      <c r="T18" s="24">
        <f>'Not MDL Filltered'!T18/(Calibration!T$34*'Corrected data'!$A18+Calibration!T$35)</f>
        <v>31.464302204376526</v>
      </c>
      <c r="U18" s="24">
        <f>'Not MDL Filltered'!U18/(Calibration!U$34*'Corrected data'!$A18+Calibration!U$35)</f>
        <v>374.32356570262868</v>
      </c>
      <c r="V18" s="24">
        <f>'Not MDL Filltered'!V18/(Calibration!V$34*'Corrected data'!$A18+Calibration!V$35)</f>
        <v>87.777358703590536</v>
      </c>
      <c r="W18" s="24">
        <f>'Not MDL Filltered'!W18/(Calibration!W$34*'Corrected data'!$A18+Calibration!W$35)</f>
        <v>0.46429648868687878</v>
      </c>
      <c r="X18" s="24">
        <f>'Not MDL Filltered'!X18/(Calibration!X$34*'Corrected data'!$A18+Calibration!X$35)</f>
        <v>462.2669516735437</v>
      </c>
      <c r="Y18" s="24">
        <f>'Not MDL Filltered'!Y18/(Calibration!Y$34*'Corrected data'!$A18+Calibration!Y$35)</f>
        <v>63.535392725880982</v>
      </c>
      <c r="Z18" s="24">
        <f>'Not MDL Filltered'!Z18/(Calibration!Z$34*'Corrected data'!$A18+Calibration!Z$35)</f>
        <v>146.80576228597477</v>
      </c>
      <c r="AA18" s="24">
        <f>'Not MDL Filltered'!AA18/(Calibration!AA$34*'Corrected data'!$A18+Calibration!AA$35)</f>
        <v>18.789949546763584</v>
      </c>
      <c r="AB18" s="24">
        <f>'Not MDL Filltered'!AB18/(Calibration!AB$34*'Corrected data'!$A18+Calibration!AB$35)</f>
        <v>66.528197036325551</v>
      </c>
      <c r="AC18" s="24">
        <f>'Not MDL Filltered'!AC18/(Calibration!AC$34*'Corrected data'!$A18+Calibration!AC$35)</f>
        <v>9.8558378481174138</v>
      </c>
      <c r="AD18" s="24">
        <f>'Not MDL Filltered'!AD18/(Calibration!AD$34*'Corrected data'!$A18+Calibration!AD$35)</f>
        <v>2.9616606199845164</v>
      </c>
      <c r="AE18" s="24">
        <f>'Not MDL Filltered'!AE18/(Calibration!AE$34*'Corrected data'!$A18+Calibration!AE$35)</f>
        <v>7.9197242209636034</v>
      </c>
      <c r="AF18" s="24">
        <f>'Not MDL Filltered'!AF18/(Calibration!AF$34*'Corrected data'!$A18+Calibration!AF$35)</f>
        <v>1.2623873132520864</v>
      </c>
      <c r="AG18" s="24">
        <f>'Not MDL Filltered'!AG18/(Calibration!AG$34*'Corrected data'!$A18+Calibration!AG$35)</f>
        <v>6.1289645000044146</v>
      </c>
      <c r="AH18" s="24">
        <f>'Not MDL Filltered'!AH18/(Calibration!AH$34*'Corrected data'!$A18+Calibration!AH$35)</f>
        <v>1.0763405280836407</v>
      </c>
      <c r="AI18" s="24">
        <f>'Not MDL Filltered'!AI18/(Calibration!AI$34*'Corrected data'!$A18+Calibration!AI$35)</f>
        <v>2.5969524567106692</v>
      </c>
      <c r="AJ18" s="24">
        <f>'Not MDL Filltered'!AJ18/(Calibration!AJ$34*'Corrected data'!$A18+Calibration!AJ$35)</f>
        <v>0.33096412574634931</v>
      </c>
      <c r="AK18" s="24">
        <f>'Not MDL Filltered'!AK18/(Calibration!AK$34*'Corrected data'!$A18+Calibration!AK$35)</f>
        <v>2.4643940447800867</v>
      </c>
      <c r="AL18" s="24">
        <f>'Not MDL Filltered'!AL18/(Calibration!AL$34*'Corrected data'!$A18+Calibration!AL$35)</f>
        <v>0.27888610515743184</v>
      </c>
      <c r="AM18" s="24">
        <f>'Not MDL Filltered'!AM18/(Calibration!AM$34*'Corrected data'!$A18+Calibration!AM$35)</f>
        <v>6.4603791738046787</v>
      </c>
      <c r="AN18" s="24">
        <f>'Not MDL Filltered'!AN18/(Calibration!AN$34*'Corrected data'!$A18+Calibration!AN$35)</f>
        <v>4.7809907661712439</v>
      </c>
      <c r="AO18" s="24">
        <f>'Not MDL Filltered'!AO18/(Calibration!AO$34*'Corrected data'!$A18+Calibration!AO$35)</f>
        <v>22.064886899250173</v>
      </c>
      <c r="AP18" s="24">
        <f>'Not MDL Filltered'!AP18/(Calibration!AP$34*'Corrected data'!$A18+Calibration!AP$35)</f>
        <v>7.6535724735604767</v>
      </c>
      <c r="AQ18" s="24">
        <f>'Not MDL Filltered'!AQ18/(Calibration!AQ$34*'Corrected data'!$A18+Calibration!AQ$35)</f>
        <v>1.7976862519258312</v>
      </c>
    </row>
    <row r="19" spans="1:43" s="24" customFormat="1" x14ac:dyDescent="0.2">
      <c r="A19" s="24">
        <v>18</v>
      </c>
      <c r="B19" s="24" t="s">
        <v>74</v>
      </c>
      <c r="C19" s="24">
        <f>'Not MDL Filltered'!C19/(Calibration!C$34*'Corrected data'!$A19+Calibration!C$35)</f>
        <v>5.3205837075586091</v>
      </c>
      <c r="D19" s="24">
        <f>'Not MDL Filltered'!D19/(Calibration!D$34*'Corrected data'!$A19+Calibration!D$35)</f>
        <v>1.1373771143425222</v>
      </c>
      <c r="E19" s="24">
        <f>'Not MDL Filltered'!E19/(Calibration!E$34*'Corrected data'!$A19+Calibration!E$35)</f>
        <v>17230.752794996337</v>
      </c>
      <c r="F19" s="24">
        <f>'Not MDL Filltered'!F19/(Calibration!F$34*'Corrected data'!$A19+Calibration!F$35)</f>
        <v>525950.61870657315</v>
      </c>
      <c r="G19" s="24">
        <f>'Not MDL Filltered'!G19/(Calibration!G$34*'Corrected data'!$A19+Calibration!G$35)</f>
        <v>77018.982526158448</v>
      </c>
      <c r="H19" s="24">
        <f>'Not MDL Filltered'!H19/(Calibration!H$34*'Corrected data'!$A19+Calibration!H$35)</f>
        <v>488570.92439914384</v>
      </c>
      <c r="I19" s="24">
        <f>'Not MDL Filltered'!I19/(Calibration!I$34*'Corrected data'!$A19+Calibration!I$35)</f>
        <v>1753.3273026776371</v>
      </c>
      <c r="J19" s="24">
        <f>'Not MDL Filltered'!J19/(Calibration!J$34*'Corrected data'!$A19+Calibration!J$35)</f>
        <v>8270.5163429164077</v>
      </c>
      <c r="K19" s="24">
        <f>'Not MDL Filltered'!K19/(Calibration!K$34*'Corrected data'!$A19+Calibration!K$35)</f>
        <v>90052.49972960024</v>
      </c>
      <c r="L19" s="24">
        <f>'Not MDL Filltered'!L19/(Calibration!L$34*'Corrected data'!$A19+Calibration!L$35)</f>
        <v>47.270853526602657</v>
      </c>
      <c r="M19" s="24">
        <f>'Not MDL Filltered'!M19/(Calibration!M$34*'Corrected data'!$A19+Calibration!M$35)</f>
        <v>16545.323994623592</v>
      </c>
      <c r="N19" s="24">
        <f>'Not MDL Filltered'!N19/(Calibration!N$34*'Corrected data'!$A19+Calibration!N$35)</f>
        <v>219.97211418041198</v>
      </c>
      <c r="O19" s="24">
        <f>'Not MDL Filltered'!O19/(Calibration!O$34*'Corrected data'!$A19+Calibration!O$35)</f>
        <v>3654.6896683534387</v>
      </c>
      <c r="P19" s="24">
        <f>'Not MDL Filltered'!P19/(Calibration!P$34*'Corrected data'!$A19+Calibration!P$35)</f>
        <v>222993.85262442051</v>
      </c>
      <c r="Q19" s="24">
        <f>'Not MDL Filltered'!Q19/(Calibration!Q$34*'Corrected data'!$A19+Calibration!Q$35)</f>
        <v>0.34212807454762162</v>
      </c>
      <c r="R19" s="24">
        <f>'Not MDL Filltered'!R19/(Calibration!R$34*'Corrected data'!$A19+Calibration!R$35)</f>
        <v>15.878045315008183</v>
      </c>
      <c r="S19" s="24">
        <f>'Not MDL Filltered'!S19/(Calibration!S$34*'Corrected data'!$A19+Calibration!S$35)</f>
        <v>768.51790999697312</v>
      </c>
      <c r="T19" s="24">
        <f>'Not MDL Filltered'!T19/(Calibration!T$34*'Corrected data'!$A19+Calibration!T$35)</f>
        <v>29.613385959062025</v>
      </c>
      <c r="U19" s="24">
        <f>'Not MDL Filltered'!U19/(Calibration!U$34*'Corrected data'!$A19+Calibration!U$35)</f>
        <v>299.86485550151826</v>
      </c>
      <c r="V19" s="24">
        <f>'Not MDL Filltered'!V19/(Calibration!V$34*'Corrected data'!$A19+Calibration!V$35)</f>
        <v>49.7320680879523</v>
      </c>
      <c r="W19" s="24">
        <f>'Not MDL Filltered'!W19/(Calibration!W$34*'Corrected data'!$A19+Calibration!W$35)</f>
        <v>0.16856511125340162</v>
      </c>
      <c r="X19" s="24">
        <f>'Not MDL Filltered'!X19/(Calibration!X$34*'Corrected data'!$A19+Calibration!X$35)</f>
        <v>190.58172860812118</v>
      </c>
      <c r="Y19" s="24">
        <f>'Not MDL Filltered'!Y19/(Calibration!Y$34*'Corrected data'!$A19+Calibration!Y$35)</f>
        <v>29.082805471991751</v>
      </c>
      <c r="Z19" s="24">
        <f>'Not MDL Filltered'!Z19/(Calibration!Z$34*'Corrected data'!$A19+Calibration!Z$35)</f>
        <v>81.354400179513149</v>
      </c>
      <c r="AA19" s="24">
        <f>'Not MDL Filltered'!AA19/(Calibration!AA$34*'Corrected data'!$A19+Calibration!AA$35)</f>
        <v>11.871314267158358</v>
      </c>
      <c r="AB19" s="24">
        <f>'Not MDL Filltered'!AB19/(Calibration!AB$34*'Corrected data'!$A19+Calibration!AB$35)</f>
        <v>50.514673767867272</v>
      </c>
      <c r="AC19" s="24">
        <f>'Not MDL Filltered'!AC19/(Calibration!AC$34*'Corrected data'!$A19+Calibration!AC$35)</f>
        <v>7.3685630255780517</v>
      </c>
      <c r="AD19" s="24">
        <f>'Not MDL Filltered'!AD19/(Calibration!AD$34*'Corrected data'!$A19+Calibration!AD$35)</f>
        <v>1.9627791521213578</v>
      </c>
      <c r="AE19" s="24">
        <f>'Not MDL Filltered'!AE19/(Calibration!AE$34*'Corrected data'!$A19+Calibration!AE$35)</f>
        <v>5.5004362947234968</v>
      </c>
      <c r="AF19" s="24">
        <f>'Not MDL Filltered'!AF19/(Calibration!AF$34*'Corrected data'!$A19+Calibration!AF$35)</f>
        <v>1.192562916980088</v>
      </c>
      <c r="AG19" s="24">
        <f>'Not MDL Filltered'!AG19/(Calibration!AG$34*'Corrected data'!$A19+Calibration!AG$35)</f>
        <v>5.1151748573934608</v>
      </c>
      <c r="AH19" s="24">
        <f>'Not MDL Filltered'!AH19/(Calibration!AH$34*'Corrected data'!$A19+Calibration!AH$35)</f>
        <v>0.76061834914173654</v>
      </c>
      <c r="AI19" s="24">
        <f>'Not MDL Filltered'!AI19/(Calibration!AI$34*'Corrected data'!$A19+Calibration!AI$35)</f>
        <v>1.6212644834899423</v>
      </c>
      <c r="AJ19" s="24">
        <f>'Not MDL Filltered'!AJ19/(Calibration!AJ$34*'Corrected data'!$A19+Calibration!AJ$35)</f>
        <v>0.21787111845970367</v>
      </c>
      <c r="AK19" s="24">
        <f>'Not MDL Filltered'!AK19/(Calibration!AK$34*'Corrected data'!$A19+Calibration!AK$35)</f>
        <v>2.8733858931663234</v>
      </c>
      <c r="AL19" s="24">
        <f>'Not MDL Filltered'!AL19/(Calibration!AL$34*'Corrected data'!$A19+Calibration!AL$35)</f>
        <v>0.28679888635273687</v>
      </c>
      <c r="AM19" s="24">
        <f>'Not MDL Filltered'!AM19/(Calibration!AM$34*'Corrected data'!$A19+Calibration!AM$35)</f>
        <v>5.5544642370170889</v>
      </c>
      <c r="AN19" s="24">
        <f>'Not MDL Filltered'!AN19/(Calibration!AN$34*'Corrected data'!$A19+Calibration!AN$35)</f>
        <v>2.1720906841602674</v>
      </c>
      <c r="AO19" s="24">
        <f>'Not MDL Filltered'!AO19/(Calibration!AO$34*'Corrected data'!$A19+Calibration!AO$35)</f>
        <v>101.95144601825767</v>
      </c>
      <c r="AP19" s="24">
        <f>'Not MDL Filltered'!AP19/(Calibration!AP$34*'Corrected data'!$A19+Calibration!AP$35)</f>
        <v>3.6544076295893371</v>
      </c>
      <c r="AQ19" s="24">
        <f>'Not MDL Filltered'!AQ19/(Calibration!AQ$34*'Corrected data'!$A19+Calibration!AQ$35)</f>
        <v>1.0594863018106511</v>
      </c>
    </row>
    <row r="20" spans="1:43" s="24" customFormat="1" x14ac:dyDescent="0.2">
      <c r="A20" s="24">
        <v>19</v>
      </c>
      <c r="B20" s="24" t="s">
        <v>75</v>
      </c>
      <c r="C20" s="24">
        <f>'Not MDL Filltered'!C20/(Calibration!C$34*'Corrected data'!$A20+Calibration!C$35)</f>
        <v>3.6925830875511707</v>
      </c>
      <c r="D20" s="24">
        <f>'Not MDL Filltered'!D20/(Calibration!D$34*'Corrected data'!$A20+Calibration!D$35)</f>
        <v>1.037979562870804</v>
      </c>
      <c r="E20" s="24">
        <f>'Not MDL Filltered'!E20/(Calibration!E$34*'Corrected data'!$A20+Calibration!E$35)</f>
        <v>23307.081709674996</v>
      </c>
      <c r="F20" s="24">
        <f>'Not MDL Filltered'!F20/(Calibration!F$34*'Corrected data'!$A20+Calibration!F$35)</f>
        <v>31967.483293455847</v>
      </c>
      <c r="G20" s="24">
        <f>'Not MDL Filltered'!G20/(Calibration!G$34*'Corrected data'!$A20+Calibration!G$35)</f>
        <v>71967.368270311257</v>
      </c>
      <c r="H20" s="24">
        <f>'Not MDL Filltered'!H20/(Calibration!H$34*'Corrected data'!$A20+Calibration!H$35)</f>
        <v>169623.85228728919</v>
      </c>
      <c r="I20" s="24">
        <f>'Not MDL Filltered'!I20/(Calibration!I$34*'Corrected data'!$A20+Calibration!I$35)</f>
        <v>1866.6934240934343</v>
      </c>
      <c r="J20" s="24">
        <f>'Not MDL Filltered'!J20/(Calibration!J$34*'Corrected data'!$A20+Calibration!J$35)</f>
        <v>9974.8316442836694</v>
      </c>
      <c r="K20" s="24">
        <f>'Not MDL Filltered'!K20/(Calibration!K$34*'Corrected data'!$A20+Calibration!K$35)</f>
        <v>88194.266140993524</v>
      </c>
      <c r="L20" s="24">
        <f>'Not MDL Filltered'!L20/(Calibration!L$34*'Corrected data'!$A20+Calibration!L$35)</f>
        <v>31.772432766308377</v>
      </c>
      <c r="M20" s="24">
        <f>'Not MDL Filltered'!M20/(Calibration!M$34*'Corrected data'!$A20+Calibration!M$35)</f>
        <v>19521.979828339277</v>
      </c>
      <c r="N20" s="24">
        <f>'Not MDL Filltered'!N20/(Calibration!N$34*'Corrected data'!$A20+Calibration!N$35)</f>
        <v>293.56400077227426</v>
      </c>
      <c r="O20" s="24">
        <f>'Not MDL Filltered'!O20/(Calibration!O$34*'Corrected data'!$A20+Calibration!O$35)</f>
        <v>1067.9585783441103</v>
      </c>
      <c r="P20" s="24">
        <f>'Not MDL Filltered'!P20/(Calibration!P$34*'Corrected data'!$A20+Calibration!P$35)</f>
        <v>65982.647399358102</v>
      </c>
      <c r="Q20" s="24">
        <f>'Not MDL Filltered'!Q20/(Calibration!Q$34*'Corrected data'!$A20+Calibration!Q$35)</f>
        <v>0.50615742719476531</v>
      </c>
      <c r="R20" s="24">
        <f>'Not MDL Filltered'!R20/(Calibration!R$34*'Corrected data'!$A20+Calibration!R$35)</f>
        <v>27.456438777452636</v>
      </c>
      <c r="S20" s="24">
        <f>'Not MDL Filltered'!S20/(Calibration!S$34*'Corrected data'!$A20+Calibration!S$35)</f>
        <v>892.63696092092937</v>
      </c>
      <c r="T20" s="24">
        <f>'Not MDL Filltered'!T20/(Calibration!T$34*'Corrected data'!$A20+Calibration!T$35)</f>
        <v>24.912101834925704</v>
      </c>
      <c r="U20" s="24">
        <f>'Not MDL Filltered'!U20/(Calibration!U$34*'Corrected data'!$A20+Calibration!U$35)</f>
        <v>290.29547395731817</v>
      </c>
      <c r="V20" s="24">
        <f>'Not MDL Filltered'!V20/(Calibration!V$34*'Corrected data'!$A20+Calibration!V$35)</f>
        <v>82.625437339006453</v>
      </c>
      <c r="W20" s="24">
        <f>'Not MDL Filltered'!W20/(Calibration!W$34*'Corrected data'!$A20+Calibration!W$35)</f>
        <v>0.293985811481077</v>
      </c>
      <c r="X20" s="24">
        <f>'Not MDL Filltered'!X20/(Calibration!X$34*'Corrected data'!$A20+Calibration!X$35)</f>
        <v>387.60509112664988</v>
      </c>
      <c r="Y20" s="24">
        <f>'Not MDL Filltered'!Y20/(Calibration!Y$34*'Corrected data'!$A20+Calibration!Y$35)</f>
        <v>62.894063846636961</v>
      </c>
      <c r="Z20" s="24">
        <f>'Not MDL Filltered'!Z20/(Calibration!Z$34*'Corrected data'!$A20+Calibration!Z$35)</f>
        <v>121.89927421529937</v>
      </c>
      <c r="AA20" s="24">
        <f>'Not MDL Filltered'!AA20/(Calibration!AA$34*'Corrected data'!$A20+Calibration!AA$35)</f>
        <v>13.433010392703931</v>
      </c>
      <c r="AB20" s="24">
        <f>'Not MDL Filltered'!AB20/(Calibration!AB$34*'Corrected data'!$A20+Calibration!AB$35)</f>
        <v>51.402734397548905</v>
      </c>
      <c r="AC20" s="24">
        <f>'Not MDL Filltered'!AC20/(Calibration!AC$34*'Corrected data'!$A20+Calibration!AC$35)</f>
        <v>7.9627785127816759</v>
      </c>
      <c r="AD20" s="24">
        <f>'Not MDL Filltered'!AD20/(Calibration!AD$34*'Corrected data'!$A20+Calibration!AD$35)</f>
        <v>2.3824375965525655</v>
      </c>
      <c r="AE20" s="24">
        <f>'Not MDL Filltered'!AE20/(Calibration!AE$34*'Corrected data'!$A20+Calibration!AE$35)</f>
        <v>7.3218564553432648</v>
      </c>
      <c r="AF20" s="24">
        <f>'Not MDL Filltered'!AF20/(Calibration!AF$34*'Corrected data'!$A20+Calibration!AF$35)</f>
        <v>1.0374973146550146</v>
      </c>
      <c r="AG20" s="24">
        <f>'Not MDL Filltered'!AG20/(Calibration!AG$34*'Corrected data'!$A20+Calibration!AG$35)</f>
        <v>5.0685465086219486</v>
      </c>
      <c r="AH20" s="24">
        <f>'Not MDL Filltered'!AH20/(Calibration!AH$34*'Corrected data'!$A20+Calibration!AH$35)</f>
        <v>0.90911083050214081</v>
      </c>
      <c r="AI20" s="24">
        <f>'Not MDL Filltered'!AI20/(Calibration!AI$34*'Corrected data'!$A20+Calibration!AI$35)</f>
        <v>2.427888919140694</v>
      </c>
      <c r="AJ20" s="24">
        <f>'Not MDL Filltered'!AJ20/(Calibration!AJ$34*'Corrected data'!$A20+Calibration!AJ$35)</f>
        <v>0.28873264976495533</v>
      </c>
      <c r="AK20" s="24">
        <f>'Not MDL Filltered'!AK20/(Calibration!AK$34*'Corrected data'!$A20+Calibration!AK$35)</f>
        <v>2.105097392228708</v>
      </c>
      <c r="AL20" s="24">
        <f>'Not MDL Filltered'!AL20/(Calibration!AL$34*'Corrected data'!$A20+Calibration!AL$35)</f>
        <v>0.26251357262360137</v>
      </c>
      <c r="AM20" s="24">
        <f>'Not MDL Filltered'!AM20/(Calibration!AM$34*'Corrected data'!$A20+Calibration!AM$35)</f>
        <v>6.3257046794124703</v>
      </c>
      <c r="AN20" s="24">
        <f>'Not MDL Filltered'!AN20/(Calibration!AN$34*'Corrected data'!$A20+Calibration!AN$35)</f>
        <v>4.8310142290994902</v>
      </c>
      <c r="AO20" s="24">
        <f>'Not MDL Filltered'!AO20/(Calibration!AO$34*'Corrected data'!$A20+Calibration!AO$35)</f>
        <v>3.7609991066974491</v>
      </c>
      <c r="AP20" s="24">
        <f>'Not MDL Filltered'!AP20/(Calibration!AP$34*'Corrected data'!$A20+Calibration!AP$35)</f>
        <v>6.5664408657024822</v>
      </c>
      <c r="AQ20" s="24">
        <f>'Not MDL Filltered'!AQ20/(Calibration!AQ$34*'Corrected data'!$A20+Calibration!AQ$35)</f>
        <v>1.6189194385695063</v>
      </c>
    </row>
    <row r="21" spans="1:43" s="24" customFormat="1" x14ac:dyDescent="0.2">
      <c r="A21" s="24">
        <v>20</v>
      </c>
      <c r="B21" s="24" t="s">
        <v>76</v>
      </c>
      <c r="C21" s="24">
        <f>'Not MDL Filltered'!C21/(Calibration!C$34*'Corrected data'!$A21+Calibration!C$35)</f>
        <v>3.1597209676476061</v>
      </c>
      <c r="D21" s="24">
        <f>'Not MDL Filltered'!D21/(Calibration!D$34*'Corrected data'!$A21+Calibration!D$35)</f>
        <v>6.8110726980173641</v>
      </c>
      <c r="E21" s="24">
        <f>'Not MDL Filltered'!E21/(Calibration!E$34*'Corrected data'!$A21+Calibration!E$35)</f>
        <v>12091.974230803098</v>
      </c>
      <c r="F21" s="24">
        <f>'Not MDL Filltered'!F21/(Calibration!F$34*'Corrected data'!$A21+Calibration!F$35)</f>
        <v>137655.0637678662</v>
      </c>
      <c r="G21" s="24">
        <f>'Not MDL Filltered'!G21/(Calibration!G$34*'Corrected data'!$A21+Calibration!G$35)</f>
        <v>45752.896085472144</v>
      </c>
      <c r="H21" s="24">
        <f>'Not MDL Filltered'!H21/(Calibration!H$34*'Corrected data'!$A21+Calibration!H$35)</f>
        <v>207310.20724569709</v>
      </c>
      <c r="I21" s="24">
        <f>'Not MDL Filltered'!I21/(Calibration!I$34*'Corrected data'!$A21+Calibration!I$35)</f>
        <v>1871.5107708519072</v>
      </c>
      <c r="J21" s="24">
        <f>'Not MDL Filltered'!J21/(Calibration!J$34*'Corrected data'!$A21+Calibration!J$35)</f>
        <v>7948.6787659329912</v>
      </c>
      <c r="K21" s="24">
        <f>'Not MDL Filltered'!K21/(Calibration!K$34*'Corrected data'!$A21+Calibration!K$35)</f>
        <v>93483.066831067685</v>
      </c>
      <c r="L21" s="24">
        <f>'Not MDL Filltered'!L21/(Calibration!L$34*'Corrected data'!$A21+Calibration!L$35)</f>
        <v>28.210679679621641</v>
      </c>
      <c r="M21" s="24">
        <f>'Not MDL Filltered'!M21/(Calibration!M$34*'Corrected data'!$A21+Calibration!M$35)</f>
        <v>16562.303974136055</v>
      </c>
      <c r="N21" s="24">
        <f>'Not MDL Filltered'!N21/(Calibration!N$34*'Corrected data'!$A21+Calibration!N$35)</f>
        <v>246.77636762263054</v>
      </c>
      <c r="O21" s="24">
        <f>'Not MDL Filltered'!O21/(Calibration!O$34*'Corrected data'!$A21+Calibration!O$35)</f>
        <v>1703.8307987446351</v>
      </c>
      <c r="P21" s="24">
        <f>'Not MDL Filltered'!P21/(Calibration!P$34*'Corrected data'!$A21+Calibration!P$35)</f>
        <v>109513.18103274421</v>
      </c>
      <c r="Q21" s="24">
        <f>'Not MDL Filltered'!Q21/(Calibration!Q$34*'Corrected data'!$A21+Calibration!Q$35)</f>
        <v>0.75697495537855708</v>
      </c>
      <c r="R21" s="24">
        <f>'Not MDL Filltered'!R21/(Calibration!R$34*'Corrected data'!$A21+Calibration!R$35)</f>
        <v>16.156111816856374</v>
      </c>
      <c r="S21" s="24">
        <f>'Not MDL Filltered'!S21/(Calibration!S$34*'Corrected data'!$A21+Calibration!S$35)</f>
        <v>750.53259224051862</v>
      </c>
      <c r="T21" s="24">
        <f>'Not MDL Filltered'!T21/(Calibration!T$34*'Corrected data'!$A21+Calibration!T$35)</f>
        <v>19.654060790596031</v>
      </c>
      <c r="U21" s="24">
        <f>'Not MDL Filltered'!U21/(Calibration!U$34*'Corrected data'!$A21+Calibration!U$35)</f>
        <v>247.46619643472795</v>
      </c>
      <c r="V21" s="24">
        <f>'Not MDL Filltered'!V21/(Calibration!V$34*'Corrected data'!$A21+Calibration!V$35)</f>
        <v>87.956650530188782</v>
      </c>
      <c r="W21" s="24">
        <f>'Not MDL Filltered'!W21/(Calibration!W$34*'Corrected data'!$A21+Calibration!W$35)</f>
        <v>0.16228057322923148</v>
      </c>
      <c r="X21" s="24">
        <f>'Not MDL Filltered'!X21/(Calibration!X$34*'Corrected data'!$A21+Calibration!X$35)</f>
        <v>256.99189962996462</v>
      </c>
      <c r="Y21" s="24">
        <f>'Not MDL Filltered'!Y21/(Calibration!Y$34*'Corrected data'!$A21+Calibration!Y$35)</f>
        <v>42.741015917851612</v>
      </c>
      <c r="Z21" s="24">
        <f>'Not MDL Filltered'!Z21/(Calibration!Z$34*'Corrected data'!$A21+Calibration!Z$35)</f>
        <v>86.936602232829799</v>
      </c>
      <c r="AA21" s="24">
        <f>'Not MDL Filltered'!AA21/(Calibration!AA$34*'Corrected data'!$A21+Calibration!AA$35)</f>
        <v>12.434196525275699</v>
      </c>
      <c r="AB21" s="24">
        <f>'Not MDL Filltered'!AB21/(Calibration!AB$34*'Corrected data'!$A21+Calibration!AB$35)</f>
        <v>52.623069061064484</v>
      </c>
      <c r="AC21" s="24">
        <f>'Not MDL Filltered'!AC21/(Calibration!AC$34*'Corrected data'!$A21+Calibration!AC$35)</f>
        <v>8.0751803105382276</v>
      </c>
      <c r="AD21" s="24">
        <f>'Not MDL Filltered'!AD21/(Calibration!AD$34*'Corrected data'!$A21+Calibration!AD$35)</f>
        <v>2.2678875452844429</v>
      </c>
      <c r="AE21" s="24">
        <f>'Not MDL Filltered'!AE21/(Calibration!AE$34*'Corrected data'!$A21+Calibration!AE$35)</f>
        <v>5.1803371671759448</v>
      </c>
      <c r="AF21" s="24">
        <f>'Not MDL Filltered'!AF21/(Calibration!AF$34*'Corrected data'!$A21+Calibration!AF$35)</f>
        <v>0.79211099938494733</v>
      </c>
      <c r="AG21" s="24">
        <f>'Not MDL Filltered'!AG21/(Calibration!AG$34*'Corrected data'!$A21+Calibration!AG$35)</f>
        <v>4.5770171076555455</v>
      </c>
      <c r="AH21" s="24">
        <f>'Not MDL Filltered'!AH21/(Calibration!AH$34*'Corrected data'!$A21+Calibration!AH$35)</f>
        <v>0.53478504593889609</v>
      </c>
      <c r="AI21" s="24">
        <f>'Not MDL Filltered'!AI21/(Calibration!AI$34*'Corrected data'!$A21+Calibration!AI$35)</f>
        <v>1.9350707777281255</v>
      </c>
      <c r="AJ21" s="24">
        <f>'Not MDL Filltered'!AJ21/(Calibration!AJ$34*'Corrected data'!$A21+Calibration!AJ$35)</f>
        <v>0.21134830657082734</v>
      </c>
      <c r="AK21" s="24">
        <f>'Not MDL Filltered'!AK21/(Calibration!AK$34*'Corrected data'!$A21+Calibration!AK$35)</f>
        <v>1.785792685091957</v>
      </c>
      <c r="AL21" s="24">
        <f>'Not MDL Filltered'!AL21/(Calibration!AL$34*'Corrected data'!$A21+Calibration!AL$35)</f>
        <v>0.15327402181753641</v>
      </c>
      <c r="AM21" s="24">
        <f>'Not MDL Filltered'!AM21/(Calibration!AM$34*'Corrected data'!$A21+Calibration!AM$35)</f>
        <v>3.9780758907206968</v>
      </c>
      <c r="AN21" s="24">
        <f>'Not MDL Filltered'!AN21/(Calibration!AN$34*'Corrected data'!$A21+Calibration!AN$35)</f>
        <v>3.6128385031682835</v>
      </c>
      <c r="AO21" s="24">
        <f>'Not MDL Filltered'!AO21/(Calibration!AO$34*'Corrected data'!$A21+Calibration!AO$35)</f>
        <v>155.36835692808819</v>
      </c>
      <c r="AP21" s="24">
        <f>'Not MDL Filltered'!AP21/(Calibration!AP$34*'Corrected data'!$A21+Calibration!AP$35)</f>
        <v>6.0024006855292944</v>
      </c>
      <c r="AQ21" s="24">
        <f>'Not MDL Filltered'!AQ21/(Calibration!AQ$34*'Corrected data'!$A21+Calibration!AQ$35)</f>
        <v>1.4868906009843703</v>
      </c>
    </row>
    <row r="22" spans="1:43" s="24" customFormat="1" x14ac:dyDescent="0.2">
      <c r="A22" s="19">
        <v>21</v>
      </c>
      <c r="B22" s="19" t="s">
        <v>77</v>
      </c>
      <c r="C22" s="19">
        <f>'Not MDL Filltered'!C22/(Calibration!C$34*'Corrected data'!$A22+Calibration!C$35)</f>
        <v>5.1828117060408259</v>
      </c>
      <c r="D22" s="19">
        <f>'Not MDL Filltered'!D22/(Calibration!D$34*'Corrected data'!$A22+Calibration!D$35)</f>
        <v>3.1216816675438852</v>
      </c>
      <c r="E22" s="19">
        <f>'Not MDL Filltered'!E22/(Calibration!E$34*'Corrected data'!$A22+Calibration!E$35)</f>
        <v>18463.689647472511</v>
      </c>
      <c r="F22" s="19">
        <f>'Not MDL Filltered'!F22/(Calibration!F$34*'Corrected data'!$A22+Calibration!F$35)</f>
        <v>45531.567278499664</v>
      </c>
      <c r="G22" s="19">
        <f>'Not MDL Filltered'!G22/(Calibration!G$34*'Corrected data'!$A22+Calibration!G$35)</f>
        <v>73962.906955338753</v>
      </c>
      <c r="H22" s="19">
        <f>'Not MDL Filltered'!H22/(Calibration!H$34*'Corrected data'!$A22+Calibration!H$35)</f>
        <v>241793.9461871699</v>
      </c>
      <c r="I22" s="19">
        <f>'Not MDL Filltered'!I22/(Calibration!I$34*'Corrected data'!$A22+Calibration!I$35)</f>
        <v>1118.0218341363218</v>
      </c>
      <c r="J22" s="19">
        <f>'Not MDL Filltered'!J22/(Calibration!J$34*'Corrected data'!$A22+Calibration!J$35)</f>
        <v>3936.6088346811107</v>
      </c>
      <c r="K22" s="19">
        <f>'Not MDL Filltered'!K22/(Calibration!K$34*'Corrected data'!$A22+Calibration!K$35)</f>
        <v>77901.855797254218</v>
      </c>
      <c r="L22" s="19">
        <f>'Not MDL Filltered'!L22/(Calibration!L$34*'Corrected data'!$A22+Calibration!L$35)</f>
        <v>31.381086678298065</v>
      </c>
      <c r="M22" s="19">
        <f>'Not MDL Filltered'!M22/(Calibration!M$34*'Corrected data'!$A22+Calibration!M$35)</f>
        <v>15469.495786917007</v>
      </c>
      <c r="N22" s="19">
        <f>'Not MDL Filltered'!N22/(Calibration!N$34*'Corrected data'!$A22+Calibration!N$35)</f>
        <v>311.25262789011191</v>
      </c>
      <c r="O22" s="19">
        <f>'Not MDL Filltered'!O22/(Calibration!O$34*'Corrected data'!$A22+Calibration!O$35)</f>
        <v>1307.6329235787528</v>
      </c>
      <c r="P22" s="19">
        <f>'Not MDL Filltered'!P22/(Calibration!P$34*'Corrected data'!$A22+Calibration!P$35)</f>
        <v>90229.239919535947</v>
      </c>
      <c r="Q22" s="19">
        <f>'Not MDL Filltered'!Q22/(Calibration!Q$34*'Corrected data'!$A22+Calibration!Q$35)</f>
        <v>0.20782343151636945</v>
      </c>
      <c r="R22" s="19">
        <f>'Not MDL Filltered'!R22/(Calibration!R$34*'Corrected data'!$A22+Calibration!R$35)</f>
        <v>8.630366542988229</v>
      </c>
      <c r="S22" s="19">
        <f>'Not MDL Filltered'!S22/(Calibration!S$34*'Corrected data'!$A22+Calibration!S$35)</f>
        <v>362.83247323505822</v>
      </c>
      <c r="T22" s="19">
        <f>'Not MDL Filltered'!T22/(Calibration!T$34*'Corrected data'!$A22+Calibration!T$35)</f>
        <v>25.846298818277379</v>
      </c>
      <c r="U22" s="19">
        <f>'Not MDL Filltered'!U22/(Calibration!U$34*'Corrected data'!$A22+Calibration!U$35)</f>
        <v>155.27009069389197</v>
      </c>
      <c r="V22" s="19">
        <f>'Not MDL Filltered'!V22/(Calibration!V$34*'Corrected data'!$A22+Calibration!V$35)</f>
        <v>15.280278565352294</v>
      </c>
      <c r="W22" s="19">
        <f>'Not MDL Filltered'!W22/(Calibration!W$34*'Corrected data'!$A22+Calibration!W$35)</f>
        <v>0.11192194425738494</v>
      </c>
      <c r="X22" s="19">
        <f>'Not MDL Filltered'!X22/(Calibration!X$34*'Corrected data'!$A22+Calibration!X$35)</f>
        <v>134.042633244152</v>
      </c>
      <c r="Y22" s="19">
        <f>'Not MDL Filltered'!Y22/(Calibration!Y$34*'Corrected data'!$A22+Calibration!Y$35)</f>
        <v>14.432999108512766</v>
      </c>
      <c r="Z22" s="19">
        <f>'Not MDL Filltered'!Z22/(Calibration!Z$34*'Corrected data'!$A22+Calibration!Z$35)</f>
        <v>33.814471682158626</v>
      </c>
      <c r="AA22" s="19">
        <f>'Not MDL Filltered'!AA22/(Calibration!AA$34*'Corrected data'!$A22+Calibration!AA$35)</f>
        <v>4.6420930887561198</v>
      </c>
      <c r="AB22" s="19">
        <f>'Not MDL Filltered'!AB22/(Calibration!AB$34*'Corrected data'!$A22+Calibration!AB$35)</f>
        <v>21.998933688435297</v>
      </c>
      <c r="AC22" s="19">
        <f>'Not MDL Filltered'!AC22/(Calibration!AC$34*'Corrected data'!$A22+Calibration!AC$35)</f>
        <v>5.5555372956278815</v>
      </c>
      <c r="AD22" s="19">
        <f>'Not MDL Filltered'!AD22/(Calibration!AD$34*'Corrected data'!$A22+Calibration!AD$35)</f>
        <v>1.9586575720813102</v>
      </c>
      <c r="AE22" s="19">
        <f>'Not MDL Filltered'!AE22/(Calibration!AE$34*'Corrected data'!$A22+Calibration!AE$35)</f>
        <v>6.2742288198927332</v>
      </c>
      <c r="AF22" s="19">
        <f>'Not MDL Filltered'!AF22/(Calibration!AF$34*'Corrected data'!$A22+Calibration!AF$35)</f>
        <v>0.94175274611706317</v>
      </c>
      <c r="AG22" s="19">
        <f>'Not MDL Filltered'!AG22/(Calibration!AG$34*'Corrected data'!$A22+Calibration!AG$35)</f>
        <v>5.4795754475879823</v>
      </c>
      <c r="AH22" s="19">
        <f>'Not MDL Filltered'!AH22/(Calibration!AH$34*'Corrected data'!$A22+Calibration!AH$35)</f>
        <v>1.0185263135768661</v>
      </c>
      <c r="AI22" s="19">
        <f>'Not MDL Filltered'!AI22/(Calibration!AI$34*'Corrected data'!$A22+Calibration!AI$35)</f>
        <v>2.7525942994902644</v>
      </c>
      <c r="AJ22" s="19">
        <f>'Not MDL Filltered'!AJ22/(Calibration!AJ$34*'Corrected data'!$A22+Calibration!AJ$35)</f>
        <v>0.35019689087381917</v>
      </c>
      <c r="AK22" s="19">
        <f>'Not MDL Filltered'!AK22/(Calibration!AK$34*'Corrected data'!$A22+Calibration!AK$35)</f>
        <v>2.1349123677142954</v>
      </c>
      <c r="AL22" s="19">
        <f>'Not MDL Filltered'!AL22/(Calibration!AL$34*'Corrected data'!$A22+Calibration!AL$35)</f>
        <v>0.29787785958474539</v>
      </c>
      <c r="AM22" s="19">
        <f>'Not MDL Filltered'!AM22/(Calibration!AM$34*'Corrected data'!$A22+Calibration!AM$35)</f>
        <v>4.453092598853571</v>
      </c>
      <c r="AN22" s="19">
        <f>'Not MDL Filltered'!AN22/(Calibration!AN$34*'Corrected data'!$A22+Calibration!AN$35)</f>
        <v>1.0655038886460408</v>
      </c>
      <c r="AO22" s="19">
        <f>'Not MDL Filltered'!AO22/(Calibration!AO$34*'Corrected data'!$A22+Calibration!AO$35)</f>
        <v>2.1934784525055036</v>
      </c>
      <c r="AP22" s="19">
        <f>'Not MDL Filltered'!AP22/(Calibration!AP$34*'Corrected data'!$A22+Calibration!AP$35)</f>
        <v>1.0836126524288652</v>
      </c>
      <c r="AQ22" s="19">
        <f>'Not MDL Filltered'!AQ22/(Calibration!AQ$34*'Corrected data'!$A22+Calibration!AQ$35)</f>
        <v>0.55180354292887379</v>
      </c>
    </row>
    <row r="23" spans="1:43" s="24" customFormat="1" x14ac:dyDescent="0.2">
      <c r="A23" s="19">
        <v>22</v>
      </c>
      <c r="B23" s="19" t="s">
        <v>78</v>
      </c>
      <c r="C23" s="19">
        <f>'Not MDL Filltered'!C23/(Calibration!C$34*'Corrected data'!$A23+Calibration!C$35)</f>
        <v>5.0994727671566284</v>
      </c>
      <c r="D23" s="19">
        <f>'Not MDL Filltered'!D23/(Calibration!D$34*'Corrected data'!$A23+Calibration!D$35)</f>
        <v>2.5260112568486659</v>
      </c>
      <c r="E23" s="19">
        <f>'Not MDL Filltered'!E23/(Calibration!E$34*'Corrected data'!$A23+Calibration!E$35)</f>
        <v>16701.62811681514</v>
      </c>
      <c r="F23" s="19">
        <f>'Not MDL Filltered'!F23/(Calibration!F$34*'Corrected data'!$A23+Calibration!F$35)</f>
        <v>43676.825397612774</v>
      </c>
      <c r="G23" s="19">
        <f>'Not MDL Filltered'!G23/(Calibration!G$34*'Corrected data'!$A23+Calibration!G$35)</f>
        <v>70837.501444416659</v>
      </c>
      <c r="H23" s="19">
        <f>'Not MDL Filltered'!H23/(Calibration!H$34*'Corrected data'!$A23+Calibration!H$35)</f>
        <v>234018.62153268183</v>
      </c>
      <c r="I23" s="19">
        <f>'Not MDL Filltered'!I23/(Calibration!I$34*'Corrected data'!$A23+Calibration!I$35)</f>
        <v>1088.5554207219197</v>
      </c>
      <c r="J23" s="19">
        <f>'Not MDL Filltered'!J23/(Calibration!J$34*'Corrected data'!$A23+Calibration!J$35)</f>
        <v>3867.0380437474701</v>
      </c>
      <c r="K23" s="19">
        <f>'Not MDL Filltered'!K23/(Calibration!K$34*'Corrected data'!$A23+Calibration!K$35)</f>
        <v>77901.845903331021</v>
      </c>
      <c r="L23" s="19">
        <f>'Not MDL Filltered'!L23/(Calibration!L$34*'Corrected data'!$A23+Calibration!L$35)</f>
        <v>31.846477331054025</v>
      </c>
      <c r="M23" s="19">
        <f>'Not MDL Filltered'!M23/(Calibration!M$34*'Corrected data'!$A23+Calibration!M$35)</f>
        <v>15009.677744470238</v>
      </c>
      <c r="N23" s="19">
        <f>'Not MDL Filltered'!N23/(Calibration!N$34*'Corrected data'!$A23+Calibration!N$35)</f>
        <v>300.71774805787618</v>
      </c>
      <c r="O23" s="19">
        <f>'Not MDL Filltered'!O23/(Calibration!O$34*'Corrected data'!$A23+Calibration!O$35)</f>
        <v>1222.6359645198206</v>
      </c>
      <c r="P23" s="19">
        <f>'Not MDL Filltered'!P23/(Calibration!P$34*'Corrected data'!$A23+Calibration!P$35)</f>
        <v>78271.481760514129</v>
      </c>
      <c r="Q23" s="19">
        <f>'Not MDL Filltered'!Q23/(Calibration!Q$34*'Corrected data'!$A23+Calibration!Q$35)</f>
        <v>0.21484213336486541</v>
      </c>
      <c r="R23" s="19">
        <f>'Not MDL Filltered'!R23/(Calibration!R$34*'Corrected data'!$A23+Calibration!R$35)</f>
        <v>8.4081195947517795</v>
      </c>
      <c r="S23" s="19">
        <f>'Not MDL Filltered'!S23/(Calibration!S$34*'Corrected data'!$A23+Calibration!S$35)</f>
        <v>362.5229885620297</v>
      </c>
      <c r="T23" s="19">
        <f>'Not MDL Filltered'!T23/(Calibration!T$34*'Corrected data'!$A23+Calibration!T$35)</f>
        <v>25.952367406849032</v>
      </c>
      <c r="U23" s="19">
        <f>'Not MDL Filltered'!U23/(Calibration!U$34*'Corrected data'!$A23+Calibration!U$35)</f>
        <v>154.00183632030021</v>
      </c>
      <c r="V23" s="19">
        <f>'Not MDL Filltered'!V23/(Calibration!V$34*'Corrected data'!$A23+Calibration!V$35)</f>
        <v>14.722934942260471</v>
      </c>
      <c r="W23" s="19">
        <f>'Not MDL Filltered'!W23/(Calibration!W$34*'Corrected data'!$A23+Calibration!W$35)</f>
        <v>0.10234699013489026</v>
      </c>
      <c r="X23" s="19">
        <f>'Not MDL Filltered'!X23/(Calibration!X$34*'Corrected data'!$A23+Calibration!X$35)</f>
        <v>120.5907936566975</v>
      </c>
      <c r="Y23" s="19">
        <f>'Not MDL Filltered'!Y23/(Calibration!Y$34*'Corrected data'!$A23+Calibration!Y$35)</f>
        <v>12.93159519481625</v>
      </c>
      <c r="Z23" s="19">
        <f>'Not MDL Filltered'!Z23/(Calibration!Z$34*'Corrected data'!$A23+Calibration!Z$35)</f>
        <v>33.290474734159645</v>
      </c>
      <c r="AA23" s="19">
        <f>'Not MDL Filltered'!AA23/(Calibration!AA$34*'Corrected data'!$A23+Calibration!AA$35)</f>
        <v>4.732670588877169</v>
      </c>
      <c r="AB23" s="19">
        <f>'Not MDL Filltered'!AB23/(Calibration!AB$34*'Corrected data'!$A23+Calibration!AB$35)</f>
        <v>21.707717976146764</v>
      </c>
      <c r="AC23" s="19">
        <f>'Not MDL Filltered'!AC23/(Calibration!AC$34*'Corrected data'!$A23+Calibration!AC$35)</f>
        <v>5.4865376094737446</v>
      </c>
      <c r="AD23" s="19">
        <f>'Not MDL Filltered'!AD23/(Calibration!AD$34*'Corrected data'!$A23+Calibration!AD$35)</f>
        <v>2.0495157653888634</v>
      </c>
      <c r="AE23" s="19">
        <f>'Not MDL Filltered'!AE23/(Calibration!AE$34*'Corrected data'!$A23+Calibration!AE$35)</f>
        <v>5.781502552603202</v>
      </c>
      <c r="AF23" s="19">
        <f>'Not MDL Filltered'!AF23/(Calibration!AF$34*'Corrected data'!$A23+Calibration!AF$35)</f>
        <v>0.87979861853119923</v>
      </c>
      <c r="AG23" s="19">
        <f>'Not MDL Filltered'!AG23/(Calibration!AG$34*'Corrected data'!$A23+Calibration!AG$35)</f>
        <v>5.3538985917624036</v>
      </c>
      <c r="AH23" s="19">
        <f>'Not MDL Filltered'!AH23/(Calibration!AH$34*'Corrected data'!$A23+Calibration!AH$35)</f>
        <v>0.9793170517738139</v>
      </c>
      <c r="AI23" s="19">
        <f>'Not MDL Filltered'!AI23/(Calibration!AI$34*'Corrected data'!$A23+Calibration!AI$35)</f>
        <v>2.5721941769992109</v>
      </c>
      <c r="AJ23" s="19">
        <f>'Not MDL Filltered'!AJ23/(Calibration!AJ$34*'Corrected data'!$A23+Calibration!AJ$35)</f>
        <v>0.35429164677990499</v>
      </c>
      <c r="AK23" s="19">
        <f>'Not MDL Filltered'!AK23/(Calibration!AK$34*'Corrected data'!$A23+Calibration!AK$35)</f>
        <v>2.0949508863830957</v>
      </c>
      <c r="AL23" s="19">
        <f>'Not MDL Filltered'!AL23/(Calibration!AL$34*'Corrected data'!$A23+Calibration!AL$35)</f>
        <v>0.25793594180863055</v>
      </c>
      <c r="AM23" s="19">
        <f>'Not MDL Filltered'!AM23/(Calibration!AM$34*'Corrected data'!$A23+Calibration!AM$35)</f>
        <v>3.841952431845435</v>
      </c>
      <c r="AN23" s="19">
        <f>'Not MDL Filltered'!AN23/(Calibration!AN$34*'Corrected data'!$A23+Calibration!AN$35)</f>
        <v>0.9538076147680643</v>
      </c>
      <c r="AO23" s="19">
        <f>'Not MDL Filltered'!AO23/(Calibration!AO$34*'Corrected data'!$A23+Calibration!AO$35)</f>
        <v>1.991115922934537</v>
      </c>
      <c r="AP23" s="19">
        <f>'Not MDL Filltered'!AP23/(Calibration!AP$34*'Corrected data'!$A23+Calibration!AP$35)</f>
        <v>1.0243405791281421</v>
      </c>
      <c r="AQ23" s="19">
        <f>'Not MDL Filltered'!AQ23/(Calibration!AQ$34*'Corrected data'!$A23+Calibration!AQ$35)</f>
        <v>0.55302246372656283</v>
      </c>
    </row>
    <row r="24" spans="1:43" s="24" customFormat="1" x14ac:dyDescent="0.2">
      <c r="A24" s="19">
        <v>23</v>
      </c>
      <c r="B24" s="19" t="s">
        <v>79</v>
      </c>
      <c r="C24" s="19">
        <f>'Not MDL Filltered'!C24/(Calibration!C$34*'Corrected data'!$A24+Calibration!C$35)</f>
        <v>5.1183473715674532</v>
      </c>
      <c r="D24" s="19">
        <f>'Not MDL Filltered'!D24/(Calibration!D$34*'Corrected data'!$A24+Calibration!D$35)</f>
        <v>2.7815910254706302</v>
      </c>
      <c r="E24" s="19">
        <f>'Not MDL Filltered'!E24/(Calibration!E$34*'Corrected data'!$A24+Calibration!E$35)</f>
        <v>18309.103367588585</v>
      </c>
      <c r="F24" s="19">
        <f>'Not MDL Filltered'!F24/(Calibration!F$34*'Corrected data'!$A24+Calibration!F$35)</f>
        <v>45157.867138759539</v>
      </c>
      <c r="G24" s="19">
        <f>'Not MDL Filltered'!G24/(Calibration!G$34*'Corrected data'!$A24+Calibration!G$35)</f>
        <v>72750.720498908384</v>
      </c>
      <c r="H24" s="19">
        <f>'Not MDL Filltered'!H24/(Calibration!H$34*'Corrected data'!$A24+Calibration!H$35)</f>
        <v>228161.38442187925</v>
      </c>
      <c r="I24" s="19">
        <f>'Not MDL Filltered'!I24/(Calibration!I$34*'Corrected data'!$A24+Calibration!I$35)</f>
        <v>1049.616158365963</v>
      </c>
      <c r="J24" s="19">
        <f>'Not MDL Filltered'!J24/(Calibration!J$34*'Corrected data'!$A24+Calibration!J$35)</f>
        <v>3709.9563993561687</v>
      </c>
      <c r="K24" s="19">
        <f>'Not MDL Filltered'!K24/(Calibration!K$34*'Corrected data'!$A24+Calibration!K$35)</f>
        <v>77901.85600944786</v>
      </c>
      <c r="L24" s="19">
        <f>'Not MDL Filltered'!L24/(Calibration!L$34*'Corrected data'!$A24+Calibration!L$35)</f>
        <v>32.912486455834937</v>
      </c>
      <c r="M24" s="19">
        <f>'Not MDL Filltered'!M24/(Calibration!M$34*'Corrected data'!$A24+Calibration!M$35)</f>
        <v>15948.867611893675</v>
      </c>
      <c r="N24" s="19">
        <f>'Not MDL Filltered'!N24/(Calibration!N$34*'Corrected data'!$A24+Calibration!N$35)</f>
        <v>329.87997165748487</v>
      </c>
      <c r="O24" s="19">
        <f>'Not MDL Filltered'!O24/(Calibration!O$34*'Corrected data'!$A24+Calibration!O$35)</f>
        <v>1368.0920462426843</v>
      </c>
      <c r="P24" s="19">
        <f>'Not MDL Filltered'!P24/(Calibration!P$34*'Corrected data'!$A24+Calibration!P$35)</f>
        <v>88467.427261565987</v>
      </c>
      <c r="Q24" s="19">
        <f>'Not MDL Filltered'!Q24/(Calibration!Q$34*'Corrected data'!$A24+Calibration!Q$35)</f>
        <v>0.2109458987797736</v>
      </c>
      <c r="R24" s="19">
        <f>'Not MDL Filltered'!R24/(Calibration!R$34*'Corrected data'!$A24+Calibration!R$35)</f>
        <v>8.7490824793098962</v>
      </c>
      <c r="S24" s="19">
        <f>'Not MDL Filltered'!S24/(Calibration!S$34*'Corrected data'!$A24+Calibration!S$35)</f>
        <v>372.01513863505232</v>
      </c>
      <c r="T24" s="19">
        <f>'Not MDL Filltered'!T24/(Calibration!T$34*'Corrected data'!$A24+Calibration!T$35)</f>
        <v>26.642853879927692</v>
      </c>
      <c r="U24" s="19">
        <f>'Not MDL Filltered'!U24/(Calibration!U$34*'Corrected data'!$A24+Calibration!U$35)</f>
        <v>156.2284607408352</v>
      </c>
      <c r="V24" s="19">
        <f>'Not MDL Filltered'!V24/(Calibration!V$34*'Corrected data'!$A24+Calibration!V$35)</f>
        <v>15.399247201816978</v>
      </c>
      <c r="W24" s="19">
        <f>'Not MDL Filltered'!W24/(Calibration!W$34*'Corrected data'!$A24+Calibration!W$35)</f>
        <v>0.12691078467944389</v>
      </c>
      <c r="X24" s="19">
        <f>'Not MDL Filltered'!X24/(Calibration!X$34*'Corrected data'!$A24+Calibration!X$35)</f>
        <v>130.55357039780915</v>
      </c>
      <c r="Y24" s="19">
        <f>'Not MDL Filltered'!Y24/(Calibration!Y$34*'Corrected data'!$A24+Calibration!Y$35)</f>
        <v>14.066575152846454</v>
      </c>
      <c r="Z24" s="19">
        <f>'Not MDL Filltered'!Z24/(Calibration!Z$34*'Corrected data'!$A24+Calibration!Z$35)</f>
        <v>33.587386880880992</v>
      </c>
      <c r="AA24" s="19">
        <f>'Not MDL Filltered'!AA24/(Calibration!AA$34*'Corrected data'!$A24+Calibration!AA$35)</f>
        <v>4.7632279564029654</v>
      </c>
      <c r="AB24" s="19">
        <f>'Not MDL Filltered'!AB24/(Calibration!AB$34*'Corrected data'!$A24+Calibration!AB$35)</f>
        <v>23.119998486796863</v>
      </c>
      <c r="AC24" s="19">
        <f>'Not MDL Filltered'!AC24/(Calibration!AC$34*'Corrected data'!$A24+Calibration!AC$35)</f>
        <v>5.8597498911225427</v>
      </c>
      <c r="AD24" s="19">
        <f>'Not MDL Filltered'!AD24/(Calibration!AD$34*'Corrected data'!$A24+Calibration!AD$35)</f>
        <v>2.1300065269476454</v>
      </c>
      <c r="AE24" s="19">
        <f>'Not MDL Filltered'!AE24/(Calibration!AE$34*'Corrected data'!$A24+Calibration!AE$35)</f>
        <v>6.4859553345149923</v>
      </c>
      <c r="AF24" s="19">
        <f>'Not MDL Filltered'!AF24/(Calibration!AF$34*'Corrected data'!$A24+Calibration!AF$35)</f>
        <v>0.95327827588033553</v>
      </c>
      <c r="AG24" s="19">
        <f>'Not MDL Filltered'!AG24/(Calibration!AG$34*'Corrected data'!$A24+Calibration!AG$35)</f>
        <v>5.5548405177456734</v>
      </c>
      <c r="AH24" s="19">
        <f>'Not MDL Filltered'!AH24/(Calibration!AH$34*'Corrected data'!$A24+Calibration!AH$35)</f>
        <v>1.058827096085559</v>
      </c>
      <c r="AI24" s="19">
        <f>'Not MDL Filltered'!AI24/(Calibration!AI$34*'Corrected data'!$A24+Calibration!AI$35)</f>
        <v>2.6842891510446805</v>
      </c>
      <c r="AJ24" s="19">
        <f>'Not MDL Filltered'!AJ24/(Calibration!AJ$34*'Corrected data'!$A24+Calibration!AJ$35)</f>
        <v>0.32342635461670854</v>
      </c>
      <c r="AK24" s="19">
        <f>'Not MDL Filltered'!AK24/(Calibration!AK$34*'Corrected data'!$A24+Calibration!AK$35)</f>
        <v>2.2644809945913971</v>
      </c>
      <c r="AL24" s="19">
        <f>'Not MDL Filltered'!AL24/(Calibration!AL$34*'Corrected data'!$A24+Calibration!AL$35)</f>
        <v>0.2902912877342354</v>
      </c>
      <c r="AM24" s="19">
        <f>'Not MDL Filltered'!AM24/(Calibration!AM$34*'Corrected data'!$A24+Calibration!AM$35)</f>
        <v>4.2776722662963929</v>
      </c>
      <c r="AN24" s="19">
        <f>'Not MDL Filltered'!AN24/(Calibration!AN$34*'Corrected data'!$A24+Calibration!AN$35)</f>
        <v>1.0653429224634281</v>
      </c>
      <c r="AO24" s="19">
        <f>'Not MDL Filltered'!AO24/(Calibration!AO$34*'Corrected data'!$A24+Calibration!AO$35)</f>
        <v>2.0717667810101652</v>
      </c>
      <c r="AP24" s="19">
        <f>'Not MDL Filltered'!AP24/(Calibration!AP$34*'Corrected data'!$A24+Calibration!AP$35)</f>
        <v>1.1242042908160084</v>
      </c>
      <c r="AQ24" s="19">
        <f>'Not MDL Filltered'!AQ24/(Calibration!AQ$34*'Corrected data'!$A24+Calibration!AQ$35)</f>
        <v>0.61212667623861616</v>
      </c>
    </row>
    <row r="25" spans="1:43" s="21" customFormat="1" x14ac:dyDescent="0.2">
      <c r="A25" s="21">
        <v>24</v>
      </c>
      <c r="B25" s="21" t="s">
        <v>81</v>
      </c>
      <c r="C25" s="21">
        <f>'Not MDL Filltered'!C25/(Calibration!C$34*'Corrected data'!$A25+Calibration!C$35)</f>
        <v>7.8947587980987093</v>
      </c>
      <c r="D25" s="21">
        <f>'Not MDL Filltered'!D25/(Calibration!D$34*'Corrected data'!$A25+Calibration!D$35)</f>
        <v>4.1427735061357023</v>
      </c>
      <c r="E25" s="21">
        <f>'Not MDL Filltered'!E25/(Calibration!E$34*'Corrected data'!$A25+Calibration!E$35)</f>
        <v>23975.667686417659</v>
      </c>
      <c r="F25" s="21">
        <f>'Not MDL Filltered'!F25/(Calibration!F$34*'Corrected data'!$A25+Calibration!F$35)</f>
        <v>21546.789632550441</v>
      </c>
      <c r="G25" s="21">
        <f>'Not MDL Filltered'!G25/(Calibration!G$34*'Corrected data'!$A25+Calibration!G$35)</f>
        <v>72323.772237898869</v>
      </c>
      <c r="H25" s="21">
        <f>'Not MDL Filltered'!H25/(Calibration!H$34*'Corrected data'!$A25+Calibration!H$35)</f>
        <v>247843.06764359883</v>
      </c>
      <c r="I25" s="21">
        <f>'Not MDL Filltered'!I25/(Calibration!I$34*'Corrected data'!$A25+Calibration!I$35)</f>
        <v>1324.9440360529331</v>
      </c>
      <c r="J25" s="21">
        <f>'Not MDL Filltered'!J25/(Calibration!J$34*'Corrected data'!$A25+Calibration!J$35)</f>
        <v>14714.210755117703</v>
      </c>
      <c r="K25" s="21">
        <f>'Not MDL Filltered'!K25/(Calibration!K$34*'Corrected data'!$A25+Calibration!K$35)</f>
        <v>50900.102003951433</v>
      </c>
      <c r="L25" s="21">
        <f>'Not MDL Filltered'!L25/(Calibration!L$34*'Corrected data'!$A25+Calibration!L$35)</f>
        <v>34.088259474062745</v>
      </c>
      <c r="M25" s="21">
        <f>'Not MDL Filltered'!M25/(Calibration!M$34*'Corrected data'!$A25+Calibration!M$35)</f>
        <v>13732.505738289756</v>
      </c>
      <c r="N25" s="21">
        <f>'Not MDL Filltered'!N25/(Calibration!N$34*'Corrected data'!$A25+Calibration!N$35)</f>
        <v>426.72485784391193</v>
      </c>
      <c r="O25" s="21">
        <f>'Not MDL Filltered'!O25/(Calibration!O$34*'Corrected data'!$A25+Calibration!O$35)</f>
        <v>1567.582243114043</v>
      </c>
      <c r="P25" s="21">
        <f>'Not MDL Filltered'!P25/(Calibration!P$34*'Corrected data'!$A25+Calibration!P$35)</f>
        <v>94591.882530615607</v>
      </c>
      <c r="Q25" s="21">
        <f>'Not MDL Filltered'!Q25/(Calibration!Q$34*'Corrected data'!$A25+Calibration!Q$35)</f>
        <v>0.56375786060311661</v>
      </c>
      <c r="R25" s="21">
        <f>'Not MDL Filltered'!R25/(Calibration!R$34*'Corrected data'!$A25+Calibration!R$35)</f>
        <v>47.340231034935258</v>
      </c>
      <c r="S25" s="21">
        <f>'Not MDL Filltered'!S25/(Calibration!S$34*'Corrected data'!$A25+Calibration!S$35)</f>
        <v>335.51335855240421</v>
      </c>
      <c r="T25" s="21">
        <f>'Not MDL Filltered'!T25/(Calibration!T$34*'Corrected data'!$A25+Calibration!T$35)</f>
        <v>34.664978947830676</v>
      </c>
      <c r="U25" s="21">
        <f>'Not MDL Filltered'!U25/(Calibration!U$34*'Corrected data'!$A25+Calibration!U$35)</f>
        <v>182.33002290978806</v>
      </c>
      <c r="V25" s="21">
        <f>'Not MDL Filltered'!V25/(Calibration!V$34*'Corrected data'!$A25+Calibration!V$35)</f>
        <v>12.957763503840539</v>
      </c>
      <c r="W25" s="21">
        <f>'Not MDL Filltered'!W25/(Calibration!W$34*'Corrected data'!$A25+Calibration!W$35)</f>
        <v>1.1537391198982168</v>
      </c>
      <c r="X25" s="21">
        <f>'Not MDL Filltered'!X25/(Calibration!X$34*'Corrected data'!$A25+Calibration!X$35)</f>
        <v>678.07582995378675</v>
      </c>
      <c r="Y25" s="21">
        <f>'Not MDL Filltered'!Y25/(Calibration!Y$34*'Corrected data'!$A25+Calibration!Y$35)</f>
        <v>24.45743003320548</v>
      </c>
      <c r="Z25" s="21">
        <f>'Not MDL Filltered'!Z25/(Calibration!Z$34*'Corrected data'!$A25+Calibration!Z$35)</f>
        <v>51.044050703151214</v>
      </c>
      <c r="AA25" s="21">
        <f>'Not MDL Filltered'!AA25/(Calibration!AA$34*'Corrected data'!$A25+Calibration!AA$35)</f>
        <v>6.3550273168694842</v>
      </c>
      <c r="AB25" s="21">
        <f>'Not MDL Filltered'!AB25/(Calibration!AB$34*'Corrected data'!$A25+Calibration!AB$35)</f>
        <v>27.734792255060686</v>
      </c>
      <c r="AC25" s="21">
        <f>'Not MDL Filltered'!AC25/(Calibration!AC$34*'Corrected data'!$A25+Calibration!AC$35)</f>
        <v>5.800843786674819</v>
      </c>
      <c r="AD25" s="21">
        <f>'Not MDL Filltered'!AD25/(Calibration!AD$34*'Corrected data'!$A25+Calibration!AD$35)</f>
        <v>1.9852530548376914</v>
      </c>
      <c r="AE25" s="21">
        <f>'Not MDL Filltered'!AE25/(Calibration!AE$34*'Corrected data'!$A25+Calibration!AE$35)</f>
        <v>6.4945769887042131</v>
      </c>
      <c r="AF25" s="21">
        <f>'Not MDL Filltered'!AF25/(Calibration!AF$34*'Corrected data'!$A25+Calibration!AF$35)</f>
        <v>1.0087291939455374</v>
      </c>
      <c r="AG25" s="21">
        <f>'Not MDL Filltered'!AG25/(Calibration!AG$34*'Corrected data'!$A25+Calibration!AG$35)</f>
        <v>6.1621902682460981</v>
      </c>
      <c r="AH25" s="21">
        <f>'Not MDL Filltered'!AH25/(Calibration!AH$34*'Corrected data'!$A25+Calibration!AH$35)</f>
        <v>1.2769802498617591</v>
      </c>
      <c r="AI25" s="21">
        <f>'Not MDL Filltered'!AI25/(Calibration!AI$34*'Corrected data'!$A25+Calibration!AI$35)</f>
        <v>3.826229684634276</v>
      </c>
      <c r="AJ25" s="21">
        <f>'Not MDL Filltered'!AJ25/(Calibration!AJ$34*'Corrected data'!$A25+Calibration!AJ$35)</f>
        <v>0.5014690766465475</v>
      </c>
      <c r="AK25" s="21">
        <f>'Not MDL Filltered'!AK25/(Calibration!AK$34*'Corrected data'!$A25+Calibration!AK$35)</f>
        <v>3.670953755703624</v>
      </c>
      <c r="AL25" s="21">
        <f>'Not MDL Filltered'!AL25/(Calibration!AL$34*'Corrected data'!$A25+Calibration!AL$35)</f>
        <v>0.49183023216267741</v>
      </c>
      <c r="AM25" s="21">
        <f>'Not MDL Filltered'!AM25/(Calibration!AM$34*'Corrected data'!$A25+Calibration!AM$35)</f>
        <v>4.9013819761765589</v>
      </c>
      <c r="AN25" s="21">
        <f>'Not MDL Filltered'!AN25/(Calibration!AN$34*'Corrected data'!$A25+Calibration!AN$35)</f>
        <v>0.82278843154346082</v>
      </c>
      <c r="AO25" s="21">
        <f>'Not MDL Filltered'!AO25/(Calibration!AO$34*'Corrected data'!$A25+Calibration!AO$35)</f>
        <v>11.257161178107607</v>
      </c>
      <c r="AP25" s="21">
        <f>'Not MDL Filltered'!AP25/(Calibration!AP$34*'Corrected data'!$A25+Calibration!AP$35)</f>
        <v>6.1008025645973873</v>
      </c>
      <c r="AQ25" s="21">
        <f>'Not MDL Filltered'!AQ25/(Calibration!AQ$34*'Corrected data'!$A25+Calibration!AQ$35)</f>
        <v>1.8728980061152853</v>
      </c>
    </row>
    <row r="26" spans="1:43" s="24" customFormat="1" x14ac:dyDescent="0.2">
      <c r="A26" s="24">
        <v>25</v>
      </c>
      <c r="B26" s="24" t="s">
        <v>82</v>
      </c>
      <c r="C26" s="24">
        <f>'Not MDL Filltered'!C26/(Calibration!C$34*'Corrected data'!$A26+Calibration!C$35)</f>
        <v>4.8906013856644241</v>
      </c>
      <c r="D26" s="24">
        <f>'Not MDL Filltered'!D26/(Calibration!D$34*'Corrected data'!$A26+Calibration!D$35)</f>
        <v>1.3902886188200561</v>
      </c>
      <c r="E26" s="24">
        <f>'Not MDL Filltered'!E26/(Calibration!E$34*'Corrected data'!$A26+Calibration!E$35)</f>
        <v>24998.988658102371</v>
      </c>
      <c r="F26" s="24">
        <f>'Not MDL Filltered'!F26/(Calibration!F$34*'Corrected data'!$A26+Calibration!F$35)</f>
        <v>35204.476817242081</v>
      </c>
      <c r="G26" s="24">
        <f>'Not MDL Filltered'!G26/(Calibration!G$34*'Corrected data'!$A26+Calibration!G$35)</f>
        <v>75363.398174174887</v>
      </c>
      <c r="H26" s="24">
        <f>'Not MDL Filltered'!H26/(Calibration!H$34*'Corrected data'!$A26+Calibration!H$35)</f>
        <v>196844.6020411721</v>
      </c>
      <c r="I26" s="24">
        <f>'Not MDL Filltered'!I26/(Calibration!I$34*'Corrected data'!$A26+Calibration!I$35)</f>
        <v>2526.027466245318</v>
      </c>
      <c r="J26" s="24">
        <f>'Not MDL Filltered'!J26/(Calibration!J$34*'Corrected data'!$A26+Calibration!J$35)</f>
        <v>12643.432940655106</v>
      </c>
      <c r="K26" s="24">
        <f>'Not MDL Filltered'!K26/(Calibration!K$34*'Corrected data'!$A26+Calibration!K$35)</f>
        <v>85907.232275340953</v>
      </c>
      <c r="L26" s="24">
        <f>'Not MDL Filltered'!L26/(Calibration!L$34*'Corrected data'!$A26+Calibration!L$35)</f>
        <v>29.968585192428201</v>
      </c>
      <c r="M26" s="24">
        <f>'Not MDL Filltered'!M26/(Calibration!M$34*'Corrected data'!$A26+Calibration!M$35)</f>
        <v>20235.785994237263</v>
      </c>
      <c r="N26" s="24">
        <f>'Not MDL Filltered'!N26/(Calibration!N$34*'Corrected data'!$A26+Calibration!N$35)</f>
        <v>315.45105229157832</v>
      </c>
      <c r="O26" s="24">
        <f>'Not MDL Filltered'!O26/(Calibration!O$34*'Corrected data'!$A26+Calibration!O$35)</f>
        <v>1308.9150544952254</v>
      </c>
      <c r="P26" s="24">
        <f>'Not MDL Filltered'!P26/(Calibration!P$34*'Corrected data'!$A26+Calibration!P$35)</f>
        <v>79702.455249137027</v>
      </c>
      <c r="Q26" s="24">
        <f>'Not MDL Filltered'!Q26/(Calibration!Q$34*'Corrected data'!$A26+Calibration!Q$35)</f>
        <v>0.73505841185721121</v>
      </c>
      <c r="R26" s="24">
        <f>'Not MDL Filltered'!R26/(Calibration!R$34*'Corrected data'!$A26+Calibration!R$35)</f>
        <v>33.429989098484704</v>
      </c>
      <c r="S26" s="24">
        <f>'Not MDL Filltered'!S26/(Calibration!S$34*'Corrected data'!$A26+Calibration!S$35)</f>
        <v>964.60331765705848</v>
      </c>
      <c r="T26" s="24">
        <f>'Not MDL Filltered'!T26/(Calibration!T$34*'Corrected data'!$A26+Calibration!T$35)</f>
        <v>27.410549491268213</v>
      </c>
      <c r="U26" s="24">
        <f>'Not MDL Filltered'!U26/(Calibration!U$34*'Corrected data'!$A26+Calibration!U$35)</f>
        <v>315.85826164284515</v>
      </c>
      <c r="V26" s="24">
        <f>'Not MDL Filltered'!V26/(Calibration!V$34*'Corrected data'!$A26+Calibration!V$35)</f>
        <v>95.979474953556704</v>
      </c>
      <c r="W26" s="24">
        <f>'Not MDL Filltered'!W26/(Calibration!W$34*'Corrected data'!$A26+Calibration!W$35)</f>
        <v>0.36134616357035221</v>
      </c>
      <c r="X26" s="24">
        <f>'Not MDL Filltered'!X26/(Calibration!X$34*'Corrected data'!$A26+Calibration!X$35)</f>
        <v>423.09250449142235</v>
      </c>
      <c r="Y26" s="24">
        <f>'Not MDL Filltered'!Y26/(Calibration!Y$34*'Corrected data'!$A26+Calibration!Y$35)</f>
        <v>68.178667675426496</v>
      </c>
      <c r="Z26" s="24">
        <f>'Not MDL Filltered'!Z26/(Calibration!Z$34*'Corrected data'!$A26+Calibration!Z$35)</f>
        <v>137.00691143153557</v>
      </c>
      <c r="AA26" s="24">
        <f>'Not MDL Filltered'!AA26/(Calibration!AA$34*'Corrected data'!$A26+Calibration!AA$35)</f>
        <v>15.834321696728281</v>
      </c>
      <c r="AB26" s="24">
        <f>'Not MDL Filltered'!AB26/(Calibration!AB$34*'Corrected data'!$A26+Calibration!AB$35)</f>
        <v>63.150951085391711</v>
      </c>
      <c r="AC26" s="24">
        <f>'Not MDL Filltered'!AC26/(Calibration!AC$34*'Corrected data'!$A26+Calibration!AC$35)</f>
        <v>10.387727212797426</v>
      </c>
      <c r="AD26" s="24">
        <f>'Not MDL Filltered'!AD26/(Calibration!AD$34*'Corrected data'!$A26+Calibration!AD$35)</f>
        <v>3.129192820664374</v>
      </c>
      <c r="AE26" s="24">
        <f>'Not MDL Filltered'!AE26/(Calibration!AE$34*'Corrected data'!$A26+Calibration!AE$35)</f>
        <v>8.742501871019341</v>
      </c>
      <c r="AF26" s="24">
        <f>'Not MDL Filltered'!AF26/(Calibration!AF$34*'Corrected data'!$A26+Calibration!AF$35)</f>
        <v>1.0742485413099514</v>
      </c>
      <c r="AG26" s="24">
        <f>'Not MDL Filltered'!AG26/(Calibration!AG$34*'Corrected data'!$A26+Calibration!AG$35)</f>
        <v>5.7393062162865558</v>
      </c>
      <c r="AH26" s="24">
        <f>'Not MDL Filltered'!AH26/(Calibration!AH$34*'Corrected data'!$A26+Calibration!AH$35)</f>
        <v>1.0100616846704711</v>
      </c>
      <c r="AI26" s="24">
        <f>'Not MDL Filltered'!AI26/(Calibration!AI$34*'Corrected data'!$A26+Calibration!AI$35)</f>
        <v>2.4744697928360715</v>
      </c>
      <c r="AJ26" s="24">
        <f>'Not MDL Filltered'!AJ26/(Calibration!AJ$34*'Corrected data'!$A26+Calibration!AJ$35)</f>
        <v>0.30534270356906457</v>
      </c>
      <c r="AK26" s="24">
        <f>'Not MDL Filltered'!AK26/(Calibration!AK$34*'Corrected data'!$A26+Calibration!AK$35)</f>
        <v>2.2045078057990577</v>
      </c>
      <c r="AL26" s="24">
        <f>'Not MDL Filltered'!AL26/(Calibration!AL$34*'Corrected data'!$A26+Calibration!AL$35)</f>
        <v>0.25041304567234279</v>
      </c>
      <c r="AM26" s="24">
        <f>'Not MDL Filltered'!AM26/(Calibration!AM$34*'Corrected data'!$A26+Calibration!AM$35)</f>
        <v>7.195907053925251</v>
      </c>
      <c r="AN26" s="24">
        <f>'Not MDL Filltered'!AN26/(Calibration!AN$34*'Corrected data'!$A26+Calibration!AN$35)</f>
        <v>5.6302477402277136</v>
      </c>
      <c r="AO26" s="24">
        <f>'Not MDL Filltered'!AO26/(Calibration!AO$34*'Corrected data'!$A26+Calibration!AO$35)</f>
        <v>3.8193739956358708</v>
      </c>
      <c r="AP26" s="24">
        <f>'Not MDL Filltered'!AP26/(Calibration!AP$34*'Corrected data'!$A26+Calibration!AP$35)</f>
        <v>7.1583865432998559</v>
      </c>
      <c r="AQ26" s="24">
        <f>'Not MDL Filltered'!AQ26/(Calibration!AQ$34*'Corrected data'!$A26+Calibration!AQ$35)</f>
        <v>1.9979737947454823</v>
      </c>
    </row>
    <row r="27" spans="1:43" s="24" customFormat="1" x14ac:dyDescent="0.2">
      <c r="A27" s="24">
        <v>26</v>
      </c>
      <c r="B27" s="24" t="s">
        <v>83</v>
      </c>
      <c r="C27" s="24">
        <f>'Not MDL Filltered'!C27/(Calibration!C$34*'Corrected data'!$A27+Calibration!C$35)</f>
        <v>4.6747635898143196</v>
      </c>
      <c r="D27" s="24">
        <f>'Not MDL Filltered'!D27/(Calibration!D$34*'Corrected data'!$A27+Calibration!D$35)</f>
        <v>1.9906723296699271</v>
      </c>
      <c r="E27" s="24">
        <f>'Not MDL Filltered'!E27/(Calibration!E$34*'Corrected data'!$A27+Calibration!E$35)</f>
        <v>25000.451095128679</v>
      </c>
      <c r="F27" s="24">
        <f>'Not MDL Filltered'!F27/(Calibration!F$34*'Corrected data'!$A27+Calibration!F$35)</f>
        <v>31391.470842432933</v>
      </c>
      <c r="G27" s="24">
        <f>'Not MDL Filltered'!G27/(Calibration!G$34*'Corrected data'!$A27+Calibration!G$35)</f>
        <v>78857.807453850008</v>
      </c>
      <c r="H27" s="24">
        <f>'Not MDL Filltered'!H27/(Calibration!H$34*'Corrected data'!$A27+Calibration!H$35)</f>
        <v>202442.23592953073</v>
      </c>
      <c r="I27" s="24">
        <f>'Not MDL Filltered'!I27/(Calibration!I$34*'Corrected data'!$A27+Calibration!I$35)</f>
        <v>2961.4503327406155</v>
      </c>
      <c r="J27" s="24">
        <f>'Not MDL Filltered'!J27/(Calibration!J$34*'Corrected data'!$A27+Calibration!J$35)</f>
        <v>10534.015957003656</v>
      </c>
      <c r="K27" s="24">
        <f>'Not MDL Filltered'!K27/(Calibration!K$34*'Corrected data'!$A27+Calibration!K$35)</f>
        <v>95555.711754202086</v>
      </c>
      <c r="L27" s="24">
        <f>'Not MDL Filltered'!L27/(Calibration!L$34*'Corrected data'!$A27+Calibration!L$35)</f>
        <v>34.266910215811784</v>
      </c>
      <c r="M27" s="24">
        <f>'Not MDL Filltered'!M27/(Calibration!M$34*'Corrected data'!$A27+Calibration!M$35)</f>
        <v>20918.309683033312</v>
      </c>
      <c r="N27" s="24">
        <f>'Not MDL Filltered'!N27/(Calibration!N$34*'Corrected data'!$A27+Calibration!N$35)</f>
        <v>358.4817484404349</v>
      </c>
      <c r="O27" s="24">
        <f>'Not MDL Filltered'!O27/(Calibration!O$34*'Corrected data'!$A27+Calibration!O$35)</f>
        <v>1194.4245006383799</v>
      </c>
      <c r="P27" s="24">
        <f>'Not MDL Filltered'!P27/(Calibration!P$34*'Corrected data'!$A27+Calibration!P$35)</f>
        <v>75972.470277657834</v>
      </c>
      <c r="Q27" s="24">
        <f>'Not MDL Filltered'!Q27/(Calibration!Q$34*'Corrected data'!$A27+Calibration!Q$35)</f>
        <v>0.7760198816969156</v>
      </c>
      <c r="R27" s="24">
        <f>'Not MDL Filltered'!R27/(Calibration!R$34*'Corrected data'!$A27+Calibration!R$35)</f>
        <v>34.00926570217392</v>
      </c>
      <c r="S27" s="24">
        <f>'Not MDL Filltered'!S27/(Calibration!S$34*'Corrected data'!$A27+Calibration!S$35)</f>
        <v>893.05697261355101</v>
      </c>
      <c r="T27" s="24">
        <f>'Not MDL Filltered'!T27/(Calibration!T$34*'Corrected data'!$A27+Calibration!T$35)</f>
        <v>27.239610576763173</v>
      </c>
      <c r="U27" s="24">
        <f>'Not MDL Filltered'!U27/(Calibration!U$34*'Corrected data'!$A27+Calibration!U$35)</f>
        <v>305.40308272620172</v>
      </c>
      <c r="V27" s="24">
        <f>'Not MDL Filltered'!V27/(Calibration!V$34*'Corrected data'!$A27+Calibration!V$35)</f>
        <v>84.283352185630449</v>
      </c>
      <c r="W27" s="24">
        <f>'Not MDL Filltered'!W27/(Calibration!W$34*'Corrected data'!$A27+Calibration!W$35)</f>
        <v>0.38642553277692243</v>
      </c>
      <c r="X27" s="24">
        <f>'Not MDL Filltered'!X27/(Calibration!X$34*'Corrected data'!$A27+Calibration!X$35)</f>
        <v>399.86801126754011</v>
      </c>
      <c r="Y27" s="24">
        <f>'Not MDL Filltered'!Y27/(Calibration!Y$34*'Corrected data'!$A27+Calibration!Y$35)</f>
        <v>56.473419576100426</v>
      </c>
      <c r="Z27" s="24">
        <f>'Not MDL Filltered'!Z27/(Calibration!Z$34*'Corrected data'!$A27+Calibration!Z$35)</f>
        <v>114.02339500810248</v>
      </c>
      <c r="AA27" s="24">
        <f>'Not MDL Filltered'!AA27/(Calibration!AA$34*'Corrected data'!$A27+Calibration!AA$35)</f>
        <v>12.752980830224383</v>
      </c>
      <c r="AB27" s="24">
        <f>'Not MDL Filltered'!AB27/(Calibration!AB$34*'Corrected data'!$A27+Calibration!AB$35)</f>
        <v>48.972288524992784</v>
      </c>
      <c r="AC27" s="24">
        <f>'Not MDL Filltered'!AC27/(Calibration!AC$34*'Corrected data'!$A27+Calibration!AC$35)</f>
        <v>8.5797400331283633</v>
      </c>
      <c r="AD27" s="24">
        <f>'Not MDL Filltered'!AD27/(Calibration!AD$34*'Corrected data'!$A27+Calibration!AD$35)</f>
        <v>2.7897835747105009</v>
      </c>
      <c r="AE27" s="24">
        <f>'Not MDL Filltered'!AE27/(Calibration!AE$34*'Corrected data'!$A27+Calibration!AE$35)</f>
        <v>8.024754918367373</v>
      </c>
      <c r="AF27" s="24">
        <f>'Not MDL Filltered'!AF27/(Calibration!AF$34*'Corrected data'!$A27+Calibration!AF$35)</f>
        <v>1.0845691480733859</v>
      </c>
      <c r="AG27" s="24">
        <f>'Not MDL Filltered'!AG27/(Calibration!AG$34*'Corrected data'!$A27+Calibration!AG$35)</f>
        <v>5.534154436962238</v>
      </c>
      <c r="AH27" s="24">
        <f>'Not MDL Filltered'!AH27/(Calibration!AH$34*'Corrected data'!$A27+Calibration!AH$35)</f>
        <v>1.0401364926487009</v>
      </c>
      <c r="AI27" s="24">
        <f>'Not MDL Filltered'!AI27/(Calibration!AI$34*'Corrected data'!$A27+Calibration!AI$35)</f>
        <v>2.7483326658159233</v>
      </c>
      <c r="AJ27" s="24">
        <f>'Not MDL Filltered'!AJ27/(Calibration!AJ$34*'Corrected data'!$A27+Calibration!AJ$35)</f>
        <v>0.32401546178534163</v>
      </c>
      <c r="AK27" s="24">
        <f>'Not MDL Filltered'!AK27/(Calibration!AK$34*'Corrected data'!$A27+Calibration!AK$35)</f>
        <v>2.2243980359984712</v>
      </c>
      <c r="AL27" s="24">
        <f>'Not MDL Filltered'!AL27/(Calibration!AL$34*'Corrected data'!$A27+Calibration!AL$35)</f>
        <v>0.29943890595659961</v>
      </c>
      <c r="AM27" s="24">
        <f>'Not MDL Filltered'!AM27/(Calibration!AM$34*'Corrected data'!$A27+Calibration!AM$35)</f>
        <v>7.3461586651090247</v>
      </c>
      <c r="AN27" s="24">
        <f>'Not MDL Filltered'!AN27/(Calibration!AN$34*'Corrected data'!$A27+Calibration!AN$35)</f>
        <v>5.3153639973700049</v>
      </c>
      <c r="AO27" s="24">
        <f>'Not MDL Filltered'!AO27/(Calibration!AO$34*'Corrected data'!$A27+Calibration!AO$35)</f>
        <v>4.2433257745440383</v>
      </c>
      <c r="AP27" s="24">
        <f>'Not MDL Filltered'!AP27/(Calibration!AP$34*'Corrected data'!$A27+Calibration!AP$35)</f>
        <v>6.5335604469095916</v>
      </c>
      <c r="AQ27" s="24">
        <f>'Not MDL Filltered'!AQ27/(Calibration!AQ$34*'Corrected data'!$A27+Calibration!AQ$35)</f>
        <v>1.8026366906124467</v>
      </c>
    </row>
    <row r="28" spans="1:43" s="24" customFormat="1" x14ac:dyDescent="0.2">
      <c r="A28" s="24">
        <v>27</v>
      </c>
      <c r="B28" s="24" t="s">
        <v>84</v>
      </c>
      <c r="C28" s="24">
        <f>'Not MDL Filltered'!C28/(Calibration!C$34*'Corrected data'!$A28+Calibration!C$35)</f>
        <v>5.4896405989456785</v>
      </c>
      <c r="D28" s="24">
        <f>'Not MDL Filltered'!D28/(Calibration!D$34*'Corrected data'!$A28+Calibration!D$35)</f>
        <v>3.6909187538395147</v>
      </c>
      <c r="E28" s="24">
        <f>'Not MDL Filltered'!E28/(Calibration!E$34*'Corrected data'!$A28+Calibration!E$35)</f>
        <v>22549.601593023181</v>
      </c>
      <c r="F28" s="24">
        <f>'Not MDL Filltered'!F28/(Calibration!F$34*'Corrected data'!$A28+Calibration!F$35)</f>
        <v>342829.08709406306</v>
      </c>
      <c r="G28" s="24">
        <f>'Not MDL Filltered'!G28/(Calibration!G$34*'Corrected data'!$A28+Calibration!G$35)</f>
        <v>80200.423793187729</v>
      </c>
      <c r="H28" s="24">
        <f>'Not MDL Filltered'!H28/(Calibration!H$34*'Corrected data'!$A28+Calibration!H$35)</f>
        <v>361478.43196379882</v>
      </c>
      <c r="I28" s="24">
        <f>'Not MDL Filltered'!I28/(Calibration!I$34*'Corrected data'!$A28+Calibration!I$35)</f>
        <v>1637.0949259522408</v>
      </c>
      <c r="J28" s="24">
        <f>'Not MDL Filltered'!J28/(Calibration!J$34*'Corrected data'!$A28+Calibration!J$35)</f>
        <v>7542.199591572833</v>
      </c>
      <c r="K28" s="24">
        <f>'Not MDL Filltered'!K28/(Calibration!K$34*'Corrected data'!$A28+Calibration!K$35)</f>
        <v>86050.162796356803</v>
      </c>
      <c r="L28" s="24">
        <f>'Not MDL Filltered'!L28/(Calibration!L$34*'Corrected data'!$A28+Calibration!L$35)</f>
        <v>38.273606602964136</v>
      </c>
      <c r="M28" s="24">
        <f>'Not MDL Filltered'!M28/(Calibration!M$34*'Corrected data'!$A28+Calibration!M$35)</f>
        <v>19201.207271652496</v>
      </c>
      <c r="N28" s="24">
        <f>'Not MDL Filltered'!N28/(Calibration!N$34*'Corrected data'!$A28+Calibration!N$35)</f>
        <v>296.6401771980444</v>
      </c>
      <c r="O28" s="24">
        <f>'Not MDL Filltered'!O28/(Calibration!O$34*'Corrected data'!$A28+Calibration!O$35)</f>
        <v>3578.2628290869161</v>
      </c>
      <c r="P28" s="24">
        <f>'Not MDL Filltered'!P28/(Calibration!P$34*'Corrected data'!$A28+Calibration!P$35)</f>
        <v>223734.86239251849</v>
      </c>
      <c r="Q28" s="24">
        <f>'Not MDL Filltered'!Q28/(Calibration!Q$34*'Corrected data'!$A28+Calibration!Q$35)</f>
        <v>0.77375590885857781</v>
      </c>
      <c r="R28" s="24">
        <f>'Not MDL Filltered'!R28/(Calibration!R$34*'Corrected data'!$A28+Calibration!R$35)</f>
        <v>22.023600094779979</v>
      </c>
      <c r="S28" s="24">
        <f>'Not MDL Filltered'!S28/(Calibration!S$34*'Corrected data'!$A28+Calibration!S$35)</f>
        <v>773.38543871435502</v>
      </c>
      <c r="T28" s="24">
        <f>'Not MDL Filltered'!T28/(Calibration!T$34*'Corrected data'!$A28+Calibration!T$35)</f>
        <v>28.565778011670247</v>
      </c>
      <c r="U28" s="24">
        <f>'Not MDL Filltered'!U28/(Calibration!U$34*'Corrected data'!$A28+Calibration!U$35)</f>
        <v>266.71035723363912</v>
      </c>
      <c r="V28" s="24">
        <f>'Not MDL Filltered'!V28/(Calibration!V$34*'Corrected data'!$A28+Calibration!V$35)</f>
        <v>60.104594084536572</v>
      </c>
      <c r="W28" s="24">
        <f>'Not MDL Filltered'!W28/(Calibration!W$34*'Corrected data'!$A28+Calibration!W$35)</f>
        <v>0.22887537408064926</v>
      </c>
      <c r="X28" s="24">
        <f>'Not MDL Filltered'!X28/(Calibration!X$34*'Corrected data'!$A28+Calibration!X$35)</f>
        <v>330.39710759687557</v>
      </c>
      <c r="Y28" s="24">
        <f>'Not MDL Filltered'!Y28/(Calibration!Y$34*'Corrected data'!$A28+Calibration!Y$35)</f>
        <v>46.249279176295573</v>
      </c>
      <c r="Z28" s="24">
        <f>'Not MDL Filltered'!Z28/(Calibration!Z$34*'Corrected data'!$A28+Calibration!Z$35)</f>
        <v>96.900908007102345</v>
      </c>
      <c r="AA28" s="24">
        <f>'Not MDL Filltered'!AA28/(Calibration!AA$34*'Corrected data'!$A28+Calibration!AA$35)</f>
        <v>11.14260519439217</v>
      </c>
      <c r="AB28" s="24">
        <f>'Not MDL Filltered'!AB28/(Calibration!AB$34*'Corrected data'!$A28+Calibration!AB$35)</f>
        <v>45.229499499413848</v>
      </c>
      <c r="AC28" s="24">
        <f>'Not MDL Filltered'!AC28/(Calibration!AC$34*'Corrected data'!$A28+Calibration!AC$35)</f>
        <v>7.8876216189526396</v>
      </c>
      <c r="AD28" s="24">
        <f>'Not MDL Filltered'!AD28/(Calibration!AD$34*'Corrected data'!$A28+Calibration!AD$35)</f>
        <v>2.5529661302450686</v>
      </c>
      <c r="AE28" s="24">
        <f>'Not MDL Filltered'!AE28/(Calibration!AE$34*'Corrected data'!$A28+Calibration!AE$35)</f>
        <v>8.0738697775267472</v>
      </c>
      <c r="AF28" s="24">
        <f>'Not MDL Filltered'!AF28/(Calibration!AF$34*'Corrected data'!$A28+Calibration!AF$35)</f>
        <v>1.0848501944239108</v>
      </c>
      <c r="AG28" s="24">
        <f>'Not MDL Filltered'!AG28/(Calibration!AG$34*'Corrected data'!$A28+Calibration!AG$35)</f>
        <v>5.2791630888012513</v>
      </c>
      <c r="AH28" s="24">
        <f>'Not MDL Filltered'!AH28/(Calibration!AH$34*'Corrected data'!$A28+Calibration!AH$35)</f>
        <v>1.0206847421360294</v>
      </c>
      <c r="AI28" s="24">
        <f>'Not MDL Filltered'!AI28/(Calibration!AI$34*'Corrected data'!$A28+Calibration!AI$35)</f>
        <v>2.8505844119137107</v>
      </c>
      <c r="AJ28" s="24">
        <f>'Not MDL Filltered'!AJ28/(Calibration!AJ$34*'Corrected data'!$A28+Calibration!AJ$35)</f>
        <v>0.3524470135395289</v>
      </c>
      <c r="AK28" s="24">
        <f>'Not MDL Filltered'!AK28/(Calibration!AK$34*'Corrected data'!$A28+Calibration!AK$35)</f>
        <v>2.3440332894655591</v>
      </c>
      <c r="AL28" s="24">
        <f>'Not MDL Filltered'!AL28/(Calibration!AL$34*'Corrected data'!$A28+Calibration!AL$35)</f>
        <v>0.23592487067247697</v>
      </c>
      <c r="AM28" s="24">
        <f>'Not MDL Filltered'!AM28/(Calibration!AM$34*'Corrected data'!$A28+Calibration!AM$35)</f>
        <v>6.1316948863599681</v>
      </c>
      <c r="AN28" s="24">
        <f>'Not MDL Filltered'!AN28/(Calibration!AN$34*'Corrected data'!$A28+Calibration!AN$35)</f>
        <v>3.965935849137209</v>
      </c>
      <c r="AO28" s="24">
        <f>'Not MDL Filltered'!AO28/(Calibration!AO$34*'Corrected data'!$A28+Calibration!AO$35)</f>
        <v>75.240808756193061</v>
      </c>
      <c r="AP28" s="24">
        <f>'Not MDL Filltered'!AP28/(Calibration!AP$34*'Corrected data'!$A28+Calibration!AP$35)</f>
        <v>4.6230004093744483</v>
      </c>
      <c r="AQ28" s="24">
        <f>'Not MDL Filltered'!AQ28/(Calibration!AQ$34*'Corrected data'!$A28+Calibration!AQ$35)</f>
        <v>1.0222738915788077</v>
      </c>
    </row>
    <row r="29" spans="1:43" s="24" customFormat="1" x14ac:dyDescent="0.2">
      <c r="A29" s="24">
        <v>28</v>
      </c>
      <c r="B29" s="24" t="s">
        <v>85</v>
      </c>
      <c r="C29" s="24">
        <f>'Not MDL Filltered'!C29/(Calibration!C$34*'Corrected data'!$A29+Calibration!C$35)</f>
        <v>4.0292687455258296</v>
      </c>
      <c r="D29" s="24">
        <f>'Not MDL Filltered'!D29/(Calibration!D$34*'Corrected data'!$A29+Calibration!D$35)</f>
        <v>1.712826238602301</v>
      </c>
      <c r="E29" s="24">
        <f>'Not MDL Filltered'!E29/(Calibration!E$34*'Corrected data'!$A29+Calibration!E$35)</f>
        <v>22343.634557347657</v>
      </c>
      <c r="F29" s="24">
        <f>'Not MDL Filltered'!F29/(Calibration!F$34*'Corrected data'!$A29+Calibration!F$35)</f>
        <v>56642.944893997985</v>
      </c>
      <c r="G29" s="24">
        <f>'Not MDL Filltered'!G29/(Calibration!G$34*'Corrected data'!$A29+Calibration!G$35)</f>
        <v>77505.547484301918</v>
      </c>
      <c r="H29" s="24">
        <f>'Not MDL Filltered'!H29/(Calibration!H$34*'Corrected data'!$A29+Calibration!H$35)</f>
        <v>200472.89257507783</v>
      </c>
      <c r="I29" s="24">
        <f>'Not MDL Filltered'!I29/(Calibration!I$34*'Corrected data'!$A29+Calibration!I$35)</f>
        <v>1764.0328209662807</v>
      </c>
      <c r="J29" s="24">
        <f>'Not MDL Filltered'!J29/(Calibration!J$34*'Corrected data'!$A29+Calibration!J$35)</f>
        <v>8862.1169711254606</v>
      </c>
      <c r="K29" s="24">
        <f>'Not MDL Filltered'!K29/(Calibration!K$34*'Corrected data'!$A29+Calibration!K$35)</f>
        <v>84692.230184852306</v>
      </c>
      <c r="L29" s="24">
        <f>'Not MDL Filltered'!L29/(Calibration!L$34*'Corrected data'!$A29+Calibration!L$35)</f>
        <v>27.33225192415836</v>
      </c>
      <c r="M29" s="24">
        <f>'Not MDL Filltered'!M29/(Calibration!M$34*'Corrected data'!$A29+Calibration!M$35)</f>
        <v>17535.952266937296</v>
      </c>
      <c r="N29" s="24">
        <f>'Not MDL Filltered'!N29/(Calibration!N$34*'Corrected data'!$A29+Calibration!N$35)</f>
        <v>268.29095023900805</v>
      </c>
      <c r="O29" s="24">
        <f>'Not MDL Filltered'!O29/(Calibration!O$34*'Corrected data'!$A29+Calibration!O$35)</f>
        <v>1349.0886872613999</v>
      </c>
      <c r="P29" s="24">
        <f>'Not MDL Filltered'!P29/(Calibration!P$34*'Corrected data'!$A29+Calibration!P$35)</f>
        <v>84464.054510524715</v>
      </c>
      <c r="Q29" s="24">
        <f>'Not MDL Filltered'!Q29/(Calibration!Q$34*'Corrected data'!$A29+Calibration!Q$35)</f>
        <v>0.55719813319072142</v>
      </c>
      <c r="R29" s="24">
        <f>'Not MDL Filltered'!R29/(Calibration!R$34*'Corrected data'!$A29+Calibration!R$35)</f>
        <v>22.945764378957016</v>
      </c>
      <c r="S29" s="24">
        <f>'Not MDL Filltered'!S29/(Calibration!S$34*'Corrected data'!$A29+Calibration!S$35)</f>
        <v>805.6463795031159</v>
      </c>
      <c r="T29" s="24">
        <f>'Not MDL Filltered'!T29/(Calibration!T$34*'Corrected data'!$A29+Calibration!T$35)</f>
        <v>29.029809505143273</v>
      </c>
      <c r="U29" s="24">
        <f>'Not MDL Filltered'!U29/(Calibration!U$34*'Corrected data'!$A29+Calibration!U$35)</f>
        <v>273.36391763118513</v>
      </c>
      <c r="V29" s="24">
        <f>'Not MDL Filltered'!V29/(Calibration!V$34*'Corrected data'!$A29+Calibration!V$35)</f>
        <v>72.646865172848351</v>
      </c>
      <c r="W29" s="24">
        <f>'Not MDL Filltered'!W29/(Calibration!W$34*'Corrected data'!$A29+Calibration!W$35)</f>
        <v>0.28235770457824466</v>
      </c>
      <c r="X29" s="24">
        <f>'Not MDL Filltered'!X29/(Calibration!X$34*'Corrected data'!$A29+Calibration!X$35)</f>
        <v>312.15854257818273</v>
      </c>
      <c r="Y29" s="24">
        <f>'Not MDL Filltered'!Y29/(Calibration!Y$34*'Corrected data'!$A29+Calibration!Y$35)</f>
        <v>49.48749530968589</v>
      </c>
      <c r="Z29" s="24">
        <f>'Not MDL Filltered'!Z29/(Calibration!Z$34*'Corrected data'!$A29+Calibration!Z$35)</f>
        <v>99.66375853553113</v>
      </c>
      <c r="AA29" s="24">
        <f>'Not MDL Filltered'!AA29/(Calibration!AA$34*'Corrected data'!$A29+Calibration!AA$35)</f>
        <v>11.884792473292173</v>
      </c>
      <c r="AB29" s="24">
        <f>'Not MDL Filltered'!AB29/(Calibration!AB$34*'Corrected data'!$A29+Calibration!AB$35)</f>
        <v>49.586517327179479</v>
      </c>
      <c r="AC29" s="24">
        <f>'Not MDL Filltered'!AC29/(Calibration!AC$34*'Corrected data'!$A29+Calibration!AC$35)</f>
        <v>8.7549605246308122</v>
      </c>
      <c r="AD29" s="24">
        <f>'Not MDL Filltered'!AD29/(Calibration!AD$34*'Corrected data'!$A29+Calibration!AD$35)</f>
        <v>2.6532353930354393</v>
      </c>
      <c r="AE29" s="24">
        <f>'Not MDL Filltered'!AE29/(Calibration!AE$34*'Corrected data'!$A29+Calibration!AE$35)</f>
        <v>7.5405594076478204</v>
      </c>
      <c r="AF29" s="24">
        <f>'Not MDL Filltered'!AF29/(Calibration!AF$34*'Corrected data'!$A29+Calibration!AF$35)</f>
        <v>1.1655114891696345</v>
      </c>
      <c r="AG29" s="24">
        <f>'Not MDL Filltered'!AG29/(Calibration!AG$34*'Corrected data'!$A29+Calibration!AG$35)</f>
        <v>5.9472578559636826</v>
      </c>
      <c r="AH29" s="24">
        <f>'Not MDL Filltered'!AH29/(Calibration!AH$34*'Corrected data'!$A29+Calibration!AH$35)</f>
        <v>0.94174087519344363</v>
      </c>
      <c r="AI29" s="24">
        <f>'Not MDL Filltered'!AI29/(Calibration!AI$34*'Corrected data'!$A29+Calibration!AI$35)</f>
        <v>2.4270600375859073</v>
      </c>
      <c r="AJ29" s="24">
        <f>'Not MDL Filltered'!AJ29/(Calibration!AJ$34*'Corrected data'!$A29+Calibration!AJ$35)</f>
        <v>0.39650036996354621</v>
      </c>
      <c r="AK29" s="24">
        <f>'Not MDL Filltered'!AK29/(Calibration!AK$34*'Corrected data'!$A29+Calibration!AK$35)</f>
        <v>2.0746628061460259</v>
      </c>
      <c r="AL29" s="24">
        <f>'Not MDL Filltered'!AL29/(Calibration!AL$34*'Corrected data'!$A29+Calibration!AL$35)</f>
        <v>0.37410196956988889</v>
      </c>
      <c r="AM29" s="24">
        <f>'Not MDL Filltered'!AM29/(Calibration!AM$34*'Corrected data'!$A29+Calibration!AM$35)</f>
        <v>4.9759295137938881</v>
      </c>
      <c r="AN29" s="24">
        <f>'Not MDL Filltered'!AN29/(Calibration!AN$34*'Corrected data'!$A29+Calibration!AN$35)</f>
        <v>4.3104743416525775</v>
      </c>
      <c r="AO29" s="24">
        <f>'Not MDL Filltered'!AO29/(Calibration!AO$34*'Corrected data'!$A29+Calibration!AO$35)</f>
        <v>2.6060947395751231</v>
      </c>
      <c r="AP29" s="24">
        <f>'Not MDL Filltered'!AP29/(Calibration!AP$34*'Corrected data'!$A29+Calibration!AP$35)</f>
        <v>5.8107801228278602</v>
      </c>
      <c r="AQ29" s="24">
        <f>'Not MDL Filltered'!AQ29/(Calibration!AQ$34*'Corrected data'!$A29+Calibration!AQ$35)</f>
        <v>1.3501297326329968</v>
      </c>
    </row>
    <row r="30" spans="1:43" s="24" customFormat="1" x14ac:dyDescent="0.2">
      <c r="A30" s="24">
        <v>29</v>
      </c>
      <c r="B30" s="24" t="s">
        <v>86</v>
      </c>
      <c r="C30" s="24">
        <f>'Not MDL Filltered'!C30/(Calibration!C$34*'Corrected data'!$A30+Calibration!C$35)</f>
        <v>8.9840589059931073</v>
      </c>
      <c r="D30" s="24">
        <f>'Not MDL Filltered'!D30/(Calibration!D$34*'Corrected data'!$A30+Calibration!D$35)</f>
        <v>3.9194090679036315</v>
      </c>
      <c r="E30" s="24">
        <f>'Not MDL Filltered'!E30/(Calibration!E$34*'Corrected data'!$A30+Calibration!E$35)</f>
        <v>20896.019290157696</v>
      </c>
      <c r="F30" s="24">
        <f>'Not MDL Filltered'!F30/(Calibration!F$34*'Corrected data'!$A30+Calibration!F$35)</f>
        <v>944050.50465815526</v>
      </c>
      <c r="G30" s="24">
        <f>'Not MDL Filltered'!G30/(Calibration!G$34*'Corrected data'!$A30+Calibration!G$35)</f>
        <v>77002.201960995531</v>
      </c>
      <c r="H30" s="24">
        <f>'Not MDL Filltered'!H30/(Calibration!H$34*'Corrected data'!$A30+Calibration!H$35)</f>
        <v>780746.62551084475</v>
      </c>
      <c r="I30" s="24">
        <f>'Not MDL Filltered'!I30/(Calibration!I$34*'Corrected data'!$A30+Calibration!I$35)</f>
        <v>1475.807473145506</v>
      </c>
      <c r="J30" s="24">
        <f>'Not MDL Filltered'!J30/(Calibration!J$34*'Corrected data'!$A30+Calibration!J$35)</f>
        <v>8555.8088403953134</v>
      </c>
      <c r="K30" s="24">
        <f>'Not MDL Filltered'!K30/(Calibration!K$34*'Corrected data'!$A30+Calibration!K$35)</f>
        <v>92696.896396079959</v>
      </c>
      <c r="L30" s="24">
        <f>'Not MDL Filltered'!L30/(Calibration!L$34*'Corrected data'!$A30+Calibration!L$35)</f>
        <v>62.227407015287966</v>
      </c>
      <c r="M30" s="24">
        <f>'Not MDL Filltered'!M30/(Calibration!M$34*'Corrected data'!$A30+Calibration!M$35)</f>
        <v>16144.072700815772</v>
      </c>
      <c r="N30" s="24">
        <f>'Not MDL Filltered'!N30/(Calibration!N$34*'Corrected data'!$A30+Calibration!N$35)</f>
        <v>196.1685257601427</v>
      </c>
      <c r="O30" s="24">
        <f>'Not MDL Filltered'!O30/(Calibration!O$34*'Corrected data'!$A30+Calibration!O$35)</f>
        <v>7293.7270390198819</v>
      </c>
      <c r="P30" s="24">
        <f>'Not MDL Filltered'!P30/(Calibration!P$34*'Corrected data'!$A30+Calibration!P$35)</f>
        <v>440100.14550416323</v>
      </c>
      <c r="Q30" s="24">
        <f>'Not MDL Filltered'!Q30/(Calibration!Q$34*'Corrected data'!$A30+Calibration!Q$35)</f>
        <v>0.95089993481257362</v>
      </c>
      <c r="R30" s="24">
        <f>'Not MDL Filltered'!R30/(Calibration!R$34*'Corrected data'!$A30+Calibration!R$35)</f>
        <v>22.591424381316646</v>
      </c>
      <c r="S30" s="24">
        <f>'Not MDL Filltered'!S30/(Calibration!S$34*'Corrected data'!$A30+Calibration!S$35)</f>
        <v>730.3002573623113</v>
      </c>
      <c r="T30" s="24">
        <f>'Not MDL Filltered'!T30/(Calibration!T$34*'Corrected data'!$A30+Calibration!T$35)</f>
        <v>28.035759022463267</v>
      </c>
      <c r="U30" s="24">
        <f>'Not MDL Filltered'!U30/(Calibration!U$34*'Corrected data'!$A30+Calibration!U$35)</f>
        <v>276.88528287652161</v>
      </c>
      <c r="V30" s="24">
        <f>'Not MDL Filltered'!V30/(Calibration!V$34*'Corrected data'!$A30+Calibration!V$35)</f>
        <v>55.3555799435523</v>
      </c>
      <c r="W30" s="24">
        <f>'Not MDL Filltered'!W30/(Calibration!W$34*'Corrected data'!$A30+Calibration!W$35)</f>
        <v>0.2049541564481169</v>
      </c>
      <c r="X30" s="24">
        <f>'Not MDL Filltered'!X30/(Calibration!X$34*'Corrected data'!$A30+Calibration!X$35)</f>
        <v>284.80446009364334</v>
      </c>
      <c r="Y30" s="24">
        <f>'Not MDL Filltered'!Y30/(Calibration!Y$34*'Corrected data'!$A30+Calibration!Y$35)</f>
        <v>38.807436112916427</v>
      </c>
      <c r="Z30" s="24">
        <f>'Not MDL Filltered'!Z30/(Calibration!Z$34*'Corrected data'!$A30+Calibration!Z$35)</f>
        <v>87.530138774864241</v>
      </c>
      <c r="AA30" s="24">
        <f>'Not MDL Filltered'!AA30/(Calibration!AA$34*'Corrected data'!$A30+Calibration!AA$35)</f>
        <v>9.983558173084381</v>
      </c>
      <c r="AB30" s="24">
        <f>'Not MDL Filltered'!AB30/(Calibration!AB$34*'Corrected data'!$A30+Calibration!AB$35)</f>
        <v>43.453636086226496</v>
      </c>
      <c r="AC30" s="24">
        <f>'Not MDL Filltered'!AC30/(Calibration!AC$34*'Corrected data'!$A30+Calibration!AC$35)</f>
        <v>8.3343212281240575</v>
      </c>
      <c r="AD30" s="24">
        <f>'Not MDL Filltered'!AD30/(Calibration!AD$34*'Corrected data'!$A30+Calibration!AD$35)</f>
        <v>2.3658544298474324</v>
      </c>
      <c r="AE30" s="24">
        <f>'Not MDL Filltered'!AE30/(Calibration!AE$34*'Corrected data'!$A30+Calibration!AE$35)</f>
        <v>6.6806317588545223</v>
      </c>
      <c r="AF30" s="24">
        <f>'Not MDL Filltered'!AF30/(Calibration!AF$34*'Corrected data'!$A30+Calibration!AF$35)</f>
        <v>1.1256131955909199</v>
      </c>
      <c r="AG30" s="24">
        <f>'Not MDL Filltered'!AG30/(Calibration!AG$34*'Corrected data'!$A30+Calibration!AG$35)</f>
        <v>5.2650493285367181</v>
      </c>
      <c r="AH30" s="24">
        <f>'Not MDL Filltered'!AH30/(Calibration!AH$34*'Corrected data'!$A30+Calibration!AH$35)</f>
        <v>0.96190685932080833</v>
      </c>
      <c r="AI30" s="24">
        <f>'Not MDL Filltered'!AI30/(Calibration!AI$34*'Corrected data'!$A30+Calibration!AI$35)</f>
        <v>2.6000814909308225</v>
      </c>
      <c r="AJ30" s="24">
        <f>'Not MDL Filltered'!AJ30/(Calibration!AJ$34*'Corrected data'!$A30+Calibration!AJ$35)</f>
        <v>0.22225324900171975</v>
      </c>
      <c r="AK30" s="24">
        <f>'Not MDL Filltered'!AK30/(Calibration!AK$34*'Corrected data'!$A30+Calibration!AK$35)</f>
        <v>2.3439067086091847</v>
      </c>
      <c r="AL30" s="24">
        <f>'Not MDL Filltered'!AL30/(Calibration!AL$34*'Corrected data'!$A30+Calibration!AL$35)</f>
        <v>0.2762776512919472</v>
      </c>
      <c r="AM30" s="24">
        <f>'Not MDL Filltered'!AM30/(Calibration!AM$34*'Corrected data'!$A30+Calibration!AM$35)</f>
        <v>5.7392038148627345</v>
      </c>
      <c r="AN30" s="24">
        <f>'Not MDL Filltered'!AN30/(Calibration!AN$34*'Corrected data'!$A30+Calibration!AN$35)</f>
        <v>3.2655716344767951</v>
      </c>
      <c r="AO30" s="24">
        <f>'Not MDL Filltered'!AO30/(Calibration!AO$34*'Corrected data'!$A30+Calibration!AO$35)</f>
        <v>212.14324814853447</v>
      </c>
      <c r="AP30" s="24">
        <f>'Not MDL Filltered'!AP30/(Calibration!AP$34*'Corrected data'!$A30+Calibration!AP$35)</f>
        <v>3.5894539276882766</v>
      </c>
      <c r="AQ30" s="24">
        <f>'Not MDL Filltered'!AQ30/(Calibration!AQ$34*'Corrected data'!$A30+Calibration!AQ$35)</f>
        <v>0.92335346475365798</v>
      </c>
    </row>
    <row r="31" spans="1:43" s="24" customFormat="1" x14ac:dyDescent="0.2">
      <c r="A31" s="24">
        <v>30</v>
      </c>
      <c r="B31" s="24" t="s">
        <v>87</v>
      </c>
      <c r="C31" s="24">
        <f>'Not MDL Filltered'!C31/(Calibration!C$34*'Corrected data'!$A31+Calibration!C$35)</f>
        <v>6.9628168144016502</v>
      </c>
      <c r="D31" s="24">
        <f>'Not MDL Filltered'!D31/(Calibration!D$34*'Corrected data'!$A31+Calibration!D$35)</f>
        <v>2.5081791111730465</v>
      </c>
      <c r="E31" s="24">
        <f>'Not MDL Filltered'!E31/(Calibration!E$34*'Corrected data'!$A31+Calibration!E$35)</f>
        <v>22098.814914447474</v>
      </c>
      <c r="F31" s="24">
        <f>'Not MDL Filltered'!F31/(Calibration!F$34*'Corrected data'!$A31+Calibration!F$35)</f>
        <v>172969.99123779524</v>
      </c>
      <c r="G31" s="24">
        <f>'Not MDL Filltered'!G31/(Calibration!G$34*'Corrected data'!$A31+Calibration!G$35)</f>
        <v>56857.007259550774</v>
      </c>
      <c r="H31" s="24">
        <f>'Not MDL Filltered'!H31/(Calibration!H$34*'Corrected data'!$A31+Calibration!H$35)</f>
        <v>253868.05349162812</v>
      </c>
      <c r="I31" s="24">
        <f>'Not MDL Filltered'!I31/(Calibration!I$34*'Corrected data'!$A31+Calibration!I$35)</f>
        <v>2637.346366431243</v>
      </c>
      <c r="J31" s="24">
        <f>'Not MDL Filltered'!J31/(Calibration!J$34*'Corrected data'!$A31+Calibration!J$35)</f>
        <v>10856.727920364534</v>
      </c>
      <c r="K31" s="24">
        <f>'Not MDL Filltered'!K31/(Calibration!K$34*'Corrected data'!$A31+Calibration!K$35)</f>
        <v>83048.417107902816</v>
      </c>
      <c r="L31" s="24">
        <f>'Not MDL Filltered'!L31/(Calibration!L$34*'Corrected data'!$A31+Calibration!L$35)</f>
        <v>24.502724843271235</v>
      </c>
      <c r="M31" s="24">
        <f>'Not MDL Filltered'!M31/(Calibration!M$34*'Corrected data'!$A31+Calibration!M$35)</f>
        <v>15921.96966121564</v>
      </c>
      <c r="N31" s="24">
        <f>'Not MDL Filltered'!N31/(Calibration!N$34*'Corrected data'!$A31+Calibration!N$35)</f>
        <v>251.77068817233587</v>
      </c>
      <c r="O31" s="24">
        <f>'Not MDL Filltered'!O31/(Calibration!O$34*'Corrected data'!$A31+Calibration!O$35)</f>
        <v>2841.0586815140837</v>
      </c>
      <c r="P31" s="24">
        <f>'Not MDL Filltered'!P31/(Calibration!P$34*'Corrected data'!$A31+Calibration!P$35)</f>
        <v>146533.20505339687</v>
      </c>
      <c r="Q31" s="24">
        <f>'Not MDL Filltered'!Q31/(Calibration!Q$34*'Corrected data'!$A31+Calibration!Q$35)</f>
        <v>1.044030153931282</v>
      </c>
      <c r="R31" s="24">
        <f>'Not MDL Filltered'!R31/(Calibration!R$34*'Corrected data'!$A31+Calibration!R$35)</f>
        <v>33.752660046691283</v>
      </c>
      <c r="S31" s="24">
        <f>'Not MDL Filltered'!S31/(Calibration!S$34*'Corrected data'!$A31+Calibration!S$35)</f>
        <v>1146.3276067401853</v>
      </c>
      <c r="T31" s="24">
        <f>'Not MDL Filltered'!T31/(Calibration!T$34*'Corrected data'!$A31+Calibration!T$35)</f>
        <v>32.955489464553381</v>
      </c>
      <c r="U31" s="24">
        <f>'Not MDL Filltered'!U31/(Calibration!U$34*'Corrected data'!$A31+Calibration!U$35)</f>
        <v>361.11764654637517</v>
      </c>
      <c r="V31" s="24">
        <f>'Not MDL Filltered'!V31/(Calibration!V$34*'Corrected data'!$A31+Calibration!V$35)</f>
        <v>109.60569641882515</v>
      </c>
      <c r="W31" s="24">
        <f>'Not MDL Filltered'!W31/(Calibration!W$34*'Corrected data'!$A31+Calibration!W$35)</f>
        <v>0.40462615679399894</v>
      </c>
      <c r="X31" s="24">
        <f>'Not MDL Filltered'!X31/(Calibration!X$34*'Corrected data'!$A31+Calibration!X$35)</f>
        <v>527.61741116835515</v>
      </c>
      <c r="Y31" s="24">
        <f>'Not MDL Filltered'!Y31/(Calibration!Y$34*'Corrected data'!$A31+Calibration!Y$35)</f>
        <v>76.984718713219863</v>
      </c>
      <c r="Z31" s="24">
        <f>'Not MDL Filltered'!Z31/(Calibration!Z$34*'Corrected data'!$A31+Calibration!Z$35)</f>
        <v>164.34989493857768</v>
      </c>
      <c r="AA31" s="24">
        <f>'Not MDL Filltered'!AA31/(Calibration!AA$34*'Corrected data'!$A31+Calibration!AA$35)</f>
        <v>18.967910232882176</v>
      </c>
      <c r="AB31" s="24">
        <f>'Not MDL Filltered'!AB31/(Calibration!AB$34*'Corrected data'!$A31+Calibration!AB$35)</f>
        <v>67.415406523880293</v>
      </c>
      <c r="AC31" s="24">
        <f>'Not MDL Filltered'!AC31/(Calibration!AC$34*'Corrected data'!$A31+Calibration!AC$35)</f>
        <v>11.618516838944702</v>
      </c>
      <c r="AD31" s="24">
        <f>'Not MDL Filltered'!AD31/(Calibration!AD$34*'Corrected data'!$A31+Calibration!AD$35)</f>
        <v>3.4545982056258513</v>
      </c>
      <c r="AE31" s="24">
        <f>'Not MDL Filltered'!AE31/(Calibration!AE$34*'Corrected data'!$A31+Calibration!AE$35)</f>
        <v>8.5580813833991183</v>
      </c>
      <c r="AF31" s="24">
        <f>'Not MDL Filltered'!AF31/(Calibration!AF$34*'Corrected data'!$A31+Calibration!AF$35)</f>
        <v>1.1158523805389524</v>
      </c>
      <c r="AG31" s="24">
        <f>'Not MDL Filltered'!AG31/(Calibration!AG$34*'Corrected data'!$A31+Calibration!AG$35)</f>
        <v>5.5760440210534954</v>
      </c>
      <c r="AH31" s="24">
        <f>'Not MDL Filltered'!AH31/(Calibration!AH$34*'Corrected data'!$A31+Calibration!AH$35)</f>
        <v>1.1904086104185752</v>
      </c>
      <c r="AI31" s="24">
        <f>'Not MDL Filltered'!AI31/(Calibration!AI$34*'Corrected data'!$A31+Calibration!AI$35)</f>
        <v>3.0161625100187495</v>
      </c>
      <c r="AJ31" s="24">
        <f>'Not MDL Filltered'!AJ31/(Calibration!AJ$34*'Corrected data'!$A31+Calibration!AJ$35)</f>
        <v>0.4691617442247773</v>
      </c>
      <c r="AK31" s="24">
        <f>'Not MDL Filltered'!AK31/(Calibration!AK$34*'Corrected data'!$A31+Calibration!AK$35)</f>
        <v>2.6231098737441463</v>
      </c>
      <c r="AL31" s="24">
        <f>'Not MDL Filltered'!AL31/(Calibration!AL$34*'Corrected data'!$A31+Calibration!AL$35)</f>
        <v>0.31558954006821849</v>
      </c>
      <c r="AM31" s="24">
        <f>'Not MDL Filltered'!AM31/(Calibration!AM$34*'Corrected data'!$A31+Calibration!AM$35)</f>
        <v>7.7500207983802234</v>
      </c>
      <c r="AN31" s="24">
        <f>'Not MDL Filltered'!AN31/(Calibration!AN$34*'Corrected data'!$A31+Calibration!AN$35)</f>
        <v>5.7193893040073283</v>
      </c>
      <c r="AO31" s="24">
        <f>'Not MDL Filltered'!AO31/(Calibration!AO$34*'Corrected data'!$A31+Calibration!AO$35)</f>
        <v>6.3624512698802658</v>
      </c>
      <c r="AP31" s="24">
        <f>'Not MDL Filltered'!AP31/(Calibration!AP$34*'Corrected data'!$A31+Calibration!AP$35)</f>
        <v>8.6378136135391035</v>
      </c>
      <c r="AQ31" s="24">
        <f>'Not MDL Filltered'!AQ31/(Calibration!AQ$34*'Corrected data'!$A31+Calibration!AQ$35)</f>
        <v>2.3310391265178438</v>
      </c>
    </row>
    <row r="32" spans="1:43" s="24" customFormat="1" x14ac:dyDescent="0.2">
      <c r="A32" s="24">
        <v>31</v>
      </c>
      <c r="B32" s="24" t="s">
        <v>88</v>
      </c>
      <c r="C32" s="24">
        <f>'Not MDL Filltered'!C32/(Calibration!C$34*'Corrected data'!$A32+Calibration!C$35)</f>
        <v>4.0765416208899827</v>
      </c>
      <c r="D32" s="24">
        <f>'Not MDL Filltered'!D32/(Calibration!D$34*'Corrected data'!$A32+Calibration!D$35)</f>
        <v>2.4192332406979173</v>
      </c>
      <c r="E32" s="24">
        <f>'Not MDL Filltered'!E32/(Calibration!E$34*'Corrected data'!$A32+Calibration!E$35)</f>
        <v>23397.844667173798</v>
      </c>
      <c r="F32" s="24">
        <f>'Not MDL Filltered'!F32/(Calibration!F$34*'Corrected data'!$A32+Calibration!F$35)</f>
        <v>30831.672991014431</v>
      </c>
      <c r="G32" s="24">
        <f>'Not MDL Filltered'!G32/(Calibration!G$34*'Corrected data'!$A32+Calibration!G$35)</f>
        <v>70435.941460517381</v>
      </c>
      <c r="H32" s="24">
        <f>'Not MDL Filltered'!H32/(Calibration!H$34*'Corrected data'!$A32+Calibration!H$35)</f>
        <v>187650.4883563779</v>
      </c>
      <c r="I32" s="24">
        <f>'Not MDL Filltered'!I32/(Calibration!I$34*'Corrected data'!$A32+Calibration!I$35)</f>
        <v>1980.2524812105164</v>
      </c>
      <c r="J32" s="24">
        <f>'Not MDL Filltered'!J32/(Calibration!J$34*'Corrected data'!$A32+Calibration!J$35)</f>
        <v>9936.2314076871207</v>
      </c>
      <c r="K32" s="24">
        <f>'Not MDL Filltered'!K32/(Calibration!K$34*'Corrected data'!$A32+Calibration!K$35)</f>
        <v>91696.314633864895</v>
      </c>
      <c r="L32" s="24">
        <f>'Not MDL Filltered'!L32/(Calibration!L$34*'Corrected data'!$A32+Calibration!L$35)</f>
        <v>29.188326900456879</v>
      </c>
      <c r="M32" s="24">
        <f>'Not MDL Filltered'!M32/(Calibration!M$34*'Corrected data'!$A32+Calibration!M$35)</f>
        <v>17797.105966318606</v>
      </c>
      <c r="N32" s="24">
        <f>'Not MDL Filltered'!N32/(Calibration!N$34*'Corrected data'!$A32+Calibration!N$35)</f>
        <v>306.22185220609498</v>
      </c>
      <c r="O32" s="24">
        <f>'Not MDL Filltered'!O32/(Calibration!O$34*'Corrected data'!$A32+Calibration!O$35)</f>
        <v>1043.6347153296867</v>
      </c>
      <c r="P32" s="24">
        <f>'Not MDL Filltered'!P32/(Calibration!P$34*'Corrected data'!$A32+Calibration!P$35)</f>
        <v>67187.026624747508</v>
      </c>
      <c r="Q32" s="24">
        <f>'Not MDL Filltered'!Q32/(Calibration!Q$34*'Corrected data'!$A32+Calibration!Q$35)</f>
        <v>0.58424559168307733</v>
      </c>
      <c r="R32" s="24">
        <f>'Not MDL Filltered'!R32/(Calibration!R$34*'Corrected data'!$A32+Calibration!R$35)</f>
        <v>29.096936010261086</v>
      </c>
      <c r="S32" s="24">
        <f>'Not MDL Filltered'!S32/(Calibration!S$34*'Corrected data'!$A32+Calibration!S$35)</f>
        <v>819.31565799202485</v>
      </c>
      <c r="T32" s="24">
        <f>'Not MDL Filltered'!T32/(Calibration!T$34*'Corrected data'!$A32+Calibration!T$35)</f>
        <v>27.028708487147892</v>
      </c>
      <c r="U32" s="24">
        <f>'Not MDL Filltered'!U32/(Calibration!U$34*'Corrected data'!$A32+Calibration!U$35)</f>
        <v>263.42389438133796</v>
      </c>
      <c r="V32" s="24">
        <f>'Not MDL Filltered'!V32/(Calibration!V$34*'Corrected data'!$A32+Calibration!V$35)</f>
        <v>81.731347701922161</v>
      </c>
      <c r="W32" s="24">
        <f>'Not MDL Filltered'!W32/(Calibration!W$34*'Corrected data'!$A32+Calibration!W$35)</f>
        <v>0.34792891193613912</v>
      </c>
      <c r="X32" s="24">
        <f>'Not MDL Filltered'!X32/(Calibration!X$34*'Corrected data'!$A32+Calibration!X$35)</f>
        <v>358.10647750432264</v>
      </c>
      <c r="Y32" s="24">
        <f>'Not MDL Filltered'!Y32/(Calibration!Y$34*'Corrected data'!$A32+Calibration!Y$35)</f>
        <v>61.336468652205191</v>
      </c>
      <c r="Z32" s="24">
        <f>'Not MDL Filltered'!Z32/(Calibration!Z$34*'Corrected data'!$A32+Calibration!Z$35)</f>
        <v>114.0243084798757</v>
      </c>
      <c r="AA32" s="24">
        <f>'Not MDL Filltered'!AA32/(Calibration!AA$34*'Corrected data'!$A32+Calibration!AA$35)</f>
        <v>13.331127696543547</v>
      </c>
      <c r="AB32" s="24">
        <f>'Not MDL Filltered'!AB32/(Calibration!AB$34*'Corrected data'!$A32+Calibration!AB$35)</f>
        <v>54.660002068049437</v>
      </c>
      <c r="AC32" s="24">
        <f>'Not MDL Filltered'!AC32/(Calibration!AC$34*'Corrected data'!$A32+Calibration!AC$35)</f>
        <v>8.2879997229728168</v>
      </c>
      <c r="AD32" s="24">
        <f>'Not MDL Filltered'!AD32/(Calibration!AD$34*'Corrected data'!$A32+Calibration!AD$35)</f>
        <v>2.7800878052320308</v>
      </c>
      <c r="AE32" s="24">
        <f>'Not MDL Filltered'!AE32/(Calibration!AE$34*'Corrected data'!$A32+Calibration!AE$35)</f>
        <v>7.6370674433560026</v>
      </c>
      <c r="AF32" s="24">
        <f>'Not MDL Filltered'!AF32/(Calibration!AF$34*'Corrected data'!$A32+Calibration!AF$35)</f>
        <v>0.99547785140672962</v>
      </c>
      <c r="AG32" s="24">
        <f>'Not MDL Filltered'!AG32/(Calibration!AG$34*'Corrected data'!$A32+Calibration!AG$35)</f>
        <v>5.6586454773900039</v>
      </c>
      <c r="AH32" s="24">
        <f>'Not MDL Filltered'!AH32/(Calibration!AH$34*'Corrected data'!$A32+Calibration!AH$35)</f>
        <v>0.9030458188760957</v>
      </c>
      <c r="AI32" s="24">
        <f>'Not MDL Filltered'!AI32/(Calibration!AI$34*'Corrected data'!$A32+Calibration!AI$35)</f>
        <v>2.3997805826849703</v>
      </c>
      <c r="AJ32" s="24">
        <f>'Not MDL Filltered'!AJ32/(Calibration!AJ$34*'Corrected data'!$A32+Calibration!AJ$35)</f>
        <v>0.2820588714434335</v>
      </c>
      <c r="AK32" s="24">
        <f>'Not MDL Filltered'!AK32/(Calibration!AK$34*'Corrected data'!$A32+Calibration!AK$35)</f>
        <v>2.273965413806275</v>
      </c>
      <c r="AL32" s="24">
        <f>'Not MDL Filltered'!AL32/(Calibration!AL$34*'Corrected data'!$A32+Calibration!AL$35)</f>
        <v>0.26178703756819449</v>
      </c>
      <c r="AM32" s="24">
        <f>'Not MDL Filltered'!AM32/(Calibration!AM$34*'Corrected data'!$A32+Calibration!AM$35)</f>
        <v>5.8809167853272992</v>
      </c>
      <c r="AN32" s="24">
        <f>'Not MDL Filltered'!AN32/(Calibration!AN$34*'Corrected data'!$A32+Calibration!AN$35)</f>
        <v>4.4413180969276729</v>
      </c>
      <c r="AO32" s="24">
        <f>'Not MDL Filltered'!AO32/(Calibration!AO$34*'Corrected data'!$A32+Calibration!AO$35)</f>
        <v>6.2709341345674749</v>
      </c>
      <c r="AP32" s="24">
        <f>'Not MDL Filltered'!AP32/(Calibration!AP$34*'Corrected data'!$A32+Calibration!AP$35)</f>
        <v>6.3660013791107364</v>
      </c>
      <c r="AQ32" s="24">
        <f>'Not MDL Filltered'!AQ32/(Calibration!AQ$34*'Corrected data'!$A32+Calibration!AQ$35)</f>
        <v>1.6607562077608489</v>
      </c>
    </row>
    <row r="33" spans="1:43" s="24" customFormat="1" x14ac:dyDescent="0.2">
      <c r="A33" s="24">
        <v>32</v>
      </c>
      <c r="B33" s="24" t="s">
        <v>89</v>
      </c>
      <c r="C33" s="24">
        <f>'Not MDL Filltered'!C33/(Calibration!C$34*'Corrected data'!$A33+Calibration!C$35)</f>
        <v>3.9224758914642801</v>
      </c>
      <c r="D33" s="24">
        <f>'Not MDL Filltered'!D33/(Calibration!D$34*'Corrected data'!$A33+Calibration!D$35)</f>
        <v>2.0522005310883897</v>
      </c>
      <c r="E33" s="24">
        <f>'Not MDL Filltered'!E33/(Calibration!E$34*'Corrected data'!$A33+Calibration!E$35)</f>
        <v>22445.486396970708</v>
      </c>
      <c r="F33" s="24">
        <f>'Not MDL Filltered'!F33/(Calibration!F$34*'Corrected data'!$A33+Calibration!F$35)</f>
        <v>47701.127388948982</v>
      </c>
      <c r="G33" s="24">
        <f>'Not MDL Filltered'!G33/(Calibration!G$34*'Corrected data'!$A33+Calibration!G$35)</f>
        <v>79353.662312155138</v>
      </c>
      <c r="H33" s="24">
        <f>'Not MDL Filltered'!H33/(Calibration!H$34*'Corrected data'!$A33+Calibration!H$35)</f>
        <v>178341.15996998103</v>
      </c>
      <c r="I33" s="24">
        <f>'Not MDL Filltered'!I33/(Calibration!I$34*'Corrected data'!$A33+Calibration!I$35)</f>
        <v>2492.1936044539289</v>
      </c>
      <c r="J33" s="24">
        <f>'Not MDL Filltered'!J33/(Calibration!J$34*'Corrected data'!$A33+Calibration!J$35)</f>
        <v>11836.973910738345</v>
      </c>
      <c r="K33" s="24">
        <f>'Not MDL Filltered'!K33/(Calibration!K$34*'Corrected data'!$A33+Calibration!K$35)</f>
        <v>86836.334966383758</v>
      </c>
      <c r="L33" s="24">
        <f>'Not MDL Filltered'!L33/(Calibration!L$34*'Corrected data'!$A33+Calibration!L$35)</f>
        <v>33.322474205395402</v>
      </c>
      <c r="M33" s="24">
        <f>'Not MDL Filltered'!M33/(Calibration!M$34*'Corrected data'!$A33+Calibration!M$35)</f>
        <v>19589.410840601315</v>
      </c>
      <c r="N33" s="24">
        <f>'Not MDL Filltered'!N33/(Calibration!N$34*'Corrected data'!$A33+Calibration!N$35)</f>
        <v>305.00250406048451</v>
      </c>
      <c r="O33" s="24">
        <f>'Not MDL Filltered'!O33/(Calibration!O$34*'Corrected data'!$A33+Calibration!O$35)</f>
        <v>1363.2098898263389</v>
      </c>
      <c r="P33" s="24">
        <f>'Not MDL Filltered'!P33/(Calibration!P$34*'Corrected data'!$A33+Calibration!P$35)</f>
        <v>77037.104466516204</v>
      </c>
      <c r="Q33" s="24">
        <f>'Not MDL Filltered'!Q33/(Calibration!Q$34*'Corrected data'!$A33+Calibration!Q$35)</f>
        <v>0.82618395636198028</v>
      </c>
      <c r="R33" s="24">
        <f>'Not MDL Filltered'!R33/(Calibration!R$34*'Corrected data'!$A33+Calibration!R$35)</f>
        <v>35.131366219655717</v>
      </c>
      <c r="S33" s="24">
        <f>'Not MDL Filltered'!S33/(Calibration!S$34*'Corrected data'!$A33+Calibration!S$35)</f>
        <v>1073.1661904136931</v>
      </c>
      <c r="T33" s="24">
        <f>'Not MDL Filltered'!T33/(Calibration!T$34*'Corrected data'!$A33+Calibration!T$35)</f>
        <v>25.894291624727988</v>
      </c>
      <c r="U33" s="24">
        <f>'Not MDL Filltered'!U33/(Calibration!U$34*'Corrected data'!$A33+Calibration!U$35)</f>
        <v>372.72440919386645</v>
      </c>
      <c r="V33" s="24">
        <f>'Not MDL Filltered'!V33/(Calibration!V$34*'Corrected data'!$A33+Calibration!V$35)</f>
        <v>105.45884914791306</v>
      </c>
      <c r="W33" s="24">
        <f>'Not MDL Filltered'!W33/(Calibration!W$34*'Corrected data'!$A33+Calibration!W$35)</f>
        <v>0.41579184132501784</v>
      </c>
      <c r="X33" s="24">
        <f>'Not MDL Filltered'!X33/(Calibration!X$34*'Corrected data'!$A33+Calibration!X$35)</f>
        <v>492.62948092648884</v>
      </c>
      <c r="Y33" s="24">
        <f>'Not MDL Filltered'!Y33/(Calibration!Y$34*'Corrected data'!$A33+Calibration!Y$35)</f>
        <v>83.585357875689581</v>
      </c>
      <c r="Z33" s="24">
        <f>'Not MDL Filltered'!Z33/(Calibration!Z$34*'Corrected data'!$A33+Calibration!Z$35)</f>
        <v>157.51507449162818</v>
      </c>
      <c r="AA33" s="24">
        <f>'Not MDL Filltered'!AA33/(Calibration!AA$34*'Corrected data'!$A33+Calibration!AA$35)</f>
        <v>16.948782999860551</v>
      </c>
      <c r="AB33" s="24">
        <f>'Not MDL Filltered'!AB33/(Calibration!AB$34*'Corrected data'!$A33+Calibration!AB$35)</f>
        <v>66.95937538281774</v>
      </c>
      <c r="AC33" s="24">
        <f>'Not MDL Filltered'!AC33/(Calibration!AC$34*'Corrected data'!$A33+Calibration!AC$35)</f>
        <v>11.49318962709525</v>
      </c>
      <c r="AD33" s="24">
        <f>'Not MDL Filltered'!AD33/(Calibration!AD$34*'Corrected data'!$A33+Calibration!AD$35)</f>
        <v>3.6227977910850426</v>
      </c>
      <c r="AE33" s="24">
        <f>'Not MDL Filltered'!AE33/(Calibration!AE$34*'Corrected data'!$A33+Calibration!AE$35)</f>
        <v>8.8090380286371772</v>
      </c>
      <c r="AF33" s="24">
        <f>'Not MDL Filltered'!AF33/(Calibration!AF$34*'Corrected data'!$A33+Calibration!AF$35)</f>
        <v>1.0661417321143729</v>
      </c>
      <c r="AG33" s="24">
        <f>'Not MDL Filltered'!AG33/(Calibration!AG$34*'Corrected data'!$A33+Calibration!AG$35)</f>
        <v>5.6716848476872279</v>
      </c>
      <c r="AH33" s="24">
        <f>'Not MDL Filltered'!AH33/(Calibration!AH$34*'Corrected data'!$A33+Calibration!AH$35)</f>
        <v>0.9530007920453909</v>
      </c>
      <c r="AI33" s="24">
        <f>'Not MDL Filltered'!AI33/(Calibration!AI$34*'Corrected data'!$A33+Calibration!AI$35)</f>
        <v>2.8363904504068</v>
      </c>
      <c r="AJ33" s="24">
        <f>'Not MDL Filltered'!AJ33/(Calibration!AJ$34*'Corrected data'!$A33+Calibration!AJ$35)</f>
        <v>0.32324698388095396</v>
      </c>
      <c r="AK33" s="24">
        <f>'Not MDL Filltered'!AK33/(Calibration!AK$34*'Corrected data'!$A33+Calibration!AK$35)</f>
        <v>1.6954547519254646</v>
      </c>
      <c r="AL33" s="24">
        <f>'Not MDL Filltered'!AL33/(Calibration!AL$34*'Corrected data'!$A33+Calibration!AL$35)</f>
        <v>0.2785642837468702</v>
      </c>
      <c r="AM33" s="24">
        <f>'Not MDL Filltered'!AM33/(Calibration!AM$34*'Corrected data'!$A33+Calibration!AM$35)</f>
        <v>8.3484082562744941</v>
      </c>
      <c r="AN33" s="24">
        <f>'Not MDL Filltered'!AN33/(Calibration!AN$34*'Corrected data'!$A33+Calibration!AN$35)</f>
        <v>6.3471581355129922</v>
      </c>
      <c r="AO33" s="24">
        <f>'Not MDL Filltered'!AO33/(Calibration!AO$34*'Corrected data'!$A33+Calibration!AO$35)</f>
        <v>4.5941879622935318</v>
      </c>
      <c r="AP33" s="24">
        <f>'Not MDL Filltered'!AP33/(Calibration!AP$34*'Corrected data'!$A33+Calibration!AP$35)</f>
        <v>8.8338392568216744</v>
      </c>
      <c r="AQ33" s="24">
        <f>'Not MDL Filltered'!AQ33/(Calibration!AQ$34*'Corrected data'!$A33+Calibration!AQ$35)</f>
        <v>2.333882831423487</v>
      </c>
    </row>
    <row r="34" spans="1:43" s="24" customFormat="1" x14ac:dyDescent="0.2">
      <c r="A34" s="24">
        <v>33</v>
      </c>
      <c r="B34" s="24" t="s">
        <v>90</v>
      </c>
      <c r="C34" s="24">
        <f>'Not MDL Filltered'!C34/(Calibration!C$34*'Corrected data'!$A34+Calibration!C$35)</f>
        <v>8.8814472916442462</v>
      </c>
      <c r="D34" s="24">
        <f>'Not MDL Filltered'!D34/(Calibration!D$34*'Corrected data'!$A34+Calibration!D$35)</f>
        <v>3.6430187887187673</v>
      </c>
      <c r="E34" s="24">
        <f>'Not MDL Filltered'!E34/(Calibration!E$34*'Corrected data'!$A34+Calibration!E$35)</f>
        <v>22234.577703259409</v>
      </c>
      <c r="F34" s="24">
        <f>'Not MDL Filltered'!F34/(Calibration!F$34*'Corrected data'!$A34+Calibration!F$35)</f>
        <v>349256.20551476971</v>
      </c>
      <c r="G34" s="24">
        <f>'Not MDL Filltered'!G34/(Calibration!G$34*'Corrected data'!$A34+Calibration!G$35)</f>
        <v>89324.22501546437</v>
      </c>
      <c r="H34" s="24">
        <f>'Not MDL Filltered'!H34/(Calibration!H$34*'Corrected data'!$A34+Calibration!H$35)</f>
        <v>365073.18651662907</v>
      </c>
      <c r="I34" s="24">
        <f>'Not MDL Filltered'!I34/(Calibration!I$34*'Corrected data'!$A34+Calibration!I$35)</f>
        <v>1761.6610297228563</v>
      </c>
      <c r="J34" s="24">
        <f>'Not MDL Filltered'!J34/(Calibration!J$34*'Corrected data'!$A34+Calibration!J$35)</f>
        <v>8432.7354537508709</v>
      </c>
      <c r="K34" s="24">
        <f>'Not MDL Filltered'!K34/(Calibration!K$34*'Corrected data'!$A34+Calibration!K$35)</f>
        <v>104346.53038975908</v>
      </c>
      <c r="L34" s="24">
        <f>'Not MDL Filltered'!L34/(Calibration!L$34*'Corrected data'!$A34+Calibration!L$35)</f>
        <v>43.842709576030444</v>
      </c>
      <c r="M34" s="24">
        <f>'Not MDL Filltered'!M34/(Calibration!M$34*'Corrected data'!$A34+Calibration!M$35)</f>
        <v>24833.005325395203</v>
      </c>
      <c r="N34" s="24">
        <f>'Not MDL Filltered'!N34/(Calibration!N$34*'Corrected data'!$A34+Calibration!N$35)</f>
        <v>421.15199776133375</v>
      </c>
      <c r="O34" s="24">
        <f>'Not MDL Filltered'!O34/(Calibration!O$34*'Corrected data'!$A34+Calibration!O$35)</f>
        <v>3358.0423895140962</v>
      </c>
      <c r="P34" s="24">
        <f>'Not MDL Filltered'!P34/(Calibration!P$34*'Corrected data'!$A34+Calibration!P$35)</f>
        <v>217381.91822734388</v>
      </c>
      <c r="Q34" s="24">
        <f>'Not MDL Filltered'!Q34/(Calibration!Q$34*'Corrected data'!$A34+Calibration!Q$35)</f>
        <v>0.47527794212932306</v>
      </c>
      <c r="R34" s="24">
        <f>'Not MDL Filltered'!R34/(Calibration!R$34*'Corrected data'!$A34+Calibration!R$35)</f>
        <v>23.063329408065218</v>
      </c>
      <c r="S34" s="24">
        <f>'Not MDL Filltered'!S34/(Calibration!S$34*'Corrected data'!$A34+Calibration!S$35)</f>
        <v>837.05809811152301</v>
      </c>
      <c r="T34" s="24">
        <f>'Not MDL Filltered'!T34/(Calibration!T$34*'Corrected data'!$A34+Calibration!T$35)</f>
        <v>31.780831322369927</v>
      </c>
      <c r="U34" s="24">
        <f>'Not MDL Filltered'!U34/(Calibration!U$34*'Corrected data'!$A34+Calibration!U$35)</f>
        <v>306.8529975903848</v>
      </c>
      <c r="V34" s="24">
        <f>'Not MDL Filltered'!V34/(Calibration!V$34*'Corrected data'!$A34+Calibration!V$35)</f>
        <v>63.791294447908847</v>
      </c>
      <c r="W34" s="24">
        <f>'Not MDL Filltered'!W34/(Calibration!W$34*'Corrected data'!$A34+Calibration!W$35)</f>
        <v>0.29646794392619064</v>
      </c>
      <c r="X34" s="24">
        <f>'Not MDL Filltered'!X34/(Calibration!X$34*'Corrected data'!$A34+Calibration!X$35)</f>
        <v>337.30474309000056</v>
      </c>
      <c r="Y34" s="24">
        <f>'Not MDL Filltered'!Y34/(Calibration!Y$34*'Corrected data'!$A34+Calibration!Y$35)</f>
        <v>47.277100645120917</v>
      </c>
      <c r="Z34" s="24">
        <f>'Not MDL Filltered'!Z34/(Calibration!Z$34*'Corrected data'!$A34+Calibration!Z$35)</f>
        <v>102.27824534836783</v>
      </c>
      <c r="AA34" s="24">
        <f>'Not MDL Filltered'!AA34/(Calibration!AA$34*'Corrected data'!$A34+Calibration!AA$35)</f>
        <v>12.021778998987941</v>
      </c>
      <c r="AB34" s="24">
        <f>'Not MDL Filltered'!AB34/(Calibration!AB$34*'Corrected data'!$A34+Calibration!AB$35)</f>
        <v>49.948348085990958</v>
      </c>
      <c r="AC34" s="24">
        <f>'Not MDL Filltered'!AC34/(Calibration!AC$34*'Corrected data'!$A34+Calibration!AC$35)</f>
        <v>9.4909763485338186</v>
      </c>
      <c r="AD34" s="24">
        <f>'Not MDL Filltered'!AD34/(Calibration!AD$34*'Corrected data'!$A34+Calibration!AD$35)</f>
        <v>3.0406310408940644</v>
      </c>
      <c r="AE34" s="24">
        <f>'Not MDL Filltered'!AE34/(Calibration!AE$34*'Corrected data'!$A34+Calibration!AE$35)</f>
        <v>8.6639924863301285</v>
      </c>
      <c r="AF34" s="24">
        <f>'Not MDL Filltered'!AF34/(Calibration!AF$34*'Corrected data'!$A34+Calibration!AF$35)</f>
        <v>1.167023946147254</v>
      </c>
      <c r="AG34" s="24">
        <f>'Not MDL Filltered'!AG34/(Calibration!AG$34*'Corrected data'!$A34+Calibration!AG$35)</f>
        <v>6.4413761558356279</v>
      </c>
      <c r="AH34" s="24">
        <f>'Not MDL Filltered'!AH34/(Calibration!AH$34*'Corrected data'!$A34+Calibration!AH$35)</f>
        <v>1.2115338375614433</v>
      </c>
      <c r="AI34" s="24">
        <f>'Not MDL Filltered'!AI34/(Calibration!AI$34*'Corrected data'!$A34+Calibration!AI$35)</f>
        <v>3.628071878884243</v>
      </c>
      <c r="AJ34" s="24">
        <f>'Not MDL Filltered'!AJ34/(Calibration!AJ$34*'Corrected data'!$A34+Calibration!AJ$35)</f>
        <v>0.44168194843866948</v>
      </c>
      <c r="AK34" s="24">
        <f>'Not MDL Filltered'!AK34/(Calibration!AK$34*'Corrected data'!$A34+Calibration!AK$35)</f>
        <v>2.2838156239586791</v>
      </c>
      <c r="AL34" s="24">
        <f>'Not MDL Filltered'!AL34/(Calibration!AL$34*'Corrected data'!$A34+Calibration!AL$35)</f>
        <v>0.43763518677849383</v>
      </c>
      <c r="AM34" s="24">
        <f>'Not MDL Filltered'!AM34/(Calibration!AM$34*'Corrected data'!$A34+Calibration!AM$35)</f>
        <v>6.8350664623803201</v>
      </c>
      <c r="AN34" s="24">
        <f>'Not MDL Filltered'!AN34/(Calibration!AN$34*'Corrected data'!$A34+Calibration!AN$35)</f>
        <v>4.3392630017259766</v>
      </c>
      <c r="AO34" s="24">
        <f>'Not MDL Filltered'!AO34/(Calibration!AO$34*'Corrected data'!$A34+Calibration!AO$35)</f>
        <v>63.807417739644613</v>
      </c>
      <c r="AP34" s="24">
        <f>'Not MDL Filltered'!AP34/(Calibration!AP$34*'Corrected data'!$A34+Calibration!AP$35)</f>
        <v>4.7231049252706301</v>
      </c>
      <c r="AQ34" s="24">
        <f>'Not MDL Filltered'!AQ34/(Calibration!AQ$34*'Corrected data'!$A34+Calibration!AQ$35)</f>
        <v>1.4233191003566072</v>
      </c>
    </row>
    <row r="35" spans="1:43" s="24" customFormat="1" x14ac:dyDescent="0.2">
      <c r="A35" s="24">
        <v>34</v>
      </c>
      <c r="B35" s="24" t="s">
        <v>91</v>
      </c>
      <c r="C35" s="24">
        <f>'Not MDL Filltered'!C35/(Calibration!C$34*'Corrected data'!$A35+Calibration!C$35)</f>
        <v>5.6306707601607044</v>
      </c>
      <c r="D35" s="24">
        <f>'Not MDL Filltered'!D35/(Calibration!D$34*'Corrected data'!$A35+Calibration!D$35)</f>
        <v>1.9798566281339141</v>
      </c>
      <c r="E35" s="24">
        <f>'Not MDL Filltered'!E35/(Calibration!E$34*'Corrected data'!$A35+Calibration!E$35)</f>
        <v>22710.726991400672</v>
      </c>
      <c r="F35" s="24">
        <f>'Not MDL Filltered'!F35/(Calibration!F$34*'Corrected data'!$A35+Calibration!F$35)</f>
        <v>400475.36750205478</v>
      </c>
      <c r="G35" s="24">
        <f>'Not MDL Filltered'!G35/(Calibration!G$34*'Corrected data'!$A35+Calibration!G$35)</f>
        <v>99862.691131811633</v>
      </c>
      <c r="H35" s="24">
        <f>'Not MDL Filltered'!H35/(Calibration!H$34*'Corrected data'!$A35+Calibration!H$35)</f>
        <v>383820.60870911984</v>
      </c>
      <c r="I35" s="24">
        <f>'Not MDL Filltered'!I35/(Calibration!I$34*'Corrected data'!$A35+Calibration!I$35)</f>
        <v>1623.3361127046608</v>
      </c>
      <c r="J35" s="24">
        <f>'Not MDL Filltered'!J35/(Calibration!J$34*'Corrected data'!$A35+Calibration!J$35)</f>
        <v>7402.711471901509</v>
      </c>
      <c r="K35" s="24">
        <f>'Not MDL Filltered'!K35/(Calibration!K$34*'Corrected data'!$A35+Calibration!K$35)</f>
        <v>104346.53053187169</v>
      </c>
      <c r="L35" s="24">
        <f>'Not MDL Filltered'!L35/(Calibration!L$34*'Corrected data'!$A35+Calibration!L$35)</f>
        <v>37.8986668195557</v>
      </c>
      <c r="M35" s="24">
        <f>'Not MDL Filltered'!M35/(Calibration!M$34*'Corrected data'!$A35+Calibration!M$35)</f>
        <v>17820.095547600311</v>
      </c>
      <c r="N35" s="24">
        <f>'Not MDL Filltered'!N35/(Calibration!N$34*'Corrected data'!$A35+Calibration!N$35)</f>
        <v>260.50579176252978</v>
      </c>
      <c r="O35" s="24">
        <f>'Not MDL Filltered'!O35/(Calibration!O$34*'Corrected data'!$A35+Calibration!O$35)</f>
        <v>3078.6245755986706</v>
      </c>
      <c r="P35" s="24">
        <f>'Not MDL Filltered'!P35/(Calibration!P$34*'Corrected data'!$A35+Calibration!P$35)</f>
        <v>217477.02541733996</v>
      </c>
      <c r="Q35" s="24">
        <f>'Not MDL Filltered'!Q35/(Calibration!Q$34*'Corrected data'!$A35+Calibration!Q$35)</f>
        <v>0.64242368057824117</v>
      </c>
      <c r="R35" s="24">
        <f>'Not MDL Filltered'!R35/(Calibration!R$34*'Corrected data'!$A35+Calibration!R$35)</f>
        <v>26.797029865873402</v>
      </c>
      <c r="S35" s="24">
        <f>'Not MDL Filltered'!S35/(Calibration!S$34*'Corrected data'!$A35+Calibration!S$35)</f>
        <v>1045.7679576296341</v>
      </c>
      <c r="T35" s="24">
        <f>'Not MDL Filltered'!T35/(Calibration!T$34*'Corrected data'!$A35+Calibration!T$35)</f>
        <v>40.074676812894005</v>
      </c>
      <c r="U35" s="24">
        <f>'Not MDL Filltered'!U35/(Calibration!U$34*'Corrected data'!$A35+Calibration!U$35)</f>
        <v>350.73919115607629</v>
      </c>
      <c r="V35" s="24">
        <f>'Not MDL Filltered'!V35/(Calibration!V$34*'Corrected data'!$A35+Calibration!V$35)</f>
        <v>59.493397454572651</v>
      </c>
      <c r="W35" s="24">
        <f>'Not MDL Filltered'!W35/(Calibration!W$34*'Corrected data'!$A35+Calibration!W$35)</f>
        <v>0.25919582786347228</v>
      </c>
      <c r="X35" s="24">
        <f>'Not MDL Filltered'!X35/(Calibration!X$34*'Corrected data'!$A35+Calibration!X$35)</f>
        <v>343.62110306580939</v>
      </c>
      <c r="Y35" s="24">
        <f>'Not MDL Filltered'!Y35/(Calibration!Y$34*'Corrected data'!$A35+Calibration!Y$35)</f>
        <v>55.560350827736229</v>
      </c>
      <c r="Z35" s="24">
        <f>'Not MDL Filltered'!Z35/(Calibration!Z$34*'Corrected data'!$A35+Calibration!Z$35)</f>
        <v>125.13197354046365</v>
      </c>
      <c r="AA35" s="24">
        <f>'Not MDL Filltered'!AA35/(Calibration!AA$34*'Corrected data'!$A35+Calibration!AA$35)</f>
        <v>14.167272328431473</v>
      </c>
      <c r="AB35" s="24">
        <f>'Not MDL Filltered'!AB35/(Calibration!AB$34*'Corrected data'!$A35+Calibration!AB$35)</f>
        <v>49.737585954257781</v>
      </c>
      <c r="AC35" s="24">
        <f>'Not MDL Filltered'!AC35/(Calibration!AC$34*'Corrected data'!$A35+Calibration!AC$35)</f>
        <v>9.0095394881819324</v>
      </c>
      <c r="AD35" s="24">
        <f>'Not MDL Filltered'!AD35/(Calibration!AD$34*'Corrected data'!$A35+Calibration!AD$35)</f>
        <v>2.8149517482763651</v>
      </c>
      <c r="AE35" s="24">
        <f>'Not MDL Filltered'!AE35/(Calibration!AE$34*'Corrected data'!$A35+Calibration!AE$35)</f>
        <v>12.59998559073091</v>
      </c>
      <c r="AF35" s="24">
        <f>'Not MDL Filltered'!AF35/(Calibration!AF$34*'Corrected data'!$A35+Calibration!AF$35)</f>
        <v>1.5899797549647072</v>
      </c>
      <c r="AG35" s="24">
        <f>'Not MDL Filltered'!AG35/(Calibration!AG$34*'Corrected data'!$A35+Calibration!AG$35)</f>
        <v>6.3950903371438406</v>
      </c>
      <c r="AH35" s="24">
        <f>'Not MDL Filltered'!AH35/(Calibration!AH$34*'Corrected data'!$A35+Calibration!AH$35)</f>
        <v>1.0828192278227391</v>
      </c>
      <c r="AI35" s="24">
        <f>'Not MDL Filltered'!AI35/(Calibration!AI$34*'Corrected data'!$A35+Calibration!AI$35)</f>
        <v>3.2139348567679447</v>
      </c>
      <c r="AJ35" s="24">
        <f>'Not MDL Filltered'!AJ35/(Calibration!AJ$34*'Corrected data'!$A35+Calibration!AJ$35)</f>
        <v>0.48888432031007723</v>
      </c>
      <c r="AK35" s="24">
        <f>'Not MDL Filltered'!AK35/(Calibration!AK$34*'Corrected data'!$A35+Calibration!AK$35)</f>
        <v>2.9519265260265444</v>
      </c>
      <c r="AL35" s="24">
        <f>'Not MDL Filltered'!AL35/(Calibration!AL$34*'Corrected data'!$A35+Calibration!AL$35)</f>
        <v>0.37792746321700654</v>
      </c>
      <c r="AM35" s="24">
        <f>'Not MDL Filltered'!AM35/(Calibration!AM$34*'Corrected data'!$A35+Calibration!AM$35)</f>
        <v>6.8468257799156298</v>
      </c>
      <c r="AN35" s="24">
        <f>'Not MDL Filltered'!AN35/(Calibration!AN$34*'Corrected data'!$A35+Calibration!AN$35)</f>
        <v>4.5416895022020345</v>
      </c>
      <c r="AO35" s="24">
        <f>'Not MDL Filltered'!AO35/(Calibration!AO$34*'Corrected data'!$A35+Calibration!AO$35)</f>
        <v>67.788627412367077</v>
      </c>
      <c r="AP35" s="24">
        <f>'Not MDL Filltered'!AP35/(Calibration!AP$34*'Corrected data'!$A35+Calibration!AP$35)</f>
        <v>5.4041078587409457</v>
      </c>
      <c r="AQ35" s="24">
        <f>'Not MDL Filltered'!AQ35/(Calibration!AQ$34*'Corrected data'!$A35+Calibration!AQ$35)</f>
        <v>1.1894053065626695</v>
      </c>
    </row>
    <row r="36" spans="1:43" s="24" customFormat="1" x14ac:dyDescent="0.2">
      <c r="A36" s="24">
        <v>35</v>
      </c>
      <c r="B36" s="24" t="s">
        <v>92</v>
      </c>
      <c r="C36" s="24">
        <f>'Not MDL Filltered'!C36/(Calibration!C$34*'Corrected data'!$A36+Calibration!C$35)</f>
        <v>6.9522197490410251</v>
      </c>
      <c r="D36" s="24">
        <f>'Not MDL Filltered'!D36/(Calibration!D$34*'Corrected data'!$A36+Calibration!D$35)</f>
        <v>1.0794621432272136</v>
      </c>
      <c r="E36" s="24">
        <f>'Not MDL Filltered'!E36/(Calibration!E$34*'Corrected data'!$A36+Calibration!E$35)</f>
        <v>25379.366418691643</v>
      </c>
      <c r="F36" s="24">
        <f>'Not MDL Filltered'!F36/(Calibration!F$34*'Corrected data'!$A36+Calibration!F$35)</f>
        <v>42372.367823363202</v>
      </c>
      <c r="G36" s="24">
        <f>'Not MDL Filltered'!G36/(Calibration!G$34*'Corrected data'!$A36+Calibration!G$35)</f>
        <v>91701.93070950784</v>
      </c>
      <c r="H36" s="24">
        <f>'Not MDL Filltered'!H36/(Calibration!H$34*'Corrected data'!$A36+Calibration!H$35)</f>
        <v>213787.20027114509</v>
      </c>
      <c r="I36" s="24">
        <f>'Not MDL Filltered'!I36/(Calibration!I$34*'Corrected data'!$A36+Calibration!I$35)</f>
        <v>310.90692946462468</v>
      </c>
      <c r="J36" s="24">
        <f>'Not MDL Filltered'!J36/(Calibration!J$34*'Corrected data'!$A36+Calibration!J$35)</f>
        <v>2378.7323343527964</v>
      </c>
      <c r="K36" s="24">
        <f>'Not MDL Filltered'!K36/(Calibration!K$34*'Corrected data'!$A36+Calibration!K$35)</f>
        <v>105204.17240554927</v>
      </c>
      <c r="L36" s="24">
        <f>'Not MDL Filltered'!L36/(Calibration!L$34*'Corrected data'!$A36+Calibration!L$35)</f>
        <v>41.969302513924852</v>
      </c>
      <c r="M36" s="24">
        <f>'Not MDL Filltered'!M36/(Calibration!M$34*'Corrected data'!$A36+Calibration!M$35)</f>
        <v>39645.576661707346</v>
      </c>
      <c r="N36" s="24">
        <f>'Not MDL Filltered'!N36/(Calibration!N$34*'Corrected data'!$A36+Calibration!N$35)</f>
        <v>454.39063628069846</v>
      </c>
      <c r="O36" s="24">
        <f>'Not MDL Filltered'!O36/(Calibration!O$34*'Corrected data'!$A36+Calibration!O$35)</f>
        <v>1663.7404383886051</v>
      </c>
      <c r="P36" s="24">
        <f>'Not MDL Filltered'!P36/(Calibration!P$34*'Corrected data'!$A36+Calibration!P$35)</f>
        <v>86410.658681160116</v>
      </c>
      <c r="Q36" s="24">
        <f>'Not MDL Filltered'!Q36/(Calibration!Q$34*'Corrected data'!$A36+Calibration!Q$35)</f>
        <v>0.35705139504641287</v>
      </c>
      <c r="R36" s="24">
        <f>'Not MDL Filltered'!R36/(Calibration!R$34*'Corrected data'!$A36+Calibration!R$35)</f>
        <v>10.002553797412302</v>
      </c>
      <c r="S36" s="24">
        <f>'Not MDL Filltered'!S36/(Calibration!S$34*'Corrected data'!$A36+Calibration!S$35)</f>
        <v>241.35176345329765</v>
      </c>
      <c r="T36" s="24">
        <f>'Not MDL Filltered'!T36/(Calibration!T$34*'Corrected data'!$A36+Calibration!T$35)</f>
        <v>35.117175031945166</v>
      </c>
      <c r="U36" s="24">
        <f>'Not MDL Filltered'!U36/(Calibration!U$34*'Corrected data'!$A36+Calibration!U$35)</f>
        <v>177.68436812939413</v>
      </c>
      <c r="V36" s="24">
        <f>'Not MDL Filltered'!V36/(Calibration!V$34*'Corrected data'!$A36+Calibration!V$35)</f>
        <v>25.82049112177118</v>
      </c>
      <c r="W36" s="24">
        <f>'Not MDL Filltered'!W36/(Calibration!W$34*'Corrected data'!$A36+Calibration!W$35)</f>
        <v>0.12035243603044654</v>
      </c>
      <c r="X36" s="24">
        <f>'Not MDL Filltered'!X36/(Calibration!X$34*'Corrected data'!$A36+Calibration!X$35)</f>
        <v>87.638270835720775</v>
      </c>
      <c r="Y36" s="24">
        <f>'Not MDL Filltered'!Y36/(Calibration!Y$34*'Corrected data'!$A36+Calibration!Y$35)</f>
        <v>17.518532638397815</v>
      </c>
      <c r="Z36" s="24">
        <f>'Not MDL Filltered'!Z36/(Calibration!Z$34*'Corrected data'!$A36+Calibration!Z$35)</f>
        <v>49.136700239123414</v>
      </c>
      <c r="AA36" s="24">
        <f>'Not MDL Filltered'!AA36/(Calibration!AA$34*'Corrected data'!$A36+Calibration!AA$35)</f>
        <v>7.9061159678791686</v>
      </c>
      <c r="AB36" s="24">
        <f>'Not MDL Filltered'!AB36/(Calibration!AB$34*'Corrected data'!$A36+Calibration!AB$35)</f>
        <v>34.933681355090719</v>
      </c>
      <c r="AC36" s="24">
        <f>'Not MDL Filltered'!AC36/(Calibration!AC$34*'Corrected data'!$A36+Calibration!AC$35)</f>
        <v>11.814022601823297</v>
      </c>
      <c r="AD36" s="24">
        <f>'Not MDL Filltered'!AD36/(Calibration!AD$34*'Corrected data'!$A36+Calibration!AD$35)</f>
        <v>5.3721201367968527</v>
      </c>
      <c r="AE36" s="24">
        <f>'Not MDL Filltered'!AE36/(Calibration!AE$34*'Corrected data'!$A36+Calibration!AE$35)</f>
        <v>12.800872069348438</v>
      </c>
      <c r="AF36" s="24">
        <f>'Not MDL Filltered'!AF36/(Calibration!AF$34*'Corrected data'!$A36+Calibration!AF$35)</f>
        <v>1.5400637446320478</v>
      </c>
      <c r="AG36" s="24">
        <f>'Not MDL Filltered'!AG36/(Calibration!AG$34*'Corrected data'!$A36+Calibration!AG$35)</f>
        <v>6.847086232145104</v>
      </c>
      <c r="AH36" s="24">
        <f>'Not MDL Filltered'!AH36/(Calibration!AH$34*'Corrected data'!$A36+Calibration!AH$35)</f>
        <v>1.7490246359916664</v>
      </c>
      <c r="AI36" s="24">
        <f>'Not MDL Filltered'!AI36/(Calibration!AI$34*'Corrected data'!$A36+Calibration!AI$35)</f>
        <v>5.6293184982937055</v>
      </c>
      <c r="AJ36" s="24">
        <f>'Not MDL Filltered'!AJ36/(Calibration!AJ$34*'Corrected data'!$A36+Calibration!AJ$35)</f>
        <v>0.54788471184959897</v>
      </c>
      <c r="AK36" s="24">
        <f>'Not MDL Filltered'!AK36/(Calibration!AK$34*'Corrected data'!$A36+Calibration!AK$35)</f>
        <v>2.6028108916675419</v>
      </c>
      <c r="AL36" s="24">
        <f>'Not MDL Filltered'!AL36/(Calibration!AL$34*'Corrected data'!$A36+Calibration!AL$35)</f>
        <v>0.34174123320605732</v>
      </c>
      <c r="AM36" s="24">
        <f>'Not MDL Filltered'!AM36/(Calibration!AM$34*'Corrected data'!$A36+Calibration!AM$35)</f>
        <v>4.6682031519130192</v>
      </c>
      <c r="AN36" s="24">
        <f>'Not MDL Filltered'!AN36/(Calibration!AN$34*'Corrected data'!$A36+Calibration!AN$35)</f>
        <v>2.0273869443178039</v>
      </c>
      <c r="AO36" s="24">
        <f>'Not MDL Filltered'!AO36/(Calibration!AO$34*'Corrected data'!$A36+Calibration!AO$35)</f>
        <v>5.1681786908145746</v>
      </c>
      <c r="AP36" s="24">
        <f>'Not MDL Filltered'!AP36/(Calibration!AP$34*'Corrected data'!$A36+Calibration!AP$35)</f>
        <v>0.72947422771031167</v>
      </c>
      <c r="AQ36" s="24">
        <f>'Not MDL Filltered'!AQ36/(Calibration!AQ$34*'Corrected data'!$A36+Calibration!AQ$35)</f>
        <v>0.37935230880607063</v>
      </c>
    </row>
    <row r="37" spans="1:43" s="24" customFormat="1" x14ac:dyDescent="0.2">
      <c r="A37" s="24">
        <v>36</v>
      </c>
      <c r="B37" s="24" t="s">
        <v>93</v>
      </c>
      <c r="C37" s="24">
        <f>'Not MDL Filltered'!C37/(Calibration!C$34*'Corrected data'!$A37+Calibration!C$35)</f>
        <v>5.0065172315323672</v>
      </c>
      <c r="D37" s="24">
        <f>'Not MDL Filltered'!D37/(Calibration!D$34*'Corrected data'!$A37+Calibration!D$35)</f>
        <v>2.4352433666073523</v>
      </c>
      <c r="E37" s="24">
        <f>'Not MDL Filltered'!E37/(Calibration!E$34*'Corrected data'!$A37+Calibration!E$35)</f>
        <v>26829.032063728504</v>
      </c>
      <c r="F37" s="24">
        <f>'Not MDL Filltered'!F37/(Calibration!F$34*'Corrected data'!$A37+Calibration!F$35)</f>
        <v>36268.80368871073</v>
      </c>
      <c r="G37" s="24">
        <f>'Not MDL Filltered'!G37/(Calibration!G$34*'Corrected data'!$A37+Calibration!G$35)</f>
        <v>78799.731314034667</v>
      </c>
      <c r="H37" s="24">
        <f>'Not MDL Filltered'!H37/(Calibration!H$34*'Corrected data'!$A37+Calibration!H$35)</f>
        <v>209437.18882810234</v>
      </c>
      <c r="I37" s="24">
        <f>'Not MDL Filltered'!I37/(Calibration!I$34*'Corrected data'!$A37+Calibration!I$35)</f>
        <v>2314.324001671705</v>
      </c>
      <c r="J37" s="24">
        <f>'Not MDL Filltered'!J37/(Calibration!J$34*'Corrected data'!$A37+Calibration!J$35)</f>
        <v>10018.677232405147</v>
      </c>
      <c r="K37" s="24">
        <f>'Not MDL Filltered'!K37/(Calibration!K$34*'Corrected data'!$A37+Calibration!K$35)</f>
        <v>86478.974717451245</v>
      </c>
      <c r="L37" s="24">
        <f>'Not MDL Filltered'!L37/(Calibration!L$34*'Corrected data'!$A37+Calibration!L$35)</f>
        <v>31.421721905450806</v>
      </c>
      <c r="M37" s="24">
        <f>'Not MDL Filltered'!M37/(Calibration!M$34*'Corrected data'!$A37+Calibration!M$35)</f>
        <v>18925.834380282009</v>
      </c>
      <c r="N37" s="24">
        <f>'Not MDL Filltered'!N37/(Calibration!N$34*'Corrected data'!$A37+Calibration!N$35)</f>
        <v>270.92853082520656</v>
      </c>
      <c r="O37" s="24">
        <f>'Not MDL Filltered'!O37/(Calibration!O$34*'Corrected data'!$A37+Calibration!O$35)</f>
        <v>1244.1106427810771</v>
      </c>
      <c r="P37" s="24">
        <f>'Not MDL Filltered'!P37/(Calibration!P$34*'Corrected data'!$A37+Calibration!P$35)</f>
        <v>78315.484927441459</v>
      </c>
      <c r="Q37" s="24">
        <f>'Not MDL Filltered'!Q37/(Calibration!Q$34*'Corrected data'!$A37+Calibration!Q$35)</f>
        <v>0.78537436458479437</v>
      </c>
      <c r="R37" s="24">
        <f>'Not MDL Filltered'!R37/(Calibration!R$34*'Corrected data'!$A37+Calibration!R$35)</f>
        <v>28.186730171165618</v>
      </c>
      <c r="S37" s="24">
        <f>'Not MDL Filltered'!S37/(Calibration!S$34*'Corrected data'!$A37+Calibration!S$35)</f>
        <v>806.88372872338959</v>
      </c>
      <c r="T37" s="24">
        <f>'Not MDL Filltered'!T37/(Calibration!T$34*'Corrected data'!$A37+Calibration!T$35)</f>
        <v>27.990109817669047</v>
      </c>
      <c r="U37" s="24">
        <f>'Not MDL Filltered'!U37/(Calibration!U$34*'Corrected data'!$A37+Calibration!U$35)</f>
        <v>291.53346040038565</v>
      </c>
      <c r="V37" s="24">
        <f>'Not MDL Filltered'!V37/(Calibration!V$34*'Corrected data'!$A37+Calibration!V$35)</f>
        <v>68.378497426431224</v>
      </c>
      <c r="W37" s="24">
        <f>'Not MDL Filltered'!W37/(Calibration!W$34*'Corrected data'!$A37+Calibration!W$35)</f>
        <v>0.29886417415996208</v>
      </c>
      <c r="X37" s="24">
        <f>'Not MDL Filltered'!X37/(Calibration!X$34*'Corrected data'!$A37+Calibration!X$35)</f>
        <v>356.98447169784265</v>
      </c>
      <c r="Y37" s="24">
        <f>'Not MDL Filltered'!Y37/(Calibration!Y$34*'Corrected data'!$A37+Calibration!Y$35)</f>
        <v>48.655749172191051</v>
      </c>
      <c r="Z37" s="24">
        <f>'Not MDL Filltered'!Z37/(Calibration!Z$34*'Corrected data'!$A37+Calibration!Z$35)</f>
        <v>103.68868479234335</v>
      </c>
      <c r="AA37" s="24">
        <f>'Not MDL Filltered'!AA37/(Calibration!AA$34*'Corrected data'!$A37+Calibration!AA$35)</f>
        <v>12.366610626770566</v>
      </c>
      <c r="AB37" s="24">
        <f>'Not MDL Filltered'!AB37/(Calibration!AB$34*'Corrected data'!$A37+Calibration!AB$35)</f>
        <v>50.399349610801373</v>
      </c>
      <c r="AC37" s="24">
        <f>'Not MDL Filltered'!AC37/(Calibration!AC$34*'Corrected data'!$A37+Calibration!AC$35)</f>
        <v>9.9415073397899842</v>
      </c>
      <c r="AD37" s="24">
        <f>'Not MDL Filltered'!AD37/(Calibration!AD$34*'Corrected data'!$A37+Calibration!AD$35)</f>
        <v>3.0749052623543949</v>
      </c>
      <c r="AE37" s="24">
        <f>'Not MDL Filltered'!AE37/(Calibration!AE$34*'Corrected data'!$A37+Calibration!AE$35)</f>
        <v>8.4230357875531663</v>
      </c>
      <c r="AF37" s="24">
        <f>'Not MDL Filltered'!AF37/(Calibration!AF$34*'Corrected data'!$A37+Calibration!AF$35)</f>
        <v>1.1175913531310713</v>
      </c>
      <c r="AG37" s="24">
        <f>'Not MDL Filltered'!AG37/(Calibration!AG$34*'Corrected data'!$A37+Calibration!AG$35)</f>
        <v>6.0530642810966535</v>
      </c>
      <c r="AH37" s="24">
        <f>'Not MDL Filltered'!AH37/(Calibration!AH$34*'Corrected data'!$A37+Calibration!AH$35)</f>
        <v>1.0438219146307544</v>
      </c>
      <c r="AI37" s="24">
        <f>'Not MDL Filltered'!AI37/(Calibration!AI$34*'Corrected data'!$A37+Calibration!AI$35)</f>
        <v>2.7701966148409931</v>
      </c>
      <c r="AJ37" s="24">
        <f>'Not MDL Filltered'!AJ37/(Calibration!AJ$34*'Corrected data'!$A37+Calibration!AJ$35)</f>
        <v>0.36809016410026618</v>
      </c>
      <c r="AK37" s="24">
        <f>'Not MDL Filltered'!AK37/(Calibration!AK$34*'Corrected data'!$A37+Calibration!AK$35)</f>
        <v>2.0143816349648169</v>
      </c>
      <c r="AL37" s="24">
        <f>'Not MDL Filltered'!AL37/(Calibration!AL$34*'Corrected data'!$A37+Calibration!AL$35)</f>
        <v>0.25345935578996137</v>
      </c>
      <c r="AM37" s="24">
        <f>'Not MDL Filltered'!AM37/(Calibration!AM$34*'Corrected data'!$A37+Calibration!AM$35)</f>
        <v>6.8703635298730781</v>
      </c>
      <c r="AN37" s="24">
        <f>'Not MDL Filltered'!AN37/(Calibration!AN$34*'Corrected data'!$A37+Calibration!AN$35)</f>
        <v>4.1558296085460897</v>
      </c>
      <c r="AO37" s="24">
        <f>'Not MDL Filltered'!AO37/(Calibration!AO$34*'Corrected data'!$A37+Calibration!AO$35)</f>
        <v>19.005295263552888</v>
      </c>
      <c r="AP37" s="24">
        <f>'Not MDL Filltered'!AP37/(Calibration!AP$34*'Corrected data'!$A37+Calibration!AP$35)</f>
        <v>4.9782516260958882</v>
      </c>
      <c r="AQ37" s="24">
        <f>'Not MDL Filltered'!AQ37/(Calibration!AQ$34*'Corrected data'!$A37+Calibration!AQ$35)</f>
        <v>1.3848245066385518</v>
      </c>
    </row>
    <row r="38" spans="1:43" s="24" customFormat="1" x14ac:dyDescent="0.2">
      <c r="A38" s="19">
        <v>37</v>
      </c>
      <c r="B38" s="19" t="s">
        <v>94</v>
      </c>
      <c r="C38" s="19">
        <f>'Not MDL Filltered'!C38/(Calibration!C$34*'Corrected data'!$A38+Calibration!C$35)</f>
        <v>4.5573931145565352</v>
      </c>
      <c r="D38" s="19">
        <f>'Not MDL Filltered'!D38/(Calibration!D$34*'Corrected data'!$A38+Calibration!D$35)</f>
        <v>2.4471062733577771</v>
      </c>
      <c r="E38" s="19">
        <f>'Not MDL Filltered'!E38/(Calibration!E$34*'Corrected data'!$A38+Calibration!E$35)</f>
        <v>16698.50415542371</v>
      </c>
      <c r="F38" s="19">
        <f>'Not MDL Filltered'!F38/(Calibration!F$34*'Corrected data'!$A38+Calibration!F$35)</f>
        <v>41615.080186648149</v>
      </c>
      <c r="G38" s="19">
        <f>'Not MDL Filltered'!G38/(Calibration!G$34*'Corrected data'!$A38+Calibration!G$35)</f>
        <v>68164.588031218242</v>
      </c>
      <c r="H38" s="19">
        <f>'Not MDL Filltered'!H38/(Calibration!H$34*'Corrected data'!$A38+Calibration!H$35)</f>
        <v>229219.35973869642</v>
      </c>
      <c r="I38" s="19">
        <f>'Not MDL Filltered'!I38/(Calibration!I$34*'Corrected data'!$A38+Calibration!I$35)</f>
        <v>956.2590907976421</v>
      </c>
      <c r="J38" s="19">
        <f>'Not MDL Filltered'!J38/(Calibration!J$34*'Corrected data'!$A38+Calibration!J$35)</f>
        <v>4037.2007716440962</v>
      </c>
      <c r="K38" s="19">
        <f>'Not MDL Filltered'!K38/(Calibration!K$34*'Corrected data'!$A38+Calibration!K$35)</f>
        <v>77901.847494783113</v>
      </c>
      <c r="L38" s="19">
        <f>'Not MDL Filltered'!L38/(Calibration!L$34*'Corrected data'!$A38+Calibration!L$35)</f>
        <v>31.586250714682528</v>
      </c>
      <c r="M38" s="19">
        <f>'Not MDL Filltered'!M38/(Calibration!M$34*'Corrected data'!$A38+Calibration!M$35)</f>
        <v>14533.94935995344</v>
      </c>
      <c r="N38" s="19">
        <f>'Not MDL Filltered'!N38/(Calibration!N$34*'Corrected data'!$A38+Calibration!N$35)</f>
        <v>285.71693171809312</v>
      </c>
      <c r="O38" s="19">
        <f>'Not MDL Filltered'!O38/(Calibration!O$34*'Corrected data'!$A38+Calibration!O$35)</f>
        <v>1177.9386111113129</v>
      </c>
      <c r="P38" s="19">
        <f>'Not MDL Filltered'!P38/(Calibration!P$34*'Corrected data'!$A38+Calibration!P$35)</f>
        <v>76445.318548417737</v>
      </c>
      <c r="Q38" s="19">
        <f>'Not MDL Filltered'!Q38/(Calibration!Q$34*'Corrected data'!$A38+Calibration!Q$35)</f>
        <v>0.12948047787095196</v>
      </c>
      <c r="R38" s="19">
        <f>'Not MDL Filltered'!R38/(Calibration!R$34*'Corrected data'!$A38+Calibration!R$35)</f>
        <v>8.5343793796913729</v>
      </c>
      <c r="S38" s="19">
        <f>'Not MDL Filltered'!S38/(Calibration!S$34*'Corrected data'!$A38+Calibration!S$35)</f>
        <v>344.08446529086712</v>
      </c>
      <c r="T38" s="19">
        <f>'Not MDL Filltered'!T38/(Calibration!T$34*'Corrected data'!$A38+Calibration!T$35)</f>
        <v>26.208146956473453</v>
      </c>
      <c r="U38" s="19">
        <f>'Not MDL Filltered'!U38/(Calibration!U$34*'Corrected data'!$A38+Calibration!U$35)</f>
        <v>156.24727445893404</v>
      </c>
      <c r="V38" s="19">
        <f>'Not MDL Filltered'!V38/(Calibration!V$34*'Corrected data'!$A38+Calibration!V$35)</f>
        <v>14.058628510875907</v>
      </c>
      <c r="W38" s="19">
        <f>'Not MDL Filltered'!W38/(Calibration!W$34*'Corrected data'!$A38+Calibration!W$35)</f>
        <v>0.12671863568447628</v>
      </c>
      <c r="X38" s="19">
        <f>'Not MDL Filltered'!X38/(Calibration!X$34*'Corrected data'!$A38+Calibration!X$35)</f>
        <v>109.38476019294987</v>
      </c>
      <c r="Y38" s="19">
        <f>'Not MDL Filltered'!Y38/(Calibration!Y$34*'Corrected data'!$A38+Calibration!Y$35)</f>
        <v>12.017643986599099</v>
      </c>
      <c r="Z38" s="19">
        <f>'Not MDL Filltered'!Z38/(Calibration!Z$34*'Corrected data'!$A38+Calibration!Z$35)</f>
        <v>30.275717180042953</v>
      </c>
      <c r="AA38" s="19">
        <f>'Not MDL Filltered'!AA38/(Calibration!AA$34*'Corrected data'!$A38+Calibration!AA$35)</f>
        <v>4.4099895394566193</v>
      </c>
      <c r="AB38" s="19">
        <f>'Not MDL Filltered'!AB38/(Calibration!AB$34*'Corrected data'!$A38+Calibration!AB$35)</f>
        <v>21.045564470980104</v>
      </c>
      <c r="AC38" s="19">
        <f>'Not MDL Filltered'!AC38/(Calibration!AC$34*'Corrected data'!$A38+Calibration!AC$35)</f>
        <v>5.4358723543102654</v>
      </c>
      <c r="AD38" s="19">
        <f>'Not MDL Filltered'!AD38/(Calibration!AD$34*'Corrected data'!$A38+Calibration!AD$35)</f>
        <v>1.7442825397908734</v>
      </c>
      <c r="AE38" s="19">
        <f>'Not MDL Filltered'!AE38/(Calibration!AE$34*'Corrected data'!$A38+Calibration!AE$35)</f>
        <v>5.9232153774425154</v>
      </c>
      <c r="AF38" s="19">
        <f>'Not MDL Filltered'!AF38/(Calibration!AF$34*'Corrected data'!$A38+Calibration!AF$35)</f>
        <v>0.84797873780984645</v>
      </c>
      <c r="AG38" s="19">
        <f>'Not MDL Filltered'!AG38/(Calibration!AG$34*'Corrected data'!$A38+Calibration!AG$35)</f>
        <v>5.1883301408404661</v>
      </c>
      <c r="AH38" s="19">
        <f>'Not MDL Filltered'!AH38/(Calibration!AH$34*'Corrected data'!$A38+Calibration!AH$35)</f>
        <v>0.89502162320804146</v>
      </c>
      <c r="AI38" s="19">
        <f>'Not MDL Filltered'!AI38/(Calibration!AI$34*'Corrected data'!$A38+Calibration!AI$35)</f>
        <v>2.2637997019482725</v>
      </c>
      <c r="AJ38" s="19">
        <f>'Not MDL Filltered'!AJ38/(Calibration!AJ$34*'Corrected data'!$A38+Calibration!AJ$35)</f>
        <v>0.30856189723302385</v>
      </c>
      <c r="AK38" s="19">
        <f>'Not MDL Filltered'!AK38/(Calibration!AK$34*'Corrected data'!$A38+Calibration!AK$35)</f>
        <v>2.2237375164929709</v>
      </c>
      <c r="AL38" s="19">
        <f>'Not MDL Filltered'!AL38/(Calibration!AL$34*'Corrected data'!$A38+Calibration!AL$35)</f>
        <v>0.28697365000269476</v>
      </c>
      <c r="AM38" s="19">
        <f>'Not MDL Filltered'!AM38/(Calibration!AM$34*'Corrected data'!$A38+Calibration!AM$35)</f>
        <v>3.877402754046356</v>
      </c>
      <c r="AN38" s="19">
        <f>'Not MDL Filltered'!AN38/(Calibration!AN$34*'Corrected data'!$A38+Calibration!AN$35)</f>
        <v>0.90205104034822148</v>
      </c>
      <c r="AO38" s="19">
        <f>'Not MDL Filltered'!AO38/(Calibration!AO$34*'Corrected data'!$A38+Calibration!AO$35)</f>
        <v>1.897312621161342</v>
      </c>
      <c r="AP38" s="19">
        <f>'Not MDL Filltered'!AP38/(Calibration!AP$34*'Corrected data'!$A38+Calibration!AP$35)</f>
        <v>1.020018717683143</v>
      </c>
      <c r="AQ38" s="19">
        <f>'Not MDL Filltered'!AQ38/(Calibration!AQ$34*'Corrected data'!$A38+Calibration!AQ$35)</f>
        <v>0.45875559461065113</v>
      </c>
    </row>
    <row r="39" spans="1:43" s="8" customFormat="1" x14ac:dyDescent="0.2">
      <c r="A39" s="8">
        <v>38</v>
      </c>
      <c r="B39" s="8" t="s">
        <v>95</v>
      </c>
      <c r="C39" s="8">
        <f>'Not MDL Filltered'!C39/(Calibration!C$34*'Corrected data'!$A39+Calibration!C$35)</f>
        <v>9.0815053324358885</v>
      </c>
      <c r="D39" s="8">
        <f>'Not MDL Filltered'!D39/(Calibration!D$34*'Corrected data'!$A39+Calibration!D$35)</f>
        <v>16.319948790805672</v>
      </c>
      <c r="E39" s="8">
        <f>'Not MDL Filltered'!E39/(Calibration!E$34*'Corrected data'!$A39+Calibration!E$35)</f>
        <v>6351.6040540710428</v>
      </c>
      <c r="F39" s="8">
        <f>'Not MDL Filltered'!F39/(Calibration!F$34*'Corrected data'!$A39+Calibration!F$35)</f>
        <v>140470.90410891414</v>
      </c>
      <c r="G39" s="8">
        <f>'Not MDL Filltered'!G39/(Calibration!G$34*'Corrected data'!$A39+Calibration!G$35)</f>
        <v>56724.085327277135</v>
      </c>
      <c r="H39" s="8">
        <f>'Not MDL Filltered'!H39/(Calibration!H$34*'Corrected data'!$A39+Calibration!H$35)</f>
        <v>208717.3546524308</v>
      </c>
      <c r="I39" s="8">
        <f>'Not MDL Filltered'!I39/(Calibration!I$34*'Corrected data'!$A39+Calibration!I$35)</f>
        <v>124.38107921841635</v>
      </c>
      <c r="J39" s="8">
        <f>'Not MDL Filltered'!J39/(Calibration!J$34*'Corrected data'!$A39+Calibration!J$35)</f>
        <v>175.54647800291548</v>
      </c>
      <c r="K39" s="8">
        <f>'Not MDL Filltered'!K39/(Calibration!K$34*'Corrected data'!$A39+Calibration!K$35)</f>
        <v>60392.352177947461</v>
      </c>
      <c r="L39" s="8">
        <f>'Not MDL Filltered'!L39/(Calibration!L$34*'Corrected data'!$A39+Calibration!L$35)</f>
        <v>33.438636178757584</v>
      </c>
      <c r="M39" s="8">
        <f>'Not MDL Filltered'!M39/(Calibration!M$34*'Corrected data'!$A39+Calibration!M$35)</f>
        <v>1820.9766621170904</v>
      </c>
      <c r="N39" s="8">
        <f>'Not MDL Filltered'!N39/(Calibration!N$34*'Corrected data'!$A39+Calibration!N$35)</f>
        <v>231.65133387200973</v>
      </c>
      <c r="O39" s="8">
        <f>'Not MDL Filltered'!O39/(Calibration!O$34*'Corrected data'!$A39+Calibration!O$35)</f>
        <v>1252.2078369505621</v>
      </c>
      <c r="P39" s="8">
        <f>'Not MDL Filltered'!P39/(Calibration!P$34*'Corrected data'!$A39+Calibration!P$35)</f>
        <v>82707.281499692879</v>
      </c>
      <c r="Q39" s="8">
        <f>'Not MDL Filltered'!Q39/(Calibration!Q$34*'Corrected data'!$A39+Calibration!Q$35)</f>
        <v>0.15098063615552915</v>
      </c>
      <c r="R39" s="8">
        <f>'Not MDL Filltered'!R39/(Calibration!R$34*'Corrected data'!$A39+Calibration!R$35)</f>
        <v>2.0480187367515787</v>
      </c>
      <c r="S39" s="8">
        <f>'Not MDL Filltered'!S39/(Calibration!S$34*'Corrected data'!$A39+Calibration!S$35)</f>
        <v>15.517553314946353</v>
      </c>
      <c r="T39" s="8">
        <f>'Not MDL Filltered'!T39/(Calibration!T$34*'Corrected data'!$A39+Calibration!T$35)</f>
        <v>11.983866057816012</v>
      </c>
      <c r="U39" s="8">
        <f>'Not MDL Filltered'!U39/(Calibration!U$34*'Corrected data'!$A39+Calibration!U$35)</f>
        <v>9.1277784186429969</v>
      </c>
      <c r="V39" s="8">
        <f>'Not MDL Filltered'!V39/(Calibration!V$34*'Corrected data'!$A39+Calibration!V$35)</f>
        <v>4.4546671485403991E-2</v>
      </c>
      <c r="W39" s="8">
        <f>'Not MDL Filltered'!W39/(Calibration!W$34*'Corrected data'!$A39+Calibration!W$35)</f>
        <v>7.7950088758617841</v>
      </c>
      <c r="X39" s="8">
        <f>'Not MDL Filltered'!X39/(Calibration!X$34*'Corrected data'!$A39+Calibration!X$35)</f>
        <v>0.82217602415954771</v>
      </c>
      <c r="Y39" s="8">
        <f>'Not MDL Filltered'!Y39/(Calibration!Y$34*'Corrected data'!$A39+Calibration!Y$35)</f>
        <v>7.9393274857886081E-2</v>
      </c>
      <c r="Z39" s="8">
        <f>'Not MDL Filltered'!Z39/(Calibration!Z$34*'Corrected data'!$A39+Calibration!Z$35)</f>
        <v>0.35753562306052639</v>
      </c>
      <c r="AA39" s="8">
        <f>'Not MDL Filltered'!AA39/(Calibration!AA$34*'Corrected data'!$A39+Calibration!AA$35)</f>
        <v>8.5002186342646266E-2</v>
      </c>
      <c r="AB39" s="8">
        <f>'Not MDL Filltered'!AB39/(Calibration!AB$34*'Corrected data'!$A39+Calibration!AB$35)</f>
        <v>0.56399465230901924</v>
      </c>
      <c r="AC39" s="8">
        <f>'Not MDL Filltered'!AC39/(Calibration!AC$34*'Corrected data'!$A39+Calibration!AC$35)</f>
        <v>0.48521112400496563</v>
      </c>
      <c r="AD39" s="8">
        <f>'Not MDL Filltered'!AD39/(Calibration!AD$34*'Corrected data'!$A39+Calibration!AD$35)</f>
        <v>0.25740773121066002</v>
      </c>
      <c r="AE39" s="8">
        <f>'Not MDL Filltered'!AE39/(Calibration!AE$34*'Corrected data'!$A39+Calibration!AE$35)</f>
        <v>1.1313505465373861</v>
      </c>
      <c r="AF39" s="8">
        <f>'Not MDL Filltered'!AF39/(Calibration!AF$34*'Corrected data'!$A39+Calibration!AF$35)</f>
        <v>0.23270070436053561</v>
      </c>
      <c r="AG39" s="8">
        <f>'Not MDL Filltered'!AG39/(Calibration!AG$34*'Corrected data'!$A39+Calibration!AG$35)</f>
        <v>2.1263838128960431</v>
      </c>
      <c r="AH39" s="8">
        <f>'Not MDL Filltered'!AH39/(Calibration!AH$34*'Corrected data'!$A39+Calibration!AH$35)</f>
        <v>0.44369020219962663</v>
      </c>
      <c r="AI39" s="8">
        <f>'Not MDL Filltered'!AI39/(Calibration!AI$34*'Corrected data'!$A39+Calibration!AI$35)</f>
        <v>1.4421377554360633</v>
      </c>
      <c r="AJ39" s="8">
        <f>'Not MDL Filltered'!AJ39/(Calibration!AJ$34*'Corrected data'!$A39+Calibration!AJ$35)</f>
        <v>0.22151631516808473</v>
      </c>
      <c r="AK39" s="8">
        <f>'Not MDL Filltered'!AK39/(Calibration!AK$34*'Corrected data'!$A39+Calibration!AK$35)</f>
        <v>1.4159740062677424</v>
      </c>
      <c r="AL39" s="8">
        <f>'Not MDL Filltered'!AL39/(Calibration!AL$34*'Corrected data'!$A39+Calibration!AL$35)</f>
        <v>0.20056721950456324</v>
      </c>
      <c r="AM39" s="8">
        <f>'Not MDL Filltered'!AM39/(Calibration!AM$34*'Corrected data'!$A39+Calibration!AM$35)</f>
        <v>0.35907935279449738</v>
      </c>
      <c r="AN39" s="8">
        <f>'Not MDL Filltered'!AN39/(Calibration!AN$34*'Corrected data'!$A39+Calibration!AN$35)</f>
        <v>2.0471973272551364E-2</v>
      </c>
      <c r="AO39" s="8">
        <f>'Not MDL Filltered'!AO39/(Calibration!AO$34*'Corrected data'!$A39+Calibration!AO$35)</f>
        <v>22.170110258868647</v>
      </c>
      <c r="AP39" s="8">
        <f>'Not MDL Filltered'!AP39/(Calibration!AP$34*'Corrected data'!$A39+Calibration!AP$35)</f>
        <v>5.9022895161823111E-3</v>
      </c>
      <c r="AQ39" s="8">
        <f>'Not MDL Filltered'!AQ39/(Calibration!AQ$34*'Corrected data'!$A39+Calibration!AQ$35)</f>
        <v>5.3329199343557399E-2</v>
      </c>
    </row>
    <row r="40" spans="1:43" s="24" customFormat="1" x14ac:dyDescent="0.2">
      <c r="A40" s="19">
        <v>39</v>
      </c>
      <c r="B40" s="19" t="s">
        <v>97</v>
      </c>
      <c r="C40" s="19">
        <f>'Not MDL Filltered'!C40/(Calibration!C$34*'Corrected data'!$A40+Calibration!C$35)</f>
        <v>5.1544494928554032</v>
      </c>
      <c r="D40" s="19">
        <f>'Not MDL Filltered'!D40/(Calibration!D$34*'Corrected data'!$A40+Calibration!D$35)</f>
        <v>2.4705425823075045</v>
      </c>
      <c r="E40" s="19">
        <f>'Not MDL Filltered'!E40/(Calibration!E$34*'Corrected data'!$A40+Calibration!E$35)</f>
        <v>17434.667570780322</v>
      </c>
      <c r="F40" s="19">
        <f>'Not MDL Filltered'!F40/(Calibration!F$34*'Corrected data'!$A40+Calibration!F$35)</f>
        <v>43451.980826912426</v>
      </c>
      <c r="G40" s="19">
        <f>'Not MDL Filltered'!G40/(Calibration!G$34*'Corrected data'!$A40+Calibration!G$35)</f>
        <v>69026.959585388991</v>
      </c>
      <c r="H40" s="19">
        <f>'Not MDL Filltered'!H40/(Calibration!H$34*'Corrected data'!$A40+Calibration!H$35)</f>
        <v>237338.05618400549</v>
      </c>
      <c r="I40" s="19">
        <f>'Not MDL Filltered'!I40/(Calibration!I$34*'Corrected data'!$A40+Calibration!I$35)</f>
        <v>1001.5977286194762</v>
      </c>
      <c r="J40" s="19">
        <f>'Not MDL Filltered'!J40/(Calibration!J$34*'Corrected data'!$A40+Calibration!J$35)</f>
        <v>4064.2147260042225</v>
      </c>
      <c r="K40" s="19">
        <f>'Not MDL Filltered'!K40/(Calibration!K$34*'Corrected data'!$A40+Calibration!K$35)</f>
        <v>77901.837706956474</v>
      </c>
      <c r="L40" s="19">
        <f>'Not MDL Filltered'!L40/(Calibration!L$34*'Corrected data'!$A40+Calibration!L$35)</f>
        <v>32.494328136620894</v>
      </c>
      <c r="M40" s="19">
        <f>'Not MDL Filltered'!M40/(Calibration!M$34*'Corrected data'!$A40+Calibration!M$35)</f>
        <v>15854.915552091801</v>
      </c>
      <c r="N40" s="19">
        <f>'Not MDL Filltered'!N40/(Calibration!N$34*'Corrected data'!$A40+Calibration!N$35)</f>
        <v>317.9021064360532</v>
      </c>
      <c r="O40" s="19">
        <f>'Not MDL Filltered'!O40/(Calibration!O$34*'Corrected data'!$A40+Calibration!O$35)</f>
        <v>1299.162001515906</v>
      </c>
      <c r="P40" s="19">
        <f>'Not MDL Filltered'!P40/(Calibration!P$34*'Corrected data'!$A40+Calibration!P$35)</f>
        <v>83565.72063716581</v>
      </c>
      <c r="Q40" s="19">
        <f>'Not MDL Filltered'!Q40/(Calibration!Q$34*'Corrected data'!$A40+Calibration!Q$35)</f>
        <v>0.2284283695653225</v>
      </c>
      <c r="R40" s="19">
        <f>'Not MDL Filltered'!R40/(Calibration!R$34*'Corrected data'!$A40+Calibration!R$35)</f>
        <v>8.823550546992097</v>
      </c>
      <c r="S40" s="19">
        <f>'Not MDL Filltered'!S40/(Calibration!S$34*'Corrected data'!$A40+Calibration!S$35)</f>
        <v>350.35063756109395</v>
      </c>
      <c r="T40" s="19">
        <f>'Not MDL Filltered'!T40/(Calibration!T$34*'Corrected data'!$A40+Calibration!T$35)</f>
        <v>25.148147080050304</v>
      </c>
      <c r="U40" s="19">
        <f>'Not MDL Filltered'!U40/(Calibration!U$34*'Corrected data'!$A40+Calibration!U$35)</f>
        <v>147.20509584607501</v>
      </c>
      <c r="V40" s="19">
        <f>'Not MDL Filltered'!V40/(Calibration!V$34*'Corrected data'!$A40+Calibration!V$35)</f>
        <v>15.412449395010333</v>
      </c>
      <c r="W40" s="19">
        <f>'Not MDL Filltered'!W40/(Calibration!W$34*'Corrected data'!$A40+Calibration!W$35)</f>
        <v>0.13212416915618314</v>
      </c>
      <c r="X40" s="19">
        <f>'Not MDL Filltered'!X40/(Calibration!X$34*'Corrected data'!$A40+Calibration!X$35)</f>
        <v>123.75064185314046</v>
      </c>
      <c r="Y40" s="19">
        <f>'Not MDL Filltered'!Y40/(Calibration!Y$34*'Corrected data'!$A40+Calibration!Y$35)</f>
        <v>13.076827740563655</v>
      </c>
      <c r="Z40" s="19">
        <f>'Not MDL Filltered'!Z40/(Calibration!Z$34*'Corrected data'!$A40+Calibration!Z$35)</f>
        <v>32.131027390344215</v>
      </c>
      <c r="AA40" s="19">
        <f>'Not MDL Filltered'!AA40/(Calibration!AA$34*'Corrected data'!$A40+Calibration!AA$35)</f>
        <v>4.6014668382533355</v>
      </c>
      <c r="AB40" s="19">
        <f>'Not MDL Filltered'!AB40/(Calibration!AB$34*'Corrected data'!$A40+Calibration!AB$35)</f>
        <v>21.409162064981039</v>
      </c>
      <c r="AC40" s="19">
        <f>'Not MDL Filltered'!AC40/(Calibration!AC$34*'Corrected data'!$A40+Calibration!AC$35)</f>
        <v>5.4889564565463136</v>
      </c>
      <c r="AD40" s="19">
        <f>'Not MDL Filltered'!AD40/(Calibration!AD$34*'Corrected data'!$A40+Calibration!AD$35)</f>
        <v>1.9747956994995224</v>
      </c>
      <c r="AE40" s="19">
        <f>'Not MDL Filltered'!AE40/(Calibration!AE$34*'Corrected data'!$A40+Calibration!AE$35)</f>
        <v>6.1342793560950639</v>
      </c>
      <c r="AF40" s="19">
        <f>'Not MDL Filltered'!AF40/(Calibration!AF$34*'Corrected data'!$A40+Calibration!AF$35)</f>
        <v>0.87663306305766053</v>
      </c>
      <c r="AG40" s="19">
        <f>'Not MDL Filltered'!AG40/(Calibration!AG$34*'Corrected data'!$A40+Calibration!AG$35)</f>
        <v>5.0541775680615952</v>
      </c>
      <c r="AH40" s="19">
        <f>'Not MDL Filltered'!AH40/(Calibration!AH$34*'Corrected data'!$A40+Calibration!AH$35)</f>
        <v>0.99517394223981215</v>
      </c>
      <c r="AI40" s="19">
        <f>'Not MDL Filltered'!AI40/(Calibration!AI$34*'Corrected data'!$A40+Calibration!AI$35)</f>
        <v>2.5705394297318671</v>
      </c>
      <c r="AJ40" s="19">
        <f>'Not MDL Filltered'!AJ40/(Calibration!AJ$34*'Corrected data'!$A40+Calibration!AJ$35)</f>
        <v>0.3138433689404368</v>
      </c>
      <c r="AK40" s="19">
        <f>'Not MDL Filltered'!AK40/(Calibration!AK$34*'Corrected data'!$A40+Calibration!AK$35)</f>
        <v>1.9643616163385793</v>
      </c>
      <c r="AL40" s="19">
        <f>'Not MDL Filltered'!AL40/(Calibration!AL$34*'Corrected data'!$A40+Calibration!AL$35)</f>
        <v>0.2803143492710779</v>
      </c>
      <c r="AM40" s="19">
        <f>'Not MDL Filltered'!AM40/(Calibration!AM$34*'Corrected data'!$A40+Calibration!AM$35)</f>
        <v>4.1077115807241258</v>
      </c>
      <c r="AN40" s="19">
        <f>'Not MDL Filltered'!AN40/(Calibration!AN$34*'Corrected data'!$A40+Calibration!AN$35)</f>
        <v>0.93231655846839556</v>
      </c>
      <c r="AO40" s="19">
        <f>'Not MDL Filltered'!AO40/(Calibration!AO$34*'Corrected data'!$A40+Calibration!AO$35)</f>
        <v>2.1491867452442426</v>
      </c>
      <c r="AP40" s="19">
        <f>'Not MDL Filltered'!AP40/(Calibration!AP$34*'Corrected data'!$A40+Calibration!AP$35)</f>
        <v>1.0107656102669478</v>
      </c>
      <c r="AQ40" s="19">
        <f>'Not MDL Filltered'!AQ40/(Calibration!AQ$34*'Corrected data'!$A40+Calibration!AQ$35)</f>
        <v>0.49483683437064518</v>
      </c>
    </row>
    <row r="41" spans="1:43" s="24" customFormat="1" x14ac:dyDescent="0.2">
      <c r="A41" s="19">
        <v>40</v>
      </c>
      <c r="B41" s="19" t="s">
        <v>98</v>
      </c>
      <c r="C41" s="19">
        <f>'Not MDL Filltered'!C41/(Calibration!C$34*'Corrected data'!$A41+Calibration!C$35)</f>
        <v>5.0715750961248798</v>
      </c>
      <c r="D41" s="19">
        <f>'Not MDL Filltered'!D41/(Calibration!D$34*'Corrected data'!$A41+Calibration!D$35)</f>
        <v>2.6655792500515498</v>
      </c>
      <c r="E41" s="19">
        <f>'Not MDL Filltered'!E41/(Calibration!E$34*'Corrected data'!$A41+Calibration!E$35)</f>
        <v>17904.145322078199</v>
      </c>
      <c r="F41" s="19">
        <f>'Not MDL Filltered'!F41/(Calibration!F$34*'Corrected data'!$A41+Calibration!F$35)</f>
        <v>44381.495166624038</v>
      </c>
      <c r="G41" s="19">
        <f>'Not MDL Filltered'!G41/(Calibration!G$34*'Corrected data'!$A41+Calibration!G$35)</f>
        <v>69982.559161506375</v>
      </c>
      <c r="H41" s="19">
        <f>'Not MDL Filltered'!H41/(Calibration!H$34*'Corrected data'!$A41+Calibration!H$35)</f>
        <v>238595.13118302246</v>
      </c>
      <c r="I41" s="19">
        <f>'Not MDL Filltered'!I41/(Calibration!I$34*'Corrected data'!$A41+Calibration!I$35)</f>
        <v>1036.6618008353962</v>
      </c>
      <c r="J41" s="19">
        <f>'Not MDL Filltered'!J41/(Calibration!J$34*'Corrected data'!$A41+Calibration!J$35)</f>
        <v>3966.8947577471545</v>
      </c>
      <c r="K41" s="19">
        <f>'Not MDL Filltered'!K41/(Calibration!K$34*'Corrected data'!$A41+Calibration!K$35)</f>
        <v>77901.847813073531</v>
      </c>
      <c r="L41" s="19">
        <f>'Not MDL Filltered'!L41/(Calibration!L$34*'Corrected data'!$A41+Calibration!L$35)</f>
        <v>31.440510750746746</v>
      </c>
      <c r="M41" s="19">
        <f>'Not MDL Filltered'!M41/(Calibration!M$34*'Corrected data'!$A41+Calibration!M$35)</f>
        <v>15772.537887974242</v>
      </c>
      <c r="N41" s="19">
        <f>'Not MDL Filltered'!N41/(Calibration!N$34*'Corrected data'!$A41+Calibration!N$35)</f>
        <v>314.9370766692598</v>
      </c>
      <c r="O41" s="19">
        <f>'Not MDL Filltered'!O41/(Calibration!O$34*'Corrected data'!$A41+Calibration!O$35)</f>
        <v>1289.2292987117139</v>
      </c>
      <c r="P41" s="19">
        <f>'Not MDL Filltered'!P41/(Calibration!P$34*'Corrected data'!$A41+Calibration!P$35)</f>
        <v>85472.508987258145</v>
      </c>
      <c r="Q41" s="19">
        <f>'Not MDL Filltered'!Q41/(Calibration!Q$34*'Corrected data'!$A41+Calibration!Q$35)</f>
        <v>0.16048580252521716</v>
      </c>
      <c r="R41" s="19">
        <f>'Not MDL Filltered'!R41/(Calibration!R$34*'Corrected data'!$A41+Calibration!R$35)</f>
        <v>8.9630684293826768</v>
      </c>
      <c r="S41" s="19">
        <f>'Not MDL Filltered'!S41/(Calibration!S$34*'Corrected data'!$A41+Calibration!S$35)</f>
        <v>355.97436505762585</v>
      </c>
      <c r="T41" s="19">
        <f>'Not MDL Filltered'!T41/(Calibration!T$34*'Corrected data'!$A41+Calibration!T$35)</f>
        <v>24.79682147511274</v>
      </c>
      <c r="U41" s="19">
        <f>'Not MDL Filltered'!U41/(Calibration!U$34*'Corrected data'!$A41+Calibration!U$35)</f>
        <v>148.856207310862</v>
      </c>
      <c r="V41" s="19">
        <f>'Not MDL Filltered'!V41/(Calibration!V$34*'Corrected data'!$A41+Calibration!V$35)</f>
        <v>15.132567340856911</v>
      </c>
      <c r="W41" s="19">
        <f>'Not MDL Filltered'!W41/(Calibration!W$34*'Corrected data'!$A41+Calibration!W$35)</f>
        <v>0.12631830700101465</v>
      </c>
      <c r="X41" s="19">
        <f>'Not MDL Filltered'!X41/(Calibration!X$34*'Corrected data'!$A41+Calibration!X$35)</f>
        <v>121.19568508963265</v>
      </c>
      <c r="Y41" s="19">
        <f>'Not MDL Filltered'!Y41/(Calibration!Y$34*'Corrected data'!$A41+Calibration!Y$35)</f>
        <v>12.686825115569478</v>
      </c>
      <c r="Z41" s="19">
        <f>'Not MDL Filltered'!Z41/(Calibration!Z$34*'Corrected data'!$A41+Calibration!Z$35)</f>
        <v>32.44731079171676</v>
      </c>
      <c r="AA41" s="19">
        <f>'Not MDL Filltered'!AA41/(Calibration!AA$34*'Corrected data'!$A41+Calibration!AA$35)</f>
        <v>4.4515981532800737</v>
      </c>
      <c r="AB41" s="19">
        <f>'Not MDL Filltered'!AB41/(Calibration!AB$34*'Corrected data'!$A41+Calibration!AB$35)</f>
        <v>20.129337764439843</v>
      </c>
      <c r="AC41" s="19">
        <f>'Not MDL Filltered'!AC41/(Calibration!AC$34*'Corrected data'!$A41+Calibration!AC$35)</f>
        <v>5.3590850036798274</v>
      </c>
      <c r="AD41" s="19">
        <f>'Not MDL Filltered'!AD41/(Calibration!AD$34*'Corrected data'!$A41+Calibration!AD$35)</f>
        <v>1.9329509226234296</v>
      </c>
      <c r="AE41" s="19">
        <f>'Not MDL Filltered'!AE41/(Calibration!AE$34*'Corrected data'!$A41+Calibration!AE$35)</f>
        <v>5.8067721771790506</v>
      </c>
      <c r="AF41" s="19">
        <f>'Not MDL Filltered'!AF41/(Calibration!AF$34*'Corrected data'!$A41+Calibration!AF$35)</f>
        <v>0.8708136771897782</v>
      </c>
      <c r="AG41" s="19">
        <f>'Not MDL Filltered'!AG41/(Calibration!AG$34*'Corrected data'!$A41+Calibration!AG$35)</f>
        <v>5.0269668286533635</v>
      </c>
      <c r="AH41" s="19">
        <f>'Not MDL Filltered'!AH41/(Calibration!AH$34*'Corrected data'!$A41+Calibration!AH$35)</f>
        <v>0.89597434834945389</v>
      </c>
      <c r="AI41" s="19">
        <f>'Not MDL Filltered'!AI41/(Calibration!AI$34*'Corrected data'!$A41+Calibration!AI$35)</f>
        <v>2.5919663232785792</v>
      </c>
      <c r="AJ41" s="19">
        <f>'Not MDL Filltered'!AJ41/(Calibration!AJ$34*'Corrected data'!$A41+Calibration!AJ$35)</f>
        <v>0.3336627753354845</v>
      </c>
      <c r="AK41" s="19">
        <f>'Not MDL Filltered'!AK41/(Calibration!AK$34*'Corrected data'!$A41+Calibration!AK$35)</f>
        <v>2.0540485795257175</v>
      </c>
      <c r="AL41" s="19">
        <f>'Not MDL Filltered'!AL41/(Calibration!AL$34*'Corrected data'!$A41+Calibration!AL$35)</f>
        <v>0.3178145256443437</v>
      </c>
      <c r="AM41" s="19">
        <f>'Not MDL Filltered'!AM41/(Calibration!AM$34*'Corrected data'!$A41+Calibration!AM$35)</f>
        <v>3.9401057487712667</v>
      </c>
      <c r="AN41" s="19">
        <f>'Not MDL Filltered'!AN41/(Calibration!AN$34*'Corrected data'!$A41+Calibration!AN$35)</f>
        <v>0.9119800037228285</v>
      </c>
      <c r="AO41" s="19">
        <f>'Not MDL Filltered'!AO41/(Calibration!AO$34*'Corrected data'!$A41+Calibration!AO$35)</f>
        <v>2.0783492479531729</v>
      </c>
      <c r="AP41" s="19">
        <f>'Not MDL Filltered'!AP41/(Calibration!AP$34*'Corrected data'!$A41+Calibration!AP$35)</f>
        <v>1.0311621285075507</v>
      </c>
      <c r="AQ41" s="19">
        <f>'Not MDL Filltered'!AQ41/(Calibration!AQ$34*'Corrected data'!$A41+Calibration!AQ$35)</f>
        <v>0.52321158191074579</v>
      </c>
    </row>
    <row r="42" spans="1:43" s="24" customFormat="1" x14ac:dyDescent="0.2">
      <c r="A42" s="19">
        <v>41</v>
      </c>
      <c r="B42" s="19" t="s">
        <v>99</v>
      </c>
      <c r="C42" s="19">
        <f>'Not MDL Filltered'!C42/(Calibration!C$34*'Corrected data'!$A42+Calibration!C$35)</f>
        <v>5.2122796204453525</v>
      </c>
      <c r="D42" s="19">
        <f>'Not MDL Filltered'!D42/(Calibration!D$34*'Corrected data'!$A42+Calibration!D$35)</f>
        <v>3.1170008399766806</v>
      </c>
      <c r="E42" s="19">
        <f>'Not MDL Filltered'!E42/(Calibration!E$34*'Corrected data'!$A42+Calibration!E$35)</f>
        <v>17889.611965652435</v>
      </c>
      <c r="F42" s="19">
        <f>'Not MDL Filltered'!F42/(Calibration!F$34*'Corrected data'!$A42+Calibration!F$35)</f>
        <v>44885.011539305655</v>
      </c>
      <c r="G42" s="19">
        <f>'Not MDL Filltered'!G42/(Calibration!G$34*'Corrected data'!$A42+Calibration!G$35)</f>
        <v>69165.294786171871</v>
      </c>
      <c r="H42" s="19">
        <f>'Not MDL Filltered'!H42/(Calibration!H$34*'Corrected data'!$A42+Calibration!H$35)</f>
        <v>236149.74075019598</v>
      </c>
      <c r="I42" s="19">
        <f>'Not MDL Filltered'!I42/(Calibration!I$34*'Corrected data'!$A42+Calibration!I$35)</f>
        <v>1021.4022368574114</v>
      </c>
      <c r="J42" s="19">
        <f>'Not MDL Filltered'!J42/(Calibration!J$34*'Corrected data'!$A42+Calibration!J$35)</f>
        <v>4020.205357017901</v>
      </c>
      <c r="K42" s="19">
        <f>'Not MDL Filltered'!K42/(Calibration!K$34*'Corrected data'!$A42+Calibration!K$35)</f>
        <v>77901.847919170337</v>
      </c>
      <c r="L42" s="19">
        <f>'Not MDL Filltered'!L42/(Calibration!L$34*'Corrected data'!$A42+Calibration!L$35)</f>
        <v>31.015952019671065</v>
      </c>
      <c r="M42" s="19">
        <f>'Not MDL Filltered'!M42/(Calibration!M$34*'Corrected data'!$A42+Calibration!M$35)</f>
        <v>15328.024198512736</v>
      </c>
      <c r="N42" s="19">
        <f>'Not MDL Filltered'!N42/(Calibration!N$34*'Corrected data'!$A42+Calibration!N$35)</f>
        <v>313.9823871590155</v>
      </c>
      <c r="O42" s="19">
        <f>'Not MDL Filltered'!O42/(Calibration!O$34*'Corrected data'!$A42+Calibration!O$35)</f>
        <v>1296.4014044786663</v>
      </c>
      <c r="P42" s="19">
        <f>'Not MDL Filltered'!P42/(Calibration!P$34*'Corrected data'!$A42+Calibration!P$35)</f>
        <v>87018.058017024217</v>
      </c>
      <c r="Q42" s="19">
        <f>'Not MDL Filltered'!Q42/(Calibration!Q$34*'Corrected data'!$A42+Calibration!Q$35)</f>
        <v>0.17036087287950252</v>
      </c>
      <c r="R42" s="19">
        <f>'Not MDL Filltered'!R42/(Calibration!R$34*'Corrected data'!$A42+Calibration!R$35)</f>
        <v>8.6710112881941104</v>
      </c>
      <c r="S42" s="19">
        <f>'Not MDL Filltered'!S42/(Calibration!S$34*'Corrected data'!$A42+Calibration!S$35)</f>
        <v>353.91113265656844</v>
      </c>
      <c r="T42" s="19">
        <f>'Not MDL Filltered'!T42/(Calibration!T$34*'Corrected data'!$A42+Calibration!T$35)</f>
        <v>24.40548997236785</v>
      </c>
      <c r="U42" s="19">
        <f>'Not MDL Filltered'!U42/(Calibration!U$34*'Corrected data'!$A42+Calibration!U$35)</f>
        <v>148.47376897066994</v>
      </c>
      <c r="V42" s="19">
        <f>'Not MDL Filltered'!V42/(Calibration!V$34*'Corrected data'!$A42+Calibration!V$35)</f>
        <v>15.125925615511223</v>
      </c>
      <c r="W42" s="19">
        <f>'Not MDL Filltered'!W42/(Calibration!W$34*'Corrected data'!$A42+Calibration!W$35)</f>
        <v>0.10241991849263218</v>
      </c>
      <c r="X42" s="19">
        <f>'Not MDL Filltered'!X42/(Calibration!X$34*'Corrected data'!$A42+Calibration!X$35)</f>
        <v>122.47117056873984</v>
      </c>
      <c r="Y42" s="19">
        <f>'Not MDL Filltered'!Y42/(Calibration!Y$34*'Corrected data'!$A42+Calibration!Y$35)</f>
        <v>12.920080777097317</v>
      </c>
      <c r="Z42" s="19">
        <f>'Not MDL Filltered'!Z42/(Calibration!Z$34*'Corrected data'!$A42+Calibration!Z$35)</f>
        <v>32.258786434103222</v>
      </c>
      <c r="AA42" s="19">
        <f>'Not MDL Filltered'!AA42/(Calibration!AA$34*'Corrected data'!$A42+Calibration!AA$35)</f>
        <v>4.4420770546877728</v>
      </c>
      <c r="AB42" s="19">
        <f>'Not MDL Filltered'!AB42/(Calibration!AB$34*'Corrected data'!$A42+Calibration!AB$35)</f>
        <v>20.60152080589333</v>
      </c>
      <c r="AC42" s="19">
        <f>'Not MDL Filltered'!AC42/(Calibration!AC$34*'Corrected data'!$A42+Calibration!AC$35)</f>
        <v>5.20896081611569</v>
      </c>
      <c r="AD42" s="19">
        <f>'Not MDL Filltered'!AD42/(Calibration!AD$34*'Corrected data'!$A42+Calibration!AD$35)</f>
        <v>1.881050740038128</v>
      </c>
      <c r="AE42" s="19">
        <f>'Not MDL Filltered'!AE42/(Calibration!AE$34*'Corrected data'!$A42+Calibration!AE$35)</f>
        <v>6.182178237566343</v>
      </c>
      <c r="AF42" s="19">
        <f>'Not MDL Filltered'!AF42/(Calibration!AF$34*'Corrected data'!$A42+Calibration!AF$35)</f>
        <v>0.86095867105768664</v>
      </c>
      <c r="AG42" s="19">
        <f>'Not MDL Filltered'!AG42/(Calibration!AG$34*'Corrected data'!$A42+Calibration!AG$35)</f>
        <v>4.7697388271984194</v>
      </c>
      <c r="AH42" s="19">
        <f>'Not MDL Filltered'!AH42/(Calibration!AH$34*'Corrected data'!$A42+Calibration!AH$35)</f>
        <v>0.92616878676573766</v>
      </c>
      <c r="AI42" s="19">
        <f>'Not MDL Filltered'!AI42/(Calibration!AI$34*'Corrected data'!$A42+Calibration!AI$35)</f>
        <v>2.5727358595410053</v>
      </c>
      <c r="AJ42" s="19">
        <f>'Not MDL Filltered'!AJ42/(Calibration!AJ$34*'Corrected data'!$A42+Calibration!AJ$35)</f>
        <v>0.30931816100911147</v>
      </c>
      <c r="AK42" s="19">
        <f>'Not MDL Filltered'!AK42/(Calibration!AK$34*'Corrected data'!$A42+Calibration!AK$35)</f>
        <v>2.0639639773078509</v>
      </c>
      <c r="AL42" s="19">
        <f>'Not MDL Filltered'!AL42/(Calibration!AL$34*'Corrected data'!$A42+Calibration!AL$35)</f>
        <v>0.25198924383329896</v>
      </c>
      <c r="AM42" s="19">
        <f>'Not MDL Filltered'!AM42/(Calibration!AM$34*'Corrected data'!$A42+Calibration!AM$35)</f>
        <v>3.5639337456248068</v>
      </c>
      <c r="AN42" s="19">
        <f>'Not MDL Filltered'!AN42/(Calibration!AN$34*'Corrected data'!$A42+Calibration!AN$35)</f>
        <v>0.93217590419789387</v>
      </c>
      <c r="AO42" s="19">
        <f>'Not MDL Filltered'!AO42/(Calibration!AO$34*'Corrected data'!$A42+Calibration!AO$35)</f>
        <v>2.1084065510463472</v>
      </c>
      <c r="AP42" s="19">
        <f>'Not MDL Filltered'!AP42/(Calibration!AP$34*'Corrected data'!$A42+Calibration!AP$35)</f>
        <v>1.0014988043056128</v>
      </c>
      <c r="AQ42" s="19">
        <f>'Not MDL Filltered'!AQ42/(Calibration!AQ$34*'Corrected data'!$A42+Calibration!AQ$35)</f>
        <v>0.53484490565682596</v>
      </c>
    </row>
    <row r="43" spans="1:43" s="35" customFormat="1" x14ac:dyDescent="0.2">
      <c r="A43" s="35">
        <v>42</v>
      </c>
      <c r="B43" s="35" t="s">
        <v>100</v>
      </c>
      <c r="C43" s="35">
        <f>'Not MDL Filltered'!C43/(Calibration!C$34*'Corrected data'!$A43+Calibration!C$35)</f>
        <v>9.3853479505059454</v>
      </c>
      <c r="D43" s="35">
        <f>'Not MDL Filltered'!D43/(Calibration!D$34*'Corrected data'!$A43+Calibration!D$35)</f>
        <v>19.140698430818226</v>
      </c>
      <c r="E43" s="35">
        <f>'Not MDL Filltered'!E43/(Calibration!E$34*'Corrected data'!$A43+Calibration!E$35)</f>
        <v>4443.351030795804</v>
      </c>
      <c r="F43" s="35">
        <f>'Not MDL Filltered'!F43/(Calibration!F$34*'Corrected data'!$A43+Calibration!F$35)</f>
        <v>142714.59088013397</v>
      </c>
      <c r="G43" s="35">
        <f>'Not MDL Filltered'!G43/(Calibration!G$34*'Corrected data'!$A43+Calibration!G$35)</f>
        <v>52341.425140396626</v>
      </c>
      <c r="H43" s="35">
        <f>'Not MDL Filltered'!H43/(Calibration!H$34*'Corrected data'!$A43+Calibration!H$35)</f>
        <v>196328.31252357262</v>
      </c>
      <c r="I43" s="35">
        <f>'Not MDL Filltered'!I43/(Calibration!I$34*'Corrected data'!$A43+Calibration!I$35)</f>
        <v>79.640939065917848</v>
      </c>
      <c r="J43" s="35">
        <f>'Not MDL Filltered'!J43/(Calibration!J$34*'Corrected data'!$A43+Calibration!J$35)</f>
        <v>206.03178192057965</v>
      </c>
      <c r="K43" s="35">
        <f>'Not MDL Filltered'!K43/(Calibration!K$34*'Corrected data'!$A43+Calibration!K$35)</f>
        <v>44597.420466650816</v>
      </c>
      <c r="L43" s="35">
        <f>'Not MDL Filltered'!L43/(Calibration!L$34*'Corrected data'!$A43+Calibration!L$35)</f>
        <v>29.513596179625225</v>
      </c>
      <c r="M43" s="35">
        <f>'Not MDL Filltered'!M43/(Calibration!M$34*'Corrected data'!$A43+Calibration!M$35)</f>
        <v>1735.8848479789142</v>
      </c>
      <c r="N43" s="35">
        <f>'Not MDL Filltered'!N43/(Calibration!N$34*'Corrected data'!$A43+Calibration!N$35)</f>
        <v>189.24008969584966</v>
      </c>
      <c r="O43" s="35">
        <f>'Not MDL Filltered'!O43/(Calibration!O$34*'Corrected data'!$A43+Calibration!O$35)</f>
        <v>1385.2745319796938</v>
      </c>
      <c r="P43" s="35">
        <f>'Not MDL Filltered'!P43/(Calibration!P$34*'Corrected data'!$A43+Calibration!P$35)</f>
        <v>77562.418672641244</v>
      </c>
      <c r="Q43" s="35">
        <f>'Not MDL Filltered'!Q43/(Calibration!Q$34*'Corrected data'!$A43+Calibration!Q$35)</f>
        <v>6.5894670494998378E-2</v>
      </c>
      <c r="R43" s="35">
        <f>'Not MDL Filltered'!R43/(Calibration!R$34*'Corrected data'!$A43+Calibration!R$35)</f>
        <v>0.36526507950215209</v>
      </c>
      <c r="S43" s="35">
        <f>'Not MDL Filltered'!S43/(Calibration!S$34*'Corrected data'!$A43+Calibration!S$35)</f>
        <v>30.195598879744125</v>
      </c>
      <c r="T43" s="35">
        <f>'Not MDL Filltered'!T43/(Calibration!T$34*'Corrected data'!$A43+Calibration!T$35)</f>
        <v>10.951632729665274</v>
      </c>
      <c r="U43" s="35">
        <f>'Not MDL Filltered'!U43/(Calibration!U$34*'Corrected data'!$A43+Calibration!U$35)</f>
        <v>8.9922317884938288</v>
      </c>
      <c r="V43" s="35">
        <f>'Not MDL Filltered'!V43/(Calibration!V$34*'Corrected data'!$A43+Calibration!V$35)</f>
        <v>9.8032827715362578E-2</v>
      </c>
      <c r="W43" s="35">
        <f>'Not MDL Filltered'!W43/(Calibration!W$34*'Corrected data'!$A43+Calibration!W$35)</f>
        <v>0.19510822600747821</v>
      </c>
      <c r="X43" s="35">
        <f>'Not MDL Filltered'!X43/(Calibration!X$34*'Corrected data'!$A43+Calibration!X$35)</f>
        <v>1.0329889336737395</v>
      </c>
      <c r="Y43" s="35">
        <f>'Not MDL Filltered'!Y43/(Calibration!Y$34*'Corrected data'!$A43+Calibration!Y$35)</f>
        <v>0.11363419989191487</v>
      </c>
      <c r="Z43" s="35">
        <f>'Not MDL Filltered'!Z43/(Calibration!Z$34*'Corrected data'!$A43+Calibration!Z$35)</f>
        <v>0.45713860060499234</v>
      </c>
      <c r="AA43" s="35">
        <f>'Not MDL Filltered'!AA43/(Calibration!AA$34*'Corrected data'!$A43+Calibration!AA$35)</f>
        <v>7.6917845191213863E-2</v>
      </c>
      <c r="AB43" s="35">
        <f>'Not MDL Filltered'!AB43/(Calibration!AB$34*'Corrected data'!$A43+Calibration!AB$35)</f>
        <v>0.72411424106674116</v>
      </c>
      <c r="AC43" s="35">
        <f>'Not MDL Filltered'!AC43/(Calibration!AC$34*'Corrected data'!$A43+Calibration!AC$35)</f>
        <v>0.50991531598688544</v>
      </c>
      <c r="AD43" s="35">
        <f>'Not MDL Filltered'!AD43/(Calibration!AD$34*'Corrected data'!$A43+Calibration!AD$35)</f>
        <v>0.2738780141144056</v>
      </c>
      <c r="AE43" s="35">
        <f>'Not MDL Filltered'!AE43/(Calibration!AE$34*'Corrected data'!$A43+Calibration!AE$35)</f>
        <v>1.1098703631557343</v>
      </c>
      <c r="AF43" s="35">
        <f>'Not MDL Filltered'!AF43/(Calibration!AF$34*'Corrected data'!$A43+Calibration!AF$35)</f>
        <v>0.23596807793372965</v>
      </c>
      <c r="AG43" s="35">
        <f>'Not MDL Filltered'!AG43/(Calibration!AG$34*'Corrected data'!$A43+Calibration!AG$35)</f>
        <v>1.8208992831739206</v>
      </c>
      <c r="AH43" s="35">
        <f>'Not MDL Filltered'!AH43/(Calibration!AH$34*'Corrected data'!$A43+Calibration!AH$35)</f>
        <v>0.39948984561833439</v>
      </c>
      <c r="AI43" s="35">
        <f>'Not MDL Filltered'!AI43/(Calibration!AI$34*'Corrected data'!$A43+Calibration!AI$35)</f>
        <v>1.3428706865856728</v>
      </c>
      <c r="AJ43" s="35">
        <f>'Not MDL Filltered'!AJ43/(Calibration!AJ$34*'Corrected data'!$A43+Calibration!AJ$35)</f>
        <v>0.153280056573496</v>
      </c>
      <c r="AK43" s="35">
        <f>'Not MDL Filltered'!AK43/(Calibration!AK$34*'Corrected data'!$A43+Calibration!AK$35)</f>
        <v>1.1765274187516661</v>
      </c>
      <c r="AL43" s="35">
        <f>'Not MDL Filltered'!AL43/(Calibration!AL$34*'Corrected data'!$A43+Calibration!AL$35)</f>
        <v>0.1644483021736152</v>
      </c>
      <c r="AM43" s="35">
        <f>'Not MDL Filltered'!AM43/(Calibration!AM$34*'Corrected data'!$A43+Calibration!AM$35)</f>
        <v>0.34159495634802567</v>
      </c>
      <c r="AN43" s="35">
        <f>'Not MDL Filltered'!AN43/(Calibration!AN$34*'Corrected data'!$A43+Calibration!AN$35)</f>
        <v>1.6818427003703437E-2</v>
      </c>
      <c r="AO43" s="35">
        <f>'Not MDL Filltered'!AO43/(Calibration!AO$34*'Corrected data'!$A43+Calibration!AO$35)</f>
        <v>0.3126990281822517</v>
      </c>
      <c r="AP43" s="35">
        <f>'Not MDL Filltered'!AP43/(Calibration!AP$34*'Corrected data'!$A43+Calibration!AP$35)</f>
        <v>5.7106567363890423E-3</v>
      </c>
      <c r="AQ43" s="35">
        <f>'Not MDL Filltered'!AQ43/(Calibration!AQ$34*'Corrected data'!$A43+Calibration!AQ$35)</f>
        <v>9.8691697225492016E-3</v>
      </c>
    </row>
    <row r="44" spans="1:43" s="24" customFormat="1" x14ac:dyDescent="0.2">
      <c r="A44" s="24">
        <v>43</v>
      </c>
      <c r="B44" s="24" t="s">
        <v>103</v>
      </c>
      <c r="C44" s="24">
        <f>'Not MDL Filltered'!C44/(Calibration!C$34*'Corrected data'!$A44+Calibration!C$35)</f>
        <v>9.9409801112381384</v>
      </c>
      <c r="D44" s="24">
        <f>'Not MDL Filltered'!D44/(Calibration!D$34*'Corrected data'!$A44+Calibration!D$35)</f>
        <v>2.7935079732357111</v>
      </c>
      <c r="E44" s="24">
        <f>'Not MDL Filltered'!E44/(Calibration!E$34*'Corrected data'!$A44+Calibration!E$35)</f>
        <v>45008.054196903402</v>
      </c>
      <c r="F44" s="24">
        <f>'Not MDL Filltered'!F44/(Calibration!F$34*'Corrected data'!$A44+Calibration!F$35)</f>
        <v>59689.284220068723</v>
      </c>
      <c r="G44" s="24">
        <f>'Not MDL Filltered'!G44/(Calibration!G$34*'Corrected data'!$A44+Calibration!G$35)</f>
        <v>106669.39920786989</v>
      </c>
      <c r="H44" s="24">
        <f>'Not MDL Filltered'!H44/(Calibration!H$34*'Corrected data'!$A44+Calibration!H$35)</f>
        <v>251226.07544325836</v>
      </c>
      <c r="I44" s="24">
        <f>'Not MDL Filltered'!I44/(Calibration!I$34*'Corrected data'!$A44+Calibration!I$35)</f>
        <v>3781.6699651269732</v>
      </c>
      <c r="J44" s="24">
        <f>'Not MDL Filltered'!J44/(Calibration!J$34*'Corrected data'!$A44+Calibration!J$35)</f>
        <v>22689.669833606298</v>
      </c>
      <c r="K44" s="24">
        <f>'Not MDL Filltered'!K44/(Calibration!K$34*'Corrected data'!$A44+Calibration!K$35)</f>
        <v>64752.031438820719</v>
      </c>
      <c r="L44" s="24">
        <f>'Not MDL Filltered'!L44/(Calibration!L$34*'Corrected data'!$A44+Calibration!L$35)</f>
        <v>16.136442015021601</v>
      </c>
      <c r="M44" s="24">
        <f>'Not MDL Filltered'!M44/(Calibration!M$34*'Corrected data'!$A44+Calibration!M$35)</f>
        <v>20115.979035818738</v>
      </c>
      <c r="N44" s="24">
        <f>'Not MDL Filltered'!N44/(Calibration!N$34*'Corrected data'!$A44+Calibration!N$35)</f>
        <v>178.35497300773537</v>
      </c>
      <c r="O44" s="24">
        <f>'Not MDL Filltered'!O44/(Calibration!O$34*'Corrected data'!$A44+Calibration!O$35)</f>
        <v>1772.0641928254781</v>
      </c>
      <c r="P44" s="24">
        <f>'Not MDL Filltered'!P44/(Calibration!P$34*'Corrected data'!$A44+Calibration!P$35)</f>
        <v>78922.665616876795</v>
      </c>
      <c r="Q44" s="24">
        <f>'Not MDL Filltered'!Q44/(Calibration!Q$34*'Corrected data'!$A44+Calibration!Q$35)</f>
        <v>1.0370017461801233</v>
      </c>
      <c r="R44" s="24">
        <f>'Not MDL Filltered'!R44/(Calibration!R$34*'Corrected data'!$A44+Calibration!R$35)</f>
        <v>69.282128326753551</v>
      </c>
      <c r="S44" s="24">
        <f>'Not MDL Filltered'!S44/(Calibration!S$34*'Corrected data'!$A44+Calibration!S$35)</f>
        <v>1207.4602524234012</v>
      </c>
      <c r="T44" s="24">
        <f>'Not MDL Filltered'!T44/(Calibration!T$34*'Corrected data'!$A44+Calibration!T$35)</f>
        <v>39.317191076016748</v>
      </c>
      <c r="U44" s="24">
        <f>'Not MDL Filltered'!U44/(Calibration!U$34*'Corrected data'!$A44+Calibration!U$35)</f>
        <v>461.3898483308422</v>
      </c>
      <c r="V44" s="24">
        <f>'Not MDL Filltered'!V44/(Calibration!V$34*'Corrected data'!$A44+Calibration!V$35)</f>
        <v>145.29771631070298</v>
      </c>
      <c r="W44" s="24">
        <f>'Not MDL Filltered'!W44/(Calibration!W$34*'Corrected data'!$A44+Calibration!W$35)</f>
        <v>0.5842416802771333</v>
      </c>
      <c r="X44" s="24">
        <f>'Not MDL Filltered'!X44/(Calibration!X$34*'Corrected data'!$A44+Calibration!X$35)</f>
        <v>705.88605876691884</v>
      </c>
      <c r="Y44" s="24">
        <f>'Not MDL Filltered'!Y44/(Calibration!Y$34*'Corrected data'!$A44+Calibration!Y$35)</f>
        <v>112.2742245372105</v>
      </c>
      <c r="Z44" s="24">
        <f>'Not MDL Filltered'!Z44/(Calibration!Z$34*'Corrected data'!$A44+Calibration!Z$35)</f>
        <v>239.86142415909302</v>
      </c>
      <c r="AA44" s="24">
        <f>'Not MDL Filltered'!AA44/(Calibration!AA$34*'Corrected data'!$A44+Calibration!AA$35)</f>
        <v>26.437874735433649</v>
      </c>
      <c r="AB44" s="24">
        <f>'Not MDL Filltered'!AB44/(Calibration!AB$34*'Corrected data'!$A44+Calibration!AB$35)</f>
        <v>91.977586178084522</v>
      </c>
      <c r="AC44" s="24">
        <f>'Not MDL Filltered'!AC44/(Calibration!AC$34*'Corrected data'!$A44+Calibration!AC$35)</f>
        <v>13.92759919099203</v>
      </c>
      <c r="AD44" s="24">
        <f>'Not MDL Filltered'!AD44/(Calibration!AD$34*'Corrected data'!$A44+Calibration!AD$35)</f>
        <v>4.3931664254471885</v>
      </c>
      <c r="AE44" s="24">
        <f>'Not MDL Filltered'!AE44/(Calibration!AE$34*'Corrected data'!$A44+Calibration!AE$35)</f>
        <v>11.839092765739007</v>
      </c>
      <c r="AF44" s="24">
        <f>'Not MDL Filltered'!AF44/(Calibration!AF$34*'Corrected data'!$A44+Calibration!AF$35)</f>
        <v>1.6945706209192681</v>
      </c>
      <c r="AG44" s="24">
        <f>'Not MDL Filltered'!AG44/(Calibration!AG$34*'Corrected data'!$A44+Calibration!AG$35)</f>
        <v>8.1084529926949429</v>
      </c>
      <c r="AH44" s="24">
        <f>'Not MDL Filltered'!AH44/(Calibration!AH$34*'Corrected data'!$A44+Calibration!AH$35)</f>
        <v>1.425120687387275</v>
      </c>
      <c r="AI44" s="24">
        <f>'Not MDL Filltered'!AI44/(Calibration!AI$34*'Corrected data'!$A44+Calibration!AI$35)</f>
        <v>3.5621644906444274</v>
      </c>
      <c r="AJ44" s="24">
        <f>'Not MDL Filltered'!AJ44/(Calibration!AJ$34*'Corrected data'!$A44+Calibration!AJ$35)</f>
        <v>0.52107864420832939</v>
      </c>
      <c r="AK44" s="24">
        <f>'Not MDL Filltered'!AK44/(Calibration!AK$34*'Corrected data'!$A44+Calibration!AK$35)</f>
        <v>3.5693682001828284</v>
      </c>
      <c r="AL44" s="24">
        <f>'Not MDL Filltered'!AL44/(Calibration!AL$34*'Corrected data'!$A44+Calibration!AL$35)</f>
        <v>0.4206411441424473</v>
      </c>
      <c r="AM44" s="24">
        <f>'Not MDL Filltered'!AM44/(Calibration!AM$34*'Corrected data'!$A44+Calibration!AM$35)</f>
        <v>8.1548134423964367</v>
      </c>
      <c r="AN44" s="24">
        <f>'Not MDL Filltered'!AN44/(Calibration!AN$34*'Corrected data'!$A44+Calibration!AN$35)</f>
        <v>8.7631579118696621</v>
      </c>
      <c r="AO44" s="24">
        <f>'Not MDL Filltered'!AO44/(Calibration!AO$34*'Corrected data'!$A44+Calibration!AO$35)</f>
        <v>10.459245700979357</v>
      </c>
      <c r="AP44" s="24">
        <f>'Not MDL Filltered'!AP44/(Calibration!AP$34*'Corrected data'!$A44+Calibration!AP$35)</f>
        <v>11.295252419852718</v>
      </c>
      <c r="AQ44" s="24">
        <f>'Not MDL Filltered'!AQ44/(Calibration!AQ$34*'Corrected data'!$A44+Calibration!AQ$35)</f>
        <v>3.0077963614941692</v>
      </c>
    </row>
    <row r="45" spans="1:43" s="24" customFormat="1" x14ac:dyDescent="0.2">
      <c r="A45" s="24">
        <v>44</v>
      </c>
      <c r="B45" s="24" t="s">
        <v>104</v>
      </c>
      <c r="C45" s="24">
        <f>'Not MDL Filltered'!C45/(Calibration!C$34*'Corrected data'!$A45+Calibration!C$35)</f>
        <v>4.3649886106434925</v>
      </c>
      <c r="D45" s="24">
        <f>'Not MDL Filltered'!D45/(Calibration!D$34*'Corrected data'!$A45+Calibration!D$35)</f>
        <v>2.4637799859183298</v>
      </c>
      <c r="E45" s="24">
        <f>'Not MDL Filltered'!E45/(Calibration!E$34*'Corrected data'!$A45+Calibration!E$35)</f>
        <v>27558.113341841454</v>
      </c>
      <c r="F45" s="24">
        <f>'Not MDL Filltered'!F45/(Calibration!F$34*'Corrected data'!$A45+Calibration!F$35)</f>
        <v>21335.789951547922</v>
      </c>
      <c r="G45" s="24">
        <f>'Not MDL Filltered'!G45/(Calibration!G$34*'Corrected data'!$A45+Calibration!G$35)</f>
        <v>82101.148499567207</v>
      </c>
      <c r="H45" s="24">
        <f>'Not MDL Filltered'!H45/(Calibration!H$34*'Corrected data'!$A45+Calibration!H$35)</f>
        <v>188739.10616507436</v>
      </c>
      <c r="I45" s="24">
        <f>'Not MDL Filltered'!I45/(Calibration!I$34*'Corrected data'!$A45+Calibration!I$35)</f>
        <v>4371.8022248350417</v>
      </c>
      <c r="J45" s="24">
        <f>'Not MDL Filltered'!J45/(Calibration!J$34*'Corrected data'!$A45+Calibration!J$35)</f>
        <v>8562.5264090579149</v>
      </c>
      <c r="K45" s="24">
        <f>'Not MDL Filltered'!K45/(Calibration!K$34*'Corrected data'!$A45+Calibration!K$35)</f>
        <v>114137.96184175558</v>
      </c>
      <c r="L45" s="24">
        <f>'Not MDL Filltered'!L45/(Calibration!L$34*'Corrected data'!$A45+Calibration!L$35)</f>
        <v>34.791782289595581</v>
      </c>
      <c r="M45" s="24">
        <f>'Not MDL Filltered'!M45/(Calibration!M$34*'Corrected data'!$A45+Calibration!M$35)</f>
        <v>23362.75886724209</v>
      </c>
      <c r="N45" s="24">
        <f>'Not MDL Filltered'!N45/(Calibration!N$34*'Corrected data'!$A45+Calibration!N$35)</f>
        <v>354.66422065008936</v>
      </c>
      <c r="O45" s="24">
        <f>'Not MDL Filltered'!O45/(Calibration!O$34*'Corrected data'!$A45+Calibration!O$35)</f>
        <v>980.83123240945849</v>
      </c>
      <c r="P45" s="24">
        <f>'Not MDL Filltered'!P45/(Calibration!P$34*'Corrected data'!$A45+Calibration!P$35)</f>
        <v>59289.566078663454</v>
      </c>
      <c r="Q45" s="24">
        <f>'Not MDL Filltered'!Q45/(Calibration!Q$34*'Corrected data'!$A45+Calibration!Q$35)</f>
        <v>0.40955221261388769</v>
      </c>
      <c r="R45" s="24">
        <f>'Not MDL Filltered'!R45/(Calibration!R$34*'Corrected data'!$A45+Calibration!R$35)</f>
        <v>22.091521353156338</v>
      </c>
      <c r="S45" s="24">
        <f>'Not MDL Filltered'!S45/(Calibration!S$34*'Corrected data'!$A45+Calibration!S$35)</f>
        <v>638.98116308354747</v>
      </c>
      <c r="T45" s="24">
        <f>'Not MDL Filltered'!T45/(Calibration!T$34*'Corrected data'!$A45+Calibration!T$35)</f>
        <v>28.459991463225819</v>
      </c>
      <c r="U45" s="24">
        <f>'Not MDL Filltered'!U45/(Calibration!U$34*'Corrected data'!$A45+Calibration!U$35)</f>
        <v>224.6495953418503</v>
      </c>
      <c r="V45" s="24">
        <f>'Not MDL Filltered'!V45/(Calibration!V$34*'Corrected data'!$A45+Calibration!V$35)</f>
        <v>42.369601892179929</v>
      </c>
      <c r="W45" s="24">
        <f>'Not MDL Filltered'!W45/(Calibration!W$34*'Corrected data'!$A45+Calibration!W$35)</f>
        <v>0.28350626211265556</v>
      </c>
      <c r="X45" s="24">
        <f>'Not MDL Filltered'!X45/(Calibration!X$34*'Corrected data'!$A45+Calibration!X$35)</f>
        <v>278.38864124776717</v>
      </c>
      <c r="Y45" s="24">
        <f>'Not MDL Filltered'!Y45/(Calibration!Y$34*'Corrected data'!$A45+Calibration!Y$35)</f>
        <v>27.602713754230962</v>
      </c>
      <c r="Z45" s="24">
        <f>'Not MDL Filltered'!Z45/(Calibration!Z$34*'Corrected data'!$A45+Calibration!Z$35)</f>
        <v>65.182885176050604</v>
      </c>
      <c r="AA45" s="24">
        <f>'Not MDL Filltered'!AA45/(Calibration!AA$34*'Corrected data'!$A45+Calibration!AA$35)</f>
        <v>9.0978299828661058</v>
      </c>
      <c r="AB45" s="24">
        <f>'Not MDL Filltered'!AB45/(Calibration!AB$34*'Corrected data'!$A45+Calibration!AB$35)</f>
        <v>41.313347009348547</v>
      </c>
      <c r="AC45" s="24">
        <f>'Not MDL Filltered'!AC45/(Calibration!AC$34*'Corrected data'!$A45+Calibration!AC$35)</f>
        <v>9.3950756921676675</v>
      </c>
      <c r="AD45" s="24">
        <f>'Not MDL Filltered'!AD45/(Calibration!AD$34*'Corrected data'!$A45+Calibration!AD$35)</f>
        <v>2.9671291849301729</v>
      </c>
      <c r="AE45" s="24">
        <f>'Not MDL Filltered'!AE45/(Calibration!AE$34*'Corrected data'!$A45+Calibration!AE$35)</f>
        <v>8.2741279575451241</v>
      </c>
      <c r="AF45" s="24">
        <f>'Not MDL Filltered'!AF45/(Calibration!AF$34*'Corrected data'!$A45+Calibration!AF$35)</f>
        <v>1.0896503663715806</v>
      </c>
      <c r="AG45" s="24">
        <f>'Not MDL Filltered'!AG45/(Calibration!AG$34*'Corrected data'!$A45+Calibration!AG$35)</f>
        <v>5.8693387943856088</v>
      </c>
      <c r="AH45" s="24">
        <f>'Not MDL Filltered'!AH45/(Calibration!AH$34*'Corrected data'!$A45+Calibration!AH$35)</f>
        <v>1.1664221505980454</v>
      </c>
      <c r="AI45" s="24">
        <f>'Not MDL Filltered'!AI45/(Calibration!AI$34*'Corrected data'!$A45+Calibration!AI$35)</f>
        <v>2.7593129500604312</v>
      </c>
      <c r="AJ45" s="24">
        <f>'Not MDL Filltered'!AJ45/(Calibration!AJ$34*'Corrected data'!$A45+Calibration!AJ$35)</f>
        <v>0.4112161865783614</v>
      </c>
      <c r="AK45" s="24">
        <f>'Not MDL Filltered'!AK45/(Calibration!AK$34*'Corrected data'!$A45+Calibration!AK$35)</f>
        <v>2.3329877546356159</v>
      </c>
      <c r="AL45" s="24">
        <f>'Not MDL Filltered'!AL45/(Calibration!AL$34*'Corrected data'!$A45+Calibration!AL$35)</f>
        <v>0.30451828405875825</v>
      </c>
      <c r="AM45" s="24">
        <f>'Not MDL Filltered'!AM45/(Calibration!AM$34*'Corrected data'!$A45+Calibration!AM$35)</f>
        <v>5.4049000925573045</v>
      </c>
      <c r="AN45" s="24">
        <f>'Not MDL Filltered'!AN45/(Calibration!AN$34*'Corrected data'!$A45+Calibration!AN$35)</f>
        <v>2.5932939195787146</v>
      </c>
      <c r="AO45" s="24">
        <f>'Not MDL Filltered'!AO45/(Calibration!AO$34*'Corrected data'!$A45+Calibration!AO$35)</f>
        <v>2.8238161366476873</v>
      </c>
      <c r="AP45" s="24">
        <f>'Not MDL Filltered'!AP45/(Calibration!AP$34*'Corrected data'!$A45+Calibration!AP$35)</f>
        <v>2.4062688584157033</v>
      </c>
      <c r="AQ45" s="24">
        <f>'Not MDL Filltered'!AQ45/(Calibration!AQ$34*'Corrected data'!$A45+Calibration!AQ$35)</f>
        <v>0.8905195332522049</v>
      </c>
    </row>
    <row r="46" spans="1:43" s="24" customFormat="1" x14ac:dyDescent="0.2">
      <c r="A46" s="24">
        <v>45</v>
      </c>
      <c r="B46" s="24" t="s">
        <v>105</v>
      </c>
      <c r="C46" s="24">
        <f>'Not MDL Filltered'!C46/(Calibration!C$34*'Corrected data'!$A46+Calibration!C$35)</f>
        <v>6.9717143170345697</v>
      </c>
      <c r="D46" s="24">
        <f>'Not MDL Filltered'!D46/(Calibration!D$34*'Corrected data'!$A46+Calibration!D$35)</f>
        <v>3.9665909913763673</v>
      </c>
      <c r="E46" s="24">
        <f>'Not MDL Filltered'!E46/(Calibration!E$34*'Corrected data'!$A46+Calibration!E$35)</f>
        <v>33357.460222979578</v>
      </c>
      <c r="F46" s="24">
        <f>'Not MDL Filltered'!F46/(Calibration!F$34*'Corrected data'!$A46+Calibration!F$35)</f>
        <v>40385.603998094331</v>
      </c>
      <c r="G46" s="24">
        <f>'Not MDL Filltered'!G46/(Calibration!G$34*'Corrected data'!$A46+Calibration!G$35)</f>
        <v>97089.786903140426</v>
      </c>
      <c r="H46" s="24">
        <f>'Not MDL Filltered'!H46/(Calibration!H$34*'Corrected data'!$A46+Calibration!H$35)</f>
        <v>223107.19247145305</v>
      </c>
      <c r="I46" s="24">
        <f>'Not MDL Filltered'!I46/(Calibration!I$34*'Corrected data'!$A46+Calibration!I$35)</f>
        <v>6147.3965448825838</v>
      </c>
      <c r="J46" s="24">
        <f>'Not MDL Filltered'!J46/(Calibration!J$34*'Corrected data'!$A46+Calibration!J$35)</f>
        <v>35911.888762992668</v>
      </c>
      <c r="K46" s="24">
        <f>'Not MDL Filltered'!K46/(Calibration!K$34*'Corrected data'!$A46+Calibration!K$35)</f>
        <v>76830.496165923556</v>
      </c>
      <c r="L46" s="24">
        <f>'Not MDL Filltered'!L46/(Calibration!L$34*'Corrected data'!$A46+Calibration!L$35)</f>
        <v>22.42580372139092</v>
      </c>
      <c r="M46" s="24">
        <f>'Not MDL Filltered'!M46/(Calibration!M$34*'Corrected data'!$A46+Calibration!M$35)</f>
        <v>13191.049872631878</v>
      </c>
      <c r="N46" s="24">
        <f>'Not MDL Filltered'!N46/(Calibration!N$34*'Corrected data'!$A46+Calibration!N$35)</f>
        <v>317.31783625689638</v>
      </c>
      <c r="O46" s="24">
        <f>'Not MDL Filltered'!O46/(Calibration!O$34*'Corrected data'!$A46+Calibration!O$35)</f>
        <v>1474.8545958451591</v>
      </c>
      <c r="P46" s="24">
        <f>'Not MDL Filltered'!P46/(Calibration!P$34*'Corrected data'!$A46+Calibration!P$35)</f>
        <v>75833.271000731242</v>
      </c>
      <c r="Q46" s="24">
        <f>'Not MDL Filltered'!Q46/(Calibration!Q$34*'Corrected data'!$A46+Calibration!Q$35)</f>
        <v>1.4805115988257462</v>
      </c>
      <c r="R46" s="24">
        <f>'Not MDL Filltered'!R46/(Calibration!R$34*'Corrected data'!$A46+Calibration!R$35)</f>
        <v>121.57987944859957</v>
      </c>
      <c r="S46" s="24">
        <f>'Not MDL Filltered'!S46/(Calibration!S$34*'Corrected data'!$A46+Calibration!S$35)</f>
        <v>2297.8823833190104</v>
      </c>
      <c r="T46" s="24">
        <f>'Not MDL Filltered'!T46/(Calibration!T$34*'Corrected data'!$A46+Calibration!T$35)</f>
        <v>32.114713302749294</v>
      </c>
      <c r="U46" s="24">
        <f>'Not MDL Filltered'!U46/(Calibration!U$34*'Corrected data'!$A46+Calibration!U$35)</f>
        <v>459.86291885384105</v>
      </c>
      <c r="V46" s="24">
        <f>'Not MDL Filltered'!V46/(Calibration!V$34*'Corrected data'!$A46+Calibration!V$35)</f>
        <v>253.22812228600586</v>
      </c>
      <c r="W46" s="24">
        <f>'Not MDL Filltered'!W46/(Calibration!W$34*'Corrected data'!$A46+Calibration!W$35)</f>
        <v>1.5056897757276588</v>
      </c>
      <c r="X46" s="24">
        <f>'Not MDL Filltered'!X46/(Calibration!X$34*'Corrected data'!$A46+Calibration!X$35)</f>
        <v>1441.1598126791514</v>
      </c>
      <c r="Y46" s="24">
        <f>'Not MDL Filltered'!Y46/(Calibration!Y$34*'Corrected data'!$A46+Calibration!Y$35)</f>
        <v>134.20215611971514</v>
      </c>
      <c r="Z46" s="24">
        <f>'Not MDL Filltered'!Z46/(Calibration!Z$34*'Corrected data'!$A46+Calibration!Z$35)</f>
        <v>200.71130909123315</v>
      </c>
      <c r="AA46" s="24">
        <f>'Not MDL Filltered'!AA46/(Calibration!AA$34*'Corrected data'!$A46+Calibration!AA$35)</f>
        <v>19.130689509485943</v>
      </c>
      <c r="AB46" s="24">
        <f>'Not MDL Filltered'!AB46/(Calibration!AB$34*'Corrected data'!$A46+Calibration!AB$35)</f>
        <v>63.353694221671759</v>
      </c>
      <c r="AC46" s="24">
        <f>'Not MDL Filltered'!AC46/(Calibration!AC$34*'Corrected data'!$A46+Calibration!AC$35)</f>
        <v>10.498765822694322</v>
      </c>
      <c r="AD46" s="24">
        <f>'Not MDL Filltered'!AD46/(Calibration!AD$34*'Corrected data'!$A46+Calibration!AD$35)</f>
        <v>3.247475839728716</v>
      </c>
      <c r="AE46" s="24">
        <f>'Not MDL Filltered'!AE46/(Calibration!AE$34*'Corrected data'!$A46+Calibration!AE$35)</f>
        <v>8.139817712069199</v>
      </c>
      <c r="AF46" s="24">
        <f>'Not MDL Filltered'!AF46/(Calibration!AF$34*'Corrected data'!$A46+Calibration!AF$35)</f>
        <v>1.0394741428010199</v>
      </c>
      <c r="AG46" s="24">
        <f>'Not MDL Filltered'!AG46/(Calibration!AG$34*'Corrected data'!$A46+Calibration!AG$35)</f>
        <v>6.2132948295824448</v>
      </c>
      <c r="AH46" s="24">
        <f>'Not MDL Filltered'!AH46/(Calibration!AH$34*'Corrected data'!$A46+Calibration!AH$35)</f>
        <v>1.2665663982598998</v>
      </c>
      <c r="AI46" s="24">
        <f>'Not MDL Filltered'!AI46/(Calibration!AI$34*'Corrected data'!$A46+Calibration!AI$35)</f>
        <v>3.605958733832566</v>
      </c>
      <c r="AJ46" s="24">
        <f>'Not MDL Filltered'!AJ46/(Calibration!AJ$34*'Corrected data'!$A46+Calibration!AJ$35)</f>
        <v>0.46265627386306507</v>
      </c>
      <c r="AK46" s="24">
        <f>'Not MDL Filltered'!AK46/(Calibration!AK$34*'Corrected data'!$A46+Calibration!AK$35)</f>
        <v>3.5292964766433572</v>
      </c>
      <c r="AL46" s="24">
        <f>'Not MDL Filltered'!AL46/(Calibration!AL$34*'Corrected data'!$A46+Calibration!AL$35)</f>
        <v>0.5077304503858221</v>
      </c>
      <c r="AM46" s="24">
        <f>'Not MDL Filltered'!AM46/(Calibration!AM$34*'Corrected data'!$A46+Calibration!AM$35)</f>
        <v>10.812735916036376</v>
      </c>
      <c r="AN46" s="24">
        <f>'Not MDL Filltered'!AN46/(Calibration!AN$34*'Corrected data'!$A46+Calibration!AN$35)</f>
        <v>16.855139336610982</v>
      </c>
      <c r="AO46" s="24">
        <f>'Not MDL Filltered'!AO46/(Calibration!AO$34*'Corrected data'!$A46+Calibration!AO$35)</f>
        <v>11.677334570692635</v>
      </c>
      <c r="AP46" s="24">
        <f>'Not MDL Filltered'!AP46/(Calibration!AP$34*'Corrected data'!$A46+Calibration!AP$35)</f>
        <v>22.888086843843571</v>
      </c>
      <c r="AQ46" s="24">
        <f>'Not MDL Filltered'!AQ46/(Calibration!AQ$34*'Corrected data'!$A46+Calibration!AQ$35)</f>
        <v>5.8203500456811357</v>
      </c>
    </row>
    <row r="47" spans="1:43" s="24" customFormat="1" x14ac:dyDescent="0.2">
      <c r="A47" s="24">
        <v>46</v>
      </c>
      <c r="B47" s="24" t="s">
        <v>106</v>
      </c>
      <c r="C47" s="24">
        <f>'Not MDL Filltered'!C47/(Calibration!C$34*'Corrected data'!$A47+Calibration!C$35)</f>
        <v>5.9551015660053341</v>
      </c>
      <c r="D47" s="24">
        <f>'Not MDL Filltered'!D47/(Calibration!D$34*'Corrected data'!$A47+Calibration!D$35)</f>
        <v>2.8973296394565011</v>
      </c>
      <c r="E47" s="24">
        <f>'Not MDL Filltered'!E47/(Calibration!E$34*'Corrected data'!$A47+Calibration!E$35)</f>
        <v>30375.741741687973</v>
      </c>
      <c r="F47" s="24">
        <f>'Not MDL Filltered'!F47/(Calibration!F$34*'Corrected data'!$A47+Calibration!F$35)</f>
        <v>33059.486263751838</v>
      </c>
      <c r="G47" s="24">
        <f>'Not MDL Filltered'!G47/(Calibration!G$34*'Corrected data'!$A47+Calibration!G$35)</f>
        <v>87320.775603202972</v>
      </c>
      <c r="H47" s="24">
        <f>'Not MDL Filltered'!H47/(Calibration!H$34*'Corrected data'!$A47+Calibration!H$35)</f>
        <v>210252.52463836005</v>
      </c>
      <c r="I47" s="24">
        <f>'Not MDL Filltered'!I47/(Calibration!I$34*'Corrected data'!$A47+Calibration!I$35)</f>
        <v>1804.9895058681757</v>
      </c>
      <c r="J47" s="24">
        <f>'Not MDL Filltered'!J47/(Calibration!J$34*'Corrected data'!$A47+Calibration!J$35)</f>
        <v>9757.5961093458209</v>
      </c>
      <c r="K47" s="24">
        <f>'Not MDL Filltered'!K47/(Calibration!K$34*'Corrected data'!$A47+Calibration!K$35)</f>
        <v>108420.35052322775</v>
      </c>
      <c r="L47" s="24">
        <f>'Not MDL Filltered'!L47/(Calibration!L$34*'Corrected data'!$A47+Calibration!L$35)</f>
        <v>34.989544351884817</v>
      </c>
      <c r="M47" s="24">
        <f>'Not MDL Filltered'!M47/(Calibration!M$34*'Corrected data'!$A47+Calibration!M$35)</f>
        <v>21567.398936416223</v>
      </c>
      <c r="N47" s="24">
        <f>'Not MDL Filltered'!N47/(Calibration!N$34*'Corrected data'!$A47+Calibration!N$35)</f>
        <v>335.08993811256192</v>
      </c>
      <c r="O47" s="24">
        <f>'Not MDL Filltered'!O47/(Calibration!O$34*'Corrected data'!$A47+Calibration!O$35)</f>
        <v>1106.3409773978108</v>
      </c>
      <c r="P47" s="24">
        <f>'Not MDL Filltered'!P47/(Calibration!P$34*'Corrected data'!$A47+Calibration!P$35)</f>
        <v>65722.289283307153</v>
      </c>
      <c r="Q47" s="24">
        <f>'Not MDL Filltered'!Q47/(Calibration!Q$34*'Corrected data'!$A47+Calibration!Q$35)</f>
        <v>0.95712691487127755</v>
      </c>
      <c r="R47" s="24">
        <f>'Not MDL Filltered'!R47/(Calibration!R$34*'Corrected data'!$A47+Calibration!R$35)</f>
        <v>37.252186780534579</v>
      </c>
      <c r="S47" s="24">
        <f>'Not MDL Filltered'!S47/(Calibration!S$34*'Corrected data'!$A47+Calibration!S$35)</f>
        <v>1092.0979628760622</v>
      </c>
      <c r="T47" s="24">
        <f>'Not MDL Filltered'!T47/(Calibration!T$34*'Corrected data'!$A47+Calibration!T$35)</f>
        <v>28.704863298750286</v>
      </c>
      <c r="U47" s="24">
        <f>'Not MDL Filltered'!U47/(Calibration!U$34*'Corrected data'!$A47+Calibration!U$35)</f>
        <v>374.42935773443821</v>
      </c>
      <c r="V47" s="24">
        <f>'Not MDL Filltered'!V47/(Calibration!V$34*'Corrected data'!$A47+Calibration!V$35)</f>
        <v>110.42161932489348</v>
      </c>
      <c r="W47" s="24">
        <f>'Not MDL Filltered'!W47/(Calibration!W$34*'Corrected data'!$A47+Calibration!W$35)</f>
        <v>0.5263160095329682</v>
      </c>
      <c r="X47" s="24">
        <f>'Not MDL Filltered'!X47/(Calibration!X$34*'Corrected data'!$A47+Calibration!X$35)</f>
        <v>492.16700336268809</v>
      </c>
      <c r="Y47" s="24">
        <f>'Not MDL Filltered'!Y47/(Calibration!Y$34*'Corrected data'!$A47+Calibration!Y$35)</f>
        <v>82.04941422683612</v>
      </c>
      <c r="Z47" s="24">
        <f>'Not MDL Filltered'!Z47/(Calibration!Z$34*'Corrected data'!$A47+Calibration!Z$35)</f>
        <v>159.7729625840264</v>
      </c>
      <c r="AA47" s="24">
        <f>'Not MDL Filltered'!AA47/(Calibration!AA$34*'Corrected data'!$A47+Calibration!AA$35)</f>
        <v>16.835316786002629</v>
      </c>
      <c r="AB47" s="24">
        <f>'Not MDL Filltered'!AB47/(Calibration!AB$34*'Corrected data'!$A47+Calibration!AB$35)</f>
        <v>60.682129159324155</v>
      </c>
      <c r="AC47" s="24">
        <f>'Not MDL Filltered'!AC47/(Calibration!AC$34*'Corrected data'!$A47+Calibration!AC$35)</f>
        <v>10.056599942139449</v>
      </c>
      <c r="AD47" s="24">
        <f>'Not MDL Filltered'!AD47/(Calibration!AD$34*'Corrected data'!$A47+Calibration!AD$35)</f>
        <v>3.3460257485728766</v>
      </c>
      <c r="AE47" s="24">
        <f>'Not MDL Filltered'!AE47/(Calibration!AE$34*'Corrected data'!$A47+Calibration!AE$35)</f>
        <v>8.6565986676205267</v>
      </c>
      <c r="AF47" s="24">
        <f>'Not MDL Filltered'!AF47/(Calibration!AF$34*'Corrected data'!$A47+Calibration!AF$35)</f>
        <v>1.1003124967333759</v>
      </c>
      <c r="AG47" s="24">
        <f>'Not MDL Filltered'!AG47/(Calibration!AG$34*'Corrected data'!$A47+Calibration!AG$35)</f>
        <v>6.5476023309631914</v>
      </c>
      <c r="AH47" s="24">
        <f>'Not MDL Filltered'!AH47/(Calibration!AH$34*'Corrected data'!$A47+Calibration!AH$35)</f>
        <v>1.1373221355764356</v>
      </c>
      <c r="AI47" s="24">
        <f>'Not MDL Filltered'!AI47/(Calibration!AI$34*'Corrected data'!$A47+Calibration!AI$35)</f>
        <v>2.7107223003460876</v>
      </c>
      <c r="AJ47" s="24">
        <f>'Not MDL Filltered'!AJ47/(Calibration!AJ$34*'Corrected data'!$A47+Calibration!AJ$35)</f>
        <v>0.36542760338929675</v>
      </c>
      <c r="AK47" s="24">
        <f>'Not MDL Filltered'!AK47/(Calibration!AK$34*'Corrected data'!$A47+Calibration!AK$35)</f>
        <v>2.3029533430791793</v>
      </c>
      <c r="AL47" s="24">
        <f>'Not MDL Filltered'!AL47/(Calibration!AL$34*'Corrected data'!$A47+Calibration!AL$35)</f>
        <v>0.27812898051998863</v>
      </c>
      <c r="AM47" s="24">
        <f>'Not MDL Filltered'!AM47/(Calibration!AM$34*'Corrected data'!$A47+Calibration!AM$35)</f>
        <v>8.7579118806727152</v>
      </c>
      <c r="AN47" s="24">
        <f>'Not MDL Filltered'!AN47/(Calibration!AN$34*'Corrected data'!$A47+Calibration!AN$35)</f>
        <v>6.4316144388001986</v>
      </c>
      <c r="AO47" s="24">
        <f>'Not MDL Filltered'!AO47/(Calibration!AO$34*'Corrected data'!$A47+Calibration!AO$35)</f>
        <v>3.8214761909169583</v>
      </c>
      <c r="AP47" s="24">
        <f>'Not MDL Filltered'!AP47/(Calibration!AP$34*'Corrected data'!$A47+Calibration!AP$35)</f>
        <v>9.5419112514237661</v>
      </c>
      <c r="AQ47" s="24">
        <f>'Not MDL Filltered'!AQ47/(Calibration!AQ$34*'Corrected data'!$A47+Calibration!AQ$35)</f>
        <v>2.7145216488144834</v>
      </c>
    </row>
    <row r="48" spans="1:43" s="24" customFormat="1" x14ac:dyDescent="0.2">
      <c r="A48" s="24">
        <v>47</v>
      </c>
      <c r="B48" s="24" t="s">
        <v>107</v>
      </c>
      <c r="C48" s="24">
        <f>'Not MDL Filltered'!C48/(Calibration!C$34*'Corrected data'!$A48+Calibration!C$35)</f>
        <v>5.6084708776638328</v>
      </c>
      <c r="D48" s="24">
        <f>'Not MDL Filltered'!D48/(Calibration!D$34*'Corrected data'!$A48+Calibration!D$35)</f>
        <v>3.0643186280212045</v>
      </c>
      <c r="E48" s="24">
        <f>'Not MDL Filltered'!E48/(Calibration!E$34*'Corrected data'!$A48+Calibration!E$35)</f>
        <v>31331.88634949211</v>
      </c>
      <c r="F48" s="24">
        <f>'Not MDL Filltered'!F48/(Calibration!F$34*'Corrected data'!$A48+Calibration!F$35)</f>
        <v>88367.034730031039</v>
      </c>
      <c r="G48" s="24">
        <f>'Not MDL Filltered'!G48/(Calibration!G$34*'Corrected data'!$A48+Calibration!G$35)</f>
        <v>86931.674792929727</v>
      </c>
      <c r="H48" s="24">
        <f>'Not MDL Filltered'!H48/(Calibration!H$34*'Corrected data'!$A48+Calibration!H$35)</f>
        <v>256316.84769235557</v>
      </c>
      <c r="I48" s="24">
        <f>'Not MDL Filltered'!I48/(Calibration!I$34*'Corrected data'!$A48+Calibration!I$35)</f>
        <v>1948.1560284716963</v>
      </c>
      <c r="J48" s="24">
        <f>'Not MDL Filltered'!J48/(Calibration!J$34*'Corrected data'!$A48+Calibration!J$35)</f>
        <v>10571.040604323765</v>
      </c>
      <c r="K48" s="24">
        <f>'Not MDL Filltered'!K48/(Calibration!K$34*'Corrected data'!$A48+Calibration!K$35)</f>
        <v>112351.20867147081</v>
      </c>
      <c r="L48" s="24">
        <f>'Not MDL Filltered'!L48/(Calibration!L$34*'Corrected data'!$A48+Calibration!L$35)</f>
        <v>41.066912157058702</v>
      </c>
      <c r="M48" s="24">
        <f>'Not MDL Filltered'!M48/(Calibration!M$34*'Corrected data'!$A48+Calibration!M$35)</f>
        <v>20658.510175515883</v>
      </c>
      <c r="N48" s="24">
        <f>'Not MDL Filltered'!N48/(Calibration!N$34*'Corrected data'!$A48+Calibration!N$35)</f>
        <v>304.51083310598676</v>
      </c>
      <c r="O48" s="24">
        <f>'Not MDL Filltered'!O48/(Calibration!O$34*'Corrected data'!$A48+Calibration!O$35)</f>
        <v>1555.7396862027076</v>
      </c>
      <c r="P48" s="24">
        <f>'Not MDL Filltered'!P48/(Calibration!P$34*'Corrected data'!$A48+Calibration!P$35)</f>
        <v>114887.49518055552</v>
      </c>
      <c r="Q48" s="24">
        <f>'Not MDL Filltered'!Q48/(Calibration!Q$34*'Corrected data'!$A48+Calibration!Q$35)</f>
        <v>0.97479678964623628</v>
      </c>
      <c r="R48" s="24">
        <f>'Not MDL Filltered'!R48/(Calibration!R$34*'Corrected data'!$A48+Calibration!R$35)</f>
        <v>37.699274063675546</v>
      </c>
      <c r="S48" s="24">
        <f>'Not MDL Filltered'!S48/(Calibration!S$34*'Corrected data'!$A48+Calibration!S$35)</f>
        <v>998.29167019733325</v>
      </c>
      <c r="T48" s="24">
        <f>'Not MDL Filltered'!T48/(Calibration!T$34*'Corrected data'!$A48+Calibration!T$35)</f>
        <v>26.539352968481474</v>
      </c>
      <c r="U48" s="24">
        <f>'Not MDL Filltered'!U48/(Calibration!U$34*'Corrected data'!$A48+Calibration!U$35)</f>
        <v>390.29429703604268</v>
      </c>
      <c r="V48" s="24">
        <f>'Not MDL Filltered'!V48/(Calibration!V$34*'Corrected data'!$A48+Calibration!V$35)</f>
        <v>97.717414814494077</v>
      </c>
      <c r="W48" s="24">
        <f>'Not MDL Filltered'!W48/(Calibration!W$34*'Corrected data'!$A48+Calibration!W$35)</f>
        <v>0.51702141024969905</v>
      </c>
      <c r="X48" s="24">
        <f>'Not MDL Filltered'!X48/(Calibration!X$34*'Corrected data'!$A48+Calibration!X$35)</f>
        <v>486.44697386543987</v>
      </c>
      <c r="Y48" s="24">
        <f>'Not MDL Filltered'!Y48/(Calibration!Y$34*'Corrected data'!$A48+Calibration!Y$35)</f>
        <v>90.002915149425405</v>
      </c>
      <c r="Z48" s="24">
        <f>'Not MDL Filltered'!Z48/(Calibration!Z$34*'Corrected data'!$A48+Calibration!Z$35)</f>
        <v>155.35419725327654</v>
      </c>
      <c r="AA48" s="24">
        <f>'Not MDL Filltered'!AA48/(Calibration!AA$34*'Corrected data'!$A48+Calibration!AA$35)</f>
        <v>16.72685714925235</v>
      </c>
      <c r="AB48" s="24">
        <f>'Not MDL Filltered'!AB48/(Calibration!AB$34*'Corrected data'!$A48+Calibration!AB$35)</f>
        <v>61.655966926657165</v>
      </c>
      <c r="AC48" s="24">
        <f>'Not MDL Filltered'!AC48/(Calibration!AC$34*'Corrected data'!$A48+Calibration!AC$35)</f>
        <v>9.3715892370473579</v>
      </c>
      <c r="AD48" s="24">
        <f>'Not MDL Filltered'!AD48/(Calibration!AD$34*'Corrected data'!$A48+Calibration!AD$35)</f>
        <v>2.8804382641147335</v>
      </c>
      <c r="AE48" s="24">
        <f>'Not MDL Filltered'!AE48/(Calibration!AE$34*'Corrected data'!$A48+Calibration!AE$35)</f>
        <v>9.7833108541902956</v>
      </c>
      <c r="AF48" s="24">
        <f>'Not MDL Filltered'!AF48/(Calibration!AF$34*'Corrected data'!$A48+Calibration!AF$35)</f>
        <v>1.1005991080884041</v>
      </c>
      <c r="AG48" s="24">
        <f>'Not MDL Filltered'!AG48/(Calibration!AG$34*'Corrected data'!$A48+Calibration!AG$35)</f>
        <v>6.7919855668073081</v>
      </c>
      <c r="AH48" s="24">
        <f>'Not MDL Filltered'!AH48/(Calibration!AH$34*'Corrected data'!$A48+Calibration!AH$35)</f>
        <v>1.3572879803961329</v>
      </c>
      <c r="AI48" s="24">
        <f>'Not MDL Filltered'!AI48/(Calibration!AI$34*'Corrected data'!$A48+Calibration!AI$35)</f>
        <v>3.5478775073613331</v>
      </c>
      <c r="AJ48" s="24">
        <f>'Not MDL Filltered'!AJ48/(Calibration!AJ$34*'Corrected data'!$A48+Calibration!AJ$35)</f>
        <v>0.41394604417854092</v>
      </c>
      <c r="AK48" s="24">
        <f>'Not MDL Filltered'!AK48/(Calibration!AK$34*'Corrected data'!$A48+Calibration!AK$35)</f>
        <v>1.9240606063385228</v>
      </c>
      <c r="AL48" s="24">
        <f>'Not MDL Filltered'!AL48/(Calibration!AL$34*'Corrected data'!$A48+Calibration!AL$35)</f>
        <v>0.37789150690933321</v>
      </c>
      <c r="AM48" s="24">
        <f>'Not MDL Filltered'!AM48/(Calibration!AM$34*'Corrected data'!$A48+Calibration!AM$35)</f>
        <v>10.480530534071903</v>
      </c>
      <c r="AN48" s="24">
        <f>'Not MDL Filltered'!AN48/(Calibration!AN$34*'Corrected data'!$A48+Calibration!AN$35)</f>
        <v>6.9982842323200671</v>
      </c>
      <c r="AO48" s="24">
        <f>'Not MDL Filltered'!AO48/(Calibration!AO$34*'Corrected data'!$A48+Calibration!AO$35)</f>
        <v>4.2949522084088212</v>
      </c>
      <c r="AP48" s="24">
        <f>'Not MDL Filltered'!AP48/(Calibration!AP$34*'Corrected data'!$A48+Calibration!AP$35)</f>
        <v>10.067389051023298</v>
      </c>
      <c r="AQ48" s="24">
        <f>'Not MDL Filltered'!AQ48/(Calibration!AQ$34*'Corrected data'!$A48+Calibration!AQ$35)</f>
        <v>2.4731291177748638</v>
      </c>
    </row>
    <row r="49" spans="1:43" s="24" customFormat="1" x14ac:dyDescent="0.2">
      <c r="A49" s="24">
        <v>48</v>
      </c>
      <c r="B49" s="24" t="s">
        <v>108</v>
      </c>
      <c r="C49" s="24">
        <f>'Not MDL Filltered'!C49/(Calibration!C$34*'Corrected data'!$A49+Calibration!C$35)</f>
        <v>6.3367658713156656</v>
      </c>
      <c r="D49" s="24">
        <f>'Not MDL Filltered'!D49/(Calibration!D$34*'Corrected data'!$A49+Calibration!D$35)</f>
        <v>4.055789335441415</v>
      </c>
      <c r="E49" s="24">
        <f>'Not MDL Filltered'!E49/(Calibration!E$34*'Corrected data'!$A49+Calibration!E$35)</f>
        <v>41069.30211869366</v>
      </c>
      <c r="F49" s="24">
        <f>'Not MDL Filltered'!F49/(Calibration!F$34*'Corrected data'!$A49+Calibration!F$35)</f>
        <v>51049.099239634394</v>
      </c>
      <c r="G49" s="24">
        <f>'Not MDL Filltered'!G49/(Calibration!G$34*'Corrected data'!$A49+Calibration!G$35)</f>
        <v>94849.574195815017</v>
      </c>
      <c r="H49" s="24">
        <f>'Not MDL Filltered'!H49/(Calibration!H$34*'Corrected data'!$A49+Calibration!H$35)</f>
        <v>307846.4500479991</v>
      </c>
      <c r="I49" s="24">
        <f>'Not MDL Filltered'!I49/(Calibration!I$34*'Corrected data'!$A49+Calibration!I$35)</f>
        <v>2731.7913173704073</v>
      </c>
      <c r="J49" s="24">
        <f>'Not MDL Filltered'!J49/(Calibration!J$34*'Corrected data'!$A49+Calibration!J$35)</f>
        <v>13793.159524655361</v>
      </c>
      <c r="K49" s="24">
        <f>'Not MDL Filltered'!K49/(Calibration!K$34*'Corrected data'!$A49+Calibration!K$35)</f>
        <v>112351.20882448522</v>
      </c>
      <c r="L49" s="24">
        <f>'Not MDL Filltered'!L49/(Calibration!L$34*'Corrected data'!$A49+Calibration!L$35)</f>
        <v>38.746771374897605</v>
      </c>
      <c r="M49" s="24">
        <f>'Not MDL Filltered'!M49/(Calibration!M$34*'Corrected data'!$A49+Calibration!M$35)</f>
        <v>21034.300059655532</v>
      </c>
      <c r="N49" s="24">
        <f>'Not MDL Filltered'!N49/(Calibration!N$34*'Corrected data'!$A49+Calibration!N$35)</f>
        <v>387.56603677494496</v>
      </c>
      <c r="O49" s="24">
        <f>'Not MDL Filltered'!O49/(Calibration!O$34*'Corrected data'!$A49+Calibration!O$35)</f>
        <v>1421.3775442666808</v>
      </c>
      <c r="P49" s="24">
        <f>'Not MDL Filltered'!P49/(Calibration!P$34*'Corrected data'!$A49+Calibration!P$35)</f>
        <v>103521.53912199331</v>
      </c>
      <c r="Q49" s="24">
        <f>'Not MDL Filltered'!Q49/(Calibration!Q$34*'Corrected data'!$A49+Calibration!Q$35)</f>
        <v>1.2961561019634045</v>
      </c>
      <c r="R49" s="24">
        <f>'Not MDL Filltered'!R49/(Calibration!R$34*'Corrected data'!$A49+Calibration!R$35)</f>
        <v>53.127993089221249</v>
      </c>
      <c r="S49" s="24">
        <f>'Not MDL Filltered'!S49/(Calibration!S$34*'Corrected data'!$A49+Calibration!S$35)</f>
        <v>1198.2144098464091</v>
      </c>
      <c r="T49" s="24">
        <f>'Not MDL Filltered'!T49/(Calibration!T$34*'Corrected data'!$A49+Calibration!T$35)</f>
        <v>31.81209563593535</v>
      </c>
      <c r="U49" s="24">
        <f>'Not MDL Filltered'!U49/(Calibration!U$34*'Corrected data'!$A49+Calibration!U$35)</f>
        <v>453.40721109469791</v>
      </c>
      <c r="V49" s="24">
        <f>'Not MDL Filltered'!V49/(Calibration!V$34*'Corrected data'!$A49+Calibration!V$35)</f>
        <v>134.75877185514895</v>
      </c>
      <c r="W49" s="24">
        <f>'Not MDL Filltered'!W49/(Calibration!W$34*'Corrected data'!$A49+Calibration!W$35)</f>
        <v>0.70062184098487856</v>
      </c>
      <c r="X49" s="24">
        <f>'Not MDL Filltered'!X49/(Calibration!X$34*'Corrected data'!$A49+Calibration!X$35)</f>
        <v>561.08747954932835</v>
      </c>
      <c r="Y49" s="24">
        <f>'Not MDL Filltered'!Y49/(Calibration!Y$34*'Corrected data'!$A49+Calibration!Y$35)</f>
        <v>94.395687202017655</v>
      </c>
      <c r="Z49" s="24">
        <f>'Not MDL Filltered'!Z49/(Calibration!Z$34*'Corrected data'!$A49+Calibration!Z$35)</f>
        <v>183.94474672880557</v>
      </c>
      <c r="AA49" s="24">
        <f>'Not MDL Filltered'!AA49/(Calibration!AA$34*'Corrected data'!$A49+Calibration!AA$35)</f>
        <v>19.428242630211582</v>
      </c>
      <c r="AB49" s="24">
        <f>'Not MDL Filltered'!AB49/(Calibration!AB$34*'Corrected data'!$A49+Calibration!AB$35)</f>
        <v>70.621034848392654</v>
      </c>
      <c r="AC49" s="24">
        <f>'Not MDL Filltered'!AC49/(Calibration!AC$34*'Corrected data'!$A49+Calibration!AC$35)</f>
        <v>10.971567822790208</v>
      </c>
      <c r="AD49" s="24">
        <f>'Not MDL Filltered'!AD49/(Calibration!AD$34*'Corrected data'!$A49+Calibration!AD$35)</f>
        <v>3.4923966410349294</v>
      </c>
      <c r="AE49" s="24">
        <f>'Not MDL Filltered'!AE49/(Calibration!AE$34*'Corrected data'!$A49+Calibration!AE$35)</f>
        <v>10.116422191541242</v>
      </c>
      <c r="AF49" s="24">
        <f>'Not MDL Filltered'!AF49/(Calibration!AF$34*'Corrected data'!$A49+Calibration!AF$35)</f>
        <v>1.2826835352031525</v>
      </c>
      <c r="AG49" s="24">
        <f>'Not MDL Filltered'!AG49/(Calibration!AG$34*'Corrected data'!$A49+Calibration!AG$35)</f>
        <v>6.5146619727273638</v>
      </c>
      <c r="AH49" s="24">
        <f>'Not MDL Filltered'!AH49/(Calibration!AH$34*'Corrected data'!$A49+Calibration!AH$35)</f>
        <v>1.267918460230991</v>
      </c>
      <c r="AI49" s="24">
        <f>'Not MDL Filltered'!AI49/(Calibration!AI$34*'Corrected data'!$A49+Calibration!AI$35)</f>
        <v>3.5697966563918548</v>
      </c>
      <c r="AJ49" s="24">
        <f>'Not MDL Filltered'!AJ49/(Calibration!AJ$34*'Corrected data'!$A49+Calibration!AJ$35)</f>
        <v>0.3579878126800517</v>
      </c>
      <c r="AK49" s="24">
        <f>'Not MDL Filltered'!AK49/(Calibration!AK$34*'Corrected data'!$A49+Calibration!AK$35)</f>
        <v>2.5819598376160919</v>
      </c>
      <c r="AL49" s="24">
        <f>'Not MDL Filltered'!AL49/(Calibration!AL$34*'Corrected data'!$A49+Calibration!AL$35)</f>
        <v>0.30302469449965003</v>
      </c>
      <c r="AM49" s="24">
        <f>'Not MDL Filltered'!AM49/(Calibration!AM$34*'Corrected data'!$A49+Calibration!AM$35)</f>
        <v>10.224775881620994</v>
      </c>
      <c r="AN49" s="24">
        <f>'Not MDL Filltered'!AN49/(Calibration!AN$34*'Corrected data'!$A49+Calibration!AN$35)</f>
        <v>7.2002966003523152</v>
      </c>
      <c r="AO49" s="24">
        <f>'Not MDL Filltered'!AO49/(Calibration!AO$34*'Corrected data'!$A49+Calibration!AO$35)</f>
        <v>6.6837324631216566</v>
      </c>
      <c r="AP49" s="24">
        <f>'Not MDL Filltered'!AP49/(Calibration!AP$34*'Corrected data'!$A49+Calibration!AP$35)</f>
        <v>11.235880937379644</v>
      </c>
      <c r="AQ49" s="24">
        <f>'Not MDL Filltered'!AQ49/(Calibration!AQ$34*'Corrected data'!$A49+Calibration!AQ$35)</f>
        <v>3.2716119800147188</v>
      </c>
    </row>
    <row r="50" spans="1:43" s="24" customFormat="1" x14ac:dyDescent="0.2">
      <c r="A50" s="24">
        <v>49</v>
      </c>
      <c r="B50" s="24" t="s">
        <v>109</v>
      </c>
      <c r="C50" s="24">
        <f>'Not MDL Filltered'!C50/(Calibration!C$34*'Corrected data'!$A50+Calibration!C$35)</f>
        <v>4.003622170724948</v>
      </c>
      <c r="D50" s="24">
        <f>'Not MDL Filltered'!D50/(Calibration!D$34*'Corrected data'!$A50+Calibration!D$35)</f>
        <v>0.74967916226154596</v>
      </c>
      <c r="E50" s="24">
        <f>'Not MDL Filltered'!E50/(Calibration!E$34*'Corrected data'!$A50+Calibration!E$35)</f>
        <v>24006.050253123474</v>
      </c>
      <c r="F50" s="24">
        <f>'Not MDL Filltered'!F50/(Calibration!F$34*'Corrected data'!$A50+Calibration!F$35)</f>
        <v>117824.34438855958</v>
      </c>
      <c r="G50" s="24">
        <f>'Not MDL Filltered'!G50/(Calibration!G$34*'Corrected data'!$A50+Calibration!G$35)</f>
        <v>89734.343417175856</v>
      </c>
      <c r="H50" s="24">
        <f>'Not MDL Filltered'!H50/(Calibration!H$34*'Corrected data'!$A50+Calibration!H$35)</f>
        <v>236068.93449086536</v>
      </c>
      <c r="I50" s="24">
        <f>'Not MDL Filltered'!I50/(Calibration!I$34*'Corrected data'!$A50+Calibration!I$35)</f>
        <v>1645.2655828645127</v>
      </c>
      <c r="J50" s="24">
        <f>'Not MDL Filltered'!J50/(Calibration!J$34*'Corrected data'!$A50+Calibration!J$35)</f>
        <v>8221.2213990507771</v>
      </c>
      <c r="K50" s="24">
        <f>'Not MDL Filltered'!K50/(Calibration!K$34*'Corrected data'!$A50+Calibration!K$35)</f>
        <v>113280.32087107709</v>
      </c>
      <c r="L50" s="24">
        <f>'Not MDL Filltered'!L50/(Calibration!L$34*'Corrected data'!$A50+Calibration!L$35)</f>
        <v>36.646732313270974</v>
      </c>
      <c r="M50" s="24">
        <f>'Not MDL Filltered'!M50/(Calibration!M$34*'Corrected data'!$A50+Calibration!M$35)</f>
        <v>19025.498734187135</v>
      </c>
      <c r="N50" s="24">
        <f>'Not MDL Filltered'!N50/(Calibration!N$34*'Corrected data'!$A50+Calibration!N$35)</f>
        <v>308.57848243572937</v>
      </c>
      <c r="O50" s="24">
        <f>'Not MDL Filltered'!O50/(Calibration!O$34*'Corrected data'!$A50+Calibration!O$35)</f>
        <v>1306.8564694013082</v>
      </c>
      <c r="P50" s="24">
        <f>'Not MDL Filltered'!P50/(Calibration!P$34*'Corrected data'!$A50+Calibration!P$35)</f>
        <v>80213.733418075513</v>
      </c>
      <c r="Q50" s="24">
        <f>'Not MDL Filltered'!Q50/(Calibration!Q$34*'Corrected data'!$A50+Calibration!Q$35)</f>
        <v>0.70689212413329894</v>
      </c>
      <c r="R50" s="24">
        <f>'Not MDL Filltered'!R50/(Calibration!R$34*'Corrected data'!$A50+Calibration!R$35)</f>
        <v>22.139169555458643</v>
      </c>
      <c r="S50" s="24">
        <f>'Not MDL Filltered'!S50/(Calibration!S$34*'Corrected data'!$A50+Calibration!S$35)</f>
        <v>850.79684543039457</v>
      </c>
      <c r="T50" s="24">
        <f>'Not MDL Filltered'!T50/(Calibration!T$34*'Corrected data'!$A50+Calibration!T$35)</f>
        <v>29.396869328942287</v>
      </c>
      <c r="U50" s="24">
        <f>'Not MDL Filltered'!U50/(Calibration!U$34*'Corrected data'!$A50+Calibration!U$35)</f>
        <v>281.93365773371835</v>
      </c>
      <c r="V50" s="24">
        <f>'Not MDL Filltered'!V50/(Calibration!V$34*'Corrected data'!$A50+Calibration!V$35)</f>
        <v>60.10056868140677</v>
      </c>
      <c r="W50" s="24">
        <f>'Not MDL Filltered'!W50/(Calibration!W$34*'Corrected data'!$A50+Calibration!W$35)</f>
        <v>0.21662647438792551</v>
      </c>
      <c r="X50" s="24">
        <f>'Not MDL Filltered'!X50/(Calibration!X$34*'Corrected data'!$A50+Calibration!X$35)</f>
        <v>333.14486749189473</v>
      </c>
      <c r="Y50" s="24">
        <f>'Not MDL Filltered'!Y50/(Calibration!Y$34*'Corrected data'!$A50+Calibration!Y$35)</f>
        <v>44.426739461029882</v>
      </c>
      <c r="Z50" s="24">
        <f>'Not MDL Filltered'!Z50/(Calibration!Z$34*'Corrected data'!$A50+Calibration!Z$35)</f>
        <v>99.32396621490247</v>
      </c>
      <c r="AA50" s="24">
        <f>'Not MDL Filltered'!AA50/(Calibration!AA$34*'Corrected data'!$A50+Calibration!AA$35)</f>
        <v>12.505343655452126</v>
      </c>
      <c r="AB50" s="24">
        <f>'Not MDL Filltered'!AB50/(Calibration!AB$34*'Corrected data'!$A50+Calibration!AB$35)</f>
        <v>49.528629525802508</v>
      </c>
      <c r="AC50" s="24">
        <f>'Not MDL Filltered'!AC50/(Calibration!AC$34*'Corrected data'!$A50+Calibration!AC$35)</f>
        <v>8.6074395787916149</v>
      </c>
      <c r="AD50" s="24">
        <f>'Not MDL Filltered'!AD50/(Calibration!AD$34*'Corrected data'!$A50+Calibration!AD$35)</f>
        <v>2.8764834114731088</v>
      </c>
      <c r="AE50" s="24">
        <f>'Not MDL Filltered'!AE50/(Calibration!AE$34*'Corrected data'!$A50+Calibration!AE$35)</f>
        <v>7.5117549776236849</v>
      </c>
      <c r="AF50" s="24">
        <f>'Not MDL Filltered'!AF50/(Calibration!AF$34*'Corrected data'!$A50+Calibration!AF$35)</f>
        <v>1.1213777840929469</v>
      </c>
      <c r="AG50" s="24">
        <f>'Not MDL Filltered'!AG50/(Calibration!AG$34*'Corrected data'!$A50+Calibration!AG$35)</f>
        <v>5.5339855902051776</v>
      </c>
      <c r="AH50" s="24">
        <f>'Not MDL Filltered'!AH50/(Calibration!AH$34*'Corrected data'!$A50+Calibration!AH$35)</f>
        <v>1.0186906968879366</v>
      </c>
      <c r="AI50" s="24">
        <f>'Not MDL Filltered'!AI50/(Calibration!AI$34*'Corrected data'!$A50+Calibration!AI$35)</f>
        <v>2.5509478684291635</v>
      </c>
      <c r="AJ50" s="24">
        <f>'Not MDL Filltered'!AJ50/(Calibration!AJ$34*'Corrected data'!$A50+Calibration!AJ$35)</f>
        <v>0.32860425691020306</v>
      </c>
      <c r="AK50" s="24">
        <f>'Not MDL Filltered'!AK50/(Calibration!AK$34*'Corrected data'!$A50+Calibration!AK$35)</f>
        <v>2.4423285303373525</v>
      </c>
      <c r="AL50" s="24">
        <f>'Not MDL Filltered'!AL50/(Calibration!AL$34*'Corrected data'!$A50+Calibration!AL$35)</f>
        <v>0.24883504469962001</v>
      </c>
      <c r="AM50" s="24">
        <f>'Not MDL Filltered'!AM50/(Calibration!AM$34*'Corrected data'!$A50+Calibration!AM$35)</f>
        <v>5.6311250536676178</v>
      </c>
      <c r="AN50" s="24">
        <f>'Not MDL Filltered'!AN50/(Calibration!AN$34*'Corrected data'!$A50+Calibration!AN$35)</f>
        <v>3.7973384969717485</v>
      </c>
      <c r="AO50" s="24">
        <f>'Not MDL Filltered'!AO50/(Calibration!AO$34*'Corrected data'!$A50+Calibration!AO$35)</f>
        <v>6.2395457752588053</v>
      </c>
      <c r="AP50" s="24">
        <f>'Not MDL Filltered'!AP50/(Calibration!AP$34*'Corrected data'!$A50+Calibration!AP$35)</f>
        <v>4.4196807637193984</v>
      </c>
      <c r="AQ50" s="24">
        <f>'Not MDL Filltered'!AQ50/(Calibration!AQ$34*'Corrected data'!$A50+Calibration!AQ$35)</f>
        <v>1.2531260281742564</v>
      </c>
    </row>
    <row r="51" spans="1:43" s="24" customFormat="1" x14ac:dyDescent="0.2">
      <c r="A51" s="24">
        <v>50</v>
      </c>
      <c r="B51" s="24" t="s">
        <v>110</v>
      </c>
      <c r="C51" s="24">
        <f>'Not MDL Filltered'!C51/(Calibration!C$34*'Corrected data'!$A51+Calibration!C$35)</f>
        <v>4.0733378143045575</v>
      </c>
      <c r="D51" s="24">
        <f>'Not MDL Filltered'!D51/(Calibration!D$34*'Corrected data'!$A51+Calibration!D$35)</f>
        <v>2.8107236501564059</v>
      </c>
      <c r="E51" s="24">
        <f>'Not MDL Filltered'!E51/(Calibration!E$34*'Corrected data'!$A51+Calibration!E$35)</f>
        <v>29904.1692058228</v>
      </c>
      <c r="F51" s="24">
        <f>'Not MDL Filltered'!F51/(Calibration!F$34*'Corrected data'!$A51+Calibration!F$35)</f>
        <v>222154.27211203965</v>
      </c>
      <c r="G51" s="24">
        <f>'Not MDL Filltered'!G51/(Calibration!G$34*'Corrected data'!$A51+Calibration!G$35)</f>
        <v>103322.83562350379</v>
      </c>
      <c r="H51" s="24">
        <f>'Not MDL Filltered'!H51/(Calibration!H$34*'Corrected data'!$A51+Calibration!H$35)</f>
        <v>305397.73201369809</v>
      </c>
      <c r="I51" s="24">
        <f>'Not MDL Filltered'!I51/(Calibration!I$34*'Corrected data'!$A51+Calibration!I$35)</f>
        <v>1630.9617493988396</v>
      </c>
      <c r="J51" s="24">
        <f>'Not MDL Filltered'!J51/(Calibration!J$34*'Corrected data'!$A51+Calibration!J$35)</f>
        <v>8223.1761940580836</v>
      </c>
      <c r="K51" s="24">
        <f>'Not MDL Filltered'!K51/(Calibration!K$34*'Corrected data'!$A51+Calibration!K$35)</f>
        <v>112637.07971352221</v>
      </c>
      <c r="L51" s="24">
        <f>'Not MDL Filltered'!L51/(Calibration!L$34*'Corrected data'!$A51+Calibration!L$35)</f>
        <v>36.949569320782636</v>
      </c>
      <c r="M51" s="24">
        <f>'Not MDL Filltered'!M51/(Calibration!M$34*'Corrected data'!$A51+Calibration!M$35)</f>
        <v>20593.265858797233</v>
      </c>
      <c r="N51" s="24">
        <f>'Not MDL Filltered'!N51/(Calibration!N$34*'Corrected data'!$A51+Calibration!N$35)</f>
        <v>359.59574903965824</v>
      </c>
      <c r="O51" s="24">
        <f>'Not MDL Filltered'!O51/(Calibration!O$34*'Corrected data'!$A51+Calibration!O$35)</f>
        <v>2065.9642408564696</v>
      </c>
      <c r="P51" s="24">
        <f>'Not MDL Filltered'!P51/(Calibration!P$34*'Corrected data'!$A51+Calibration!P$35)</f>
        <v>128857.88232972991</v>
      </c>
      <c r="Q51" s="24">
        <f>'Not MDL Filltered'!Q51/(Calibration!Q$34*'Corrected data'!$A51+Calibration!Q$35)</f>
        <v>0.38269230300186469</v>
      </c>
      <c r="R51" s="24">
        <f>'Not MDL Filltered'!R51/(Calibration!R$34*'Corrected data'!$A51+Calibration!R$35)</f>
        <v>27.309903570577681</v>
      </c>
      <c r="S51" s="24">
        <f>'Not MDL Filltered'!S51/(Calibration!S$34*'Corrected data'!$A51+Calibration!S$35)</f>
        <v>1004.2682994279699</v>
      </c>
      <c r="T51" s="24">
        <f>'Not MDL Filltered'!T51/(Calibration!T$34*'Corrected data'!$A51+Calibration!T$35)</f>
        <v>30.512501213486285</v>
      </c>
      <c r="U51" s="24">
        <f>'Not MDL Filltered'!U51/(Calibration!U$34*'Corrected data'!$A51+Calibration!U$35)</f>
        <v>286.65312585372851</v>
      </c>
      <c r="V51" s="24">
        <f>'Not MDL Filltered'!V51/(Calibration!V$34*'Corrected data'!$A51+Calibration!V$35)</f>
        <v>68.795893283716339</v>
      </c>
      <c r="W51" s="24">
        <f>'Not MDL Filltered'!W51/(Calibration!W$34*'Corrected data'!$A51+Calibration!W$35)</f>
        <v>0.242441718565898</v>
      </c>
      <c r="X51" s="24">
        <f>'Not MDL Filltered'!X51/(Calibration!X$34*'Corrected data'!$A51+Calibration!X$35)</f>
        <v>359.42689617966306</v>
      </c>
      <c r="Y51" s="24">
        <f>'Not MDL Filltered'!Y51/(Calibration!Y$34*'Corrected data'!$A51+Calibration!Y$35)</f>
        <v>63.514195049751464</v>
      </c>
      <c r="Z51" s="24">
        <f>'Not MDL Filltered'!Z51/(Calibration!Z$34*'Corrected data'!$A51+Calibration!Z$35)</f>
        <v>133.62644116995119</v>
      </c>
      <c r="AA51" s="24">
        <f>'Not MDL Filltered'!AA51/(Calibration!AA$34*'Corrected data'!$A51+Calibration!AA$35)</f>
        <v>14.534348828087099</v>
      </c>
      <c r="AB51" s="24">
        <f>'Not MDL Filltered'!AB51/(Calibration!AB$34*'Corrected data'!$A51+Calibration!AB$35)</f>
        <v>56.756672535180385</v>
      </c>
      <c r="AC51" s="24">
        <f>'Not MDL Filltered'!AC51/(Calibration!AC$34*'Corrected data'!$A51+Calibration!AC$35)</f>
        <v>10.1473081741022</v>
      </c>
      <c r="AD51" s="24">
        <f>'Not MDL Filltered'!AD51/(Calibration!AD$34*'Corrected data'!$A51+Calibration!AD$35)</f>
        <v>3.4071989811329892</v>
      </c>
      <c r="AE51" s="24">
        <f>'Not MDL Filltered'!AE51/(Calibration!AE$34*'Corrected data'!$A51+Calibration!AE$35)</f>
        <v>9.044407432270658</v>
      </c>
      <c r="AF51" s="24">
        <f>'Not MDL Filltered'!AF51/(Calibration!AF$34*'Corrected data'!$A51+Calibration!AF$35)</f>
        <v>1.2126163362259195</v>
      </c>
      <c r="AG51" s="24">
        <f>'Not MDL Filltered'!AG51/(Calibration!AG$34*'Corrected data'!$A51+Calibration!AG$35)</f>
        <v>7.5167029942682664</v>
      </c>
      <c r="AH51" s="24">
        <f>'Not MDL Filltered'!AH51/(Calibration!AH$34*'Corrected data'!$A51+Calibration!AH$35)</f>
        <v>1.288802879714577</v>
      </c>
      <c r="AI51" s="24">
        <f>'Not MDL Filltered'!AI51/(Calibration!AI$34*'Corrected data'!$A51+Calibration!AI$35)</f>
        <v>3.8076465445249621</v>
      </c>
      <c r="AJ51" s="24">
        <f>'Not MDL Filltered'!AJ51/(Calibration!AJ$34*'Corrected data'!$A51+Calibration!AJ$35)</f>
        <v>0.5332000864273615</v>
      </c>
      <c r="AK51" s="24">
        <f>'Not MDL Filltered'!AK51/(Calibration!AK$34*'Corrected data'!$A51+Calibration!AK$35)</f>
        <v>2.761252027095999</v>
      </c>
      <c r="AL51" s="24">
        <f>'Not MDL Filltered'!AL51/(Calibration!AL$34*'Corrected data'!$A51+Calibration!AL$35)</f>
        <v>0.3546311468301605</v>
      </c>
      <c r="AM51" s="24">
        <f>'Not MDL Filltered'!AM51/(Calibration!AM$34*'Corrected data'!$A51+Calibration!AM$35)</f>
        <v>7.463767363363881</v>
      </c>
      <c r="AN51" s="24">
        <f>'Not MDL Filltered'!AN51/(Calibration!AN$34*'Corrected data'!$A51+Calibration!AN$35)</f>
        <v>4.6880938420620382</v>
      </c>
      <c r="AO51" s="24">
        <f>'Not MDL Filltered'!AO51/(Calibration!AO$34*'Corrected data'!$A51+Calibration!AO$35)</f>
        <v>5.9365539949759194</v>
      </c>
      <c r="AP51" s="24">
        <f>'Not MDL Filltered'!AP51/(Calibration!AP$34*'Corrected data'!$A51+Calibration!AP$35)</f>
        <v>4.9438418544488654</v>
      </c>
      <c r="AQ51" s="24">
        <f>'Not MDL Filltered'!AQ51/(Calibration!AQ$34*'Corrected data'!$A51+Calibration!AQ$35)</f>
        <v>1.4972321754433671</v>
      </c>
    </row>
    <row r="52" spans="1:43" s="24" customFormat="1" x14ac:dyDescent="0.2">
      <c r="A52" s="24">
        <v>51</v>
      </c>
      <c r="B52" s="24" t="s">
        <v>111</v>
      </c>
      <c r="C52" s="24">
        <f>'Not MDL Filltered'!C52/(Calibration!C$34*'Corrected data'!$A52+Calibration!C$35)</f>
        <v>4.6494918115629575</v>
      </c>
      <c r="D52" s="24">
        <f>'Not MDL Filltered'!D52/(Calibration!D$34*'Corrected data'!$A52+Calibration!D$35)</f>
        <v>2.5518685929007265</v>
      </c>
      <c r="E52" s="24">
        <f>'Not MDL Filltered'!E52/(Calibration!E$34*'Corrected data'!$A52+Calibration!E$35)</f>
        <v>29575.38023159052</v>
      </c>
      <c r="F52" s="24">
        <f>'Not MDL Filltered'!F52/(Calibration!F$34*'Corrected data'!$A52+Calibration!F$35)</f>
        <v>39924.157614285483</v>
      </c>
      <c r="G52" s="24">
        <f>'Not MDL Filltered'!G52/(Calibration!G$34*'Corrected data'!$A52+Calibration!G$35)</f>
        <v>100259.75819878362</v>
      </c>
      <c r="H52" s="24">
        <f>'Not MDL Filltered'!H52/(Calibration!H$34*'Corrected data'!$A52+Calibration!H$35)</f>
        <v>205783.24627674904</v>
      </c>
      <c r="I52" s="24">
        <f>'Not MDL Filltered'!I52/(Calibration!I$34*'Corrected data'!$A52+Calibration!I$35)</f>
        <v>3122.3096810680167</v>
      </c>
      <c r="J52" s="24">
        <f>'Not MDL Filltered'!J52/(Calibration!J$34*'Corrected data'!$A52+Calibration!J$35)</f>
        <v>13458.3507227342</v>
      </c>
      <c r="K52" s="24">
        <f>'Not MDL Filltered'!K52/(Calibration!K$34*'Corrected data'!$A52+Calibration!K$35)</f>
        <v>106990.93834442201</v>
      </c>
      <c r="L52" s="24">
        <f>'Not MDL Filltered'!L52/(Calibration!L$34*'Corrected data'!$A52+Calibration!L$35)</f>
        <v>27.236636833863844</v>
      </c>
      <c r="M52" s="24">
        <f>'Not MDL Filltered'!M52/(Calibration!M$34*'Corrected data'!$A52+Calibration!M$35)</f>
        <v>18338.764444561457</v>
      </c>
      <c r="N52" s="24">
        <f>'Not MDL Filltered'!N52/(Calibration!N$34*'Corrected data'!$A52+Calibration!N$35)</f>
        <v>391.45956815496061</v>
      </c>
      <c r="O52" s="24">
        <f>'Not MDL Filltered'!O52/(Calibration!O$34*'Corrected data'!$A52+Calibration!O$35)</f>
        <v>1151.184306727577</v>
      </c>
      <c r="P52" s="24">
        <f>'Not MDL Filltered'!P52/(Calibration!P$34*'Corrected data'!$A52+Calibration!P$35)</f>
        <v>68318.008530134393</v>
      </c>
      <c r="Q52" s="24">
        <f>'Not MDL Filltered'!Q52/(Calibration!Q$34*'Corrected data'!$A52+Calibration!Q$35)</f>
        <v>0.82355812705968801</v>
      </c>
      <c r="R52" s="24">
        <f>'Not MDL Filltered'!R52/(Calibration!R$34*'Corrected data'!$A52+Calibration!R$35)</f>
        <v>44.879805851464035</v>
      </c>
      <c r="S52" s="24">
        <f>'Not MDL Filltered'!S52/(Calibration!S$34*'Corrected data'!$A52+Calibration!S$35)</f>
        <v>1373.4913983360843</v>
      </c>
      <c r="T52" s="24">
        <f>'Not MDL Filltered'!T52/(Calibration!T$34*'Corrected data'!$A52+Calibration!T$35)</f>
        <v>36.399507483085948</v>
      </c>
      <c r="U52" s="24">
        <f>'Not MDL Filltered'!U52/(Calibration!U$34*'Corrected data'!$A52+Calibration!U$35)</f>
        <v>402.57548515654349</v>
      </c>
      <c r="V52" s="24">
        <f>'Not MDL Filltered'!V52/(Calibration!V$34*'Corrected data'!$A52+Calibration!V$35)</f>
        <v>126.1965234143843</v>
      </c>
      <c r="W52" s="24">
        <f>'Not MDL Filltered'!W52/(Calibration!W$34*'Corrected data'!$A52+Calibration!W$35)</f>
        <v>0.38771587831786142</v>
      </c>
      <c r="X52" s="24">
        <f>'Not MDL Filltered'!X52/(Calibration!X$34*'Corrected data'!$A52+Calibration!X$35)</f>
        <v>620.92381337658583</v>
      </c>
      <c r="Y52" s="24">
        <f>'Not MDL Filltered'!Y52/(Calibration!Y$34*'Corrected data'!$A52+Calibration!Y$35)</f>
        <v>112.44634625069995</v>
      </c>
      <c r="Z52" s="24">
        <f>'Not MDL Filltered'!Z52/(Calibration!Z$34*'Corrected data'!$A52+Calibration!Z$35)</f>
        <v>209.79489689990746</v>
      </c>
      <c r="AA52" s="24">
        <f>'Not MDL Filltered'!AA52/(Calibration!AA$34*'Corrected data'!$A52+Calibration!AA$35)</f>
        <v>22.245706737120212</v>
      </c>
      <c r="AB52" s="24">
        <f>'Not MDL Filltered'!AB52/(Calibration!AB$34*'Corrected data'!$A52+Calibration!AB$35)</f>
        <v>78.827625023999957</v>
      </c>
      <c r="AC52" s="24">
        <f>'Not MDL Filltered'!AC52/(Calibration!AC$34*'Corrected data'!$A52+Calibration!AC$35)</f>
        <v>12.568314306851798</v>
      </c>
      <c r="AD52" s="24">
        <f>'Not MDL Filltered'!AD52/(Calibration!AD$34*'Corrected data'!$A52+Calibration!AD$35)</f>
        <v>3.7162223058693802</v>
      </c>
      <c r="AE52" s="24">
        <f>'Not MDL Filltered'!AE52/(Calibration!AE$34*'Corrected data'!$A52+Calibration!AE$35)</f>
        <v>10.962376634126738</v>
      </c>
      <c r="AF52" s="24">
        <f>'Not MDL Filltered'!AF52/(Calibration!AF$34*'Corrected data'!$A52+Calibration!AF$35)</f>
        <v>1.4656268072472955</v>
      </c>
      <c r="AG52" s="24">
        <f>'Not MDL Filltered'!AG52/(Calibration!AG$34*'Corrected data'!$A52+Calibration!AG$35)</f>
        <v>7.3800847972663313</v>
      </c>
      <c r="AH52" s="24">
        <f>'Not MDL Filltered'!AH52/(Calibration!AH$34*'Corrected data'!$A52+Calibration!AH$35)</f>
        <v>1.4291818732914932</v>
      </c>
      <c r="AI52" s="24">
        <f>'Not MDL Filltered'!AI52/(Calibration!AI$34*'Corrected data'!$A52+Calibration!AI$35)</f>
        <v>3.6765171507653602</v>
      </c>
      <c r="AJ52" s="24">
        <f>'Not MDL Filltered'!AJ52/(Calibration!AJ$34*'Corrected data'!$A52+Calibration!AJ$35)</f>
        <v>0.52364864657271071</v>
      </c>
      <c r="AK52" s="24">
        <f>'Not MDL Filltered'!AK52/(Calibration!AK$34*'Corrected data'!$A52+Calibration!AK$35)</f>
        <v>2.9406042135248889</v>
      </c>
      <c r="AL52" s="24">
        <f>'Not MDL Filltered'!AL52/(Calibration!AL$34*'Corrected data'!$A52+Calibration!AL$35)</f>
        <v>0.32314814911412243</v>
      </c>
      <c r="AM52" s="24">
        <f>'Not MDL Filltered'!AM52/(Calibration!AM$34*'Corrected data'!$A52+Calibration!AM$35)</f>
        <v>8.4512829798722464</v>
      </c>
      <c r="AN52" s="24">
        <f>'Not MDL Filltered'!AN52/(Calibration!AN$34*'Corrected data'!$A52+Calibration!AN$35)</f>
        <v>8.3022617450893854</v>
      </c>
      <c r="AO52" s="24">
        <f>'Not MDL Filltered'!AO52/(Calibration!AO$34*'Corrected data'!$A52+Calibration!AO$35)</f>
        <v>21.224345165266985</v>
      </c>
      <c r="AP52" s="24">
        <f>'Not MDL Filltered'!AP52/(Calibration!AP$34*'Corrected data'!$A52+Calibration!AP$35)</f>
        <v>10.48443612077312</v>
      </c>
      <c r="AQ52" s="24">
        <f>'Not MDL Filltered'!AQ52/(Calibration!AQ$34*'Corrected data'!$A52+Calibration!AQ$35)</f>
        <v>2.6210708399915186</v>
      </c>
    </row>
    <row r="53" spans="1:43" s="24" customFormat="1" x14ac:dyDescent="0.2">
      <c r="A53" s="24">
        <v>52</v>
      </c>
      <c r="B53" s="24" t="s">
        <v>112</v>
      </c>
      <c r="C53" s="24">
        <f>'Not MDL Filltered'!C53/(Calibration!C$34*'Corrected data'!$A53+Calibration!C$35)</f>
        <v>5.7518771672955475</v>
      </c>
      <c r="D53" s="24">
        <f>'Not MDL Filltered'!D53/(Calibration!D$34*'Corrected data'!$A53+Calibration!D$35)</f>
        <v>2.3053050417829395</v>
      </c>
      <c r="E53" s="24">
        <f>'Not MDL Filltered'!E53/(Calibration!E$34*'Corrected data'!$A53+Calibration!E$35)</f>
        <v>33885.442645881325</v>
      </c>
      <c r="F53" s="24">
        <f>'Not MDL Filltered'!F53/(Calibration!F$34*'Corrected data'!$A53+Calibration!F$35)</f>
        <v>27623.286696979489</v>
      </c>
      <c r="G53" s="24">
        <f>'Not MDL Filltered'!G53/(Calibration!G$34*'Corrected data'!$A53+Calibration!G$35)</f>
        <v>87940.117263249616</v>
      </c>
      <c r="H53" s="24">
        <f>'Not MDL Filltered'!H53/(Calibration!H$34*'Corrected data'!$A53+Calibration!H$35)</f>
        <v>218556.21856268399</v>
      </c>
      <c r="I53" s="24">
        <f>'Not MDL Filltered'!I53/(Calibration!I$34*'Corrected data'!$A53+Calibration!I$35)</f>
        <v>2096.3728935407416</v>
      </c>
      <c r="J53" s="24">
        <f>'Not MDL Filltered'!J53/(Calibration!J$34*'Corrected data'!$A53+Calibration!J$35)</f>
        <v>9895.2484583023343</v>
      </c>
      <c r="K53" s="24">
        <f>'Not MDL Filltered'!K53/(Calibration!K$34*'Corrected data'!$A53+Calibration!K$35)</f>
        <v>103274.48090062119</v>
      </c>
      <c r="L53" s="24">
        <f>'Not MDL Filltered'!L53/(Calibration!L$34*'Corrected data'!$A53+Calibration!L$35)</f>
        <v>29.762961117829903</v>
      </c>
      <c r="M53" s="24">
        <f>'Not MDL Filltered'!M53/(Calibration!M$34*'Corrected data'!$A53+Calibration!M$35)</f>
        <v>26871.525153148163</v>
      </c>
      <c r="N53" s="24">
        <f>'Not MDL Filltered'!N53/(Calibration!N$34*'Corrected data'!$A53+Calibration!N$35)</f>
        <v>327.8322806331056</v>
      </c>
      <c r="O53" s="24">
        <f>'Not MDL Filltered'!O53/(Calibration!O$34*'Corrected data'!$A53+Calibration!O$35)</f>
        <v>1428.443910193402</v>
      </c>
      <c r="P53" s="24">
        <f>'Not MDL Filltered'!P53/(Calibration!P$34*'Corrected data'!$A53+Calibration!P$35)</f>
        <v>84461.118418121041</v>
      </c>
      <c r="Q53" s="24">
        <f>'Not MDL Filltered'!Q53/(Calibration!Q$34*'Corrected data'!$A53+Calibration!Q$35)</f>
        <v>0.56090063855501948</v>
      </c>
      <c r="R53" s="24">
        <f>'Not MDL Filltered'!R53/(Calibration!R$34*'Corrected data'!$A53+Calibration!R$35)</f>
        <v>24.396934840484484</v>
      </c>
      <c r="S53" s="24">
        <f>'Not MDL Filltered'!S53/(Calibration!S$34*'Corrected data'!$A53+Calibration!S$35)</f>
        <v>1019.56182672136</v>
      </c>
      <c r="T53" s="24">
        <f>'Not MDL Filltered'!T53/(Calibration!T$34*'Corrected data'!$A53+Calibration!T$35)</f>
        <v>36.449453835208246</v>
      </c>
      <c r="U53" s="24">
        <f>'Not MDL Filltered'!U53/(Calibration!U$34*'Corrected data'!$A53+Calibration!U$35)</f>
        <v>403.80622698094572</v>
      </c>
      <c r="V53" s="24">
        <f>'Not MDL Filltered'!V53/(Calibration!V$34*'Corrected data'!$A53+Calibration!V$35)</f>
        <v>67.679249102372992</v>
      </c>
      <c r="W53" s="24">
        <f>'Not MDL Filltered'!W53/(Calibration!W$34*'Corrected data'!$A53+Calibration!W$35)</f>
        <v>0.29432232189973612</v>
      </c>
      <c r="X53" s="24">
        <f>'Not MDL Filltered'!X53/(Calibration!X$34*'Corrected data'!$A53+Calibration!X$35)</f>
        <v>316.51348425099314</v>
      </c>
      <c r="Y53" s="24">
        <f>'Not MDL Filltered'!Y53/(Calibration!Y$34*'Corrected data'!$A53+Calibration!Y$35)</f>
        <v>55.355792258521468</v>
      </c>
      <c r="Z53" s="24">
        <f>'Not MDL Filltered'!Z53/(Calibration!Z$34*'Corrected data'!$A53+Calibration!Z$35)</f>
        <v>129.70329036466421</v>
      </c>
      <c r="AA53" s="24">
        <f>'Not MDL Filltered'!AA53/(Calibration!AA$34*'Corrected data'!$A53+Calibration!AA$35)</f>
        <v>16.314706183649374</v>
      </c>
      <c r="AB53" s="24">
        <f>'Not MDL Filltered'!AB53/(Calibration!AB$34*'Corrected data'!$A53+Calibration!AB$35)</f>
        <v>69.46210007326367</v>
      </c>
      <c r="AC53" s="24">
        <f>'Not MDL Filltered'!AC53/(Calibration!AC$34*'Corrected data'!$A53+Calibration!AC$35)</f>
        <v>14.150381676209005</v>
      </c>
      <c r="AD53" s="24">
        <f>'Not MDL Filltered'!AD53/(Calibration!AD$34*'Corrected data'!$A53+Calibration!AD$35)</f>
        <v>4.0147852493197931</v>
      </c>
      <c r="AE53" s="24">
        <f>'Not MDL Filltered'!AE53/(Calibration!AE$34*'Corrected data'!$A53+Calibration!AE$35)</f>
        <v>11.274555848207131</v>
      </c>
      <c r="AF53" s="24">
        <f>'Not MDL Filltered'!AF53/(Calibration!AF$34*'Corrected data'!$A53+Calibration!AF$35)</f>
        <v>1.5772235556815264</v>
      </c>
      <c r="AG53" s="24">
        <f>'Not MDL Filltered'!AG53/(Calibration!AG$34*'Corrected data'!$A53+Calibration!AG$35)</f>
        <v>8.0783091429622988</v>
      </c>
      <c r="AH53" s="24">
        <f>'Not MDL Filltered'!AH53/(Calibration!AH$34*'Corrected data'!$A53+Calibration!AH$35)</f>
        <v>1.3697041083514305</v>
      </c>
      <c r="AI53" s="24">
        <f>'Not MDL Filltered'!AI53/(Calibration!AI$34*'Corrected data'!$A53+Calibration!AI$35)</f>
        <v>3.5146243887077371</v>
      </c>
      <c r="AJ53" s="24">
        <f>'Not MDL Filltered'!AJ53/(Calibration!AJ$34*'Corrected data'!$A53+Calibration!AJ$35)</f>
        <v>0.44092711223160103</v>
      </c>
      <c r="AK53" s="24">
        <f>'Not MDL Filltered'!AK53/(Calibration!AK$34*'Corrected data'!$A53+Calibration!AK$35)</f>
        <v>2.7411672466325001</v>
      </c>
      <c r="AL53" s="24">
        <f>'Not MDL Filltered'!AL53/(Calibration!AL$34*'Corrected data'!$A53+Calibration!AL$35)</f>
        <v>0.35491138300582592</v>
      </c>
      <c r="AM53" s="24">
        <f>'Not MDL Filltered'!AM53/(Calibration!AM$34*'Corrected data'!$A53+Calibration!AM$35)</f>
        <v>10.066633643417271</v>
      </c>
      <c r="AN53" s="24">
        <f>'Not MDL Filltered'!AN53/(Calibration!AN$34*'Corrected data'!$A53+Calibration!AN$35)</f>
        <v>4.0597024841317335</v>
      </c>
      <c r="AO53" s="24">
        <f>'Not MDL Filltered'!AO53/(Calibration!AO$34*'Corrected data'!$A53+Calibration!AO$35)</f>
        <v>4.1013530170858736</v>
      </c>
      <c r="AP53" s="24">
        <f>'Not MDL Filltered'!AP53/(Calibration!AP$34*'Corrected data'!$A53+Calibration!AP$35)</f>
        <v>5.0983552228860178</v>
      </c>
      <c r="AQ53" s="24">
        <f>'Not MDL Filltered'!AQ53/(Calibration!AQ$34*'Corrected data'!$A53+Calibration!AQ$35)</f>
        <v>1.4208793742610575</v>
      </c>
    </row>
    <row r="54" spans="1:43" s="24" customFormat="1" x14ac:dyDescent="0.2">
      <c r="A54" s="24">
        <v>53</v>
      </c>
      <c r="B54" s="24" t="s">
        <v>113</v>
      </c>
      <c r="C54" s="24">
        <f>'Not MDL Filltered'!C54/(Calibration!C$34*'Corrected data'!$A54+Calibration!C$35)</f>
        <v>4.0797619098884814</v>
      </c>
      <c r="D54" s="24">
        <f>'Not MDL Filltered'!D54/(Calibration!D$34*'Corrected data'!$A54+Calibration!D$35)</f>
        <v>1.7120733310510221</v>
      </c>
      <c r="E54" s="24">
        <f>'Not MDL Filltered'!E54/(Calibration!E$34*'Corrected data'!$A54+Calibration!E$35)</f>
        <v>22002.273969640599</v>
      </c>
      <c r="F54" s="24">
        <f>'Not MDL Filltered'!F54/(Calibration!F$34*'Corrected data'!$A54+Calibration!F$35)</f>
        <v>22803.380366122736</v>
      </c>
      <c r="G54" s="24">
        <f>'Not MDL Filltered'!G54/(Calibration!G$34*'Corrected data'!$A54+Calibration!G$35)</f>
        <v>77896.353391762008</v>
      </c>
      <c r="H54" s="24">
        <f>'Not MDL Filltered'!H54/(Calibration!H$34*'Corrected data'!$A54+Calibration!H$35)</f>
        <v>168980.32776969686</v>
      </c>
      <c r="I54" s="24">
        <f>'Not MDL Filltered'!I54/(Calibration!I$34*'Corrected data'!$A54+Calibration!I$35)</f>
        <v>1858.60051438043</v>
      </c>
      <c r="J54" s="24">
        <f>'Not MDL Filltered'!J54/(Calibration!J$34*'Corrected data'!$A54+Calibration!J$35)</f>
        <v>8841.5287644387845</v>
      </c>
      <c r="K54" s="24">
        <f>'Not MDL Filltered'!K54/(Calibration!K$34*'Corrected data'!$A54+Calibration!K$35)</f>
        <v>91982.197965507279</v>
      </c>
      <c r="L54" s="24">
        <f>'Not MDL Filltered'!L54/(Calibration!L$34*'Corrected data'!$A54+Calibration!L$35)</f>
        <v>27.914903031906693</v>
      </c>
      <c r="M54" s="24">
        <f>'Not MDL Filltered'!M54/(Calibration!M$34*'Corrected data'!$A54+Calibration!M$35)</f>
        <v>19250.652694022494</v>
      </c>
      <c r="N54" s="24">
        <f>'Not MDL Filltered'!N54/(Calibration!N$34*'Corrected data'!$A54+Calibration!N$35)</f>
        <v>285.79294285249239</v>
      </c>
      <c r="O54" s="24">
        <f>'Not MDL Filltered'!O54/(Calibration!O$34*'Corrected data'!$A54+Calibration!O$35)</f>
        <v>1111.6923989173602</v>
      </c>
      <c r="P54" s="24">
        <f>'Not MDL Filltered'!P54/(Calibration!P$34*'Corrected data'!$A54+Calibration!P$35)</f>
        <v>65853.140506576325</v>
      </c>
      <c r="Q54" s="24">
        <f>'Not MDL Filltered'!Q54/(Calibration!Q$34*'Corrected data'!$A54+Calibration!Q$35)</f>
        <v>0.43951256703245412</v>
      </c>
      <c r="R54" s="24">
        <f>'Not MDL Filltered'!R54/(Calibration!R$34*'Corrected data'!$A54+Calibration!R$35)</f>
        <v>25.246064225078204</v>
      </c>
      <c r="S54" s="24">
        <f>'Not MDL Filltered'!S54/(Calibration!S$34*'Corrected data'!$A54+Calibration!S$35)</f>
        <v>861.60649292259029</v>
      </c>
      <c r="T54" s="24">
        <f>'Not MDL Filltered'!T54/(Calibration!T$34*'Corrected data'!$A54+Calibration!T$35)</f>
        <v>29.049749685671273</v>
      </c>
      <c r="U54" s="24">
        <f>'Not MDL Filltered'!U54/(Calibration!U$34*'Corrected data'!$A54+Calibration!U$35)</f>
        <v>281.45815293017893</v>
      </c>
      <c r="V54" s="24">
        <f>'Not MDL Filltered'!V54/(Calibration!V$34*'Corrected data'!$A54+Calibration!V$35)</f>
        <v>70.506154901440084</v>
      </c>
      <c r="W54" s="24">
        <f>'Not MDL Filltered'!W54/(Calibration!W$34*'Corrected data'!$A54+Calibration!W$35)</f>
        <v>0.28763311732930225</v>
      </c>
      <c r="X54" s="24">
        <f>'Not MDL Filltered'!X54/(Calibration!X$34*'Corrected data'!$A54+Calibration!X$35)</f>
        <v>303.24317237220419</v>
      </c>
      <c r="Y54" s="24">
        <f>'Not MDL Filltered'!Y54/(Calibration!Y$34*'Corrected data'!$A54+Calibration!Y$35)</f>
        <v>52.332385443131216</v>
      </c>
      <c r="Z54" s="24">
        <f>'Not MDL Filltered'!Z54/(Calibration!Z$34*'Corrected data'!$A54+Calibration!Z$35)</f>
        <v>108.99631188881177</v>
      </c>
      <c r="AA54" s="24">
        <f>'Not MDL Filltered'!AA54/(Calibration!AA$34*'Corrected data'!$A54+Calibration!AA$35)</f>
        <v>13.003046197551967</v>
      </c>
      <c r="AB54" s="24">
        <f>'Not MDL Filltered'!AB54/(Calibration!AB$34*'Corrected data'!$A54+Calibration!AB$35)</f>
        <v>52.008535543057178</v>
      </c>
      <c r="AC54" s="24">
        <f>'Not MDL Filltered'!AC54/(Calibration!AC$34*'Corrected data'!$A54+Calibration!AC$35)</f>
        <v>8.7373020540232567</v>
      </c>
      <c r="AD54" s="24">
        <f>'Not MDL Filltered'!AD54/(Calibration!AD$34*'Corrected data'!$A54+Calibration!AD$35)</f>
        <v>2.7181548231597437</v>
      </c>
      <c r="AE54" s="24">
        <f>'Not MDL Filltered'!AE54/(Calibration!AE$34*'Corrected data'!$A54+Calibration!AE$35)</f>
        <v>8.3878320520502356</v>
      </c>
      <c r="AF54" s="24">
        <f>'Not MDL Filltered'!AF54/(Calibration!AF$34*'Corrected data'!$A54+Calibration!AF$35)</f>
        <v>1.2034523677977587</v>
      </c>
      <c r="AG54" s="24">
        <f>'Not MDL Filltered'!AG54/(Calibration!AG$34*'Corrected data'!$A54+Calibration!AG$35)</f>
        <v>6.1602183999949913</v>
      </c>
      <c r="AH54" s="24">
        <f>'Not MDL Filltered'!AH54/(Calibration!AH$34*'Corrected data'!$A54+Calibration!AH$35)</f>
        <v>0.96013479539666602</v>
      </c>
      <c r="AI54" s="24">
        <f>'Not MDL Filltered'!AI54/(Calibration!AI$34*'Corrected data'!$A54+Calibration!AI$35)</f>
        <v>2.5042231180193655</v>
      </c>
      <c r="AJ54" s="24">
        <f>'Not MDL Filltered'!AJ54/(Calibration!AJ$34*'Corrected data'!$A54+Calibration!AJ$35)</f>
        <v>0.38876977257033379</v>
      </c>
      <c r="AK54" s="24">
        <f>'Not MDL Filltered'!AK54/(Calibration!AK$34*'Corrected data'!$A54+Calibration!AK$35)</f>
        <v>2.103166117620602</v>
      </c>
      <c r="AL54" s="24">
        <f>'Not MDL Filltered'!AL54/(Calibration!AL$34*'Corrected data'!$A54+Calibration!AL$35)</f>
        <v>0.27593151855547232</v>
      </c>
      <c r="AM54" s="24">
        <f>'Not MDL Filltered'!AM54/(Calibration!AM$34*'Corrected data'!$A54+Calibration!AM$35)</f>
        <v>5.56753687944361</v>
      </c>
      <c r="AN54" s="24">
        <f>'Not MDL Filltered'!AN54/(Calibration!AN$34*'Corrected data'!$A54+Calibration!AN$35)</f>
        <v>3.7961937595225201</v>
      </c>
      <c r="AO54" s="24">
        <f>'Not MDL Filltered'!AO54/(Calibration!AO$34*'Corrected data'!$A54+Calibration!AO$35)</f>
        <v>3.8288923266897443</v>
      </c>
      <c r="AP54" s="24">
        <f>'Not MDL Filltered'!AP54/(Calibration!AP$34*'Corrected data'!$A54+Calibration!AP$35)</f>
        <v>6.0559188295086139</v>
      </c>
      <c r="AQ54" s="24">
        <f>'Not MDL Filltered'!AQ54/(Calibration!AQ$34*'Corrected data'!$A54+Calibration!AQ$35)</f>
        <v>1.2655194549520963</v>
      </c>
    </row>
    <row r="55" spans="1:43" s="24" customFormat="1" x14ac:dyDescent="0.2">
      <c r="A55" s="24">
        <v>54</v>
      </c>
      <c r="B55" s="24" t="s">
        <v>114</v>
      </c>
      <c r="C55" s="24">
        <f>'Not MDL Filltered'!C55/(Calibration!C$34*'Corrected data'!$A55+Calibration!C$35)</f>
        <v>4.4934642227550254</v>
      </c>
      <c r="D55" s="24">
        <f>'Not MDL Filltered'!D55/(Calibration!D$34*'Corrected data'!$A55+Calibration!D$35)</f>
        <v>2.4714577927847876</v>
      </c>
      <c r="E55" s="24">
        <f>'Not MDL Filltered'!E55/(Calibration!E$34*'Corrected data'!$A55+Calibration!E$35)</f>
        <v>24591.171320148136</v>
      </c>
      <c r="F55" s="24">
        <f>'Not MDL Filltered'!F55/(Calibration!F$34*'Corrected data'!$A55+Calibration!F$35)</f>
        <v>68530.918731162994</v>
      </c>
      <c r="G55" s="24">
        <f>'Not MDL Filltered'!G55/(Calibration!G$34*'Corrected data'!$A55+Calibration!G$35)</f>
        <v>90927.735470656698</v>
      </c>
      <c r="H55" s="24">
        <f>'Not MDL Filltered'!H55/(Calibration!H$34*'Corrected data'!$A55+Calibration!H$35)</f>
        <v>227027.66477688731</v>
      </c>
      <c r="I55" s="24">
        <f>'Not MDL Filltered'!I55/(Calibration!I$34*'Corrected data'!$A55+Calibration!I$35)</f>
        <v>2800.0240138115114</v>
      </c>
      <c r="J55" s="24">
        <f>'Not MDL Filltered'!J55/(Calibration!J$34*'Corrected data'!$A55+Calibration!J$35)</f>
        <v>12260.562330632456</v>
      </c>
      <c r="K55" s="24">
        <f>'Not MDL Filltered'!K55/(Calibration!K$34*'Corrected data'!$A55+Calibration!K$35)</f>
        <v>112065.31915796522</v>
      </c>
      <c r="L55" s="24">
        <f>'Not MDL Filltered'!L55/(Calibration!L$34*'Corrected data'!$A55+Calibration!L$35)</f>
        <v>38.408921123235366</v>
      </c>
      <c r="M55" s="24">
        <f>'Not MDL Filltered'!M55/(Calibration!M$34*'Corrected data'!$A55+Calibration!M$35)</f>
        <v>23216.056496342015</v>
      </c>
      <c r="N55" s="24">
        <f>'Not MDL Filltered'!N55/(Calibration!N$34*'Corrected data'!$A55+Calibration!N$35)</f>
        <v>382.0874892393536</v>
      </c>
      <c r="O55" s="24">
        <f>'Not MDL Filltered'!O55/(Calibration!O$34*'Corrected data'!$A55+Calibration!O$35)</f>
        <v>1574.0056703627199</v>
      </c>
      <c r="P55" s="24">
        <f>'Not MDL Filltered'!P55/(Calibration!P$34*'Corrected data'!$A55+Calibration!P$35)</f>
        <v>94078.815894805986</v>
      </c>
      <c r="Q55" s="24">
        <f>'Not MDL Filltered'!Q55/(Calibration!Q$34*'Corrected data'!$A55+Calibration!Q$35)</f>
        <v>0.70729547025717865</v>
      </c>
      <c r="R55" s="24">
        <f>'Not MDL Filltered'!R55/(Calibration!R$34*'Corrected data'!$A55+Calibration!R$35)</f>
        <v>32.819174113127843</v>
      </c>
      <c r="S55" s="24">
        <f>'Not MDL Filltered'!S55/(Calibration!S$34*'Corrected data'!$A55+Calibration!S$35)</f>
        <v>1167.694449566731</v>
      </c>
      <c r="T55" s="24">
        <f>'Not MDL Filltered'!T55/(Calibration!T$34*'Corrected data'!$A55+Calibration!T$35)</f>
        <v>37.778065195926864</v>
      </c>
      <c r="U55" s="24">
        <f>'Not MDL Filltered'!U55/(Calibration!U$34*'Corrected data'!$A55+Calibration!U$35)</f>
        <v>393.79164314887754</v>
      </c>
      <c r="V55" s="24">
        <f>'Not MDL Filltered'!V55/(Calibration!V$34*'Corrected data'!$A55+Calibration!V$35)</f>
        <v>113.11249044130015</v>
      </c>
      <c r="W55" s="24">
        <f>'Not MDL Filltered'!W55/(Calibration!W$34*'Corrected data'!$A55+Calibration!W$35)</f>
        <v>0.45111600525178941</v>
      </c>
      <c r="X55" s="24">
        <f>'Not MDL Filltered'!X55/(Calibration!X$34*'Corrected data'!$A55+Calibration!X$35)</f>
        <v>465.04576138243976</v>
      </c>
      <c r="Y55" s="24">
        <f>'Not MDL Filltered'!Y55/(Calibration!Y$34*'Corrected data'!$A55+Calibration!Y$35)</f>
        <v>84.551068122210623</v>
      </c>
      <c r="Z55" s="24">
        <f>'Not MDL Filltered'!Z55/(Calibration!Z$34*'Corrected data'!$A55+Calibration!Z$35)</f>
        <v>169.68081280466461</v>
      </c>
      <c r="AA55" s="24">
        <f>'Not MDL Filltered'!AA55/(Calibration!AA$34*'Corrected data'!$A55+Calibration!AA$35)</f>
        <v>20.003874554052931</v>
      </c>
      <c r="AB55" s="24">
        <f>'Not MDL Filltered'!AB55/(Calibration!AB$34*'Corrected data'!$A55+Calibration!AB$35)</f>
        <v>80.883109991564496</v>
      </c>
      <c r="AC55" s="24">
        <f>'Not MDL Filltered'!AC55/(Calibration!AC$34*'Corrected data'!$A55+Calibration!AC$35)</f>
        <v>12.526849238936464</v>
      </c>
      <c r="AD55" s="24">
        <f>'Not MDL Filltered'!AD55/(Calibration!AD$34*'Corrected data'!$A55+Calibration!AD$35)</f>
        <v>3.2074334322583851</v>
      </c>
      <c r="AE55" s="24">
        <f>'Not MDL Filltered'!AE55/(Calibration!AE$34*'Corrected data'!$A55+Calibration!AE$35)</f>
        <v>9.9492191255183435</v>
      </c>
      <c r="AF55" s="24">
        <f>'Not MDL Filltered'!AF55/(Calibration!AF$34*'Corrected data'!$A55+Calibration!AF$35)</f>
        <v>1.4870055749787399</v>
      </c>
      <c r="AG55" s="24">
        <f>'Not MDL Filltered'!AG55/(Calibration!AG$34*'Corrected data'!$A55+Calibration!AG$35)</f>
        <v>7.5433872170113956</v>
      </c>
      <c r="AH55" s="24">
        <f>'Not MDL Filltered'!AH55/(Calibration!AH$34*'Corrected data'!$A55+Calibration!AH$35)</f>
        <v>1.2106014392403184</v>
      </c>
      <c r="AI55" s="24">
        <f>'Not MDL Filltered'!AI55/(Calibration!AI$34*'Corrected data'!$A55+Calibration!AI$35)</f>
        <v>3.302904364068711</v>
      </c>
      <c r="AJ55" s="24">
        <f>'Not MDL Filltered'!AJ55/(Calibration!AJ$34*'Corrected data'!$A55+Calibration!AJ$35)</f>
        <v>0.46522812135217761</v>
      </c>
      <c r="AK55" s="24">
        <f>'Not MDL Filltered'!AK55/(Calibration!AK$34*'Corrected data'!$A55+Calibration!AK$35)</f>
        <v>3.1098110101879382</v>
      </c>
      <c r="AL55" s="24">
        <f>'Not MDL Filltered'!AL55/(Calibration!AL$34*'Corrected data'!$A55+Calibration!AL$35)</f>
        <v>0.40664049486825682</v>
      </c>
      <c r="AM55" s="24">
        <f>'Not MDL Filltered'!AM55/(Calibration!AM$34*'Corrected data'!$A55+Calibration!AM$35)</f>
        <v>8.2987850292839003</v>
      </c>
      <c r="AN55" s="24">
        <f>'Not MDL Filltered'!AN55/(Calibration!AN$34*'Corrected data'!$A55+Calibration!AN$35)</f>
        <v>6.1645540771802017</v>
      </c>
      <c r="AO55" s="24">
        <f>'Not MDL Filltered'!AO55/(Calibration!AO$34*'Corrected data'!$A55+Calibration!AO$35)</f>
        <v>5.5412668501005804</v>
      </c>
      <c r="AP55" s="24">
        <f>'Not MDL Filltered'!AP55/(Calibration!AP$34*'Corrected data'!$A55+Calibration!AP$35)</f>
        <v>9.6105536647077692</v>
      </c>
      <c r="AQ55" s="24">
        <f>'Not MDL Filltered'!AQ55/(Calibration!AQ$34*'Corrected data'!$A55+Calibration!AQ$35)</f>
        <v>2.0990375295177643</v>
      </c>
    </row>
    <row r="56" spans="1:43" s="24" customFormat="1" x14ac:dyDescent="0.2">
      <c r="A56" s="24">
        <v>55</v>
      </c>
      <c r="B56" s="24" t="s">
        <v>115</v>
      </c>
      <c r="C56" s="24">
        <f>'Not MDL Filltered'!C56/(Calibration!C$34*'Corrected data'!$A56+Calibration!C$35)</f>
        <v>4.5325741446805514</v>
      </c>
      <c r="D56" s="24">
        <f>'Not MDL Filltered'!D56/(Calibration!D$34*'Corrected data'!$A56+Calibration!D$35)</f>
        <v>2.23819971458268</v>
      </c>
      <c r="E56" s="24">
        <f>'Not MDL Filltered'!E56/(Calibration!E$34*'Corrected data'!$A56+Calibration!E$35)</f>
        <v>25368.92610406128</v>
      </c>
      <c r="F56" s="24">
        <f>'Not MDL Filltered'!F56/(Calibration!F$34*'Corrected data'!$A56+Calibration!F$35)</f>
        <v>24962.07371388136</v>
      </c>
      <c r="G56" s="24">
        <f>'Not MDL Filltered'!G56/(Calibration!G$34*'Corrected data'!$A56+Calibration!G$35)</f>
        <v>82973.212842954017</v>
      </c>
      <c r="H56" s="24">
        <f>'Not MDL Filltered'!H56/(Calibration!H$34*'Corrected data'!$A56+Calibration!H$35)</f>
        <v>203581.13596373191</v>
      </c>
      <c r="I56" s="24">
        <f>'Not MDL Filltered'!I56/(Calibration!I$34*'Corrected data'!$A56+Calibration!I$35)</f>
        <v>2142.4808131322375</v>
      </c>
      <c r="J56" s="24">
        <f>'Not MDL Filltered'!J56/(Calibration!J$34*'Corrected data'!$A56+Calibration!J$35)</f>
        <v>9876.9846426483746</v>
      </c>
      <c r="K56" s="24">
        <f>'Not MDL Filltered'!K56/(Calibration!K$34*'Corrected data'!$A56+Calibration!K$35)</f>
        <v>97914.220354291625</v>
      </c>
      <c r="L56" s="24">
        <f>'Not MDL Filltered'!L56/(Calibration!L$34*'Corrected data'!$A56+Calibration!L$35)</f>
        <v>34.956609438797791</v>
      </c>
      <c r="M56" s="24">
        <f>'Not MDL Filltered'!M56/(Calibration!M$34*'Corrected data'!$A56+Calibration!M$35)</f>
        <v>21523.577436359243</v>
      </c>
      <c r="N56" s="24">
        <f>'Not MDL Filltered'!N56/(Calibration!N$34*'Corrected data'!$A56+Calibration!N$35)</f>
        <v>355.28544056390427</v>
      </c>
      <c r="O56" s="24">
        <f>'Not MDL Filltered'!O56/(Calibration!O$34*'Corrected data'!$A56+Calibration!O$35)</f>
        <v>1314.9740265414514</v>
      </c>
      <c r="P56" s="24">
        <f>'Not MDL Filltered'!P56/(Calibration!P$34*'Corrected data'!$A56+Calibration!P$35)</f>
        <v>81888.350495774328</v>
      </c>
      <c r="Q56" s="24">
        <f>'Not MDL Filltered'!Q56/(Calibration!Q$34*'Corrected data'!$A56+Calibration!Q$35)</f>
        <v>0.63584254745692403</v>
      </c>
      <c r="R56" s="24">
        <f>'Not MDL Filltered'!R56/(Calibration!R$34*'Corrected data'!$A56+Calibration!R$35)</f>
        <v>27.504865549643377</v>
      </c>
      <c r="S56" s="24">
        <f>'Not MDL Filltered'!S56/(Calibration!S$34*'Corrected data'!$A56+Calibration!S$35)</f>
        <v>926.0964864150684</v>
      </c>
      <c r="T56" s="24">
        <f>'Not MDL Filltered'!T56/(Calibration!T$34*'Corrected data'!$A56+Calibration!T$35)</f>
        <v>28.72602824306303</v>
      </c>
      <c r="U56" s="24">
        <f>'Not MDL Filltered'!U56/(Calibration!U$34*'Corrected data'!$A56+Calibration!U$35)</f>
        <v>291.9697086664429</v>
      </c>
      <c r="V56" s="24">
        <f>'Not MDL Filltered'!V56/(Calibration!V$34*'Corrected data'!$A56+Calibration!V$35)</f>
        <v>73.167965727368696</v>
      </c>
      <c r="W56" s="24">
        <f>'Not MDL Filltered'!W56/(Calibration!W$34*'Corrected data'!$A56+Calibration!W$35)</f>
        <v>0.31526667444400847</v>
      </c>
      <c r="X56" s="24">
        <f>'Not MDL Filltered'!X56/(Calibration!X$34*'Corrected data'!$A56+Calibration!X$35)</f>
        <v>357.96549615451283</v>
      </c>
      <c r="Y56" s="24">
        <f>'Not MDL Filltered'!Y56/(Calibration!Y$34*'Corrected data'!$A56+Calibration!Y$35)</f>
        <v>57.609017671503416</v>
      </c>
      <c r="Z56" s="24">
        <f>'Not MDL Filltered'!Z56/(Calibration!Z$34*'Corrected data'!$A56+Calibration!Z$35)</f>
        <v>119.04445439709662</v>
      </c>
      <c r="AA56" s="24">
        <f>'Not MDL Filltered'!AA56/(Calibration!AA$34*'Corrected data'!$A56+Calibration!AA$35)</f>
        <v>14.010332836789054</v>
      </c>
      <c r="AB56" s="24">
        <f>'Not MDL Filltered'!AB56/(Calibration!AB$34*'Corrected data'!$A56+Calibration!AB$35)</f>
        <v>54.922031803496523</v>
      </c>
      <c r="AC56" s="24">
        <f>'Not MDL Filltered'!AC56/(Calibration!AC$34*'Corrected data'!$A56+Calibration!AC$35)</f>
        <v>10.372363551336358</v>
      </c>
      <c r="AD56" s="24">
        <f>'Not MDL Filltered'!AD56/(Calibration!AD$34*'Corrected data'!$A56+Calibration!AD$35)</f>
        <v>3.065011281311091</v>
      </c>
      <c r="AE56" s="24">
        <f>'Not MDL Filltered'!AE56/(Calibration!AE$34*'Corrected data'!$A56+Calibration!AE$35)</f>
        <v>8.9926959547935486</v>
      </c>
      <c r="AF56" s="24">
        <f>'Not MDL Filltered'!AF56/(Calibration!AF$34*'Corrected data'!$A56+Calibration!AF$35)</f>
        <v>1.1737256579206401</v>
      </c>
      <c r="AG56" s="24">
        <f>'Not MDL Filltered'!AG56/(Calibration!AG$34*'Corrected data'!$A56+Calibration!AG$35)</f>
        <v>6.5096423843610385</v>
      </c>
      <c r="AH56" s="24">
        <f>'Not MDL Filltered'!AH56/(Calibration!AH$34*'Corrected data'!$A56+Calibration!AH$35)</f>
        <v>1.0909308131541047</v>
      </c>
      <c r="AI56" s="24">
        <f>'Not MDL Filltered'!AI56/(Calibration!AI$34*'Corrected data'!$A56+Calibration!AI$35)</f>
        <v>2.7314380714815849</v>
      </c>
      <c r="AJ56" s="24">
        <f>'Not MDL Filltered'!AJ56/(Calibration!AJ$34*'Corrected data'!$A56+Calibration!AJ$35)</f>
        <v>0.3456701303216968</v>
      </c>
      <c r="AK56" s="24">
        <f>'Not MDL Filltered'!AK56/(Calibration!AK$34*'Corrected data'!$A56+Calibration!AK$35)</f>
        <v>2.5017355853967764</v>
      </c>
      <c r="AL56" s="24">
        <f>'Not MDL Filltered'!AL56/(Calibration!AL$34*'Corrected data'!$A56+Calibration!AL$35)</f>
        <v>0.35731213731212569</v>
      </c>
      <c r="AM56" s="24">
        <f>'Not MDL Filltered'!AM56/(Calibration!AM$34*'Corrected data'!$A56+Calibration!AM$35)</f>
        <v>6.5371974675438409</v>
      </c>
      <c r="AN56" s="24">
        <f>'Not MDL Filltered'!AN56/(Calibration!AN$34*'Corrected data'!$A56+Calibration!AN$35)</f>
        <v>4.3219478516510588</v>
      </c>
      <c r="AO56" s="24">
        <f>'Not MDL Filltered'!AO56/(Calibration!AO$34*'Corrected data'!$A56+Calibration!AO$35)</f>
        <v>4.3016103973569644</v>
      </c>
      <c r="AP56" s="24">
        <f>'Not MDL Filltered'!AP56/(Calibration!AP$34*'Corrected data'!$A56+Calibration!AP$35)</f>
        <v>6.0604248486785908</v>
      </c>
      <c r="AQ56" s="24">
        <f>'Not MDL Filltered'!AQ56/(Calibration!AQ$34*'Corrected data'!$A56+Calibration!AQ$35)</f>
        <v>1.4140824540409265</v>
      </c>
    </row>
    <row r="57" spans="1:43" s="24" customFormat="1" x14ac:dyDescent="0.2">
      <c r="A57" s="24">
        <v>56</v>
      </c>
      <c r="B57" s="24" t="s">
        <v>116</v>
      </c>
      <c r="C57" s="24">
        <f>'Not MDL Filltered'!C57/(Calibration!C$34*'Corrected data'!$A57+Calibration!C$35)</f>
        <v>7.2317194514687593</v>
      </c>
      <c r="D57" s="24">
        <f>'Not MDL Filltered'!D57/(Calibration!D$34*'Corrected data'!$A57+Calibration!D$35)</f>
        <v>3.3343924190963827</v>
      </c>
      <c r="E57" s="24">
        <f>'Not MDL Filltered'!E57/(Calibration!E$34*'Corrected data'!$A57+Calibration!E$35)</f>
        <v>34481.239237424641</v>
      </c>
      <c r="F57" s="24">
        <f>'Not MDL Filltered'!F57/(Calibration!F$34*'Corrected data'!$A57+Calibration!F$35)</f>
        <v>26095.755167647036</v>
      </c>
      <c r="G57" s="24">
        <f>'Not MDL Filltered'!G57/(Calibration!G$34*'Corrected data'!$A57+Calibration!G$35)</f>
        <v>79506.590656072105</v>
      </c>
      <c r="H57" s="24">
        <f>'Not MDL Filltered'!H57/(Calibration!H$34*'Corrected data'!$A57+Calibration!H$35)</f>
        <v>207850.7854071882</v>
      </c>
      <c r="I57" s="24">
        <f>'Not MDL Filltered'!I57/(Calibration!I$34*'Corrected data'!$A57+Calibration!I$35)</f>
        <v>3160.4263278722465</v>
      </c>
      <c r="J57" s="24">
        <f>'Not MDL Filltered'!J57/(Calibration!J$34*'Corrected data'!$A57+Calibration!J$35)</f>
        <v>16284.629945857729</v>
      </c>
      <c r="K57" s="24">
        <f>'Not MDL Filltered'!K57/(Calibration!K$34*'Corrected data'!$A57+Calibration!K$35)</f>
        <v>71613.176634033152</v>
      </c>
      <c r="L57" s="24">
        <f>'Not MDL Filltered'!L57/(Calibration!L$34*'Corrected data'!$A57+Calibration!L$35)</f>
        <v>17.49528663963639</v>
      </c>
      <c r="M57" s="24">
        <f>'Not MDL Filltered'!M57/(Calibration!M$34*'Corrected data'!$A57+Calibration!M$35)</f>
        <v>23472.479138757906</v>
      </c>
      <c r="N57" s="24">
        <f>'Not MDL Filltered'!N57/(Calibration!N$34*'Corrected data'!$A57+Calibration!N$35)</f>
        <v>285.63649915532568</v>
      </c>
      <c r="O57" s="24">
        <f>'Not MDL Filltered'!O57/(Calibration!O$34*'Corrected data'!$A57+Calibration!O$35)</f>
        <v>1841.4625171508342</v>
      </c>
      <c r="P57" s="24">
        <f>'Not MDL Filltered'!P57/(Calibration!P$34*'Corrected data'!$A57+Calibration!P$35)</f>
        <v>97333.320867856004</v>
      </c>
      <c r="Q57" s="24">
        <f>'Not MDL Filltered'!Q57/(Calibration!Q$34*'Corrected data'!$A57+Calibration!Q$35)</f>
        <v>0.96110666352371843</v>
      </c>
      <c r="R57" s="24">
        <f>'Not MDL Filltered'!R57/(Calibration!R$34*'Corrected data'!$A57+Calibration!R$35)</f>
        <v>46.557611237527922</v>
      </c>
      <c r="S57" s="24">
        <f>'Not MDL Filltered'!S57/(Calibration!S$34*'Corrected data'!$A57+Calibration!S$35)</f>
        <v>893.39288050553171</v>
      </c>
      <c r="T57" s="24">
        <f>'Not MDL Filltered'!T57/(Calibration!T$34*'Corrected data'!$A57+Calibration!T$35)</f>
        <v>36.339687510035624</v>
      </c>
      <c r="U57" s="24">
        <f>'Not MDL Filltered'!U57/(Calibration!U$34*'Corrected data'!$A57+Calibration!U$35)</f>
        <v>389.6088843656558</v>
      </c>
      <c r="V57" s="24">
        <f>'Not MDL Filltered'!V57/(Calibration!V$34*'Corrected data'!$A57+Calibration!V$35)</f>
        <v>119.73380864816916</v>
      </c>
      <c r="W57" s="24">
        <f>'Not MDL Filltered'!W57/(Calibration!W$34*'Corrected data'!$A57+Calibration!W$35)</f>
        <v>0.5760139369861268</v>
      </c>
      <c r="X57" s="24">
        <f>'Not MDL Filltered'!X57/(Calibration!X$34*'Corrected data'!$A57+Calibration!X$35)</f>
        <v>542.32487218165147</v>
      </c>
      <c r="Y57" s="24">
        <f>'Not MDL Filltered'!Y57/(Calibration!Y$34*'Corrected data'!$A57+Calibration!Y$35)</f>
        <v>87.520695005007838</v>
      </c>
      <c r="Z57" s="24">
        <f>'Not MDL Filltered'!Z57/(Calibration!Z$34*'Corrected data'!$A57+Calibration!Z$35)</f>
        <v>169.60948332584664</v>
      </c>
      <c r="AA57" s="24">
        <f>'Not MDL Filltered'!AA57/(Calibration!AA$34*'Corrected data'!$A57+Calibration!AA$35)</f>
        <v>19.626744413292496</v>
      </c>
      <c r="AB57" s="24">
        <f>'Not MDL Filltered'!AB57/(Calibration!AB$34*'Corrected data'!$A57+Calibration!AB$35)</f>
        <v>75.447858797781578</v>
      </c>
      <c r="AC57" s="24">
        <f>'Not MDL Filltered'!AC57/(Calibration!AC$34*'Corrected data'!$A57+Calibration!AC$35)</f>
        <v>13.606907572746074</v>
      </c>
      <c r="AD57" s="24">
        <f>'Not MDL Filltered'!AD57/(Calibration!AD$34*'Corrected data'!$A57+Calibration!AD$35)</f>
        <v>4.0838896111465361</v>
      </c>
      <c r="AE57" s="24">
        <f>'Not MDL Filltered'!AE57/(Calibration!AE$34*'Corrected data'!$A57+Calibration!AE$35)</f>
        <v>11.293918425397049</v>
      </c>
      <c r="AF57" s="24">
        <f>'Not MDL Filltered'!AF57/(Calibration!AF$34*'Corrected data'!$A57+Calibration!AF$35)</f>
        <v>1.3966933728292961</v>
      </c>
      <c r="AG57" s="24">
        <f>'Not MDL Filltered'!AG57/(Calibration!AG$34*'Corrected data'!$A57+Calibration!AG$35)</f>
        <v>7.8743698315605242</v>
      </c>
      <c r="AH57" s="24">
        <f>'Not MDL Filltered'!AH57/(Calibration!AH$34*'Corrected data'!$A57+Calibration!AH$35)</f>
        <v>1.3916834450406788</v>
      </c>
      <c r="AI57" s="24">
        <f>'Not MDL Filltered'!AI57/(Calibration!AI$34*'Corrected data'!$A57+Calibration!AI$35)</f>
        <v>3.7253594368556739</v>
      </c>
      <c r="AJ57" s="24">
        <f>'Not MDL Filltered'!AJ57/(Calibration!AJ$34*'Corrected data'!$A57+Calibration!AJ$35)</f>
        <v>0.4757142442611918</v>
      </c>
      <c r="AK57" s="24">
        <f>'Not MDL Filltered'!AK57/(Calibration!AK$34*'Corrected data'!$A57+Calibration!AK$35)</f>
        <v>2.8604730705741348</v>
      </c>
      <c r="AL57" s="24">
        <f>'Not MDL Filltered'!AL57/(Calibration!AL$34*'Corrected data'!$A57+Calibration!AL$35)</f>
        <v>0.37923741029121744</v>
      </c>
      <c r="AM57" s="24">
        <f>'Not MDL Filltered'!AM57/(Calibration!AM$34*'Corrected data'!$A57+Calibration!AM$35)</f>
        <v>7.9643956583040323</v>
      </c>
      <c r="AN57" s="24">
        <f>'Not MDL Filltered'!AN57/(Calibration!AN$34*'Corrected data'!$A57+Calibration!AN$35)</f>
        <v>7.0441429835938747</v>
      </c>
      <c r="AO57" s="24">
        <f>'Not MDL Filltered'!AO57/(Calibration!AO$34*'Corrected data'!$A57+Calibration!AO$35)</f>
        <v>6.9705351198402123</v>
      </c>
      <c r="AP57" s="24">
        <f>'Not MDL Filltered'!AP57/(Calibration!AP$34*'Corrected data'!$A57+Calibration!AP$35)</f>
        <v>9.4062183872423581</v>
      </c>
      <c r="AQ57" s="24">
        <f>'Not MDL Filltered'!AQ57/(Calibration!AQ$34*'Corrected data'!$A57+Calibration!AQ$35)</f>
        <v>2.5291077635867283</v>
      </c>
    </row>
    <row r="58" spans="1:43" s="24" customFormat="1" x14ac:dyDescent="0.2">
      <c r="A58" s="24">
        <v>57</v>
      </c>
      <c r="B58" s="24" t="s">
        <v>117</v>
      </c>
      <c r="C58" s="24">
        <f>'Not MDL Filltered'!C58/(Calibration!C$34*'Corrected data'!$A58+Calibration!C$35)</f>
        <v>4.7320578523431642</v>
      </c>
      <c r="D58" s="24">
        <f>'Not MDL Filltered'!D58/(Calibration!D$34*'Corrected data'!$A58+Calibration!D$35)</f>
        <v>1.453899028289023</v>
      </c>
      <c r="E58" s="24">
        <f>'Not MDL Filltered'!E58/(Calibration!E$34*'Corrected data'!$A58+Calibration!E$35)</f>
        <v>25164.527616874573</v>
      </c>
      <c r="F58" s="24">
        <f>'Not MDL Filltered'!F58/(Calibration!F$34*'Corrected data'!$A58+Calibration!F$35)</f>
        <v>36979.113603893922</v>
      </c>
      <c r="G58" s="24">
        <f>'Not MDL Filltered'!G58/(Calibration!G$34*'Corrected data'!$A58+Calibration!G$35)</f>
        <v>79810.194768596528</v>
      </c>
      <c r="H58" s="24">
        <f>'Not MDL Filltered'!H58/(Calibration!H$34*'Corrected data'!$A58+Calibration!H$35)</f>
        <v>181883.11164695467</v>
      </c>
      <c r="I58" s="24">
        <f>'Not MDL Filltered'!I58/(Calibration!I$34*'Corrected data'!$A58+Calibration!I$35)</f>
        <v>1877.2961478470274</v>
      </c>
      <c r="J58" s="24">
        <f>'Not MDL Filltered'!J58/(Calibration!J$34*'Corrected data'!$A58+Calibration!J$35)</f>
        <v>8962.0245473717296</v>
      </c>
      <c r="K58" s="24">
        <f>'Not MDL Filltered'!K58/(Calibration!K$34*'Corrected data'!$A58+Calibration!K$35)</f>
        <v>91124.556709338241</v>
      </c>
      <c r="L58" s="24">
        <f>'Not MDL Filltered'!L58/(Calibration!L$34*'Corrected data'!$A58+Calibration!L$35)</f>
        <v>29.489097552784962</v>
      </c>
      <c r="M58" s="24">
        <f>'Not MDL Filltered'!M58/(Calibration!M$34*'Corrected data'!$A58+Calibration!M$35)</f>
        <v>22788.58467990582</v>
      </c>
      <c r="N58" s="24">
        <f>'Not MDL Filltered'!N58/(Calibration!N$34*'Corrected data'!$A58+Calibration!N$35)</f>
        <v>326.31559500066044</v>
      </c>
      <c r="O58" s="24">
        <f>'Not MDL Filltered'!O58/(Calibration!O$34*'Corrected data'!$A58+Calibration!O$35)</f>
        <v>1426.5043164902629</v>
      </c>
      <c r="P58" s="24">
        <f>'Not MDL Filltered'!P58/(Calibration!P$34*'Corrected data'!$A58+Calibration!P$35)</f>
        <v>85323.268720550055</v>
      </c>
      <c r="Q58" s="24">
        <f>'Not MDL Filltered'!Q58/(Calibration!Q$34*'Corrected data'!$A58+Calibration!Q$35)</f>
        <v>0.5138502622703166</v>
      </c>
      <c r="R58" s="24">
        <f>'Not MDL Filltered'!R58/(Calibration!R$34*'Corrected data'!$A58+Calibration!R$35)</f>
        <v>24.914068114146477</v>
      </c>
      <c r="S58" s="24">
        <f>'Not MDL Filltered'!S58/(Calibration!S$34*'Corrected data'!$A58+Calibration!S$35)</f>
        <v>885.41807665112049</v>
      </c>
      <c r="T58" s="24">
        <f>'Not MDL Filltered'!T58/(Calibration!T$34*'Corrected data'!$A58+Calibration!T$35)</f>
        <v>28.981785774746466</v>
      </c>
      <c r="U58" s="24">
        <f>'Not MDL Filltered'!U58/(Calibration!U$34*'Corrected data'!$A58+Calibration!U$35)</f>
        <v>291.31449982515778</v>
      </c>
      <c r="V58" s="24">
        <f>'Not MDL Filltered'!V58/(Calibration!V$34*'Corrected data'!$A58+Calibration!V$35)</f>
        <v>70.664368038487126</v>
      </c>
      <c r="W58" s="24">
        <f>'Not MDL Filltered'!W58/(Calibration!W$34*'Corrected data'!$A58+Calibration!W$35)</f>
        <v>0.2792033835186466</v>
      </c>
      <c r="X58" s="24">
        <f>'Not MDL Filltered'!X58/(Calibration!X$34*'Corrected data'!$A58+Calibration!X$35)</f>
        <v>340.80287912458749</v>
      </c>
      <c r="Y58" s="24">
        <f>'Not MDL Filltered'!Y58/(Calibration!Y$34*'Corrected data'!$A58+Calibration!Y$35)</f>
        <v>54.794764812861892</v>
      </c>
      <c r="Z58" s="24">
        <f>'Not MDL Filltered'!Z58/(Calibration!Z$34*'Corrected data'!$A58+Calibration!Z$35)</f>
        <v>110.82606674224513</v>
      </c>
      <c r="AA58" s="24">
        <f>'Not MDL Filltered'!AA58/(Calibration!AA$34*'Corrected data'!$A58+Calibration!AA$35)</f>
        <v>13.089335255779943</v>
      </c>
      <c r="AB58" s="24">
        <f>'Not MDL Filltered'!AB58/(Calibration!AB$34*'Corrected data'!$A58+Calibration!AB$35)</f>
        <v>51.179878586523948</v>
      </c>
      <c r="AC58" s="24">
        <f>'Not MDL Filltered'!AC58/(Calibration!AC$34*'Corrected data'!$A58+Calibration!AC$35)</f>
        <v>10.397680228407244</v>
      </c>
      <c r="AD58" s="24">
        <f>'Not MDL Filltered'!AD58/(Calibration!AD$34*'Corrected data'!$A58+Calibration!AD$35)</f>
        <v>3.0808313935338849</v>
      </c>
      <c r="AE58" s="24">
        <f>'Not MDL Filltered'!AE58/(Calibration!AE$34*'Corrected data'!$A58+Calibration!AE$35)</f>
        <v>8.6332111421014641</v>
      </c>
      <c r="AF58" s="24">
        <f>'Not MDL Filltered'!AF58/(Calibration!AF$34*'Corrected data'!$A58+Calibration!AF$35)</f>
        <v>1.1439678940887079</v>
      </c>
      <c r="AG58" s="24">
        <f>'Not MDL Filltered'!AG58/(Calibration!AG$34*'Corrected data'!$A58+Calibration!AG$35)</f>
        <v>6.8598399259167335</v>
      </c>
      <c r="AH58" s="24">
        <f>'Not MDL Filltered'!AH58/(Calibration!AH$34*'Corrected data'!$A58+Calibration!AH$35)</f>
        <v>1.0716783175235192</v>
      </c>
      <c r="AI58" s="24">
        <f>'Not MDL Filltered'!AI58/(Calibration!AI$34*'Corrected data'!$A58+Calibration!AI$35)</f>
        <v>2.9795218039155662</v>
      </c>
      <c r="AJ58" s="24">
        <f>'Not MDL Filltered'!AJ58/(Calibration!AJ$34*'Corrected data'!$A58+Calibration!AJ$35)</f>
        <v>0.35105635418217956</v>
      </c>
      <c r="AK58" s="24">
        <f>'Not MDL Filltered'!AK58/(Calibration!AK$34*'Corrected data'!$A58+Calibration!AK$35)</f>
        <v>2.4418013731672126</v>
      </c>
      <c r="AL58" s="24">
        <f>'Not MDL Filltered'!AL58/(Calibration!AL$34*'Corrected data'!$A58+Calibration!AL$35)</f>
        <v>0.32688744271118009</v>
      </c>
      <c r="AM58" s="24">
        <f>'Not MDL Filltered'!AM58/(Calibration!AM$34*'Corrected data'!$A58+Calibration!AM$35)</f>
        <v>7.0093813399036451</v>
      </c>
      <c r="AN58" s="24">
        <f>'Not MDL Filltered'!AN58/(Calibration!AN$34*'Corrected data'!$A58+Calibration!AN$35)</f>
        <v>4.4123777985381709</v>
      </c>
      <c r="AO58" s="24">
        <f>'Not MDL Filltered'!AO58/(Calibration!AO$34*'Corrected data'!$A58+Calibration!AO$35)</f>
        <v>7.2216429467961412</v>
      </c>
      <c r="AP58" s="24">
        <f>'Not MDL Filltered'!AP58/(Calibration!AP$34*'Corrected data'!$A58+Calibration!AP$35)</f>
        <v>5.6216531042466418</v>
      </c>
      <c r="AQ58" s="24">
        <f>'Not MDL Filltered'!AQ58/(Calibration!AQ$34*'Corrected data'!$A58+Calibration!AQ$35)</f>
        <v>1.369023525433005</v>
      </c>
    </row>
    <row r="59" spans="1:43" s="24" customFormat="1" x14ac:dyDescent="0.2">
      <c r="A59" s="24">
        <v>58</v>
      </c>
      <c r="B59" s="24" t="s">
        <v>118</v>
      </c>
      <c r="C59" s="24">
        <f>'Not MDL Filltered'!C59/(Calibration!C$34*'Corrected data'!$A59+Calibration!C$35)</f>
        <v>5.2158200359150806</v>
      </c>
      <c r="D59" s="24">
        <f>'Not MDL Filltered'!D59/(Calibration!D$34*'Corrected data'!$A59+Calibration!D$35)</f>
        <v>1.719986526138032</v>
      </c>
      <c r="E59" s="24">
        <f>'Not MDL Filltered'!E59/(Calibration!E$34*'Corrected data'!$A59+Calibration!E$35)</f>
        <v>26632.832133550452</v>
      </c>
      <c r="F59" s="24">
        <f>'Not MDL Filltered'!F59/(Calibration!F$34*'Corrected data'!$A59+Calibration!F$35)</f>
        <v>35421.477573795783</v>
      </c>
      <c r="G59" s="24">
        <f>'Not MDL Filltered'!G59/(Calibration!G$34*'Corrected data'!$A59+Calibration!G$35)</f>
        <v>79452.391364627445</v>
      </c>
      <c r="H59" s="24">
        <f>'Not MDL Filltered'!H59/(Calibration!H$34*'Corrected data'!$A59+Calibration!H$35)</f>
        <v>196437.93705689066</v>
      </c>
      <c r="I59" s="24">
        <f>'Not MDL Filltered'!I59/(Calibration!I$34*'Corrected data'!$A59+Calibration!I$35)</f>
        <v>1974.2599433908599</v>
      </c>
      <c r="J59" s="24">
        <f>'Not MDL Filltered'!J59/(Calibration!J$34*'Corrected data'!$A59+Calibration!J$35)</f>
        <v>9905.1814969327606</v>
      </c>
      <c r="K59" s="24">
        <f>'Not MDL Filltered'!K59/(Calibration!K$34*'Corrected data'!$A59+Calibration!K$35)</f>
        <v>86407.507162036942</v>
      </c>
      <c r="L59" s="24">
        <f>'Not MDL Filltered'!L59/(Calibration!L$34*'Corrected data'!$A59+Calibration!L$35)</f>
        <v>29.344792746261923</v>
      </c>
      <c r="M59" s="24">
        <f>'Not MDL Filltered'!M59/(Calibration!M$34*'Corrected data'!$A59+Calibration!M$35)</f>
        <v>21125.507272471834</v>
      </c>
      <c r="N59" s="24">
        <f>'Not MDL Filltered'!N59/(Calibration!N$34*'Corrected data'!$A59+Calibration!N$35)</f>
        <v>332.97975716766263</v>
      </c>
      <c r="O59" s="24">
        <f>'Not MDL Filltered'!O59/(Calibration!O$34*'Corrected data'!$A59+Calibration!O$35)</f>
        <v>1441.9223124102393</v>
      </c>
      <c r="P59" s="24">
        <f>'Not MDL Filltered'!P59/(Calibration!P$34*'Corrected data'!$A59+Calibration!P$35)</f>
        <v>87227.659708533538</v>
      </c>
      <c r="Q59" s="24">
        <f>'Not MDL Filltered'!Q59/(Calibration!Q$34*'Corrected data'!$A59+Calibration!Q$35)</f>
        <v>0.58146256639278737</v>
      </c>
      <c r="R59" s="24">
        <f>'Not MDL Filltered'!R59/(Calibration!R$34*'Corrected data'!$A59+Calibration!R$35)</f>
        <v>27.09486442618066</v>
      </c>
      <c r="S59" s="24">
        <f>'Not MDL Filltered'!S59/(Calibration!S$34*'Corrected data'!$A59+Calibration!S$35)</f>
        <v>849.59363975492113</v>
      </c>
      <c r="T59" s="24">
        <f>'Not MDL Filltered'!T59/(Calibration!T$34*'Corrected data'!$A59+Calibration!T$35)</f>
        <v>27.439783425503478</v>
      </c>
      <c r="U59" s="24">
        <f>'Not MDL Filltered'!U59/(Calibration!U$34*'Corrected data'!$A59+Calibration!U$35)</f>
        <v>280.71220756436583</v>
      </c>
      <c r="V59" s="24">
        <f>'Not MDL Filltered'!V59/(Calibration!V$34*'Corrected data'!$A59+Calibration!V$35)</f>
        <v>71.717474250072499</v>
      </c>
      <c r="W59" s="24">
        <f>'Not MDL Filltered'!W59/(Calibration!W$34*'Corrected data'!$A59+Calibration!W$35)</f>
        <v>0.27965864523829825</v>
      </c>
      <c r="X59" s="24">
        <f>'Not MDL Filltered'!X59/(Calibration!X$34*'Corrected data'!$A59+Calibration!X$35)</f>
        <v>359.91849048366163</v>
      </c>
      <c r="Y59" s="24">
        <f>'Not MDL Filltered'!Y59/(Calibration!Y$34*'Corrected data'!$A59+Calibration!Y$35)</f>
        <v>53.986824290012358</v>
      </c>
      <c r="Z59" s="24">
        <f>'Not MDL Filltered'!Z59/(Calibration!Z$34*'Corrected data'!$A59+Calibration!Z$35)</f>
        <v>107.26256451870398</v>
      </c>
      <c r="AA59" s="24">
        <f>'Not MDL Filltered'!AA59/(Calibration!AA$34*'Corrected data'!$A59+Calibration!AA$35)</f>
        <v>12.899939489570873</v>
      </c>
      <c r="AB59" s="24">
        <f>'Not MDL Filltered'!AB59/(Calibration!AB$34*'Corrected data'!$A59+Calibration!AB$35)</f>
        <v>51.248899741393338</v>
      </c>
      <c r="AC59" s="24">
        <f>'Not MDL Filltered'!AC59/(Calibration!AC$34*'Corrected data'!$A59+Calibration!AC$35)</f>
        <v>9.3764086901087769</v>
      </c>
      <c r="AD59" s="24">
        <f>'Not MDL Filltered'!AD59/(Calibration!AD$34*'Corrected data'!$A59+Calibration!AD$35)</f>
        <v>2.8488242678941891</v>
      </c>
      <c r="AE59" s="24">
        <f>'Not MDL Filltered'!AE59/(Calibration!AE$34*'Corrected data'!$A59+Calibration!AE$35)</f>
        <v>8.1949726730414376</v>
      </c>
      <c r="AF59" s="24">
        <f>'Not MDL Filltered'!AF59/(Calibration!AF$34*'Corrected data'!$A59+Calibration!AF$35)</f>
        <v>1.0835092074890558</v>
      </c>
      <c r="AG59" s="24">
        <f>'Not MDL Filltered'!AG59/(Calibration!AG$34*'Corrected data'!$A59+Calibration!AG$35)</f>
        <v>5.7735313083880344</v>
      </c>
      <c r="AH59" s="24">
        <f>'Not MDL Filltered'!AH59/(Calibration!AH$34*'Corrected data'!$A59+Calibration!AH$35)</f>
        <v>1.0319839713999295</v>
      </c>
      <c r="AI59" s="24">
        <f>'Not MDL Filltered'!AI59/(Calibration!AI$34*'Corrected data'!$A59+Calibration!AI$35)</f>
        <v>2.7554511774435992</v>
      </c>
      <c r="AJ59" s="24">
        <f>'Not MDL Filltered'!AJ59/(Calibration!AJ$34*'Corrected data'!$A59+Calibration!AJ$35)</f>
        <v>0.34432763152010665</v>
      </c>
      <c r="AK59" s="24">
        <f>'Not MDL Filltered'!AK59/(Calibration!AK$34*'Corrected data'!$A59+Calibration!AK$35)</f>
        <v>2.1925788114067934</v>
      </c>
      <c r="AL59" s="24">
        <f>'Not MDL Filltered'!AL59/(Calibration!AL$34*'Corrected data'!$A59+Calibration!AL$35)</f>
        <v>0.27945081050866405</v>
      </c>
      <c r="AM59" s="24">
        <f>'Not MDL Filltered'!AM59/(Calibration!AM$34*'Corrected data'!$A59+Calibration!AM$35)</f>
        <v>6.3829682578950182</v>
      </c>
      <c r="AN59" s="24">
        <f>'Not MDL Filltered'!AN59/(Calibration!AN$34*'Corrected data'!$A59+Calibration!AN$35)</f>
        <v>4.250135464860576</v>
      </c>
      <c r="AO59" s="24">
        <f>'Not MDL Filltered'!AO59/(Calibration!AO$34*'Corrected data'!$A59+Calibration!AO$35)</f>
        <v>4.4816063116243168</v>
      </c>
      <c r="AP59" s="24">
        <f>'Not MDL Filltered'!AP59/(Calibration!AP$34*'Corrected data'!$A59+Calibration!AP$35)</f>
        <v>5.5733548917483855</v>
      </c>
      <c r="AQ59" s="24">
        <f>'Not MDL Filltered'!AQ59/(Calibration!AQ$34*'Corrected data'!$A59+Calibration!AQ$35)</f>
        <v>1.538972937162101</v>
      </c>
    </row>
    <row r="60" spans="1:43" s="19" customFormat="1" x14ac:dyDescent="0.2">
      <c r="A60" s="19">
        <v>59</v>
      </c>
      <c r="B60" s="19" t="s">
        <v>119</v>
      </c>
      <c r="C60" s="19">
        <f>'Not MDL Filltered'!C60/(Calibration!C$34*'Corrected data'!$A60+Calibration!C$35)</f>
        <v>5.4163463826800502</v>
      </c>
      <c r="D60" s="19">
        <f>'Not MDL Filltered'!D60/(Calibration!D$34*'Corrected data'!$A60+Calibration!D$35)</f>
        <v>2.6955325810329991</v>
      </c>
      <c r="E60" s="19">
        <f>'Not MDL Filltered'!E60/(Calibration!E$34*'Corrected data'!$A60+Calibration!E$35)</f>
        <v>18558.682238222857</v>
      </c>
      <c r="F60" s="19">
        <f>'Not MDL Filltered'!F60/(Calibration!F$34*'Corrected data'!$A60+Calibration!F$35)</f>
        <v>47449.327703279807</v>
      </c>
      <c r="G60" s="19">
        <f>'Not MDL Filltered'!G60/(Calibration!G$34*'Corrected data'!$A60+Calibration!G$35)</f>
        <v>72856.719209707328</v>
      </c>
      <c r="H60" s="19">
        <f>'Not MDL Filltered'!H60/(Calibration!H$34*'Corrected data'!$A60+Calibration!H$35)</f>
        <v>241217.42729855585</v>
      </c>
      <c r="I60" s="19">
        <f>'Not MDL Filltered'!I60/(Calibration!I$34*'Corrected data'!$A60+Calibration!I$35)</f>
        <v>1045.0665586939203</v>
      </c>
      <c r="J60" s="19">
        <f>'Not MDL Filltered'!J60/(Calibration!J$34*'Corrected data'!$A60+Calibration!J$35)</f>
        <v>4053.8084374328073</v>
      </c>
      <c r="K60" s="19">
        <f>'Not MDL Filltered'!K60/(Calibration!K$34*'Corrected data'!$A60+Calibration!K$35)</f>
        <v>77901.849828912949</v>
      </c>
      <c r="L60" s="19">
        <f>'Not MDL Filltered'!L60/(Calibration!L$34*'Corrected data'!$A60+Calibration!L$35)</f>
        <v>32.335563255343679</v>
      </c>
      <c r="M60" s="19">
        <f>'Not MDL Filltered'!M60/(Calibration!M$34*'Corrected data'!$A60+Calibration!M$35)</f>
        <v>15728.724353291676</v>
      </c>
      <c r="N60" s="19">
        <f>'Not MDL Filltered'!N60/(Calibration!N$34*'Corrected data'!$A60+Calibration!N$35)</f>
        <v>325.39705918786825</v>
      </c>
      <c r="O60" s="19">
        <f>'Not MDL Filltered'!O60/(Calibration!O$34*'Corrected data'!$A60+Calibration!O$35)</f>
        <v>1389.4241161448267</v>
      </c>
      <c r="P60" s="19">
        <f>'Not MDL Filltered'!P60/(Calibration!P$34*'Corrected data'!$A60+Calibration!P$35)</f>
        <v>86230.976826794213</v>
      </c>
      <c r="Q60" s="19">
        <f>'Not MDL Filltered'!Q60/(Calibration!Q$34*'Corrected data'!$A60+Calibration!Q$35)</f>
        <v>0.10615320807854042</v>
      </c>
      <c r="R60" s="19">
        <f>'Not MDL Filltered'!R60/(Calibration!R$34*'Corrected data'!$A60+Calibration!R$35)</f>
        <v>9.0840152811734267</v>
      </c>
      <c r="S60" s="19">
        <f>'Not MDL Filltered'!S60/(Calibration!S$34*'Corrected data'!$A60+Calibration!S$35)</f>
        <v>357.1365606759594</v>
      </c>
      <c r="T60" s="19">
        <f>'Not MDL Filltered'!T60/(Calibration!T$34*'Corrected data'!$A60+Calibration!T$35)</f>
        <v>25.776898973653147</v>
      </c>
      <c r="U60" s="19">
        <f>'Not MDL Filltered'!U60/(Calibration!U$34*'Corrected data'!$A60+Calibration!U$35)</f>
        <v>152.56661338756294</v>
      </c>
      <c r="V60" s="19">
        <f>'Not MDL Filltered'!V60/(Calibration!V$34*'Corrected data'!$A60+Calibration!V$35)</f>
        <v>15.980434741283505</v>
      </c>
      <c r="W60" s="19">
        <f>'Not MDL Filltered'!W60/(Calibration!W$34*'Corrected data'!$A60+Calibration!W$35)</f>
        <v>0.12196906457156886</v>
      </c>
      <c r="X60" s="19">
        <f>'Not MDL Filltered'!X60/(Calibration!X$34*'Corrected data'!$A60+Calibration!X$35)</f>
        <v>128.3378835506669</v>
      </c>
      <c r="Y60" s="19">
        <f>'Not MDL Filltered'!Y60/(Calibration!Y$34*'Corrected data'!$A60+Calibration!Y$35)</f>
        <v>13.844189692733135</v>
      </c>
      <c r="Z60" s="19">
        <f>'Not MDL Filltered'!Z60/(Calibration!Z$34*'Corrected data'!$A60+Calibration!Z$35)</f>
        <v>33.896498166456048</v>
      </c>
      <c r="AA60" s="19">
        <f>'Not MDL Filltered'!AA60/(Calibration!AA$34*'Corrected data'!$A60+Calibration!AA$35)</f>
        <v>4.6119523789264401</v>
      </c>
      <c r="AB60" s="19">
        <f>'Not MDL Filltered'!AB60/(Calibration!AB$34*'Corrected data'!$A60+Calibration!AB$35)</f>
        <v>22.728470200286356</v>
      </c>
      <c r="AC60" s="19">
        <f>'Not MDL Filltered'!AC60/(Calibration!AC$34*'Corrected data'!$A60+Calibration!AC$35)</f>
        <v>5.6474931999074336</v>
      </c>
      <c r="AD60" s="19">
        <f>'Not MDL Filltered'!AD60/(Calibration!AD$34*'Corrected data'!$A60+Calibration!AD$35)</f>
        <v>1.977833726586083</v>
      </c>
      <c r="AE60" s="19">
        <f>'Not MDL Filltered'!AE60/(Calibration!AE$34*'Corrected data'!$A60+Calibration!AE$35)</f>
        <v>5.8101071743728632</v>
      </c>
      <c r="AF60" s="19">
        <f>'Not MDL Filltered'!AF60/(Calibration!AF$34*'Corrected data'!$A60+Calibration!AF$35)</f>
        <v>0.94198772334794112</v>
      </c>
      <c r="AG60" s="19">
        <f>'Not MDL Filltered'!AG60/(Calibration!AG$34*'Corrected data'!$A60+Calibration!AG$35)</f>
        <v>5.3222671781976878</v>
      </c>
      <c r="AH60" s="19">
        <f>'Not MDL Filltered'!AH60/(Calibration!AH$34*'Corrected data'!$A60+Calibration!AH$35)</f>
        <v>1.0624211525074383</v>
      </c>
      <c r="AI60" s="19">
        <f>'Not MDL Filltered'!AI60/(Calibration!AI$34*'Corrected data'!$A60+Calibration!AI$35)</f>
        <v>2.7156466231439294</v>
      </c>
      <c r="AJ60" s="19">
        <f>'Not MDL Filltered'!AJ60/(Calibration!AJ$34*'Corrected data'!$A60+Calibration!AJ$35)</f>
        <v>0.38525041641263114</v>
      </c>
      <c r="AK60" s="19">
        <f>'Not MDL Filltered'!AK60/(Calibration!AK$34*'Corrected data'!$A60+Calibration!AK$35)</f>
        <v>2.1426896660302726</v>
      </c>
      <c r="AL60" s="19">
        <f>'Not MDL Filltered'!AL60/(Calibration!AL$34*'Corrected data'!$A60+Calibration!AL$35)</f>
        <v>0.28055288331115819</v>
      </c>
      <c r="AM60" s="19">
        <f>'Not MDL Filltered'!AM60/(Calibration!AM$34*'Corrected data'!$A60+Calibration!AM$35)</f>
        <v>3.9006577659473116</v>
      </c>
      <c r="AN60" s="19">
        <f>'Not MDL Filltered'!AN60/(Calibration!AN$34*'Corrected data'!$A60+Calibration!AN$35)</f>
        <v>1.0219793936853521</v>
      </c>
      <c r="AO60" s="19">
        <f>'Not MDL Filltered'!AO60/(Calibration!AO$34*'Corrected data'!$A60+Calibration!AO$35)</f>
        <v>1.9535847748466042</v>
      </c>
      <c r="AP60" s="19">
        <f>'Not MDL Filltered'!AP60/(Calibration!AP$34*'Corrected data'!$A60+Calibration!AP$35)</f>
        <v>0.97796899048383445</v>
      </c>
      <c r="AQ60" s="19">
        <f>'Not MDL Filltered'!AQ60/(Calibration!AQ$34*'Corrected data'!$A60+Calibration!AQ$35)</f>
        <v>0.57620045449227753</v>
      </c>
    </row>
    <row r="61" spans="1:43" s="19" customFormat="1" x14ac:dyDescent="0.2">
      <c r="A61" s="19">
        <v>60</v>
      </c>
      <c r="B61" s="19" t="s">
        <v>120</v>
      </c>
      <c r="C61" s="19">
        <f>'Not MDL Filltered'!C61/(Calibration!C$34*'Corrected data'!$A61+Calibration!C$35)</f>
        <v>5.0308314465824653</v>
      </c>
      <c r="D61" s="19">
        <f>'Not MDL Filltered'!D61/(Calibration!D$34*'Corrected data'!$A61+Calibration!D$35)</f>
        <v>2.336026034209421</v>
      </c>
      <c r="E61" s="19">
        <f>'Not MDL Filltered'!E61/(Calibration!E$34*'Corrected data'!$A61+Calibration!E$35)</f>
        <v>16547.545119244362</v>
      </c>
      <c r="F61" s="19">
        <f>'Not MDL Filltered'!F61/(Calibration!F$34*'Corrected data'!$A61+Calibration!F$35)</f>
        <v>41735.844688440608</v>
      </c>
      <c r="G61" s="19">
        <f>'Not MDL Filltered'!G61/(Calibration!G$34*'Corrected data'!$A61+Calibration!G$35)</f>
        <v>66766.235099272308</v>
      </c>
      <c r="H61" s="19">
        <f>'Not MDL Filltered'!H61/(Calibration!H$34*'Corrected data'!$A61+Calibration!H$35)</f>
        <v>219498.46368407214</v>
      </c>
      <c r="I61" s="19">
        <f>'Not MDL Filltered'!I61/(Calibration!I$34*'Corrected data'!$A61+Calibration!I$35)</f>
        <v>1019.8860739317627</v>
      </c>
      <c r="J61" s="19">
        <f>'Not MDL Filltered'!J61/(Calibration!J$34*'Corrected data'!$A61+Calibration!J$35)</f>
        <v>3955.772549690982</v>
      </c>
      <c r="K61" s="19">
        <f>'Not MDL Filltered'!K61/(Calibration!K$34*'Corrected data'!$A61+Calibration!K$35)</f>
        <v>77901.849935009755</v>
      </c>
      <c r="L61" s="19">
        <f>'Not MDL Filltered'!L61/(Calibration!L$34*'Corrected data'!$A61+Calibration!L$35)</f>
        <v>32.111223124083892</v>
      </c>
      <c r="M61" s="19">
        <f>'Not MDL Filltered'!M61/(Calibration!M$34*'Corrected data'!$A61+Calibration!M$35)</f>
        <v>15473.135325165704</v>
      </c>
      <c r="N61" s="19">
        <f>'Not MDL Filltered'!N61/(Calibration!N$34*'Corrected data'!$A61+Calibration!N$35)</f>
        <v>307.01472884938181</v>
      </c>
      <c r="O61" s="19">
        <f>'Not MDL Filltered'!O61/(Calibration!O$34*'Corrected data'!$A61+Calibration!O$35)</f>
        <v>1270.8181376337122</v>
      </c>
      <c r="P61" s="19">
        <f>'Not MDL Filltered'!P61/(Calibration!P$34*'Corrected data'!$A61+Calibration!P$35)</f>
        <v>78910.14996191868</v>
      </c>
      <c r="Q61" s="19">
        <f>'Not MDL Filltered'!Q61/(Calibration!Q$34*'Corrected data'!$A61+Calibration!Q$35)</f>
        <v>0.16664834330982281</v>
      </c>
      <c r="R61" s="19">
        <f>'Not MDL Filltered'!R61/(Calibration!R$34*'Corrected data'!$A61+Calibration!R$35)</f>
        <v>8.0715412881301223</v>
      </c>
      <c r="S61" s="19">
        <f>'Not MDL Filltered'!S61/(Calibration!S$34*'Corrected data'!$A61+Calibration!S$35)</f>
        <v>338.97983966318992</v>
      </c>
      <c r="T61" s="19">
        <f>'Not MDL Filltered'!T61/(Calibration!T$34*'Corrected data'!$A61+Calibration!T$35)</f>
        <v>25.213695478408809</v>
      </c>
      <c r="U61" s="19">
        <f>'Not MDL Filltered'!U61/(Calibration!U$34*'Corrected data'!$A61+Calibration!U$35)</f>
        <v>151.70531183257378</v>
      </c>
      <c r="V61" s="19">
        <f>'Not MDL Filltered'!V61/(Calibration!V$34*'Corrected data'!$A61+Calibration!V$35)</f>
        <v>14.940667637698954</v>
      </c>
      <c r="W61" s="19">
        <f>'Not MDL Filltered'!W61/(Calibration!W$34*'Corrected data'!$A61+Calibration!W$35)</f>
        <v>0.13045121142783825</v>
      </c>
      <c r="X61" s="19">
        <f>'Not MDL Filltered'!X61/(Calibration!X$34*'Corrected data'!$A61+Calibration!X$35)</f>
        <v>117.2163454361928</v>
      </c>
      <c r="Y61" s="19">
        <f>'Not MDL Filltered'!Y61/(Calibration!Y$34*'Corrected data'!$A61+Calibration!Y$35)</f>
        <v>12.212648456972014</v>
      </c>
      <c r="Z61" s="19">
        <f>'Not MDL Filltered'!Z61/(Calibration!Z$34*'Corrected data'!$A61+Calibration!Z$35)</f>
        <v>30.390861569543869</v>
      </c>
      <c r="AA61" s="19">
        <f>'Not MDL Filltered'!AA61/(Calibration!AA$34*'Corrected data'!$A61+Calibration!AA$35)</f>
        <v>4.5220371671842496</v>
      </c>
      <c r="AB61" s="19">
        <f>'Not MDL Filltered'!AB61/(Calibration!AB$34*'Corrected data'!$A61+Calibration!AB$35)</f>
        <v>21.617200667170618</v>
      </c>
      <c r="AC61" s="19">
        <f>'Not MDL Filltered'!AC61/(Calibration!AC$34*'Corrected data'!$A61+Calibration!AC$35)</f>
        <v>5.7401428962191225</v>
      </c>
      <c r="AD61" s="19">
        <f>'Not MDL Filltered'!AD61/(Calibration!AD$34*'Corrected data'!$A61+Calibration!AD$35)</f>
        <v>1.7868233073359618</v>
      </c>
      <c r="AE61" s="19">
        <f>'Not MDL Filltered'!AE61/(Calibration!AE$34*'Corrected data'!$A61+Calibration!AE$35)</f>
        <v>5.7579946378376548</v>
      </c>
      <c r="AF61" s="19">
        <f>'Not MDL Filltered'!AF61/(Calibration!AF$34*'Corrected data'!$A61+Calibration!AF$35)</f>
        <v>0.86118154682008563</v>
      </c>
      <c r="AG61" s="19">
        <f>'Not MDL Filltered'!AG61/(Calibration!AG$34*'Corrected data'!$A61+Calibration!AG$35)</f>
        <v>5.3555320271383327</v>
      </c>
      <c r="AH61" s="19">
        <f>'Not MDL Filltered'!AH61/(Calibration!AH$34*'Corrected data'!$A61+Calibration!AH$35)</f>
        <v>0.95251016815244449</v>
      </c>
      <c r="AI61" s="19">
        <f>'Not MDL Filltered'!AI61/(Calibration!AI$34*'Corrected data'!$A61+Calibration!AI$35)</f>
        <v>2.4092522148057323</v>
      </c>
      <c r="AJ61" s="19">
        <f>'Not MDL Filltered'!AJ61/(Calibration!AJ$34*'Corrected data'!$A61+Calibration!AJ$35)</f>
        <v>0.29309105532294827</v>
      </c>
      <c r="AK61" s="19">
        <f>'Not MDL Filltered'!AK61/(Calibration!AK$34*'Corrected data'!$A61+Calibration!AK$35)</f>
        <v>2.0928032124795899</v>
      </c>
      <c r="AL61" s="19">
        <f>'Not MDL Filltered'!AL61/(Calibration!AL$34*'Corrected data'!$A61+Calibration!AL$35)</f>
        <v>0.30149074734198161</v>
      </c>
      <c r="AM61" s="19">
        <f>'Not MDL Filltered'!AM61/(Calibration!AM$34*'Corrected data'!$A61+Calibration!AM$35)</f>
        <v>3.8318696511158876</v>
      </c>
      <c r="AN61" s="19">
        <f>'Not MDL Filltered'!AN61/(Calibration!AN$34*'Corrected data'!$A61+Calibration!AN$35)</f>
        <v>0.96119533931036183</v>
      </c>
      <c r="AO61" s="19">
        <f>'Not MDL Filltered'!AO61/(Calibration!AO$34*'Corrected data'!$A61+Calibration!AO$35)</f>
        <v>2.0238738249512416</v>
      </c>
      <c r="AP61" s="19">
        <f>'Not MDL Filltered'!AP61/(Calibration!AP$34*'Corrected data'!$A61+Calibration!AP$35)</f>
        <v>1.0388489811980477</v>
      </c>
      <c r="AQ61" s="19">
        <f>'Not MDL Filltered'!AQ61/(Calibration!AQ$34*'Corrected data'!$A61+Calibration!AQ$35)</f>
        <v>0.58538173916355585</v>
      </c>
    </row>
    <row r="62" spans="1:43" s="19" customFormat="1" x14ac:dyDescent="0.2">
      <c r="A62" s="19">
        <v>61</v>
      </c>
      <c r="B62" s="19" t="s">
        <v>121</v>
      </c>
      <c r="C62" s="19">
        <f>'Not MDL Filltered'!C62/(Calibration!C$34*'Corrected data'!$A62+Calibration!C$35)</f>
        <v>4.5849552394823858</v>
      </c>
      <c r="D62" s="19">
        <f>'Not MDL Filltered'!D62/(Calibration!D$34*'Corrected data'!$A62+Calibration!D$35)</f>
        <v>2.3670879372211515</v>
      </c>
      <c r="E62" s="19">
        <f>'Not MDL Filltered'!E62/(Calibration!E$34*'Corrected data'!$A62+Calibration!E$35)</f>
        <v>16382.189636115712</v>
      </c>
      <c r="F62" s="19">
        <f>'Not MDL Filltered'!F62/(Calibration!F$34*'Corrected data'!$A62+Calibration!F$35)</f>
        <v>43115.329115597902</v>
      </c>
      <c r="G62" s="19">
        <f>'Not MDL Filltered'!G62/(Calibration!G$34*'Corrected data'!$A62+Calibration!G$35)</f>
        <v>71112.579512830227</v>
      </c>
      <c r="H62" s="19">
        <f>'Not MDL Filltered'!H62/(Calibration!H$34*'Corrected data'!$A62+Calibration!H$35)</f>
        <v>242322.50462699865</v>
      </c>
      <c r="I62" s="19">
        <f>'Not MDL Filltered'!I62/(Calibration!I$34*'Corrected data'!$A62+Calibration!I$35)</f>
        <v>1010.0216623508203</v>
      </c>
      <c r="J62" s="19">
        <f>'Not MDL Filltered'!J62/(Calibration!J$34*'Corrected data'!$A62+Calibration!J$35)</f>
        <v>4058.1616109251709</v>
      </c>
      <c r="K62" s="19">
        <f>'Not MDL Filltered'!K62/(Calibration!K$34*'Corrected data'!$A62+Calibration!K$35)</f>
        <v>77901.850041106562</v>
      </c>
      <c r="L62" s="19">
        <f>'Not MDL Filltered'!L62/(Calibration!L$34*'Corrected data'!$A62+Calibration!L$35)</f>
        <v>30.295097593807199</v>
      </c>
      <c r="M62" s="19">
        <f>'Not MDL Filltered'!M62/(Calibration!M$34*'Corrected data'!$A62+Calibration!M$35)</f>
        <v>14319.123014698711</v>
      </c>
      <c r="N62" s="19">
        <f>'Not MDL Filltered'!N62/(Calibration!N$34*'Corrected data'!$A62+Calibration!N$35)</f>
        <v>281.96707908530345</v>
      </c>
      <c r="O62" s="19">
        <f>'Not MDL Filltered'!O62/(Calibration!O$34*'Corrected data'!$A62+Calibration!O$35)</f>
        <v>1167.6573832293684</v>
      </c>
      <c r="P62" s="19">
        <f>'Not MDL Filltered'!P62/(Calibration!P$34*'Corrected data'!$A62+Calibration!P$35)</f>
        <v>79932.113818756567</v>
      </c>
      <c r="Q62" s="19">
        <f>'Not MDL Filltered'!Q62/(Calibration!Q$34*'Corrected data'!$A62+Calibration!Q$35)</f>
        <v>0.15642920878884295</v>
      </c>
      <c r="R62" s="19">
        <f>'Not MDL Filltered'!R62/(Calibration!R$34*'Corrected data'!$A62+Calibration!R$35)</f>
        <v>8.4711556425933026</v>
      </c>
      <c r="S62" s="19">
        <f>'Not MDL Filltered'!S62/(Calibration!S$34*'Corrected data'!$A62+Calibration!S$35)</f>
        <v>359.57119296391988</v>
      </c>
      <c r="T62" s="19">
        <f>'Not MDL Filltered'!T62/(Calibration!T$34*'Corrected data'!$A62+Calibration!T$35)</f>
        <v>25.520894226791917</v>
      </c>
      <c r="U62" s="19">
        <f>'Not MDL Filltered'!U62/(Calibration!U$34*'Corrected data'!$A62+Calibration!U$35)</f>
        <v>155.74725066761781</v>
      </c>
      <c r="V62" s="19">
        <f>'Not MDL Filltered'!V62/(Calibration!V$34*'Corrected data'!$A62+Calibration!V$35)</f>
        <v>14.40295185555323</v>
      </c>
      <c r="W62" s="19">
        <f>'Not MDL Filltered'!W62/(Calibration!W$34*'Corrected data'!$A62+Calibration!W$35)</f>
        <v>0.1068134257226393</v>
      </c>
      <c r="X62" s="19">
        <f>'Not MDL Filltered'!X62/(Calibration!X$34*'Corrected data'!$A62+Calibration!X$35)</f>
        <v>116.06759794148755</v>
      </c>
      <c r="Y62" s="19">
        <f>'Not MDL Filltered'!Y62/(Calibration!Y$34*'Corrected data'!$A62+Calibration!Y$35)</f>
        <v>12.406221877810845</v>
      </c>
      <c r="Z62" s="19">
        <f>'Not MDL Filltered'!Z62/(Calibration!Z$34*'Corrected data'!$A62+Calibration!Z$35)</f>
        <v>32.414803052521449</v>
      </c>
      <c r="AA62" s="19">
        <f>'Not MDL Filltered'!AA62/(Calibration!AA$34*'Corrected data'!$A62+Calibration!AA$35)</f>
        <v>4.7738054289935326</v>
      </c>
      <c r="AB62" s="19">
        <f>'Not MDL Filltered'!AB62/(Calibration!AB$34*'Corrected data'!$A62+Calibration!AB$35)</f>
        <v>22.581320495882348</v>
      </c>
      <c r="AC62" s="19">
        <f>'Not MDL Filltered'!AC62/(Calibration!AC$34*'Corrected data'!$A62+Calibration!AC$35)</f>
        <v>5.4473632362193687</v>
      </c>
      <c r="AD62" s="19">
        <f>'Not MDL Filltered'!AD62/(Calibration!AD$34*'Corrected data'!$A62+Calibration!AD$35)</f>
        <v>1.7856066724192063</v>
      </c>
      <c r="AE62" s="19">
        <f>'Not MDL Filltered'!AE62/(Calibration!AE$34*'Corrected data'!$A62+Calibration!AE$35)</f>
        <v>5.5234807864364299</v>
      </c>
      <c r="AF62" s="19">
        <f>'Not MDL Filltered'!AF62/(Calibration!AF$34*'Corrected data'!$A62+Calibration!AF$35)</f>
        <v>0.91207767172214393</v>
      </c>
      <c r="AG62" s="19">
        <f>'Not MDL Filltered'!AG62/(Calibration!AG$34*'Corrected data'!$A62+Calibration!AG$35)</f>
        <v>5.1664053676182711</v>
      </c>
      <c r="AH62" s="19">
        <f>'Not MDL Filltered'!AH62/(Calibration!AH$34*'Corrected data'!$A62+Calibration!AH$35)</f>
        <v>0.91273065017628952</v>
      </c>
      <c r="AI62" s="19">
        <f>'Not MDL Filltered'!AI62/(Calibration!AI$34*'Corrected data'!$A62+Calibration!AI$35)</f>
        <v>2.3590076192811029</v>
      </c>
      <c r="AJ62" s="19">
        <f>'Not MDL Filltered'!AJ62/(Calibration!AJ$34*'Corrected data'!$A62+Calibration!AJ$35)</f>
        <v>0.3211089388539739</v>
      </c>
      <c r="AK62" s="19">
        <f>'Not MDL Filltered'!AK62/(Calibration!AK$34*'Corrected data'!$A62+Calibration!AK$35)</f>
        <v>2.1924013615517848</v>
      </c>
      <c r="AL62" s="19">
        <f>'Not MDL Filltered'!AL62/(Calibration!AL$34*'Corrected data'!$A62+Calibration!AL$35)</f>
        <v>0.28077537262375707</v>
      </c>
      <c r="AM62" s="19">
        <f>'Not MDL Filltered'!AM62/(Calibration!AM$34*'Corrected data'!$A62+Calibration!AM$35)</f>
        <v>3.6732100683137023</v>
      </c>
      <c r="AN62" s="19">
        <f>'Not MDL Filltered'!AN62/(Calibration!AN$34*'Corrected data'!$A62+Calibration!AN$35)</f>
        <v>0.93077169216094768</v>
      </c>
      <c r="AO62" s="19">
        <f>'Not MDL Filltered'!AO62/(Calibration!AO$34*'Corrected data'!$A62+Calibration!AO$35)</f>
        <v>2.1444890258808522</v>
      </c>
      <c r="AP62" s="19">
        <f>'Not MDL Filltered'!AP62/(Calibration!AP$34*'Corrected data'!$A62+Calibration!AP$35)</f>
        <v>1.0695053527287885</v>
      </c>
      <c r="AQ62" s="19">
        <f>'Not MDL Filltered'!AQ62/(Calibration!AQ$34*'Corrected data'!$A62+Calibration!AQ$35)</f>
        <v>0.5340729346301254</v>
      </c>
    </row>
    <row r="63" spans="1:43" s="19" customFormat="1" x14ac:dyDescent="0.2">
      <c r="A63" s="19">
        <v>62</v>
      </c>
      <c r="B63" s="19" t="s">
        <v>122</v>
      </c>
      <c r="C63" s="19">
        <f>'Not MDL Filltered'!C63/(Calibration!C$34*'Corrected data'!$A63+Calibration!C$35)</f>
        <v>4.6744347428435571</v>
      </c>
      <c r="D63" s="19">
        <f>'Not MDL Filltered'!D63/(Calibration!D$34*'Corrected data'!$A63+Calibration!D$35)</f>
        <v>2.3087399785639211</v>
      </c>
      <c r="E63" s="19">
        <f>'Not MDL Filltered'!E63/(Calibration!E$34*'Corrected data'!$A63+Calibration!E$35)</f>
        <v>15897.088675399495</v>
      </c>
      <c r="F63" s="19">
        <f>'Not MDL Filltered'!F63/(Calibration!F$34*'Corrected data'!$A63+Calibration!F$35)</f>
        <v>41659.393797570825</v>
      </c>
      <c r="G63" s="19">
        <f>'Not MDL Filltered'!G63/(Calibration!G$34*'Corrected data'!$A63+Calibration!G$35)</f>
        <v>67183.631763156067</v>
      </c>
      <c r="H63" s="19">
        <f>'Not MDL Filltered'!H63/(Calibration!H$34*'Corrected data'!$A63+Calibration!H$35)</f>
        <v>224825.53869826236</v>
      </c>
      <c r="I63" s="19">
        <f>'Not MDL Filltered'!I63/(Calibration!I$34*'Corrected data'!$A63+Calibration!I$35)</f>
        <v>929.49344564664636</v>
      </c>
      <c r="J63" s="19">
        <f>'Not MDL Filltered'!J63/(Calibration!J$34*'Corrected data'!$A63+Calibration!J$35)</f>
        <v>3947.2444775888175</v>
      </c>
      <c r="K63" s="19">
        <f>'Not MDL Filltered'!K63/(Calibration!K$34*'Corrected data'!$A63+Calibration!K$35)</f>
        <v>77901.850147203382</v>
      </c>
      <c r="L63" s="19">
        <f>'Not MDL Filltered'!L63/(Calibration!L$34*'Corrected data'!$A63+Calibration!L$35)</f>
        <v>30.85702416856024</v>
      </c>
      <c r="M63" s="19">
        <f>'Not MDL Filltered'!M63/(Calibration!M$34*'Corrected data'!$A63+Calibration!M$35)</f>
        <v>14622.283297328187</v>
      </c>
      <c r="N63" s="19">
        <f>'Not MDL Filltered'!N63/(Calibration!N$34*'Corrected data'!$A63+Calibration!N$35)</f>
        <v>292.12431074134639</v>
      </c>
      <c r="O63" s="19">
        <f>'Not MDL Filltered'!O63/(Calibration!O$34*'Corrected data'!$A63+Calibration!O$35)</f>
        <v>1191.0980342096593</v>
      </c>
      <c r="P63" s="19">
        <f>'Not MDL Filltered'!P63/(Calibration!P$34*'Corrected data'!$A63+Calibration!P$35)</f>
        <v>79803.458217970954</v>
      </c>
      <c r="Q63" s="19">
        <f>'Not MDL Filltered'!Q63/(Calibration!Q$34*'Corrected data'!$A63+Calibration!Q$35)</f>
        <v>0.14626417681423162</v>
      </c>
      <c r="R63" s="19">
        <f>'Not MDL Filltered'!R63/(Calibration!R$34*'Corrected data'!$A63+Calibration!R$35)</f>
        <v>8.1998719948531136</v>
      </c>
      <c r="S63" s="19">
        <f>'Not MDL Filltered'!S63/(Calibration!S$34*'Corrected data'!$A63+Calibration!S$35)</f>
        <v>355.41841701264508</v>
      </c>
      <c r="T63" s="19">
        <f>'Not MDL Filltered'!T63/(Calibration!T$34*'Corrected data'!$A63+Calibration!T$35)</f>
        <v>25.888328174915397</v>
      </c>
      <c r="U63" s="19">
        <f>'Not MDL Filltered'!U63/(Calibration!U$34*'Corrected data'!$A63+Calibration!U$35)</f>
        <v>152.80901044137389</v>
      </c>
      <c r="V63" s="19">
        <f>'Not MDL Filltered'!V63/(Calibration!V$34*'Corrected data'!$A63+Calibration!V$35)</f>
        <v>14.36663237700858</v>
      </c>
      <c r="W63" s="19">
        <f>'Not MDL Filltered'!W63/(Calibration!W$34*'Corrected data'!$A63+Calibration!W$35)</f>
        <v>0.13503432739755419</v>
      </c>
      <c r="X63" s="19">
        <f>'Not MDL Filltered'!X63/(Calibration!X$34*'Corrected data'!$A63+Calibration!X$35)</f>
        <v>115.30230349468303</v>
      </c>
      <c r="Y63" s="19">
        <f>'Not MDL Filltered'!Y63/(Calibration!Y$34*'Corrected data'!$A63+Calibration!Y$35)</f>
        <v>12.942847063707577</v>
      </c>
      <c r="Z63" s="19">
        <f>'Not MDL Filltered'!Z63/(Calibration!Z$34*'Corrected data'!$A63+Calibration!Z$35)</f>
        <v>30.890600699226258</v>
      </c>
      <c r="AA63" s="19">
        <f>'Not MDL Filltered'!AA63/(Calibration!AA$34*'Corrected data'!$A63+Calibration!AA$35)</f>
        <v>4.5833755466275585</v>
      </c>
      <c r="AB63" s="19">
        <f>'Not MDL Filltered'!AB63/(Calibration!AB$34*'Corrected data'!$A63+Calibration!AB$35)</f>
        <v>20.44903900036719</v>
      </c>
      <c r="AC63" s="19">
        <f>'Not MDL Filltered'!AC63/(Calibration!AC$34*'Corrected data'!$A63+Calibration!AC$35)</f>
        <v>5.4385439469241188</v>
      </c>
      <c r="AD63" s="19">
        <f>'Not MDL Filltered'!AD63/(Calibration!AD$34*'Corrected data'!$A63+Calibration!AD$35)</f>
        <v>1.7744230244938135</v>
      </c>
      <c r="AE63" s="19">
        <f>'Not MDL Filltered'!AE63/(Calibration!AE$34*'Corrected data'!$A63+Calibration!AE$35)</f>
        <v>5.4410671058627011</v>
      </c>
      <c r="AF63" s="19">
        <f>'Not MDL Filltered'!AF63/(Calibration!AF$34*'Corrected data'!$A63+Calibration!AF$35)</f>
        <v>0.90217933677337014</v>
      </c>
      <c r="AG63" s="19">
        <f>'Not MDL Filltered'!AG63/(Calibration!AG$34*'Corrected data'!$A63+Calibration!AG$35)</f>
        <v>4.9973007691571185</v>
      </c>
      <c r="AH63" s="19">
        <f>'Not MDL Filltered'!AH63/(Calibration!AH$34*'Corrected data'!$A63+Calibration!AH$35)</f>
        <v>0.93312424484111167</v>
      </c>
      <c r="AI63" s="19">
        <f>'Not MDL Filltered'!AI63/(Calibration!AI$34*'Corrected data'!$A63+Calibration!AI$35)</f>
        <v>2.3497636087910689</v>
      </c>
      <c r="AJ63" s="19">
        <f>'Not MDL Filltered'!AJ63/(Calibration!AJ$34*'Corrected data'!$A63+Calibration!AJ$35)</f>
        <v>0.33324540637460032</v>
      </c>
      <c r="AK63" s="19">
        <f>'Not MDL Filltered'!AK63/(Calibration!AK$34*'Corrected data'!$A63+Calibration!AK$35)</f>
        <v>1.9033516528850474</v>
      </c>
      <c r="AL63" s="19">
        <f>'Not MDL Filltered'!AL63/(Calibration!AL$34*'Corrected data'!$A63+Calibration!AL$35)</f>
        <v>0.26798382476828631</v>
      </c>
      <c r="AM63" s="19">
        <f>'Not MDL Filltered'!AM63/(Calibration!AM$34*'Corrected data'!$A63+Calibration!AM$35)</f>
        <v>3.7940235371510784</v>
      </c>
      <c r="AN63" s="19">
        <f>'Not MDL Filltered'!AN63/(Calibration!AN$34*'Corrected data'!$A63+Calibration!AN$35)</f>
        <v>0.85988734099176023</v>
      </c>
      <c r="AO63" s="19">
        <f>'Not MDL Filltered'!AO63/(Calibration!AO$34*'Corrected data'!$A63+Calibration!AO$35)</f>
        <v>2.0134046770817449</v>
      </c>
      <c r="AP63" s="19">
        <f>'Not MDL Filltered'!AP63/(Calibration!AP$34*'Corrected data'!$A63+Calibration!AP$35)</f>
        <v>1.0396239743949225</v>
      </c>
      <c r="AQ63" s="19">
        <f>'Not MDL Filltered'!AQ63/(Calibration!AQ$34*'Corrected data'!$A63+Calibration!AQ$35)</f>
        <v>0.52316978039178852</v>
      </c>
    </row>
    <row r="64" spans="1:43" s="8" customFormat="1" x14ac:dyDescent="0.2">
      <c r="A64" s="8">
        <v>63</v>
      </c>
      <c r="B64" s="8" t="s">
        <v>123</v>
      </c>
      <c r="C64" s="8">
        <f>'Not MDL Filltered'!C64/(Calibration!C$34*'Corrected data'!$A64+Calibration!C$35)</f>
        <v>9.1643751943553458</v>
      </c>
      <c r="D64" s="8">
        <f>'Not MDL Filltered'!D64/(Calibration!D$34*'Corrected data'!$A64+Calibration!D$35)</f>
        <v>19.09251969416982</v>
      </c>
      <c r="E64" s="8">
        <f>'Not MDL Filltered'!E64/(Calibration!E$34*'Corrected data'!$A64+Calibration!E$35)</f>
        <v>6638.2625904035367</v>
      </c>
      <c r="F64" s="8">
        <f>'Not MDL Filltered'!F64/(Calibration!F$34*'Corrected data'!$A64+Calibration!F$35)</f>
        <v>146800.3813471114</v>
      </c>
      <c r="G64" s="8">
        <f>'Not MDL Filltered'!G64/(Calibration!G$34*'Corrected data'!$A64+Calibration!G$35)</f>
        <v>59176.442081383422</v>
      </c>
      <c r="H64" s="8">
        <f>'Not MDL Filltered'!H64/(Calibration!H$34*'Corrected data'!$A64+Calibration!H$35)</f>
        <v>202793.77193484199</v>
      </c>
      <c r="I64" s="8">
        <f>'Not MDL Filltered'!I64/(Calibration!I$34*'Corrected data'!$A64+Calibration!I$35)</f>
        <v>110.61970498528443</v>
      </c>
      <c r="J64" s="8">
        <f>'Not MDL Filltered'!J64/(Calibration!J$34*'Corrected data'!$A64+Calibration!J$35)</f>
        <v>164.6178213394229</v>
      </c>
      <c r="K64" s="8">
        <f>'Not MDL Filltered'!K64/(Calibration!K$34*'Corrected data'!$A64+Calibration!K$35)</f>
        <v>60392.354234200357</v>
      </c>
      <c r="L64" s="8">
        <f>'Not MDL Filltered'!L64/(Calibration!L$34*'Corrected data'!$A64+Calibration!L$35)</f>
        <v>36.530900344466282</v>
      </c>
      <c r="M64" s="8">
        <f>'Not MDL Filltered'!M64/(Calibration!M$34*'Corrected data'!$A64+Calibration!M$35)</f>
        <v>1782.7881568799262</v>
      </c>
      <c r="N64" s="8">
        <f>'Not MDL Filltered'!N64/(Calibration!N$34*'Corrected data'!$A64+Calibration!N$35)</f>
        <v>225.72548615405765</v>
      </c>
      <c r="O64" s="8">
        <f>'Not MDL Filltered'!O64/(Calibration!O$34*'Corrected data'!$A64+Calibration!O$35)</f>
        <v>1269.8682196765642</v>
      </c>
      <c r="P64" s="8">
        <f>'Not MDL Filltered'!P64/(Calibration!P$34*'Corrected data'!$A64+Calibration!P$35)</f>
        <v>84257.303211882419</v>
      </c>
      <c r="Q64" s="8">
        <f>'Not MDL Filltered'!Q64/(Calibration!Q$34*'Corrected data'!$A64+Calibration!Q$35)</f>
        <v>0.18477882561274975</v>
      </c>
      <c r="R64" s="8">
        <f>'Not MDL Filltered'!R64/(Calibration!R$34*'Corrected data'!$A64+Calibration!R$35)</f>
        <v>2.1823808549485908</v>
      </c>
      <c r="S64" s="8">
        <f>'Not MDL Filltered'!S64/(Calibration!S$34*'Corrected data'!$A64+Calibration!S$35)</f>
        <v>15.226948352031988</v>
      </c>
      <c r="T64" s="8">
        <f>'Not MDL Filltered'!T64/(Calibration!T$34*'Corrected data'!$A64+Calibration!T$35)</f>
        <v>13.478462521520772</v>
      </c>
      <c r="U64" s="8">
        <f>'Not MDL Filltered'!U64/(Calibration!U$34*'Corrected data'!$A64+Calibration!U$35)</f>
        <v>9.9628247867222726</v>
      </c>
      <c r="V64" s="8">
        <f>'Not MDL Filltered'!V64/(Calibration!V$34*'Corrected data'!$A64+Calibration!V$35)</f>
        <v>4.5063976336487239E-2</v>
      </c>
      <c r="W64" s="8">
        <f>'Not MDL Filltered'!W64/(Calibration!W$34*'Corrected data'!$A64+Calibration!W$35)</f>
        <v>8.0425489163720769</v>
      </c>
      <c r="X64" s="8">
        <f>'Not MDL Filltered'!X64/(Calibration!X$34*'Corrected data'!$A64+Calibration!X$35)</f>
        <v>0.72523902317587752</v>
      </c>
      <c r="Y64" s="8">
        <f>'Not MDL Filltered'!Y64/(Calibration!Y$34*'Corrected data'!$A64+Calibration!Y$35)</f>
        <v>0.10392239075212957</v>
      </c>
      <c r="Z64" s="8">
        <f>'Not MDL Filltered'!Z64/(Calibration!Z$34*'Corrected data'!$A64+Calibration!Z$35)</f>
        <v>0.34762214151735926</v>
      </c>
      <c r="AA64" s="8">
        <f>'Not MDL Filltered'!AA64/(Calibration!AA$34*'Corrected data'!$A64+Calibration!AA$35)</f>
        <v>8.6450707904205309E-2</v>
      </c>
      <c r="AB64" s="8">
        <f>'Not MDL Filltered'!AB64/(Calibration!AB$34*'Corrected data'!$A64+Calibration!AB$35)</f>
        <v>0.54846268996609104</v>
      </c>
      <c r="AC64" s="8">
        <f>'Not MDL Filltered'!AC64/(Calibration!AC$34*'Corrected data'!$A64+Calibration!AC$35)</f>
        <v>0.54297203589487308</v>
      </c>
      <c r="AD64" s="8">
        <f>'Not MDL Filltered'!AD64/(Calibration!AD$34*'Corrected data'!$A64+Calibration!AD$35)</f>
        <v>0.25900914816504295</v>
      </c>
      <c r="AE64" s="8">
        <f>'Not MDL Filltered'!AE64/(Calibration!AE$34*'Corrected data'!$A64+Calibration!AE$35)</f>
        <v>1.175063301439222</v>
      </c>
      <c r="AF64" s="8">
        <f>'Not MDL Filltered'!AF64/(Calibration!AF$34*'Corrected data'!$A64+Calibration!AF$35)</f>
        <v>0.27173854626946636</v>
      </c>
      <c r="AG64" s="8">
        <f>'Not MDL Filltered'!AG64/(Calibration!AG$34*'Corrected data'!$A64+Calibration!AG$35)</f>
        <v>2.1660247170287246</v>
      </c>
      <c r="AH64" s="8">
        <f>'Not MDL Filltered'!AH64/(Calibration!AH$34*'Corrected data'!$A64+Calibration!AH$35)</f>
        <v>0.51591123100945668</v>
      </c>
      <c r="AI64" s="8">
        <f>'Not MDL Filltered'!AI64/(Calibration!AI$34*'Corrected data'!$A64+Calibration!AI$35)</f>
        <v>1.6835259054824776</v>
      </c>
      <c r="AJ64" s="8">
        <f>'Not MDL Filltered'!AJ64/(Calibration!AJ$34*'Corrected data'!$A64+Calibration!AJ$35)</f>
        <v>0.23192360039301591</v>
      </c>
      <c r="AK64" s="8">
        <f>'Not MDL Filltered'!AK64/(Calibration!AK$34*'Corrected data'!$A64+Calibration!AK$35)</f>
        <v>1.4748086158431417</v>
      </c>
      <c r="AL64" s="8">
        <f>'Not MDL Filltered'!AL64/(Calibration!AL$34*'Corrected data'!$A64+Calibration!AL$35)</f>
        <v>0.24028822634140867</v>
      </c>
      <c r="AM64" s="8">
        <f>'Not MDL Filltered'!AM64/(Calibration!AM$34*'Corrected data'!$A64+Calibration!AM$35)</f>
        <v>0.38649679629132278</v>
      </c>
      <c r="AN64" s="8">
        <f>'Not MDL Filltered'!AN64/(Calibration!AN$34*'Corrected data'!$A64+Calibration!AN$35)</f>
        <v>1.7702229688097097E-2</v>
      </c>
      <c r="AO64" s="8">
        <f>'Not MDL Filltered'!AO64/(Calibration!AO$34*'Corrected data'!$A64+Calibration!AO$35)</f>
        <v>21.974129025104126</v>
      </c>
      <c r="AP64" s="8">
        <f>'Not MDL Filltered'!AP64/(Calibration!AP$34*'Corrected data'!$A64+Calibration!AP$35)</f>
        <v>-1.9184685621979891E-3</v>
      </c>
      <c r="AQ64" s="8">
        <f>'Not MDL Filltered'!AQ64/(Calibration!AQ$34*'Corrected data'!$A64+Calibration!AQ$35)</f>
        <v>5.7257166015655572E-2</v>
      </c>
    </row>
    <row r="65" spans="1:43" s="35" customFormat="1" x14ac:dyDescent="0.2">
      <c r="A65" s="35">
        <v>64</v>
      </c>
      <c r="B65" s="35" t="s">
        <v>125</v>
      </c>
      <c r="C65" s="35">
        <f>'Not MDL Filltered'!C65/(Calibration!C$34*'Corrected data'!$A65+Calibration!C$35)</f>
        <v>9.7266432766565742</v>
      </c>
      <c r="D65" s="35">
        <f>'Not MDL Filltered'!D65/(Calibration!D$34*'Corrected data'!$A65+Calibration!D$35)</f>
        <v>23.113636480331902</v>
      </c>
      <c r="E65" s="35">
        <f>'Not MDL Filltered'!E65/(Calibration!E$34*'Corrected data'!$A65+Calibration!E$35)</f>
        <v>4591.8588167703265</v>
      </c>
      <c r="F65" s="35">
        <f>'Not MDL Filltered'!F65/(Calibration!F$34*'Corrected data'!$A65+Calibration!F$35)</f>
        <v>173239.13468223531</v>
      </c>
      <c r="G65" s="35">
        <f>'Not MDL Filltered'!G65/(Calibration!G$34*'Corrected data'!$A65+Calibration!G$35)</f>
        <v>55522.853957467363</v>
      </c>
      <c r="H65" s="35">
        <f>'Not MDL Filltered'!H65/(Calibration!H$34*'Corrected data'!$A65+Calibration!H$35)</f>
        <v>211239.33215348943</v>
      </c>
      <c r="I65" s="35">
        <f>'Not MDL Filltered'!I65/(Calibration!I$34*'Corrected data'!$A65+Calibration!I$35)</f>
        <v>76.441193818685676</v>
      </c>
      <c r="J65" s="35">
        <f>'Not MDL Filltered'!J65/(Calibration!J$34*'Corrected data'!$A65+Calibration!J$35)</f>
        <v>207.14879804402898</v>
      </c>
      <c r="K65" s="35">
        <f>'Not MDL Filltered'!K65/(Calibration!K$34*'Corrected data'!$A65+Calibration!K$35)</f>
        <v>44597.421802898592</v>
      </c>
      <c r="L65" s="35">
        <f>'Not MDL Filltered'!L65/(Calibration!L$34*'Corrected data'!$A65+Calibration!L$35)</f>
        <v>32.447686262415672</v>
      </c>
      <c r="M65" s="35">
        <f>'Not MDL Filltered'!M65/(Calibration!M$34*'Corrected data'!$A65+Calibration!M$35)</f>
        <v>1717.3730250292813</v>
      </c>
      <c r="N65" s="35">
        <f>'Not MDL Filltered'!N65/(Calibration!N$34*'Corrected data'!$A65+Calibration!N$35)</f>
        <v>187.7437919629574</v>
      </c>
      <c r="O65" s="35">
        <f>'Not MDL Filltered'!O65/(Calibration!O$34*'Corrected data'!$A65+Calibration!O$35)</f>
        <v>1420.7800629500136</v>
      </c>
      <c r="P65" s="35">
        <f>'Not MDL Filltered'!P65/(Calibration!P$34*'Corrected data'!$A65+Calibration!P$35)</f>
        <v>78378.521761024313</v>
      </c>
      <c r="Q65" s="35">
        <f>'Not MDL Filltered'!Q65/(Calibration!Q$34*'Corrected data'!$A65+Calibration!Q$35)</f>
        <v>9.3116094250175488E-2</v>
      </c>
      <c r="R65" s="35">
        <f>'Not MDL Filltered'!R65/(Calibration!R$34*'Corrected data'!$A65+Calibration!R$35)</f>
        <v>0.42041114826031845</v>
      </c>
      <c r="S65" s="35">
        <f>'Not MDL Filltered'!S65/(Calibration!S$34*'Corrected data'!$A65+Calibration!S$35)</f>
        <v>30.410582942308231</v>
      </c>
      <c r="T65" s="35">
        <f>'Not MDL Filltered'!T65/(Calibration!T$34*'Corrected data'!$A65+Calibration!T$35)</f>
        <v>11.959677423887245</v>
      </c>
      <c r="U65" s="35">
        <f>'Not MDL Filltered'!U65/(Calibration!U$34*'Corrected data'!$A65+Calibration!U$35)</f>
        <v>9.8415883923618566</v>
      </c>
      <c r="V65" s="35">
        <f>'Not MDL Filltered'!V65/(Calibration!V$34*'Corrected data'!$A65+Calibration!V$35)</f>
        <v>7.8076951852467089E-2</v>
      </c>
      <c r="W65" s="35">
        <f>'Not MDL Filltered'!W65/(Calibration!W$34*'Corrected data'!$A65+Calibration!W$35)</f>
        <v>0.2084293002131003</v>
      </c>
      <c r="X65" s="35">
        <f>'Not MDL Filltered'!X65/(Calibration!X$34*'Corrected data'!$A65+Calibration!X$35)</f>
        <v>1.077509250882694</v>
      </c>
      <c r="Y65" s="35">
        <f>'Not MDL Filltered'!Y65/(Calibration!Y$34*'Corrected data'!$A65+Calibration!Y$35)</f>
        <v>0.11705733864882407</v>
      </c>
      <c r="Z65" s="35">
        <f>'Not MDL Filltered'!Z65/(Calibration!Z$34*'Corrected data'!$A65+Calibration!Z$35)</f>
        <v>0.4610551505280201</v>
      </c>
      <c r="AA65" s="35">
        <f>'Not MDL Filltered'!AA65/(Calibration!AA$34*'Corrected data'!$A65+Calibration!AA$35)</f>
        <v>9.7519472725724768E-2</v>
      </c>
      <c r="AB65" s="35">
        <f>'Not MDL Filltered'!AB65/(Calibration!AB$34*'Corrected data'!$A65+Calibration!AB$35)</f>
        <v>0.76337827937482572</v>
      </c>
      <c r="AC65" s="35">
        <f>'Not MDL Filltered'!AC65/(Calibration!AC$34*'Corrected data'!$A65+Calibration!AC$35)</f>
        <v>0.55833162135435532</v>
      </c>
      <c r="AD65" s="35">
        <f>'Not MDL Filltered'!AD65/(Calibration!AD$34*'Corrected data'!$A65+Calibration!AD$35)</f>
        <v>0.26082417447078937</v>
      </c>
      <c r="AE65" s="35">
        <f>'Not MDL Filltered'!AE65/(Calibration!AE$34*'Corrected data'!$A65+Calibration!AE$35)</f>
        <v>1.2355394246343114</v>
      </c>
      <c r="AF65" s="35">
        <f>'Not MDL Filltered'!AF65/(Calibration!AF$34*'Corrected data'!$A65+Calibration!AF$35)</f>
        <v>0.23834054608291941</v>
      </c>
      <c r="AG65" s="35">
        <f>'Not MDL Filltered'!AG65/(Calibration!AG$34*'Corrected data'!$A65+Calibration!AG$35)</f>
        <v>1.9444290118478715</v>
      </c>
      <c r="AH65" s="35">
        <f>'Not MDL Filltered'!AH65/(Calibration!AH$34*'Corrected data'!$A65+Calibration!AH$35)</f>
        <v>0.47392460378519768</v>
      </c>
      <c r="AI65" s="35">
        <f>'Not MDL Filltered'!AI65/(Calibration!AI$34*'Corrected data'!$A65+Calibration!AI$35)</f>
        <v>1.4275065210459794</v>
      </c>
      <c r="AJ65" s="35">
        <f>'Not MDL Filltered'!AJ65/(Calibration!AJ$34*'Corrected data'!$A65+Calibration!AJ$35)</f>
        <v>0.22310374896005178</v>
      </c>
      <c r="AK65" s="35">
        <f>'Not MDL Filltered'!AK65/(Calibration!AK$34*'Corrected data'!$A65+Calibration!AK$35)</f>
        <v>1.3751222898980653</v>
      </c>
      <c r="AL65" s="35">
        <f>'Not MDL Filltered'!AL65/(Calibration!AL$34*'Corrected data'!$A65+Calibration!AL$35)</f>
        <v>0.23343037358496188</v>
      </c>
      <c r="AM65" s="35">
        <f>'Not MDL Filltered'!AM65/(Calibration!AM$34*'Corrected data'!$A65+Calibration!AM$35)</f>
        <v>0.4285591450956146</v>
      </c>
      <c r="AN65" s="35">
        <f>'Not MDL Filltered'!AN65/(Calibration!AN$34*'Corrected data'!$A65+Calibration!AN$35)</f>
        <v>1.7195156769232774E-2</v>
      </c>
      <c r="AO65" s="35">
        <f>'Not MDL Filltered'!AO65/(Calibration!AO$34*'Corrected data'!$A65+Calibration!AO$35)</f>
        <v>0.30195070682805136</v>
      </c>
      <c r="AP65" s="35">
        <f>'Not MDL Filltered'!AP65/(Calibration!AP$34*'Corrected data'!$A65+Calibration!AP$35)</f>
        <v>1.2424195664640762E-2</v>
      </c>
      <c r="AQ65" s="35">
        <f>'Not MDL Filltered'!AQ65/(Calibration!AQ$34*'Corrected data'!$A65+Calibration!AQ$35)</f>
        <v>5.3155428733392641E-3</v>
      </c>
    </row>
    <row r="66" spans="1:43" s="26" customFormat="1" x14ac:dyDescent="0.2">
      <c r="A66" s="26">
        <v>65</v>
      </c>
      <c r="B66" s="26" t="s">
        <v>127</v>
      </c>
      <c r="C66" s="26">
        <f>'Not MDL Filltered'!C66/(Calibration!C$34*'Corrected data'!$A66+Calibration!C$35)</f>
        <v>21.616088368652417</v>
      </c>
      <c r="D66" s="26">
        <f>'Not MDL Filltered'!D66/(Calibration!D$34*'Corrected data'!$A66+Calibration!D$35)</f>
        <v>17.991718677873727</v>
      </c>
      <c r="E66" s="26">
        <f>'Not MDL Filltered'!E66/(Calibration!E$34*'Corrected data'!$A66+Calibration!E$35)</f>
        <v>35598.369914153576</v>
      </c>
      <c r="F66" s="26">
        <f>'Not MDL Filltered'!F66/(Calibration!F$34*'Corrected data'!$A66+Calibration!F$35)</f>
        <v>31759.034699983949</v>
      </c>
      <c r="G66" s="26">
        <f>'Not MDL Filltered'!G66/(Calibration!G$34*'Corrected data'!$A66+Calibration!G$35)</f>
        <v>128300.27022342455</v>
      </c>
      <c r="H66" s="26">
        <f>'Not MDL Filltered'!H66/(Calibration!H$34*'Corrected data'!$A66+Calibration!H$35)</f>
        <v>348137.38502942532</v>
      </c>
      <c r="I66" s="26">
        <f>'Not MDL Filltered'!I66/(Calibration!I$34*'Corrected data'!$A66+Calibration!I$35)</f>
        <v>3247.8602089626706</v>
      </c>
      <c r="J66" s="26">
        <f>'Not MDL Filltered'!J66/(Calibration!J$34*'Corrected data'!$A66+Calibration!J$35)</f>
        <v>51966.766302856078</v>
      </c>
      <c r="K66" s="26">
        <f>'Not MDL Filltered'!K66/(Calibration!K$34*'Corrected data'!$A66+Calibration!K$35)</f>
        <v>71470.237217387519</v>
      </c>
      <c r="L66" s="26">
        <f>'Not MDL Filltered'!L66/(Calibration!L$34*'Corrected data'!$A66+Calibration!L$35)</f>
        <v>34.062870531705755</v>
      </c>
      <c r="M66" s="26">
        <f>'Not MDL Filltered'!M66/(Calibration!M$34*'Corrected data'!$A66+Calibration!M$35)</f>
        <v>7460.8338586603531</v>
      </c>
      <c r="N66" s="26">
        <f>'Not MDL Filltered'!N66/(Calibration!N$34*'Corrected data'!$A66+Calibration!N$35)</f>
        <v>268.79090373470797</v>
      </c>
      <c r="O66" s="26">
        <f>'Not MDL Filltered'!O66/(Calibration!O$34*'Corrected data'!$A66+Calibration!O$35)</f>
        <v>2052.1725671093473</v>
      </c>
      <c r="P66" s="26">
        <f>'Not MDL Filltered'!P66/(Calibration!P$34*'Corrected data'!$A66+Calibration!P$35)</f>
        <v>92860.003062519711</v>
      </c>
      <c r="Q66" s="26">
        <f>'Not MDL Filltered'!Q66/(Calibration!Q$34*'Corrected data'!$A66+Calibration!Q$35)</f>
        <v>0.73523307909952251</v>
      </c>
      <c r="R66" s="26">
        <f>'Not MDL Filltered'!R66/(Calibration!R$34*'Corrected data'!$A66+Calibration!R$35)</f>
        <v>203.37591819806019</v>
      </c>
      <c r="S66" s="26">
        <f>'Not MDL Filltered'!S66/(Calibration!S$34*'Corrected data'!$A66+Calibration!S$35)</f>
        <v>1901.4464006295893</v>
      </c>
      <c r="T66" s="26">
        <f>'Not MDL Filltered'!T66/(Calibration!T$34*'Corrected data'!$A66+Calibration!T$35)</f>
        <v>33.824972643695226</v>
      </c>
      <c r="U66" s="26">
        <f>'Not MDL Filltered'!U66/(Calibration!U$34*'Corrected data'!$A66+Calibration!U$35)</f>
        <v>331.65084049475144</v>
      </c>
      <c r="V66" s="26">
        <f>'Not MDL Filltered'!V66/(Calibration!V$34*'Corrected data'!$A66+Calibration!V$35)</f>
        <v>41.412839251890816</v>
      </c>
      <c r="W66" s="26">
        <f>'Not MDL Filltered'!W66/(Calibration!W$34*'Corrected data'!$A66+Calibration!W$35)</f>
        <v>4.279848212071883</v>
      </c>
      <c r="X66" s="26">
        <f>'Not MDL Filltered'!X66/(Calibration!X$34*'Corrected data'!$A66+Calibration!X$35)</f>
        <v>1391.3821681225113</v>
      </c>
      <c r="Y66" s="26">
        <f>'Not MDL Filltered'!Y66/(Calibration!Y$34*'Corrected data'!$A66+Calibration!Y$35)</f>
        <v>63.281528534886178</v>
      </c>
      <c r="Z66" s="26">
        <f>'Not MDL Filltered'!Z66/(Calibration!Z$34*'Corrected data'!$A66+Calibration!Z$35)</f>
        <v>126.39700968571634</v>
      </c>
      <c r="AA66" s="26">
        <f>'Not MDL Filltered'!AA66/(Calibration!AA$34*'Corrected data'!$A66+Calibration!AA$35)</f>
        <v>14.518987007911054</v>
      </c>
      <c r="AB66" s="26">
        <f>'Not MDL Filltered'!AB66/(Calibration!AB$34*'Corrected data'!$A66+Calibration!AB$35)</f>
        <v>55.97201551038652</v>
      </c>
      <c r="AC66" s="26">
        <f>'Not MDL Filltered'!AC66/(Calibration!AC$34*'Corrected data'!$A66+Calibration!AC$35)</f>
        <v>9.9001102580119902</v>
      </c>
      <c r="AD66" s="26">
        <f>'Not MDL Filltered'!AD66/(Calibration!AD$34*'Corrected data'!$A66+Calibration!AD$35)</f>
        <v>2.5666771909073187</v>
      </c>
      <c r="AE66" s="26">
        <f>'Not MDL Filltered'!AE66/(Calibration!AE$34*'Corrected data'!$A66+Calibration!AE$35)</f>
        <v>8.5960314715271604</v>
      </c>
      <c r="AF66" s="26">
        <f>'Not MDL Filltered'!AF66/(Calibration!AF$34*'Corrected data'!$A66+Calibration!AF$35)</f>
        <v>1.1260733758388644</v>
      </c>
      <c r="AG66" s="26">
        <f>'Not MDL Filltered'!AG66/(Calibration!AG$34*'Corrected data'!$A66+Calibration!AG$35)</f>
        <v>6.5762289298266188</v>
      </c>
      <c r="AH66" s="26">
        <f>'Not MDL Filltered'!AH66/(Calibration!AH$34*'Corrected data'!$A66+Calibration!AH$35)</f>
        <v>1.2856793724233093</v>
      </c>
      <c r="AI66" s="26">
        <f>'Not MDL Filltered'!AI66/(Calibration!AI$34*'Corrected data'!$A66+Calibration!AI$35)</f>
        <v>3.6576380318603974</v>
      </c>
      <c r="AJ66" s="26">
        <f>'Not MDL Filltered'!AJ66/(Calibration!AJ$34*'Corrected data'!$A66+Calibration!AJ$35)</f>
        <v>0.538173865144701</v>
      </c>
      <c r="AK66" s="26">
        <f>'Not MDL Filltered'!AK66/(Calibration!AK$34*'Corrected data'!$A66+Calibration!AK$35)</f>
        <v>3.7964308693003082</v>
      </c>
      <c r="AL66" s="26">
        <f>'Not MDL Filltered'!AL66/(Calibration!AL$34*'Corrected data'!$A66+Calibration!AL$35)</f>
        <v>0.57635483646730479</v>
      </c>
      <c r="AM66" s="26">
        <f>'Not MDL Filltered'!AM66/(Calibration!AM$34*'Corrected data'!$A66+Calibration!AM$35)</f>
        <v>8.4436215112008828</v>
      </c>
      <c r="AN66" s="26">
        <f>'Not MDL Filltered'!AN66/(Calibration!AN$34*'Corrected data'!$A66+Calibration!AN$35)</f>
        <v>2.2352020647402733</v>
      </c>
      <c r="AO66" s="26">
        <f>'Not MDL Filltered'!AO66/(Calibration!AO$34*'Corrected data'!$A66+Calibration!AO$35)</f>
        <v>25.804157399131103</v>
      </c>
      <c r="AP66" s="26">
        <f>'Not MDL Filltered'!AP66/(Calibration!AP$34*'Corrected data'!$A66+Calibration!AP$35)</f>
        <v>21.73530440029576</v>
      </c>
      <c r="AQ66" s="26">
        <f>'Not MDL Filltered'!AQ66/(Calibration!AQ$34*'Corrected data'!$A66+Calibration!AQ$35)</f>
        <v>6.1883955760499569</v>
      </c>
    </row>
    <row r="67" spans="1:43" s="24" customFormat="1" x14ac:dyDescent="0.2">
      <c r="A67" s="24">
        <v>66</v>
      </c>
      <c r="B67" s="24" t="s">
        <v>128</v>
      </c>
      <c r="C67" s="24">
        <f>'Not MDL Filltered'!C67/(Calibration!C$34*'Corrected data'!$A67+Calibration!C$35)</f>
        <v>6.7964770327518131</v>
      </c>
      <c r="D67" s="24">
        <f>'Not MDL Filltered'!D67/(Calibration!D$34*'Corrected data'!$A67+Calibration!D$35)</f>
        <v>2.8899951952580532</v>
      </c>
      <c r="E67" s="24">
        <f>'Not MDL Filltered'!E67/(Calibration!E$34*'Corrected data'!$A67+Calibration!E$35)</f>
        <v>28931.139964563961</v>
      </c>
      <c r="F67" s="24">
        <f>'Not MDL Filltered'!F67/(Calibration!F$34*'Corrected data'!$A67+Calibration!F$35)</f>
        <v>28307.515383346432</v>
      </c>
      <c r="G67" s="24">
        <f>'Not MDL Filltered'!G67/(Calibration!G$34*'Corrected data'!$A67+Calibration!G$35)</f>
        <v>74609.766549908716</v>
      </c>
      <c r="H67" s="24">
        <f>'Not MDL Filltered'!H67/(Calibration!H$34*'Corrected data'!$A67+Calibration!H$35)</f>
        <v>201418.41904097397</v>
      </c>
      <c r="I67" s="24">
        <f>'Not MDL Filltered'!I67/(Calibration!I$34*'Corrected data'!$A67+Calibration!I$35)</f>
        <v>2642.1898696375447</v>
      </c>
      <c r="J67" s="24">
        <f>'Not MDL Filltered'!J67/(Calibration!J$34*'Corrected data'!$A67+Calibration!J$35)</f>
        <v>11887.894861022749</v>
      </c>
      <c r="K67" s="24">
        <f>'Not MDL Filltered'!K67/(Calibration!K$34*'Corrected data'!$A67+Calibration!K$35)</f>
        <v>89552.204585344647</v>
      </c>
      <c r="L67" s="24">
        <f>'Not MDL Filltered'!L67/(Calibration!L$34*'Corrected data'!$A67+Calibration!L$35)</f>
        <v>28.927713746920151</v>
      </c>
      <c r="M67" s="24">
        <f>'Not MDL Filltered'!M67/(Calibration!M$34*'Corrected data'!$A67+Calibration!M$35)</f>
        <v>21514.16742760703</v>
      </c>
      <c r="N67" s="24">
        <f>'Not MDL Filltered'!N67/(Calibration!N$34*'Corrected data'!$A67+Calibration!N$35)</f>
        <v>305.82379790975864</v>
      </c>
      <c r="O67" s="24">
        <f>'Not MDL Filltered'!O67/(Calibration!O$34*'Corrected data'!$A67+Calibration!O$35)</f>
        <v>1393.3793560583913</v>
      </c>
      <c r="P67" s="24">
        <f>'Not MDL Filltered'!P67/(Calibration!P$34*'Corrected data'!$A67+Calibration!P$35)</f>
        <v>81867.293012811046</v>
      </c>
      <c r="Q67" s="24">
        <f>'Not MDL Filltered'!Q67/(Calibration!Q$34*'Corrected data'!$A67+Calibration!Q$35)</f>
        <v>0.78155111709414404</v>
      </c>
      <c r="R67" s="24">
        <f>'Not MDL Filltered'!R67/(Calibration!R$34*'Corrected data'!$A67+Calibration!R$35)</f>
        <v>27.580741090796536</v>
      </c>
      <c r="S67" s="24">
        <f>'Not MDL Filltered'!S67/(Calibration!S$34*'Corrected data'!$A67+Calibration!S$35)</f>
        <v>903.41117264683385</v>
      </c>
      <c r="T67" s="24">
        <f>'Not MDL Filltered'!T67/(Calibration!T$34*'Corrected data'!$A67+Calibration!T$35)</f>
        <v>28.873417077094871</v>
      </c>
      <c r="U67" s="24">
        <f>'Not MDL Filltered'!U67/(Calibration!U$34*'Corrected data'!$A67+Calibration!U$35)</f>
        <v>302.77463555133005</v>
      </c>
      <c r="V67" s="24">
        <f>'Not MDL Filltered'!V67/(Calibration!V$34*'Corrected data'!$A67+Calibration!V$35)</f>
        <v>82.309664271164124</v>
      </c>
      <c r="W67" s="24">
        <f>'Not MDL Filltered'!W67/(Calibration!W$34*'Corrected data'!$A67+Calibration!W$35)</f>
        <v>0.33458880442294403</v>
      </c>
      <c r="X67" s="24">
        <f>'Not MDL Filltered'!X67/(Calibration!X$34*'Corrected data'!$A67+Calibration!X$35)</f>
        <v>333.98740266626982</v>
      </c>
      <c r="Y67" s="24">
        <f>'Not MDL Filltered'!Y67/(Calibration!Y$34*'Corrected data'!$A67+Calibration!Y$35)</f>
        <v>52.127203611637256</v>
      </c>
      <c r="Z67" s="24">
        <f>'Not MDL Filltered'!Z67/(Calibration!Z$34*'Corrected data'!$A67+Calibration!Z$35)</f>
        <v>104.52223804662857</v>
      </c>
      <c r="AA67" s="24">
        <f>'Not MDL Filltered'!AA67/(Calibration!AA$34*'Corrected data'!$A67+Calibration!AA$35)</f>
        <v>13.897180084293398</v>
      </c>
      <c r="AB67" s="24">
        <f>'Not MDL Filltered'!AB67/(Calibration!AB$34*'Corrected data'!$A67+Calibration!AB$35)</f>
        <v>54.711491457458109</v>
      </c>
      <c r="AC67" s="24">
        <f>'Not MDL Filltered'!AC67/(Calibration!AC$34*'Corrected data'!$A67+Calibration!AC$35)</f>
        <v>9.7704911055889454</v>
      </c>
      <c r="AD67" s="24">
        <f>'Not MDL Filltered'!AD67/(Calibration!AD$34*'Corrected data'!$A67+Calibration!AD$35)</f>
        <v>2.9625999056084891</v>
      </c>
      <c r="AE67" s="24">
        <f>'Not MDL Filltered'!AE67/(Calibration!AE$34*'Corrected data'!$A67+Calibration!AE$35)</f>
        <v>7.7942545892649306</v>
      </c>
      <c r="AF67" s="24">
        <f>'Not MDL Filltered'!AF67/(Calibration!AF$34*'Corrected data'!$A67+Calibration!AF$35)</f>
        <v>1.0857783128755572</v>
      </c>
      <c r="AG67" s="24">
        <f>'Not MDL Filltered'!AG67/(Calibration!AG$34*'Corrected data'!$A67+Calibration!AG$35)</f>
        <v>6.3365627646938334</v>
      </c>
      <c r="AH67" s="24">
        <f>'Not MDL Filltered'!AH67/(Calibration!AH$34*'Corrected data'!$A67+Calibration!AH$35)</f>
        <v>1.1354203009266617</v>
      </c>
      <c r="AI67" s="24">
        <f>'Not MDL Filltered'!AI67/(Calibration!AI$34*'Corrected data'!$A67+Calibration!AI$35)</f>
        <v>2.4977243456692788</v>
      </c>
      <c r="AJ67" s="24">
        <f>'Not MDL Filltered'!AJ67/(Calibration!AJ$34*'Corrected data'!$A67+Calibration!AJ$35)</f>
        <v>0.32410248946901843</v>
      </c>
      <c r="AK67" s="24">
        <f>'Not MDL Filltered'!AK67/(Calibration!AK$34*'Corrected data'!$A67+Calibration!AK$35)</f>
        <v>2.2319621424425016</v>
      </c>
      <c r="AL67" s="24">
        <f>'Not MDL Filltered'!AL67/(Calibration!AL$34*'Corrected data'!$A67+Calibration!AL$35)</f>
        <v>0.33203275516029712</v>
      </c>
      <c r="AM67" s="24">
        <f>'Not MDL Filltered'!AM67/(Calibration!AM$34*'Corrected data'!$A67+Calibration!AM$35)</f>
        <v>6.1670265618296902</v>
      </c>
      <c r="AN67" s="24">
        <f>'Not MDL Filltered'!AN67/(Calibration!AN$34*'Corrected data'!$A67+Calibration!AN$35)</f>
        <v>4.1363294746769306</v>
      </c>
      <c r="AO67" s="24">
        <f>'Not MDL Filltered'!AO67/(Calibration!AO$34*'Corrected data'!$A67+Calibration!AO$35)</f>
        <v>4.5484870879387351</v>
      </c>
      <c r="AP67" s="24">
        <f>'Not MDL Filltered'!AP67/(Calibration!AP$34*'Corrected data'!$A67+Calibration!AP$35)</f>
        <v>6.1661964590853477</v>
      </c>
      <c r="AQ67" s="24">
        <f>'Not MDL Filltered'!AQ67/(Calibration!AQ$34*'Corrected data'!$A67+Calibration!AQ$35)</f>
        <v>1.5396755692837929</v>
      </c>
    </row>
    <row r="68" spans="1:43" s="24" customFormat="1" x14ac:dyDescent="0.2">
      <c r="A68" s="24">
        <v>67</v>
      </c>
      <c r="B68" s="24" t="s">
        <v>129</v>
      </c>
      <c r="C68" s="24">
        <f>'Not MDL Filltered'!C68/(Calibration!C$34*'Corrected data'!$A68+Calibration!C$35)</f>
        <v>6.8448319785124196</v>
      </c>
      <c r="D68" s="24">
        <f>'Not MDL Filltered'!D68/(Calibration!D$34*'Corrected data'!$A68+Calibration!D$35)</f>
        <v>1.7704679350031309</v>
      </c>
      <c r="E68" s="24">
        <f>'Not MDL Filltered'!E68/(Calibration!E$34*'Corrected data'!$A68+Calibration!E$35)</f>
        <v>29015.018370655183</v>
      </c>
      <c r="F68" s="24">
        <f>'Not MDL Filltered'!F68/(Calibration!F$34*'Corrected data'!$A68+Calibration!F$35)</f>
        <v>28439.420169786757</v>
      </c>
      <c r="G68" s="24">
        <f>'Not MDL Filltered'!G68/(Calibration!G$34*'Corrected data'!$A68+Calibration!G$35)</f>
        <v>73485.318070909081</v>
      </c>
      <c r="H68" s="24">
        <f>'Not MDL Filltered'!H68/(Calibration!H$34*'Corrected data'!$A68+Calibration!H$35)</f>
        <v>191164.96226572091</v>
      </c>
      <c r="I68" s="24">
        <f>'Not MDL Filltered'!I68/(Calibration!I$34*'Corrected data'!$A68+Calibration!I$35)</f>
        <v>2479.1266416015806</v>
      </c>
      <c r="J68" s="24">
        <f>'Not MDL Filltered'!J68/(Calibration!J$34*'Corrected data'!$A68+Calibration!J$35)</f>
        <v>11616.6272440545</v>
      </c>
      <c r="K68" s="24">
        <f>'Not MDL Filltered'!K68/(Calibration!K$34*'Corrected data'!$A68+Calibration!K$35)</f>
        <v>89552.204707308425</v>
      </c>
      <c r="L68" s="24">
        <f>'Not MDL Filltered'!L68/(Calibration!L$34*'Corrected data'!$A68+Calibration!L$35)</f>
        <v>26.308877140228144</v>
      </c>
      <c r="M68" s="24">
        <f>'Not MDL Filltered'!M68/(Calibration!M$34*'Corrected data'!$A68+Calibration!M$35)</f>
        <v>18216.913983418373</v>
      </c>
      <c r="N68" s="24">
        <f>'Not MDL Filltered'!N68/(Calibration!N$34*'Corrected data'!$A68+Calibration!N$35)</f>
        <v>268.64899493427095</v>
      </c>
      <c r="O68" s="24">
        <f>'Not MDL Filltered'!O68/(Calibration!O$34*'Corrected data'!$A68+Calibration!O$35)</f>
        <v>1302.9008839587948</v>
      </c>
      <c r="P68" s="24">
        <f>'Not MDL Filltered'!P68/(Calibration!P$34*'Corrected data'!$A68+Calibration!P$35)</f>
        <v>77429.903122973279</v>
      </c>
      <c r="Q68" s="24">
        <f>'Not MDL Filltered'!Q68/(Calibration!Q$34*'Corrected data'!$A68+Calibration!Q$35)</f>
        <v>0.55816714060660366</v>
      </c>
      <c r="R68" s="24">
        <f>'Not MDL Filltered'!R68/(Calibration!R$34*'Corrected data'!$A68+Calibration!R$35)</f>
        <v>28.178006782612659</v>
      </c>
      <c r="S68" s="24">
        <f>'Not MDL Filltered'!S68/(Calibration!S$34*'Corrected data'!$A68+Calibration!S$35)</f>
        <v>881.60077362120501</v>
      </c>
      <c r="T68" s="24">
        <f>'Not MDL Filltered'!T68/(Calibration!T$34*'Corrected data'!$A68+Calibration!T$35)</f>
        <v>26.485469890090968</v>
      </c>
      <c r="U68" s="24">
        <f>'Not MDL Filltered'!U68/(Calibration!U$34*'Corrected data'!$A68+Calibration!U$35)</f>
        <v>281.5093207145527</v>
      </c>
      <c r="V68" s="24">
        <f>'Not MDL Filltered'!V68/(Calibration!V$34*'Corrected data'!$A68+Calibration!V$35)</f>
        <v>76.245854875600898</v>
      </c>
      <c r="W68" s="24">
        <f>'Not MDL Filltered'!W68/(Calibration!W$34*'Corrected data'!$A68+Calibration!W$35)</f>
        <v>0.29953361094586556</v>
      </c>
      <c r="X68" s="24">
        <f>'Not MDL Filltered'!X68/(Calibration!X$34*'Corrected data'!$A68+Calibration!X$35)</f>
        <v>326.31470387326311</v>
      </c>
      <c r="Y68" s="24">
        <f>'Not MDL Filltered'!Y68/(Calibration!Y$34*'Corrected data'!$A68+Calibration!Y$35)</f>
        <v>49.742721358323173</v>
      </c>
      <c r="Z68" s="24">
        <f>'Not MDL Filltered'!Z68/(Calibration!Z$34*'Corrected data'!$A68+Calibration!Z$35)</f>
        <v>102.72351289944889</v>
      </c>
      <c r="AA68" s="24">
        <f>'Not MDL Filltered'!AA68/(Calibration!AA$34*'Corrected data'!$A68+Calibration!AA$35)</f>
        <v>13.375801272230962</v>
      </c>
      <c r="AB68" s="24">
        <f>'Not MDL Filltered'!AB68/(Calibration!AB$34*'Corrected data'!$A68+Calibration!AB$35)</f>
        <v>52.620186440102138</v>
      </c>
      <c r="AC68" s="24">
        <f>'Not MDL Filltered'!AC68/(Calibration!AC$34*'Corrected data'!$A68+Calibration!AC$35)</f>
        <v>10.148754377343733</v>
      </c>
      <c r="AD68" s="24">
        <f>'Not MDL Filltered'!AD68/(Calibration!AD$34*'Corrected data'!$A68+Calibration!AD$35)</f>
        <v>2.5333915423824807</v>
      </c>
      <c r="AE68" s="24">
        <f>'Not MDL Filltered'!AE68/(Calibration!AE$34*'Corrected data'!$A68+Calibration!AE$35)</f>
        <v>7.255988730153458</v>
      </c>
      <c r="AF68" s="24">
        <f>'Not MDL Filltered'!AF68/(Calibration!AF$34*'Corrected data'!$A68+Calibration!AF$35)</f>
        <v>1.0759125015352906</v>
      </c>
      <c r="AG68" s="24">
        <f>'Not MDL Filltered'!AG68/(Calibration!AG$34*'Corrected data'!$A68+Calibration!AG$35)</f>
        <v>6.3096568351171731</v>
      </c>
      <c r="AH68" s="24">
        <f>'Not MDL Filltered'!AH68/(Calibration!AH$34*'Corrected data'!$A68+Calibration!AH$35)</f>
        <v>1.005156701003266</v>
      </c>
      <c r="AI68" s="24">
        <f>'Not MDL Filltered'!AI68/(Calibration!AI$34*'Corrected data'!$A68+Calibration!AI$35)</f>
        <v>2.4473877296599409</v>
      </c>
      <c r="AJ68" s="24">
        <f>'Not MDL Filltered'!AJ68/(Calibration!AJ$34*'Corrected data'!$A68+Calibration!AJ$35)</f>
        <v>0.32729787066145544</v>
      </c>
      <c r="AK68" s="24">
        <f>'Not MDL Filltered'!AK68/(Calibration!AK$34*'Corrected data'!$A68+Calibration!AK$35)</f>
        <v>1.9329865014147289</v>
      </c>
      <c r="AL68" s="24">
        <f>'Not MDL Filltered'!AL68/(Calibration!AL$34*'Corrected data'!$A68+Calibration!AL$35)</f>
        <v>0.29039550944674225</v>
      </c>
      <c r="AM68" s="24">
        <f>'Not MDL Filltered'!AM68/(Calibration!AM$34*'Corrected data'!$A68+Calibration!AM$35)</f>
        <v>5.998746975301346</v>
      </c>
      <c r="AN68" s="24">
        <f>'Not MDL Filltered'!AN68/(Calibration!AN$34*'Corrected data'!$A68+Calibration!AN$35)</f>
        <v>4.1865806391108809</v>
      </c>
      <c r="AO68" s="24">
        <f>'Not MDL Filltered'!AO68/(Calibration!AO$34*'Corrected data'!$A68+Calibration!AO$35)</f>
        <v>3.6827012647529496</v>
      </c>
      <c r="AP68" s="24">
        <f>'Not MDL Filltered'!AP68/(Calibration!AP$34*'Corrected data'!$A68+Calibration!AP$35)</f>
        <v>5.9864794485979678</v>
      </c>
      <c r="AQ68" s="24">
        <f>'Not MDL Filltered'!AQ68/(Calibration!AQ$34*'Corrected data'!$A68+Calibration!AQ$35)</f>
        <v>1.4074973405385349</v>
      </c>
    </row>
    <row r="69" spans="1:43" s="24" customFormat="1" x14ac:dyDescent="0.2">
      <c r="A69" s="24">
        <v>68</v>
      </c>
      <c r="B69" s="24" t="s">
        <v>130</v>
      </c>
      <c r="C69" s="24">
        <f>'Not MDL Filltered'!C69/(Calibration!C$34*'Corrected data'!$A69+Calibration!C$35)</f>
        <v>5.5931324087945802</v>
      </c>
      <c r="D69" s="24">
        <f>'Not MDL Filltered'!D69/(Calibration!D$34*'Corrected data'!$A69+Calibration!D$35)</f>
        <v>2.5878851454395133</v>
      </c>
      <c r="E69" s="24">
        <f>'Not MDL Filltered'!E69/(Calibration!E$34*'Corrected data'!$A69+Calibration!E$35)</f>
        <v>21432.637766278331</v>
      </c>
      <c r="F69" s="24">
        <f>'Not MDL Filltered'!F69/(Calibration!F$34*'Corrected data'!$A69+Calibration!F$35)</f>
        <v>296934.00214019237</v>
      </c>
      <c r="G69" s="24">
        <f>'Not MDL Filltered'!G69/(Calibration!G$34*'Corrected data'!$A69+Calibration!G$35)</f>
        <v>69947.815656326362</v>
      </c>
      <c r="H69" s="24">
        <f>'Not MDL Filltered'!H69/(Calibration!H$34*'Corrected data'!$A69+Calibration!H$35)</f>
        <v>339856.64924400026</v>
      </c>
      <c r="I69" s="24">
        <f>'Not MDL Filltered'!I69/(Calibration!I$34*'Corrected data'!$A69+Calibration!I$35)</f>
        <v>2368.514688322125</v>
      </c>
      <c r="J69" s="24">
        <f>'Not MDL Filltered'!J69/(Calibration!J$34*'Corrected data'!$A69+Calibration!J$35)</f>
        <v>9781.4642808893059</v>
      </c>
      <c r="K69" s="24">
        <f>'Not MDL Filltered'!K69/(Calibration!K$34*'Corrected data'!$A69+Calibration!K$35)</f>
        <v>97628.331497813371</v>
      </c>
      <c r="L69" s="24">
        <f>'Not MDL Filltered'!L69/(Calibration!L$34*'Corrected data'!$A69+Calibration!L$35)</f>
        <v>40.197047860611647</v>
      </c>
      <c r="M69" s="24">
        <f>'Not MDL Filltered'!M69/(Calibration!M$34*'Corrected data'!$A69+Calibration!M$35)</f>
        <v>18911.300947935506</v>
      </c>
      <c r="N69" s="24">
        <f>'Not MDL Filltered'!N69/(Calibration!N$34*'Corrected data'!$A69+Calibration!N$35)</f>
        <v>315.76511332778341</v>
      </c>
      <c r="O69" s="24">
        <f>'Not MDL Filltered'!O69/(Calibration!O$34*'Corrected data'!$A69+Calibration!O$35)</f>
        <v>3655.4644677679844</v>
      </c>
      <c r="P69" s="24">
        <f>'Not MDL Filltered'!P69/(Calibration!P$34*'Corrected data'!$A69+Calibration!P$35)</f>
        <v>220190.70350882458</v>
      </c>
      <c r="Q69" s="24">
        <f>'Not MDL Filltered'!Q69/(Calibration!Q$34*'Corrected data'!$A69+Calibration!Q$35)</f>
        <v>0.54711421077939004</v>
      </c>
      <c r="R69" s="24">
        <f>'Not MDL Filltered'!R69/(Calibration!R$34*'Corrected data'!$A69+Calibration!R$35)</f>
        <v>25.04317421248604</v>
      </c>
      <c r="S69" s="24">
        <f>'Not MDL Filltered'!S69/(Calibration!S$34*'Corrected data'!$A69+Calibration!S$35)</f>
        <v>835.88446679676508</v>
      </c>
      <c r="T69" s="24">
        <f>'Not MDL Filltered'!T69/(Calibration!T$34*'Corrected data'!$A69+Calibration!T$35)</f>
        <v>27.696093679640747</v>
      </c>
      <c r="U69" s="24">
        <f>'Not MDL Filltered'!U69/(Calibration!U$34*'Corrected data'!$A69+Calibration!U$35)</f>
        <v>280.57028488483508</v>
      </c>
      <c r="V69" s="24">
        <f>'Not MDL Filltered'!V69/(Calibration!V$34*'Corrected data'!$A69+Calibration!V$35)</f>
        <v>83.517298324754123</v>
      </c>
      <c r="W69" s="24">
        <f>'Not MDL Filltered'!W69/(Calibration!W$34*'Corrected data'!$A69+Calibration!W$35)</f>
        <v>0.36716972546640375</v>
      </c>
      <c r="X69" s="24">
        <f>'Not MDL Filltered'!X69/(Calibration!X$34*'Corrected data'!$A69+Calibration!X$35)</f>
        <v>334.06769731542124</v>
      </c>
      <c r="Y69" s="24">
        <f>'Not MDL Filltered'!Y69/(Calibration!Y$34*'Corrected data'!$A69+Calibration!Y$35)</f>
        <v>57.444930535036008</v>
      </c>
      <c r="Z69" s="24">
        <f>'Not MDL Filltered'!Z69/(Calibration!Z$34*'Corrected data'!$A69+Calibration!Z$35)</f>
        <v>115.60872296735988</v>
      </c>
      <c r="AA69" s="24">
        <f>'Not MDL Filltered'!AA69/(Calibration!AA$34*'Corrected data'!$A69+Calibration!AA$35)</f>
        <v>13.658954767764257</v>
      </c>
      <c r="AB69" s="24">
        <f>'Not MDL Filltered'!AB69/(Calibration!AB$34*'Corrected data'!$A69+Calibration!AB$35)</f>
        <v>58.261073228614336</v>
      </c>
      <c r="AC69" s="24">
        <f>'Not MDL Filltered'!AC69/(Calibration!AC$34*'Corrected data'!$A69+Calibration!AC$35)</f>
        <v>9.2265440537567915</v>
      </c>
      <c r="AD69" s="24">
        <f>'Not MDL Filltered'!AD69/(Calibration!AD$34*'Corrected data'!$A69+Calibration!AD$35)</f>
        <v>2.4323933942127143</v>
      </c>
      <c r="AE69" s="24">
        <f>'Not MDL Filltered'!AE69/(Calibration!AE$34*'Corrected data'!$A69+Calibration!AE$35)</f>
        <v>6.637046967355035</v>
      </c>
      <c r="AF69" s="24">
        <f>'Not MDL Filltered'!AF69/(Calibration!AF$34*'Corrected data'!$A69+Calibration!AF$35)</f>
        <v>1.1371109570104749</v>
      </c>
      <c r="AG69" s="24">
        <f>'Not MDL Filltered'!AG69/(Calibration!AG$34*'Corrected data'!$A69+Calibration!AG$35)</f>
        <v>6.3233201068668121</v>
      </c>
      <c r="AH69" s="24">
        <f>'Not MDL Filltered'!AH69/(Calibration!AH$34*'Corrected data'!$A69+Calibration!AH$35)</f>
        <v>1.1060686268954363</v>
      </c>
      <c r="AI69" s="24">
        <f>'Not MDL Filltered'!AI69/(Calibration!AI$34*'Corrected data'!$A69+Calibration!AI$35)</f>
        <v>2.3558572558842834</v>
      </c>
      <c r="AJ69" s="24">
        <f>'Not MDL Filltered'!AJ69/(Calibration!AJ$34*'Corrected data'!$A69+Calibration!AJ$35)</f>
        <v>0.32750179035052668</v>
      </c>
      <c r="AK69" s="24">
        <f>'Not MDL Filltered'!AK69/(Calibration!AK$34*'Corrected data'!$A69+Calibration!AK$35)</f>
        <v>2.5706034330940941</v>
      </c>
      <c r="AL69" s="24">
        <f>'Not MDL Filltered'!AL69/(Calibration!AL$34*'Corrected data'!$A69+Calibration!AL$35)</f>
        <v>0.29051097739203724</v>
      </c>
      <c r="AM69" s="24">
        <f>'Not MDL Filltered'!AM69/(Calibration!AM$34*'Corrected data'!$A69+Calibration!AM$35)</f>
        <v>5.330343214828674</v>
      </c>
      <c r="AN69" s="24">
        <f>'Not MDL Filltered'!AN69/(Calibration!AN$34*'Corrected data'!$A69+Calibration!AN$35)</f>
        <v>4.3986122755140542</v>
      </c>
      <c r="AO69" s="24">
        <f>'Not MDL Filltered'!AO69/(Calibration!AO$34*'Corrected data'!$A69+Calibration!AO$35)</f>
        <v>4.3363023329916039</v>
      </c>
      <c r="AP69" s="24">
        <f>'Not MDL Filltered'!AP69/(Calibration!AP$34*'Corrected data'!$A69+Calibration!AP$35)</f>
        <v>7.5364771942485556</v>
      </c>
      <c r="AQ69" s="24">
        <f>'Not MDL Filltered'!AQ69/(Calibration!AQ$34*'Corrected data'!$A69+Calibration!AQ$35)</f>
        <v>1.4850318705958367</v>
      </c>
    </row>
    <row r="70" spans="1:43" s="24" customFormat="1" x14ac:dyDescent="0.2">
      <c r="A70" s="24">
        <v>69</v>
      </c>
      <c r="B70" s="24" t="s">
        <v>131</v>
      </c>
      <c r="C70" s="24">
        <f>'Not MDL Filltered'!C70/(Calibration!C$34*'Corrected data'!$A70+Calibration!C$35)</f>
        <v>4.2313655646555208</v>
      </c>
      <c r="D70" s="24">
        <f>'Not MDL Filltered'!D70/(Calibration!D$34*'Corrected data'!$A70+Calibration!D$35)</f>
        <v>2.095638061259729</v>
      </c>
      <c r="E70" s="24">
        <f>'Not MDL Filltered'!E70/(Calibration!E$34*'Corrected data'!$A70+Calibration!E$35)</f>
        <v>20325.689359555614</v>
      </c>
      <c r="F70" s="24">
        <f>'Not MDL Filltered'!F70/(Calibration!F$34*'Corrected data'!$A70+Calibration!F$35)</f>
        <v>22573.434762098943</v>
      </c>
      <c r="G70" s="24">
        <f>'Not MDL Filltered'!G70/(Calibration!G$34*'Corrected data'!$A70+Calibration!G$35)</f>
        <v>73113.294286205055</v>
      </c>
      <c r="H70" s="24">
        <f>'Not MDL Filltered'!H70/(Calibration!H$34*'Corrected data'!$A70+Calibration!H$35)</f>
        <v>193683.50958497543</v>
      </c>
      <c r="I70" s="24">
        <f>'Not MDL Filltered'!I70/(Calibration!I$34*'Corrected data'!$A70+Calibration!I$35)</f>
        <v>2084.9540817187303</v>
      </c>
      <c r="J70" s="24">
        <f>'Not MDL Filltered'!J70/(Calibration!J$34*'Corrected data'!$A70+Calibration!J$35)</f>
        <v>8267.2117766965875</v>
      </c>
      <c r="K70" s="24">
        <f>'Not MDL Filltered'!K70/(Calibration!K$34*'Corrected data'!$A70+Calibration!K$35)</f>
        <v>97699.811778403469</v>
      </c>
      <c r="L70" s="24">
        <f>'Not MDL Filltered'!L70/(Calibration!L$34*'Corrected data'!$A70+Calibration!L$35)</f>
        <v>29.270871227995986</v>
      </c>
      <c r="M70" s="24">
        <f>'Not MDL Filltered'!M70/(Calibration!M$34*'Corrected data'!$A70+Calibration!M$35)</f>
        <v>19793.479582972861</v>
      </c>
      <c r="N70" s="24">
        <f>'Not MDL Filltered'!N70/(Calibration!N$34*'Corrected data'!$A70+Calibration!N$35)</f>
        <v>277.80833414788424</v>
      </c>
      <c r="O70" s="24">
        <f>'Not MDL Filltered'!O70/(Calibration!O$34*'Corrected data'!$A70+Calibration!O$35)</f>
        <v>1153.9541207126092</v>
      </c>
      <c r="P70" s="24">
        <f>'Not MDL Filltered'!P70/(Calibration!P$34*'Corrected data'!$A70+Calibration!P$35)</f>
        <v>64950.413240017144</v>
      </c>
      <c r="Q70" s="24">
        <f>'Not MDL Filltered'!Q70/(Calibration!Q$34*'Corrected data'!$A70+Calibration!Q$35)</f>
        <v>0.47867744038324517</v>
      </c>
      <c r="R70" s="24">
        <f>'Not MDL Filltered'!R70/(Calibration!R$34*'Corrected data'!$A70+Calibration!R$35)</f>
        <v>20.178335332229683</v>
      </c>
      <c r="S70" s="24">
        <f>'Not MDL Filltered'!S70/(Calibration!S$34*'Corrected data'!$A70+Calibration!S$35)</f>
        <v>793.20480786493465</v>
      </c>
      <c r="T70" s="24">
        <f>'Not MDL Filltered'!T70/(Calibration!T$34*'Corrected data'!$A70+Calibration!T$35)</f>
        <v>23.410770434573475</v>
      </c>
      <c r="U70" s="24">
        <f>'Not MDL Filltered'!U70/(Calibration!U$34*'Corrected data'!$A70+Calibration!U$35)</f>
        <v>222.44051404984148</v>
      </c>
      <c r="V70" s="24">
        <f>'Not MDL Filltered'!V70/(Calibration!V$34*'Corrected data'!$A70+Calibration!V$35)</f>
        <v>61.796780030543893</v>
      </c>
      <c r="W70" s="24">
        <f>'Not MDL Filltered'!W70/(Calibration!W$34*'Corrected data'!$A70+Calibration!W$35)</f>
        <v>0.19229606398333135</v>
      </c>
      <c r="X70" s="24">
        <f>'Not MDL Filltered'!X70/(Calibration!X$34*'Corrected data'!$A70+Calibration!X$35)</f>
        <v>274.85535867181699</v>
      </c>
      <c r="Y70" s="24">
        <f>'Not MDL Filltered'!Y70/(Calibration!Y$34*'Corrected data'!$A70+Calibration!Y$35)</f>
        <v>40.33598270584163</v>
      </c>
      <c r="Z70" s="24">
        <f>'Not MDL Filltered'!Z70/(Calibration!Z$34*'Corrected data'!$A70+Calibration!Z$35)</f>
        <v>90.719625960140391</v>
      </c>
      <c r="AA70" s="24">
        <f>'Not MDL Filltered'!AA70/(Calibration!AA$34*'Corrected data'!$A70+Calibration!AA$35)</f>
        <v>12.040967470156131</v>
      </c>
      <c r="AB70" s="24">
        <f>'Not MDL Filltered'!AB70/(Calibration!AB$34*'Corrected data'!$A70+Calibration!AB$35)</f>
        <v>46.176762681251418</v>
      </c>
      <c r="AC70" s="24">
        <f>'Not MDL Filltered'!AC70/(Calibration!AC$34*'Corrected data'!$A70+Calibration!AC$35)</f>
        <v>9.0661739834377428</v>
      </c>
      <c r="AD70" s="24">
        <f>'Not MDL Filltered'!AD70/(Calibration!AD$34*'Corrected data'!$A70+Calibration!AD$35)</f>
        <v>2.7085457300807474</v>
      </c>
      <c r="AE70" s="24">
        <f>'Not MDL Filltered'!AE70/(Calibration!AE$34*'Corrected data'!$A70+Calibration!AE$35)</f>
        <v>6.3724323668390017</v>
      </c>
      <c r="AF70" s="24">
        <f>'Not MDL Filltered'!AF70/(Calibration!AF$34*'Corrected data'!$A70+Calibration!AF$35)</f>
        <v>0.97492188073833386</v>
      </c>
      <c r="AG70" s="24">
        <f>'Not MDL Filltered'!AG70/(Calibration!AG$34*'Corrected data'!$A70+Calibration!AG$35)</f>
        <v>5.5144074387567974</v>
      </c>
      <c r="AH70" s="24">
        <f>'Not MDL Filltered'!AH70/(Calibration!AH$34*'Corrected data'!$A70+Calibration!AH$35)</f>
        <v>0.78458439101281152</v>
      </c>
      <c r="AI70" s="24">
        <f>'Not MDL Filltered'!AI70/(Calibration!AI$34*'Corrected data'!$A70+Calibration!AI$35)</f>
        <v>2.1716193138707722</v>
      </c>
      <c r="AJ70" s="24">
        <f>'Not MDL Filltered'!AJ70/(Calibration!AJ$34*'Corrected data'!$A70+Calibration!AJ$35)</f>
        <v>0.30073016845665967</v>
      </c>
      <c r="AK70" s="24">
        <f>'Not MDL Filltered'!AK70/(Calibration!AK$34*'Corrected data'!$A70+Calibration!AK$35)</f>
        <v>1.9926620930277112</v>
      </c>
      <c r="AL70" s="24">
        <f>'Not MDL Filltered'!AL70/(Calibration!AL$34*'Corrected data'!$A70+Calibration!AL$35)</f>
        <v>0.22692757014191103</v>
      </c>
      <c r="AM70" s="24">
        <f>'Not MDL Filltered'!AM70/(Calibration!AM$34*'Corrected data'!$A70+Calibration!AM$35)</f>
        <v>4.6615740216376178</v>
      </c>
      <c r="AN70" s="24">
        <f>'Not MDL Filltered'!AN70/(Calibration!AN$34*'Corrected data'!$A70+Calibration!AN$35)</f>
        <v>3.1040743010317895</v>
      </c>
      <c r="AO70" s="24">
        <f>'Not MDL Filltered'!AO70/(Calibration!AO$34*'Corrected data'!$A70+Calibration!AO$35)</f>
        <v>55.823092453853874</v>
      </c>
      <c r="AP70" s="24">
        <f>'Not MDL Filltered'!AP70/(Calibration!AP$34*'Corrected data'!$A70+Calibration!AP$35)</f>
        <v>4.533697281496381</v>
      </c>
      <c r="AQ70" s="24">
        <f>'Not MDL Filltered'!AQ70/(Calibration!AQ$34*'Corrected data'!$A70+Calibration!AQ$35)</f>
        <v>1.3035956328197307</v>
      </c>
    </row>
    <row r="71" spans="1:43" s="24" customFormat="1" x14ac:dyDescent="0.2">
      <c r="A71" s="24">
        <v>70</v>
      </c>
      <c r="B71" s="24" t="s">
        <v>132</v>
      </c>
      <c r="C71" s="24">
        <f>'Not MDL Filltered'!C71/(Calibration!C$34*'Corrected data'!$A71+Calibration!C$35)</f>
        <v>6.9393638243714388</v>
      </c>
      <c r="D71" s="24">
        <f>'Not MDL Filltered'!D71/(Calibration!D$34*'Corrected data'!$A71+Calibration!D$35)</f>
        <v>11.287118126579839</v>
      </c>
      <c r="E71" s="24">
        <f>'Not MDL Filltered'!E71/(Calibration!E$34*'Corrected data'!$A71+Calibration!E$35)</f>
        <v>62875.819761566672</v>
      </c>
      <c r="F71" s="24">
        <f>'Not MDL Filltered'!F71/(Calibration!F$34*'Corrected data'!$A71+Calibration!F$35)</f>
        <v>47935.795017379292</v>
      </c>
      <c r="G71" s="24">
        <f>'Not MDL Filltered'!G71/(Calibration!G$34*'Corrected data'!$A71+Calibration!G$35)</f>
        <v>147895.54746406496</v>
      </c>
      <c r="H71" s="24">
        <f>'Not MDL Filltered'!H71/(Calibration!H$34*'Corrected data'!$A71+Calibration!H$35)</f>
        <v>285961.74017365422</v>
      </c>
      <c r="I71" s="24">
        <f>'Not MDL Filltered'!I71/(Calibration!I$34*'Corrected data'!$A71+Calibration!I$35)</f>
        <v>3765.7988932880307</v>
      </c>
      <c r="J71" s="24">
        <f>'Not MDL Filltered'!J71/(Calibration!J$34*'Corrected data'!$A71+Calibration!J$35)</f>
        <v>17598.767777325378</v>
      </c>
      <c r="K71" s="24">
        <f>'Not MDL Filltered'!K71/(Calibration!K$34*'Corrected data'!$A71+Calibration!K$35)</f>
        <v>71970.528738001813</v>
      </c>
      <c r="L71" s="24">
        <f>'Not MDL Filltered'!L71/(Calibration!L$34*'Corrected data'!$A71+Calibration!L$35)</f>
        <v>15.04028506029937</v>
      </c>
      <c r="M71" s="24">
        <f>'Not MDL Filltered'!M71/(Calibration!M$34*'Corrected data'!$A71+Calibration!M$35)</f>
        <v>20191.085932859747</v>
      </c>
      <c r="N71" s="24">
        <f>'Not MDL Filltered'!N71/(Calibration!N$34*'Corrected data'!$A71+Calibration!N$35)</f>
        <v>218.91033601568029</v>
      </c>
      <c r="O71" s="24">
        <f>'Not MDL Filltered'!O71/(Calibration!O$34*'Corrected data'!$A71+Calibration!O$35)</f>
        <v>1964.3073829308569</v>
      </c>
      <c r="P71" s="24">
        <f>'Not MDL Filltered'!P71/(Calibration!P$34*'Corrected data'!$A71+Calibration!P$35)</f>
        <v>122095.83557590884</v>
      </c>
      <c r="Q71" s="24">
        <f>'Not MDL Filltered'!Q71/(Calibration!Q$34*'Corrected data'!$A71+Calibration!Q$35)</f>
        <v>2.7022911620127772</v>
      </c>
      <c r="R71" s="24">
        <f>'Not MDL Filltered'!R71/(Calibration!R$34*'Corrected data'!$A71+Calibration!R$35)</f>
        <v>85.125546728086789</v>
      </c>
      <c r="S71" s="24">
        <f>'Not MDL Filltered'!S71/(Calibration!S$34*'Corrected data'!$A71+Calibration!S$35)</f>
        <v>1608.5767695099794</v>
      </c>
      <c r="T71" s="24">
        <f>'Not MDL Filltered'!T71/(Calibration!T$34*'Corrected data'!$A71+Calibration!T$35)</f>
        <v>43.302835293508771</v>
      </c>
      <c r="U71" s="24">
        <f>'Not MDL Filltered'!U71/(Calibration!U$34*'Corrected data'!$A71+Calibration!U$35)</f>
        <v>387.86260444004751</v>
      </c>
      <c r="V71" s="24">
        <f>'Not MDL Filltered'!V71/(Calibration!V$34*'Corrected data'!$A71+Calibration!V$35)</f>
        <v>98.490549804436938</v>
      </c>
      <c r="W71" s="24">
        <f>'Not MDL Filltered'!W71/(Calibration!W$34*'Corrected data'!$A71+Calibration!W$35)</f>
        <v>0.45259467802947956</v>
      </c>
      <c r="X71" s="24">
        <f>'Not MDL Filltered'!X71/(Calibration!X$34*'Corrected data'!$A71+Calibration!X$35)</f>
        <v>837.03382739356482</v>
      </c>
      <c r="Y71" s="24">
        <f>'Not MDL Filltered'!Y71/(Calibration!Y$34*'Corrected data'!$A71+Calibration!Y$35)</f>
        <v>159.2079397777224</v>
      </c>
      <c r="Z71" s="24">
        <f>'Not MDL Filltered'!Z71/(Calibration!Z$34*'Corrected data'!$A71+Calibration!Z$35)</f>
        <v>335.76582714793301</v>
      </c>
      <c r="AA71" s="24">
        <f>'Not MDL Filltered'!AA71/(Calibration!AA$34*'Corrected data'!$A71+Calibration!AA$35)</f>
        <v>27.424746738436578</v>
      </c>
      <c r="AB71" s="24">
        <f>'Not MDL Filltered'!AB71/(Calibration!AB$34*'Corrected data'!$A71+Calibration!AB$35)</f>
        <v>76.759280012668611</v>
      </c>
      <c r="AC71" s="24">
        <f>'Not MDL Filltered'!AC71/(Calibration!AC$34*'Corrected data'!$A71+Calibration!AC$35)</f>
        <v>10.623839343422535</v>
      </c>
      <c r="AD71" s="24">
        <f>'Not MDL Filltered'!AD71/(Calibration!AD$34*'Corrected data'!$A71+Calibration!AD$35)</f>
        <v>4.7987141507202971</v>
      </c>
      <c r="AE71" s="24">
        <f>'Not MDL Filltered'!AE71/(Calibration!AE$34*'Corrected data'!$A71+Calibration!AE$35)</f>
        <v>19.931728806979354</v>
      </c>
      <c r="AF71" s="24">
        <f>'Not MDL Filltered'!AF71/(Calibration!AF$34*'Corrected data'!$A71+Calibration!AF$35)</f>
        <v>1.645611796221879</v>
      </c>
      <c r="AG71" s="24">
        <f>'Not MDL Filltered'!AG71/(Calibration!AG$34*'Corrected data'!$A71+Calibration!AG$35)</f>
        <v>6.9908421399164773</v>
      </c>
      <c r="AH71" s="24">
        <f>'Not MDL Filltered'!AH71/(Calibration!AH$34*'Corrected data'!$A71+Calibration!AH$35)</f>
        <v>1.1772986633266413</v>
      </c>
      <c r="AI71" s="24">
        <f>'Not MDL Filltered'!AI71/(Calibration!AI$34*'Corrected data'!$A71+Calibration!AI$35)</f>
        <v>4.4583788295278293</v>
      </c>
      <c r="AJ71" s="24">
        <f>'Not MDL Filltered'!AJ71/(Calibration!AJ$34*'Corrected data'!$A71+Calibration!AJ$35)</f>
        <v>0.75979237397936783</v>
      </c>
      <c r="AK71" s="24">
        <f>'Not MDL Filltered'!AK71/(Calibration!AK$34*'Corrected data'!$A71+Calibration!AK$35)</f>
        <v>4.0449949491739492</v>
      </c>
      <c r="AL71" s="24">
        <f>'Not MDL Filltered'!AL71/(Calibration!AL$34*'Corrected data'!$A71+Calibration!AL$35)</f>
        <v>0.28875080412215082</v>
      </c>
      <c r="AM71" s="24">
        <f>'Not MDL Filltered'!AM71/(Calibration!AM$34*'Corrected data'!$A71+Calibration!AM$35)</f>
        <v>8.2550432435256873</v>
      </c>
      <c r="AN71" s="24">
        <f>'Not MDL Filltered'!AN71/(Calibration!AN$34*'Corrected data'!$A71+Calibration!AN$35)</f>
        <v>11.242575953734853</v>
      </c>
      <c r="AO71" s="24">
        <f>'Not MDL Filltered'!AO71/(Calibration!AO$34*'Corrected data'!$A71+Calibration!AO$35)</f>
        <v>1857.7819205961521</v>
      </c>
      <c r="AP71" s="24">
        <f>'Not MDL Filltered'!AP71/(Calibration!AP$34*'Corrected data'!$A71+Calibration!AP$35)</f>
        <v>9.3643726116592738</v>
      </c>
      <c r="AQ71" s="24">
        <f>'Not MDL Filltered'!AQ71/(Calibration!AQ$34*'Corrected data'!$A71+Calibration!AQ$35)</f>
        <v>2.0964147583942059</v>
      </c>
    </row>
    <row r="72" spans="1:43" s="24" customFormat="1" x14ac:dyDescent="0.2">
      <c r="A72" s="24">
        <v>71</v>
      </c>
      <c r="B72" s="24" t="s">
        <v>133</v>
      </c>
      <c r="C72" s="24">
        <f>'Not MDL Filltered'!C72/(Calibration!C$34*'Corrected data'!$A72+Calibration!C$35)</f>
        <v>2.4265357640145799</v>
      </c>
      <c r="D72" s="24">
        <f>'Not MDL Filltered'!D72/(Calibration!D$34*'Corrected data'!$A72+Calibration!D$35)</f>
        <v>1.1793001392960987</v>
      </c>
      <c r="E72" s="24">
        <f>'Not MDL Filltered'!E72/(Calibration!E$34*'Corrected data'!$A72+Calibration!E$35)</f>
        <v>14690.827528537651</v>
      </c>
      <c r="F72" s="24">
        <f>'Not MDL Filltered'!F72/(Calibration!F$34*'Corrected data'!$A72+Calibration!F$35)</f>
        <v>16340.558084878194</v>
      </c>
      <c r="G72" s="24">
        <f>'Not MDL Filltered'!G72/(Calibration!G$34*'Corrected data'!$A72+Calibration!G$35)</f>
        <v>50556.27025402493</v>
      </c>
      <c r="H72" s="24">
        <f>'Not MDL Filltered'!H72/(Calibration!H$34*'Corrected data'!$A72+Calibration!H$35)</f>
        <v>142372.34843941312</v>
      </c>
      <c r="I72" s="24">
        <f>'Not MDL Filltered'!I72/(Calibration!I$34*'Corrected data'!$A72+Calibration!I$35)</f>
        <v>1944.3652366851234</v>
      </c>
      <c r="J72" s="24">
        <f>'Not MDL Filltered'!J72/(Calibration!J$34*'Corrected data'!$A72+Calibration!J$35)</f>
        <v>11635.371553692587</v>
      </c>
      <c r="K72" s="24">
        <f>'Not MDL Filltered'!K72/(Calibration!K$34*'Corrected data'!$A72+Calibration!K$35)</f>
        <v>90910.138003386804</v>
      </c>
      <c r="L72" s="24">
        <f>'Not MDL Filltered'!L72/(Calibration!L$34*'Corrected data'!$A72+Calibration!L$35)</f>
        <v>23.688953407582094</v>
      </c>
      <c r="M72" s="24">
        <f>'Not MDL Filltered'!M72/(Calibration!M$34*'Corrected data'!$A72+Calibration!M$35)</f>
        <v>13778.8642762942</v>
      </c>
      <c r="N72" s="24">
        <f>'Not MDL Filltered'!N72/(Calibration!N$34*'Corrected data'!$A72+Calibration!N$35)</f>
        <v>175.83975960571385</v>
      </c>
      <c r="O72" s="24">
        <f>'Not MDL Filltered'!O72/(Calibration!O$34*'Corrected data'!$A72+Calibration!O$35)</f>
        <v>715.26764843448757</v>
      </c>
      <c r="P72" s="24">
        <f>'Not MDL Filltered'!P72/(Calibration!P$34*'Corrected data'!$A72+Calibration!P$35)</f>
        <v>41079.088634359294</v>
      </c>
      <c r="Q72" s="24">
        <f>'Not MDL Filltered'!Q72/(Calibration!Q$34*'Corrected data'!$A72+Calibration!Q$35)</f>
        <v>0.35238961185053436</v>
      </c>
      <c r="R72" s="24">
        <f>'Not MDL Filltered'!R72/(Calibration!R$34*'Corrected data'!$A72+Calibration!R$35)</f>
        <v>16.30305078521533</v>
      </c>
      <c r="S72" s="24">
        <f>'Not MDL Filltered'!S72/(Calibration!S$34*'Corrected data'!$A72+Calibration!S$35)</f>
        <v>635.88039180106352</v>
      </c>
      <c r="T72" s="24">
        <f>'Not MDL Filltered'!T72/(Calibration!T$34*'Corrected data'!$A72+Calibration!T$35)</f>
        <v>21.928373212461182</v>
      </c>
      <c r="U72" s="24">
        <f>'Not MDL Filltered'!U72/(Calibration!U$34*'Corrected data'!$A72+Calibration!U$35)</f>
        <v>248.11076156968394</v>
      </c>
      <c r="V72" s="24">
        <f>'Not MDL Filltered'!V72/(Calibration!V$34*'Corrected data'!$A72+Calibration!V$35)</f>
        <v>57.13270500353493</v>
      </c>
      <c r="W72" s="24">
        <f>'Not MDL Filltered'!W72/(Calibration!W$34*'Corrected data'!$A72+Calibration!W$35)</f>
        <v>0.21507703363348321</v>
      </c>
      <c r="X72" s="24">
        <f>'Not MDL Filltered'!X72/(Calibration!X$34*'Corrected data'!$A72+Calibration!X$35)</f>
        <v>188.004929527472</v>
      </c>
      <c r="Y72" s="24">
        <f>'Not MDL Filltered'!Y72/(Calibration!Y$34*'Corrected data'!$A72+Calibration!Y$35)</f>
        <v>30.842461558691692</v>
      </c>
      <c r="Z72" s="24">
        <f>'Not MDL Filltered'!Z72/(Calibration!Z$34*'Corrected data'!$A72+Calibration!Z$35)</f>
        <v>67.88332416864715</v>
      </c>
      <c r="AA72" s="24">
        <f>'Not MDL Filltered'!AA72/(Calibration!AA$34*'Corrected data'!$A72+Calibration!AA$35)</f>
        <v>10.705524487688459</v>
      </c>
      <c r="AB72" s="24">
        <f>'Not MDL Filltered'!AB72/(Calibration!AB$34*'Corrected data'!$A72+Calibration!AB$35)</f>
        <v>49.620141752020658</v>
      </c>
      <c r="AC72" s="24">
        <f>'Not MDL Filltered'!AC72/(Calibration!AC$34*'Corrected data'!$A72+Calibration!AC$35)</f>
        <v>7.7181464559898778</v>
      </c>
      <c r="AD72" s="24">
        <f>'Not MDL Filltered'!AD72/(Calibration!AD$34*'Corrected data'!$A72+Calibration!AD$35)</f>
        <v>1.7239908634127272</v>
      </c>
      <c r="AE72" s="24">
        <f>'Not MDL Filltered'!AE72/(Calibration!AE$34*'Corrected data'!$A72+Calibration!AE$35)</f>
        <v>4.6910494565588206</v>
      </c>
      <c r="AF72" s="24">
        <f>'Not MDL Filltered'!AF72/(Calibration!AF$34*'Corrected data'!$A72+Calibration!AF$35)</f>
        <v>0.8128608122023927</v>
      </c>
      <c r="AG72" s="24">
        <f>'Not MDL Filltered'!AG72/(Calibration!AG$34*'Corrected data'!$A72+Calibration!AG$35)</f>
        <v>5.2867231862761503</v>
      </c>
      <c r="AH72" s="24">
        <f>'Not MDL Filltered'!AH72/(Calibration!AH$34*'Corrected data'!$A72+Calibration!AH$35)</f>
        <v>0.68448744378976767</v>
      </c>
      <c r="AI72" s="24">
        <f>'Not MDL Filltered'!AI72/(Calibration!AI$34*'Corrected data'!$A72+Calibration!AI$35)</f>
        <v>1.3597244758962328</v>
      </c>
      <c r="AJ72" s="24">
        <f>'Not MDL Filltered'!AJ72/(Calibration!AJ$34*'Corrected data'!$A72+Calibration!AJ$35)</f>
        <v>0.20707262473475524</v>
      </c>
      <c r="AK72" s="24">
        <f>'Not MDL Filltered'!AK72/(Calibration!AK$34*'Corrected data'!$A72+Calibration!AK$35)</f>
        <v>1.74348528249418</v>
      </c>
      <c r="AL72" s="24">
        <f>'Not MDL Filltered'!AL72/(Calibration!AL$34*'Corrected data'!$A72+Calibration!AL$35)</f>
        <v>0.22411998249542475</v>
      </c>
      <c r="AM72" s="24">
        <f>'Not MDL Filltered'!AM72/(Calibration!AM$34*'Corrected data'!$A72+Calibration!AM$35)</f>
        <v>3.352964687135501</v>
      </c>
      <c r="AN72" s="24">
        <f>'Not MDL Filltered'!AN72/(Calibration!AN$34*'Corrected data'!$A72+Calibration!AN$35)</f>
        <v>2.4464915595710588</v>
      </c>
      <c r="AO72" s="24">
        <f>'Not MDL Filltered'!AO72/(Calibration!AO$34*'Corrected data'!$A72+Calibration!AO$35)</f>
        <v>3.1079314022173437</v>
      </c>
      <c r="AP72" s="24">
        <f>'Not MDL Filltered'!AP72/(Calibration!AP$34*'Corrected data'!$A72+Calibration!AP$35)</f>
        <v>5.0738449169326429</v>
      </c>
      <c r="AQ72" s="24">
        <f>'Not MDL Filltered'!AQ72/(Calibration!AQ$34*'Corrected data'!$A72+Calibration!AQ$35)</f>
        <v>0.91265531129595345</v>
      </c>
    </row>
    <row r="73" spans="1:43" s="24" customFormat="1" x14ac:dyDescent="0.2">
      <c r="A73" s="24">
        <v>72</v>
      </c>
      <c r="B73" s="24" t="s">
        <v>134</v>
      </c>
      <c r="C73" s="24">
        <f>'Not MDL Filltered'!C73/(Calibration!C$34*'Corrected data'!$A73+Calibration!C$35)</f>
        <v>4.8818075000207823</v>
      </c>
      <c r="D73" s="24">
        <f>'Not MDL Filltered'!D73/(Calibration!D$34*'Corrected data'!$A73+Calibration!D$35)</f>
        <v>2.3883559496335831</v>
      </c>
      <c r="E73" s="24">
        <f>'Not MDL Filltered'!E73/(Calibration!E$34*'Corrected data'!$A73+Calibration!E$35)</f>
        <v>27262.789265146985</v>
      </c>
      <c r="F73" s="24">
        <f>'Not MDL Filltered'!F73/(Calibration!F$34*'Corrected data'!$A73+Calibration!F$35)</f>
        <v>33471.460119028678</v>
      </c>
      <c r="G73" s="24">
        <f>'Not MDL Filltered'!G73/(Calibration!G$34*'Corrected data'!$A73+Calibration!G$35)</f>
        <v>88175.751594209563</v>
      </c>
      <c r="H73" s="24">
        <f>'Not MDL Filltered'!H73/(Calibration!H$34*'Corrected data'!$A73+Calibration!H$35)</f>
        <v>206289.92844530375</v>
      </c>
      <c r="I73" s="24">
        <f>'Not MDL Filltered'!I73/(Calibration!I$34*'Corrected data'!$A73+Calibration!I$35)</f>
        <v>2360.2164438503905</v>
      </c>
      <c r="J73" s="24">
        <f>'Not MDL Filltered'!J73/(Calibration!J$34*'Corrected data'!$A73+Calibration!J$35)</f>
        <v>11120.330558082353</v>
      </c>
      <c r="K73" s="24">
        <f>'Not MDL Filltered'!K73/(Calibration!K$34*'Corrected data'!$A73+Calibration!K$35)</f>
        <v>96627.749959085049</v>
      </c>
      <c r="L73" s="24">
        <f>'Not MDL Filltered'!L73/(Calibration!L$34*'Corrected data'!$A73+Calibration!L$35)</f>
        <v>34.370543510799244</v>
      </c>
      <c r="M73" s="24">
        <f>'Not MDL Filltered'!M73/(Calibration!M$34*'Corrected data'!$A73+Calibration!M$35)</f>
        <v>20653.357655546461</v>
      </c>
      <c r="N73" s="24">
        <f>'Not MDL Filltered'!N73/(Calibration!N$34*'Corrected data'!$A73+Calibration!N$35)</f>
        <v>347.81210234617191</v>
      </c>
      <c r="O73" s="24">
        <f>'Not MDL Filltered'!O73/(Calibration!O$34*'Corrected data'!$A73+Calibration!O$35)</f>
        <v>1363.5687418229295</v>
      </c>
      <c r="P73" s="24">
        <f>'Not MDL Filltered'!P73/(Calibration!P$34*'Corrected data'!$A73+Calibration!P$35)</f>
        <v>81375.866871452221</v>
      </c>
      <c r="Q73" s="24">
        <f>'Not MDL Filltered'!Q73/(Calibration!Q$34*'Corrected data'!$A73+Calibration!Q$35)</f>
        <v>0.59846739382621683</v>
      </c>
      <c r="R73" s="24">
        <f>'Not MDL Filltered'!R73/(Calibration!R$34*'Corrected data'!$A73+Calibration!R$35)</f>
        <v>30.90229149599211</v>
      </c>
      <c r="S73" s="24">
        <f>'Not MDL Filltered'!S73/(Calibration!S$34*'Corrected data'!$A73+Calibration!S$35)</f>
        <v>868.6998787845838</v>
      </c>
      <c r="T73" s="24">
        <f>'Not MDL Filltered'!T73/(Calibration!T$34*'Corrected data'!$A73+Calibration!T$35)</f>
        <v>26.863413112148073</v>
      </c>
      <c r="U73" s="24">
        <f>'Not MDL Filltered'!U73/(Calibration!U$34*'Corrected data'!$A73+Calibration!U$35)</f>
        <v>262.13161876934203</v>
      </c>
      <c r="V73" s="24">
        <f>'Not MDL Filltered'!V73/(Calibration!V$34*'Corrected data'!$A73+Calibration!V$35)</f>
        <v>74.993482559586383</v>
      </c>
      <c r="W73" s="24">
        <f>'Not MDL Filltered'!W73/(Calibration!W$34*'Corrected data'!$A73+Calibration!W$35)</f>
        <v>0.35905987566801184</v>
      </c>
      <c r="X73" s="24">
        <f>'Not MDL Filltered'!X73/(Calibration!X$34*'Corrected data'!$A73+Calibration!X$35)</f>
        <v>384.14417059543001</v>
      </c>
      <c r="Y73" s="24">
        <f>'Not MDL Filltered'!Y73/(Calibration!Y$34*'Corrected data'!$A73+Calibration!Y$35)</f>
        <v>53.773206901587116</v>
      </c>
      <c r="Z73" s="24">
        <f>'Not MDL Filltered'!Z73/(Calibration!Z$34*'Corrected data'!$A73+Calibration!Z$35)</f>
        <v>109.78589660586505</v>
      </c>
      <c r="AA73" s="24">
        <f>'Not MDL Filltered'!AA73/(Calibration!AA$34*'Corrected data'!$A73+Calibration!AA$35)</f>
        <v>12.990986045819461</v>
      </c>
      <c r="AB73" s="24">
        <f>'Not MDL Filltered'!AB73/(Calibration!AB$34*'Corrected data'!$A73+Calibration!AB$35)</f>
        <v>47.614065481337917</v>
      </c>
      <c r="AC73" s="24">
        <f>'Not MDL Filltered'!AC73/(Calibration!AC$34*'Corrected data'!$A73+Calibration!AC$35)</f>
        <v>9.3576140271879442</v>
      </c>
      <c r="AD73" s="24">
        <f>'Not MDL Filltered'!AD73/(Calibration!AD$34*'Corrected data'!$A73+Calibration!AD$35)</f>
        <v>2.8812775260606447</v>
      </c>
      <c r="AE73" s="24">
        <f>'Not MDL Filltered'!AE73/(Calibration!AE$34*'Corrected data'!$A73+Calibration!AE$35)</f>
        <v>8.2881880339745138</v>
      </c>
      <c r="AF73" s="24">
        <f>'Not MDL Filltered'!AF73/(Calibration!AF$34*'Corrected data'!$A73+Calibration!AF$35)</f>
        <v>1.0569961161500716</v>
      </c>
      <c r="AG73" s="24">
        <f>'Not MDL Filltered'!AG73/(Calibration!AG$34*'Corrected data'!$A73+Calibration!AG$35)</f>
        <v>6.1238144671254569</v>
      </c>
      <c r="AH73" s="24">
        <f>'Not MDL Filltered'!AH73/(Calibration!AH$34*'Corrected data'!$A73+Calibration!AH$35)</f>
        <v>1.1177260988729278</v>
      </c>
      <c r="AI73" s="24">
        <f>'Not MDL Filltered'!AI73/(Calibration!AI$34*'Corrected data'!$A73+Calibration!AI$35)</f>
        <v>2.8442912149942932</v>
      </c>
      <c r="AJ73" s="24">
        <f>'Not MDL Filltered'!AJ73/(Calibration!AJ$34*'Corrected data'!$A73+Calibration!AJ$35)</f>
        <v>0.42040977717179884</v>
      </c>
      <c r="AK73" s="24">
        <f>'Not MDL Filltered'!AK73/(Calibration!AK$34*'Corrected data'!$A73+Calibration!AK$35)</f>
        <v>2.0223883837417098</v>
      </c>
      <c r="AL73" s="24">
        <f>'Not MDL Filltered'!AL73/(Calibration!AL$34*'Corrected data'!$A73+Calibration!AL$35)</f>
        <v>0.31887536316748377</v>
      </c>
      <c r="AM73" s="24">
        <f>'Not MDL Filltered'!AM73/(Calibration!AM$34*'Corrected data'!$A73+Calibration!AM$35)</f>
        <v>6.2071846218340676</v>
      </c>
      <c r="AN73" s="24">
        <f>'Not MDL Filltered'!AN73/(Calibration!AN$34*'Corrected data'!$A73+Calibration!AN$35)</f>
        <v>4.710658137307794</v>
      </c>
      <c r="AO73" s="24">
        <f>'Not MDL Filltered'!AO73/(Calibration!AO$34*'Corrected data'!$A73+Calibration!AO$35)</f>
        <v>4.123383202850917</v>
      </c>
      <c r="AP73" s="24">
        <f>'Not MDL Filltered'!AP73/(Calibration!AP$34*'Corrected data'!$A73+Calibration!AP$35)</f>
        <v>5.92676761854029</v>
      </c>
      <c r="AQ73" s="24">
        <f>'Not MDL Filltered'!AQ73/(Calibration!AQ$34*'Corrected data'!$A73+Calibration!AQ$35)</f>
        <v>1.4361910485086871</v>
      </c>
    </row>
    <row r="74" spans="1:43" s="24" customFormat="1" x14ac:dyDescent="0.2">
      <c r="A74" s="24">
        <v>73</v>
      </c>
      <c r="B74" s="24" t="s">
        <v>135</v>
      </c>
      <c r="C74" s="24">
        <f>'Not MDL Filltered'!C74/(Calibration!C$34*'Corrected data'!$A74+Calibration!C$35)</f>
        <v>7.5569777864594032</v>
      </c>
      <c r="D74" s="24">
        <f>'Not MDL Filltered'!D74/(Calibration!D$34*'Corrected data'!$A74+Calibration!D$35)</f>
        <v>11.613530502419392</v>
      </c>
      <c r="E74" s="24">
        <f>'Not MDL Filltered'!E74/(Calibration!E$34*'Corrected data'!$A74+Calibration!E$35)</f>
        <v>32542.744266134792</v>
      </c>
      <c r="F74" s="24">
        <f>'Not MDL Filltered'!F74/(Calibration!F$34*'Corrected data'!$A74+Calibration!F$35)</f>
        <v>24012.374538061307</v>
      </c>
      <c r="G74" s="24">
        <f>'Not MDL Filltered'!G74/(Calibration!G$34*'Corrected data'!$A74+Calibration!G$35)</f>
        <v>84719.586572088025</v>
      </c>
      <c r="H74" s="24">
        <f>'Not MDL Filltered'!H74/(Calibration!H$34*'Corrected data'!$A74+Calibration!H$35)</f>
        <v>186761.27561517051</v>
      </c>
      <c r="I74" s="24">
        <f>'Not MDL Filltered'!I74/(Calibration!I$34*'Corrected data'!$A74+Calibration!I$35)</f>
        <v>3430.4854734185869</v>
      </c>
      <c r="J74" s="24">
        <f>'Not MDL Filltered'!J74/(Calibration!J$34*'Corrected data'!$A74+Calibration!J$35)</f>
        <v>14236.601968078239</v>
      </c>
      <c r="K74" s="24">
        <f>'Not MDL Filltered'!K74/(Calibration!K$34*'Corrected data'!$A74+Calibration!K$35)</f>
        <v>63751.452012508882</v>
      </c>
      <c r="L74" s="24">
        <f>'Not MDL Filltered'!L74/(Calibration!L$34*'Corrected data'!$A74+Calibration!L$35)</f>
        <v>16.075295744126315</v>
      </c>
      <c r="M74" s="24">
        <f>'Not MDL Filltered'!M74/(Calibration!M$34*'Corrected data'!$A74+Calibration!M$35)</f>
        <v>18459.2235145544</v>
      </c>
      <c r="N74" s="24">
        <f>'Not MDL Filltered'!N74/(Calibration!N$34*'Corrected data'!$A74+Calibration!N$35)</f>
        <v>372.23074026892027</v>
      </c>
      <c r="O74" s="24">
        <f>'Not MDL Filltered'!O74/(Calibration!O$34*'Corrected data'!$A74+Calibration!O$35)</f>
        <v>1280.8971302091695</v>
      </c>
      <c r="P74" s="24">
        <f>'Not MDL Filltered'!P74/(Calibration!P$34*'Corrected data'!$A74+Calibration!P$35)</f>
        <v>43842.716453619149</v>
      </c>
      <c r="Q74" s="24">
        <f>'Not MDL Filltered'!Q74/(Calibration!Q$34*'Corrected data'!$A74+Calibration!Q$35)</f>
        <v>1.2128061021584098</v>
      </c>
      <c r="R74" s="24">
        <f>'Not MDL Filltered'!R74/(Calibration!R$34*'Corrected data'!$A74+Calibration!R$35)</f>
        <v>40.928411002799955</v>
      </c>
      <c r="S74" s="24">
        <f>'Not MDL Filltered'!S74/(Calibration!S$34*'Corrected data'!$A74+Calibration!S$35)</f>
        <v>1535.5728055620395</v>
      </c>
      <c r="T74" s="24">
        <f>'Not MDL Filltered'!T74/(Calibration!T$34*'Corrected data'!$A74+Calibration!T$35)</f>
        <v>30.766917346327102</v>
      </c>
      <c r="U74" s="24">
        <f>'Not MDL Filltered'!U74/(Calibration!U$34*'Corrected data'!$A74+Calibration!U$35)</f>
        <v>356.85072094902216</v>
      </c>
      <c r="V74" s="24">
        <f>'Not MDL Filltered'!V74/(Calibration!V$34*'Corrected data'!$A74+Calibration!V$35)</f>
        <v>121.93380653954745</v>
      </c>
      <c r="W74" s="24">
        <f>'Not MDL Filltered'!W74/(Calibration!W$34*'Corrected data'!$A74+Calibration!W$35)</f>
        <v>0.46544238941630167</v>
      </c>
      <c r="X74" s="24">
        <f>'Not MDL Filltered'!X74/(Calibration!X$34*'Corrected data'!$A74+Calibration!X$35)</f>
        <v>625.54511773058016</v>
      </c>
      <c r="Y74" s="24">
        <f>'Not MDL Filltered'!Y74/(Calibration!Y$34*'Corrected data'!$A74+Calibration!Y$35)</f>
        <v>98.134987569208917</v>
      </c>
      <c r="Z74" s="24">
        <f>'Not MDL Filltered'!Z74/(Calibration!Z$34*'Corrected data'!$A74+Calibration!Z$35)</f>
        <v>187.37293545770646</v>
      </c>
      <c r="AA74" s="24">
        <f>'Not MDL Filltered'!AA74/(Calibration!AA$34*'Corrected data'!$A74+Calibration!AA$35)</f>
        <v>20.963061207054423</v>
      </c>
      <c r="AB74" s="24">
        <f>'Not MDL Filltered'!AB74/(Calibration!AB$34*'Corrected data'!$A74+Calibration!AB$35)</f>
        <v>74.652717945330849</v>
      </c>
      <c r="AC74" s="24">
        <f>'Not MDL Filltered'!AC74/(Calibration!AC$34*'Corrected data'!$A74+Calibration!AC$35)</f>
        <v>11.883003647466424</v>
      </c>
      <c r="AD74" s="24">
        <f>'Not MDL Filltered'!AD74/(Calibration!AD$34*'Corrected data'!$A74+Calibration!AD$35)</f>
        <v>3.5026920312350054</v>
      </c>
      <c r="AE74" s="24">
        <f>'Not MDL Filltered'!AE74/(Calibration!AE$34*'Corrected data'!$A74+Calibration!AE$35)</f>
        <v>9.6907655783645552</v>
      </c>
      <c r="AF74" s="24">
        <f>'Not MDL Filltered'!AF74/(Calibration!AF$34*'Corrected data'!$A74+Calibration!AF$35)</f>
        <v>1.1995985766117918</v>
      </c>
      <c r="AG74" s="24">
        <f>'Not MDL Filltered'!AG74/(Calibration!AG$34*'Corrected data'!$A74+Calibration!AG$35)</f>
        <v>6.4631122580597351</v>
      </c>
      <c r="AH74" s="24">
        <f>'Not MDL Filltered'!AH74/(Calibration!AH$34*'Corrected data'!$A74+Calibration!AH$35)</f>
        <v>1.2087863714837308</v>
      </c>
      <c r="AI74" s="24">
        <f>'Not MDL Filltered'!AI74/(Calibration!AI$34*'Corrected data'!$A74+Calibration!AI$35)</f>
        <v>2.9073824292041479</v>
      </c>
      <c r="AJ74" s="24">
        <f>'Not MDL Filltered'!AJ74/(Calibration!AJ$34*'Corrected data'!$A74+Calibration!AJ$35)</f>
        <v>0.43068854039820259</v>
      </c>
      <c r="AK74" s="24">
        <f>'Not MDL Filltered'!AK74/(Calibration!AK$34*'Corrected data'!$A74+Calibration!AK$35)</f>
        <v>2.5304078623347714</v>
      </c>
      <c r="AL74" s="24">
        <f>'Not MDL Filltered'!AL74/(Calibration!AL$34*'Corrected data'!$A74+Calibration!AL$35)</f>
        <v>0.33096499823612818</v>
      </c>
      <c r="AM74" s="24">
        <f>'Not MDL Filltered'!AM74/(Calibration!AM$34*'Corrected data'!$A74+Calibration!AM$35)</f>
        <v>7.5407888980432194</v>
      </c>
      <c r="AN74" s="24">
        <f>'Not MDL Filltered'!AN74/(Calibration!AN$34*'Corrected data'!$A74+Calibration!AN$35)</f>
        <v>7.1766429084594661</v>
      </c>
      <c r="AO74" s="24">
        <f>'Not MDL Filltered'!AO74/(Calibration!AO$34*'Corrected data'!$A74+Calibration!AO$35)</f>
        <v>1724.1774514374333</v>
      </c>
      <c r="AP74" s="24">
        <f>'Not MDL Filltered'!AP74/(Calibration!AP$34*'Corrected data'!$A74+Calibration!AP$35)</f>
        <v>9.9221858263773726</v>
      </c>
      <c r="AQ74" s="24">
        <f>'Not MDL Filltered'!AQ74/(Calibration!AQ$34*'Corrected data'!$A74+Calibration!AQ$35)</f>
        <v>2.5020214939602945</v>
      </c>
    </row>
    <row r="75" spans="1:43" s="24" customFormat="1" x14ac:dyDescent="0.2">
      <c r="A75" s="24">
        <v>74</v>
      </c>
      <c r="B75" s="24" t="s">
        <v>136</v>
      </c>
      <c r="C75" s="24">
        <f>'Not MDL Filltered'!C75/(Calibration!C$34*'Corrected data'!$A75+Calibration!C$35)</f>
        <v>6.9108947985877016</v>
      </c>
      <c r="D75" s="24">
        <f>'Not MDL Filltered'!D75/(Calibration!D$34*'Corrected data'!$A75+Calibration!D$35)</f>
        <v>4.6193868203260919</v>
      </c>
      <c r="E75" s="24">
        <f>'Not MDL Filltered'!E75/(Calibration!E$34*'Corrected data'!$A75+Calibration!E$35)</f>
        <v>26172.058464881917</v>
      </c>
      <c r="F75" s="24">
        <f>'Not MDL Filltered'!F75/(Calibration!F$34*'Corrected data'!$A75+Calibration!F$35)</f>
        <v>178678.60553830504</v>
      </c>
      <c r="G75" s="24">
        <f>'Not MDL Filltered'!G75/(Calibration!G$34*'Corrected data'!$A75+Calibration!G$35)</f>
        <v>87593.618083837137</v>
      </c>
      <c r="H75" s="24">
        <f>'Not MDL Filltered'!H75/(Calibration!H$34*'Corrected data'!$A75+Calibration!H$35)</f>
        <v>299260.37421523605</v>
      </c>
      <c r="I75" s="24">
        <f>'Not MDL Filltered'!I75/(Calibration!I$34*'Corrected data'!$A75+Calibration!I$35)</f>
        <v>3946.1867186753248</v>
      </c>
      <c r="J75" s="24">
        <f>'Not MDL Filltered'!J75/(Calibration!J$34*'Corrected data'!$A75+Calibration!J$35)</f>
        <v>12280.895883187977</v>
      </c>
      <c r="K75" s="24">
        <f>'Not MDL Filltered'!K75/(Calibration!K$34*'Corrected data'!$A75+Calibration!K$35)</f>
        <v>97199.521407052016</v>
      </c>
      <c r="L75" s="24">
        <f>'Not MDL Filltered'!L75/(Calibration!L$34*'Corrected data'!$A75+Calibration!L$35)</f>
        <v>38.220836413165344</v>
      </c>
      <c r="M75" s="24">
        <f>'Not MDL Filltered'!M75/(Calibration!M$34*'Corrected data'!$A75+Calibration!M$35)</f>
        <v>12950.262276868267</v>
      </c>
      <c r="N75" s="24">
        <f>'Not MDL Filltered'!N75/(Calibration!N$34*'Corrected data'!$A75+Calibration!N$35)</f>
        <v>224.34099771361295</v>
      </c>
      <c r="O75" s="24">
        <f>'Not MDL Filltered'!O75/(Calibration!O$34*'Corrected data'!$A75+Calibration!O$35)</f>
        <v>2145.2295714055736</v>
      </c>
      <c r="P75" s="24">
        <f>'Not MDL Filltered'!P75/(Calibration!P$34*'Corrected data'!$A75+Calibration!P$35)</f>
        <v>125195.59141338462</v>
      </c>
      <c r="Q75" s="24">
        <f>'Not MDL Filltered'!Q75/(Calibration!Q$34*'Corrected data'!$A75+Calibration!Q$35)</f>
        <v>1.1907930239457436</v>
      </c>
      <c r="R75" s="24">
        <f>'Not MDL Filltered'!R75/(Calibration!R$34*'Corrected data'!$A75+Calibration!R$35)</f>
        <v>50.872277558543551</v>
      </c>
      <c r="S75" s="24">
        <f>'Not MDL Filltered'!S75/(Calibration!S$34*'Corrected data'!$A75+Calibration!S$35)</f>
        <v>1466.0230147716666</v>
      </c>
      <c r="T75" s="24">
        <f>'Not MDL Filltered'!T75/(Calibration!T$34*'Corrected data'!$A75+Calibration!T$35)</f>
        <v>27.671774023415743</v>
      </c>
      <c r="U75" s="24">
        <f>'Not MDL Filltered'!U75/(Calibration!U$34*'Corrected data'!$A75+Calibration!U$35)</f>
        <v>469.7712182308054</v>
      </c>
      <c r="V75" s="24">
        <f>'Not MDL Filltered'!V75/(Calibration!V$34*'Corrected data'!$A75+Calibration!V$35)</f>
        <v>130.50212730407964</v>
      </c>
      <c r="W75" s="24">
        <f>'Not MDL Filltered'!W75/(Calibration!W$34*'Corrected data'!$A75+Calibration!W$35)</f>
        <v>0.65694869999124572</v>
      </c>
      <c r="X75" s="24">
        <f>'Not MDL Filltered'!X75/(Calibration!X$34*'Corrected data'!$A75+Calibration!X$35)</f>
        <v>627.21311943484557</v>
      </c>
      <c r="Y75" s="24">
        <f>'Not MDL Filltered'!Y75/(Calibration!Y$34*'Corrected data'!$A75+Calibration!Y$35)</f>
        <v>117.49563711286093</v>
      </c>
      <c r="Z75" s="24">
        <f>'Not MDL Filltered'!Z75/(Calibration!Z$34*'Corrected data'!$A75+Calibration!Z$35)</f>
        <v>227.65921160932717</v>
      </c>
      <c r="AA75" s="24">
        <f>'Not MDL Filltered'!AA75/(Calibration!AA$34*'Corrected data'!$A75+Calibration!AA$35)</f>
        <v>24.00509228268146</v>
      </c>
      <c r="AB75" s="24">
        <f>'Not MDL Filltered'!AB75/(Calibration!AB$34*'Corrected data'!$A75+Calibration!AB$35)</f>
        <v>80.863935518059179</v>
      </c>
      <c r="AC75" s="24">
        <f>'Not MDL Filltered'!AC75/(Calibration!AC$34*'Corrected data'!$A75+Calibration!AC$35)</f>
        <v>11.061627887697819</v>
      </c>
      <c r="AD75" s="24">
        <f>'Not MDL Filltered'!AD75/(Calibration!AD$34*'Corrected data'!$A75+Calibration!AD$35)</f>
        <v>2.9466037960499816</v>
      </c>
      <c r="AE75" s="24">
        <f>'Not MDL Filltered'!AE75/(Calibration!AE$34*'Corrected data'!$A75+Calibration!AE$35)</f>
        <v>8.4154674812566483</v>
      </c>
      <c r="AF75" s="24">
        <f>'Not MDL Filltered'!AF75/(Calibration!AF$34*'Corrected data'!$A75+Calibration!AF$35)</f>
        <v>1.0778881857444724</v>
      </c>
      <c r="AG75" s="24">
        <f>'Not MDL Filltered'!AG75/(Calibration!AG$34*'Corrected data'!$A75+Calibration!AG$35)</f>
        <v>5.6316503291699229</v>
      </c>
      <c r="AH75" s="24">
        <f>'Not MDL Filltered'!AH75/(Calibration!AH$34*'Corrected data'!$A75+Calibration!AH$35)</f>
        <v>1.0379142756092214</v>
      </c>
      <c r="AI75" s="24">
        <f>'Not MDL Filltered'!AI75/(Calibration!AI$34*'Corrected data'!$A75+Calibration!AI$35)</f>
        <v>2.65078395526539</v>
      </c>
      <c r="AJ75" s="24">
        <f>'Not MDL Filltered'!AJ75/(Calibration!AJ$34*'Corrected data'!$A75+Calibration!AJ$35)</f>
        <v>0.34476630678949516</v>
      </c>
      <c r="AK75" s="24">
        <f>'Not MDL Filltered'!AK75/(Calibration!AK$34*'Corrected data'!$A75+Calibration!AK$35)</f>
        <v>2.121898974844747</v>
      </c>
      <c r="AL75" s="24">
        <f>'Not MDL Filltered'!AL75/(Calibration!AL$34*'Corrected data'!$A75+Calibration!AL$35)</f>
        <v>0.32710779283242936</v>
      </c>
      <c r="AM75" s="24">
        <f>'Not MDL Filltered'!AM75/(Calibration!AM$34*'Corrected data'!$A75+Calibration!AM$35)</f>
        <v>9.5963522667004639</v>
      </c>
      <c r="AN75" s="24">
        <f>'Not MDL Filltered'!AN75/(Calibration!AN$34*'Corrected data'!$A75+Calibration!AN$35)</f>
        <v>8.0958569328667398</v>
      </c>
      <c r="AO75" s="24">
        <f>'Not MDL Filltered'!AO75/(Calibration!AO$34*'Corrected data'!$A75+Calibration!AO$35)</f>
        <v>7.7624880581516091</v>
      </c>
      <c r="AP75" s="24">
        <f>'Not MDL Filltered'!AP75/(Calibration!AP$34*'Corrected data'!$A75+Calibration!AP$35)</f>
        <v>12.68366218292876</v>
      </c>
      <c r="AQ75" s="24">
        <f>'Not MDL Filltered'!AQ75/(Calibration!AQ$34*'Corrected data'!$A75+Calibration!AQ$35)</f>
        <v>2.8733653432977384</v>
      </c>
    </row>
    <row r="76" spans="1:43" s="24" customFormat="1" x14ac:dyDescent="0.2">
      <c r="A76" s="24">
        <v>75</v>
      </c>
      <c r="B76" s="24" t="s">
        <v>137</v>
      </c>
      <c r="C76" s="24">
        <f>'Not MDL Filltered'!C76/(Calibration!C$34*'Corrected data'!$A76+Calibration!C$35)</f>
        <v>5.0584202282733548</v>
      </c>
      <c r="D76" s="24">
        <f>'Not MDL Filltered'!D76/(Calibration!D$34*'Corrected data'!$A76+Calibration!D$35)</f>
        <v>1.5311820362891988</v>
      </c>
      <c r="E76" s="24">
        <f>'Not MDL Filltered'!E76/(Calibration!E$34*'Corrected data'!$A76+Calibration!E$35)</f>
        <v>20980.054569479642</v>
      </c>
      <c r="F76" s="24">
        <f>'Not MDL Filltered'!F76/(Calibration!F$34*'Corrected data'!$A76+Calibration!F$35)</f>
        <v>130897.41324025673</v>
      </c>
      <c r="G76" s="24">
        <f>'Not MDL Filltered'!G76/(Calibration!G$34*'Corrected data'!$A76+Calibration!G$35)</f>
        <v>88084.062586603177</v>
      </c>
      <c r="H76" s="24">
        <f>'Not MDL Filltered'!H76/(Calibration!H$34*'Corrected data'!$A76+Calibration!H$35)</f>
        <v>257183.852369692</v>
      </c>
      <c r="I76" s="24">
        <f>'Not MDL Filltered'!I76/(Calibration!I$34*'Corrected data'!$A76+Calibration!I$35)</f>
        <v>1993.2444889966466</v>
      </c>
      <c r="J76" s="24">
        <f>'Not MDL Filltered'!J76/(Calibration!J$34*'Corrected data'!$A76+Calibration!J$35)</f>
        <v>9518.0217926121441</v>
      </c>
      <c r="K76" s="24">
        <f>'Not MDL Filltered'!K76/(Calibration!K$34*'Corrected data'!$A76+Calibration!K$35)</f>
        <v>115638.83977264073</v>
      </c>
      <c r="L76" s="24">
        <f>'Not MDL Filltered'!L76/(Calibration!L$34*'Corrected data'!$A76+Calibration!L$35)</f>
        <v>41.499892473518479</v>
      </c>
      <c r="M76" s="24">
        <f>'Not MDL Filltered'!M76/(Calibration!M$34*'Corrected data'!$A76+Calibration!M$35)</f>
        <v>24048.243142156974</v>
      </c>
      <c r="N76" s="24">
        <f>'Not MDL Filltered'!N76/(Calibration!N$34*'Corrected data'!$A76+Calibration!N$35)</f>
        <v>343.22009095516017</v>
      </c>
      <c r="O76" s="24">
        <f>'Not MDL Filltered'!O76/(Calibration!O$34*'Corrected data'!$A76+Calibration!O$35)</f>
        <v>1800.9888324877566</v>
      </c>
      <c r="P76" s="24">
        <f>'Not MDL Filltered'!P76/(Calibration!P$34*'Corrected data'!$A76+Calibration!P$35)</f>
        <v>105935.50527584058</v>
      </c>
      <c r="Q76" s="24">
        <f>'Not MDL Filltered'!Q76/(Calibration!Q$34*'Corrected data'!$A76+Calibration!Q$35)</f>
        <v>0.56559319893781257</v>
      </c>
      <c r="R76" s="24">
        <f>'Not MDL Filltered'!R76/(Calibration!R$34*'Corrected data'!$A76+Calibration!R$35)</f>
        <v>26.722924374898632</v>
      </c>
      <c r="S76" s="24">
        <f>'Not MDL Filltered'!S76/(Calibration!S$34*'Corrected data'!$A76+Calibration!S$35)</f>
        <v>866.07597133644595</v>
      </c>
      <c r="T76" s="24">
        <f>'Not MDL Filltered'!T76/(Calibration!T$34*'Corrected data'!$A76+Calibration!T$35)</f>
        <v>31.406864553639256</v>
      </c>
      <c r="U76" s="24">
        <f>'Not MDL Filltered'!U76/(Calibration!U$34*'Corrected data'!$A76+Calibration!U$35)</f>
        <v>282.22606809758571</v>
      </c>
      <c r="V76" s="24">
        <f>'Not MDL Filltered'!V76/(Calibration!V$34*'Corrected data'!$A76+Calibration!V$35)</f>
        <v>79.508711296793109</v>
      </c>
      <c r="W76" s="24">
        <f>'Not MDL Filltered'!W76/(Calibration!W$34*'Corrected data'!$A76+Calibration!W$35)</f>
        <v>0.32902522168999576</v>
      </c>
      <c r="X76" s="24">
        <f>'Not MDL Filltered'!X76/(Calibration!X$34*'Corrected data'!$A76+Calibration!X$35)</f>
        <v>368.6560276259097</v>
      </c>
      <c r="Y76" s="24">
        <f>'Not MDL Filltered'!Y76/(Calibration!Y$34*'Corrected data'!$A76+Calibration!Y$35)</f>
        <v>58.145556118724585</v>
      </c>
      <c r="Z76" s="24">
        <f>'Not MDL Filltered'!Z76/(Calibration!Z$34*'Corrected data'!$A76+Calibration!Z$35)</f>
        <v>110.76921768021427</v>
      </c>
      <c r="AA76" s="24">
        <f>'Not MDL Filltered'!AA76/(Calibration!AA$34*'Corrected data'!$A76+Calibration!AA$35)</f>
        <v>13.539008177482408</v>
      </c>
      <c r="AB76" s="24">
        <f>'Not MDL Filltered'!AB76/(Calibration!AB$34*'Corrected data'!$A76+Calibration!AB$35)</f>
        <v>52.226345029248236</v>
      </c>
      <c r="AC76" s="24">
        <f>'Not MDL Filltered'!AC76/(Calibration!AC$34*'Corrected data'!$A76+Calibration!AC$35)</f>
        <v>10.188956710684579</v>
      </c>
      <c r="AD76" s="24">
        <f>'Not MDL Filltered'!AD76/(Calibration!AD$34*'Corrected data'!$A76+Calibration!AD$35)</f>
        <v>2.6778223145991817</v>
      </c>
      <c r="AE76" s="24">
        <f>'Not MDL Filltered'!AE76/(Calibration!AE$34*'Corrected data'!$A76+Calibration!AE$35)</f>
        <v>8.4033095324490716</v>
      </c>
      <c r="AF76" s="24">
        <f>'Not MDL Filltered'!AF76/(Calibration!AF$34*'Corrected data'!$A76+Calibration!AF$35)</f>
        <v>1.1188567176384381</v>
      </c>
      <c r="AG76" s="24">
        <f>'Not MDL Filltered'!AG76/(Calibration!AG$34*'Corrected data'!$A76+Calibration!AG$35)</f>
        <v>6.6741284678179778</v>
      </c>
      <c r="AH76" s="24">
        <f>'Not MDL Filltered'!AH76/(Calibration!AH$34*'Corrected data'!$A76+Calibration!AH$35)</f>
        <v>1.0987699320147561</v>
      </c>
      <c r="AI76" s="24">
        <f>'Not MDL Filltered'!AI76/(Calibration!AI$34*'Corrected data'!$A76+Calibration!AI$35)</f>
        <v>2.8376716544230249</v>
      </c>
      <c r="AJ76" s="24">
        <f>'Not MDL Filltered'!AJ76/(Calibration!AJ$34*'Corrected data'!$A76+Calibration!AJ$35)</f>
        <v>0.40114191969187774</v>
      </c>
      <c r="AK76" s="24">
        <f>'Not MDL Filltered'!AK76/(Calibration!AK$34*'Corrected data'!$A76+Calibration!AK$35)</f>
        <v>2.0620715630262683</v>
      </c>
      <c r="AL76" s="24">
        <f>'Not MDL Filltered'!AL76/(Calibration!AL$34*'Corrected data'!$A76+Calibration!AL$35)</f>
        <v>0.34020802901520192</v>
      </c>
      <c r="AM76" s="24">
        <f>'Not MDL Filltered'!AM76/(Calibration!AM$34*'Corrected data'!$A76+Calibration!AM$35)</f>
        <v>6.9337098757561808</v>
      </c>
      <c r="AN76" s="24">
        <f>'Not MDL Filltered'!AN76/(Calibration!AN$34*'Corrected data'!$A76+Calibration!AN$35)</f>
        <v>4.3962956233170365</v>
      </c>
      <c r="AO76" s="24">
        <f>'Not MDL Filltered'!AO76/(Calibration!AO$34*'Corrected data'!$A76+Calibration!AO$35)</f>
        <v>7.4098265315775746</v>
      </c>
      <c r="AP76" s="24">
        <f>'Not MDL Filltered'!AP76/(Calibration!AP$34*'Corrected data'!$A76+Calibration!AP$35)</f>
        <v>6.288423752960802</v>
      </c>
      <c r="AQ76" s="24">
        <f>'Not MDL Filltered'!AQ76/(Calibration!AQ$34*'Corrected data'!$A76+Calibration!AQ$35)</f>
        <v>1.5281217034145484</v>
      </c>
    </row>
    <row r="77" spans="1:43" s="19" customFormat="1" x14ac:dyDescent="0.2">
      <c r="A77" s="19">
        <v>76</v>
      </c>
      <c r="B77" s="19" t="s">
        <v>138</v>
      </c>
      <c r="C77" s="19">
        <f>'Not MDL Filltered'!C77/(Calibration!C$34*'Corrected data'!$A77+Calibration!C$35)</f>
        <v>5.117220342309901</v>
      </c>
      <c r="D77" s="19">
        <f>'Not MDL Filltered'!D77/(Calibration!D$34*'Corrected data'!$A77+Calibration!D$35)</f>
        <v>2.9479360367066669</v>
      </c>
      <c r="E77" s="19">
        <f>'Not MDL Filltered'!E77/(Calibration!E$34*'Corrected data'!$A77+Calibration!E$35)</f>
        <v>16852.758882635651</v>
      </c>
      <c r="F77" s="19">
        <f>'Not MDL Filltered'!F77/(Calibration!F$34*'Corrected data'!$A77+Calibration!F$35)</f>
        <v>44039.198696067157</v>
      </c>
      <c r="G77" s="19">
        <f>'Not MDL Filltered'!G77/(Calibration!G$34*'Corrected data'!$A77+Calibration!G$35)</f>
        <v>68581.574397464297</v>
      </c>
      <c r="H77" s="19">
        <f>'Not MDL Filltered'!H77/(Calibration!H$34*'Corrected data'!$A77+Calibration!H$35)</f>
        <v>235213.80402056422</v>
      </c>
      <c r="I77" s="19">
        <f>'Not MDL Filltered'!I77/(Calibration!I$34*'Corrected data'!$A77+Calibration!I$35)</f>
        <v>992.52927503871103</v>
      </c>
      <c r="J77" s="19">
        <f>'Not MDL Filltered'!J77/(Calibration!J$34*'Corrected data'!$A77+Calibration!J$35)</f>
        <v>4030.4988488432427</v>
      </c>
      <c r="K77" s="19">
        <f>'Not MDL Filltered'!K77/(Calibration!K$34*'Corrected data'!$A77+Calibration!K$35)</f>
        <v>77901.851632558813</v>
      </c>
      <c r="L77" s="19">
        <f>'Not MDL Filltered'!L77/(Calibration!L$34*'Corrected data'!$A77+Calibration!L$35)</f>
        <v>32.303170939534574</v>
      </c>
      <c r="M77" s="19">
        <f>'Not MDL Filltered'!M77/(Calibration!M$34*'Corrected data'!$A77+Calibration!M$35)</f>
        <v>15468.620610316639</v>
      </c>
      <c r="N77" s="19">
        <f>'Not MDL Filltered'!N77/(Calibration!N$34*'Corrected data'!$A77+Calibration!N$35)</f>
        <v>313.59402514964364</v>
      </c>
      <c r="O77" s="19">
        <f>'Not MDL Filltered'!O77/(Calibration!O$34*'Corrected data'!$A77+Calibration!O$35)</f>
        <v>1282.8380467339773</v>
      </c>
      <c r="P77" s="19">
        <f>'Not MDL Filltered'!P77/(Calibration!P$34*'Corrected data'!$A77+Calibration!P$35)</f>
        <v>83793.459442157822</v>
      </c>
      <c r="Q77" s="19">
        <f>'Not MDL Filltered'!Q77/(Calibration!Q$34*'Corrected data'!$A77+Calibration!Q$35)</f>
        <v>0.15043986898257602</v>
      </c>
      <c r="R77" s="19">
        <f>'Not MDL Filltered'!R77/(Calibration!R$34*'Corrected data'!$A77+Calibration!R$35)</f>
        <v>8.7267034518535542</v>
      </c>
      <c r="S77" s="19">
        <f>'Not MDL Filltered'!S77/(Calibration!S$34*'Corrected data'!$A77+Calibration!S$35)</f>
        <v>353.36090576265377</v>
      </c>
      <c r="T77" s="19">
        <f>'Not MDL Filltered'!T77/(Calibration!T$34*'Corrected data'!$A77+Calibration!T$35)</f>
        <v>25.114359457681541</v>
      </c>
      <c r="U77" s="19">
        <f>'Not MDL Filltered'!U77/(Calibration!U$34*'Corrected data'!$A77+Calibration!U$35)</f>
        <v>147.58379977115027</v>
      </c>
      <c r="V77" s="19">
        <f>'Not MDL Filltered'!V77/(Calibration!V$34*'Corrected data'!$A77+Calibration!V$35)</f>
        <v>14.707881733130533</v>
      </c>
      <c r="W77" s="19">
        <f>'Not MDL Filltered'!W77/(Calibration!W$34*'Corrected data'!$A77+Calibration!W$35)</f>
        <v>8.9304991326116079E-2</v>
      </c>
      <c r="X77" s="19">
        <f>'Not MDL Filltered'!X77/(Calibration!X$34*'Corrected data'!$A77+Calibration!X$35)</f>
        <v>120.71220026135489</v>
      </c>
      <c r="Y77" s="19">
        <f>'Not MDL Filltered'!Y77/(Calibration!Y$34*'Corrected data'!$A77+Calibration!Y$35)</f>
        <v>12.890706463442925</v>
      </c>
      <c r="Z77" s="19">
        <f>'Not MDL Filltered'!Z77/(Calibration!Z$34*'Corrected data'!$A77+Calibration!Z$35)</f>
        <v>32.072564119462498</v>
      </c>
      <c r="AA77" s="19">
        <f>'Not MDL Filltered'!AA77/(Calibration!AA$34*'Corrected data'!$A77+Calibration!AA$35)</f>
        <v>4.6309700606472441</v>
      </c>
      <c r="AB77" s="19">
        <f>'Not MDL Filltered'!AB77/(Calibration!AB$34*'Corrected data'!$A77+Calibration!AB$35)</f>
        <v>21.23352395237649</v>
      </c>
      <c r="AC77" s="19">
        <f>'Not MDL Filltered'!AC77/(Calibration!AC$34*'Corrected data'!$A77+Calibration!AC$35)</f>
        <v>5.212808436053681</v>
      </c>
      <c r="AD77" s="19">
        <f>'Not MDL Filltered'!AD77/(Calibration!AD$34*'Corrected data'!$A77+Calibration!AD$35)</f>
        <v>1.9452968098112744</v>
      </c>
      <c r="AE77" s="19">
        <f>'Not MDL Filltered'!AE77/(Calibration!AE$34*'Corrected data'!$A77+Calibration!AE$35)</f>
        <v>5.9071325558861405</v>
      </c>
      <c r="AF77" s="19">
        <f>'Not MDL Filltered'!AF77/(Calibration!AF$34*'Corrected data'!$A77+Calibration!AF$35)</f>
        <v>0.85462392480820515</v>
      </c>
      <c r="AG77" s="19">
        <f>'Not MDL Filltered'!AG77/(Calibration!AG$34*'Corrected data'!$A77+Calibration!AG$35)</f>
        <v>5.1995563064881125</v>
      </c>
      <c r="AH77" s="19">
        <f>'Not MDL Filltered'!AH77/(Calibration!AH$34*'Corrected data'!$A77+Calibration!AH$35)</f>
        <v>0.91765138546727432</v>
      </c>
      <c r="AI77" s="19">
        <f>'Not MDL Filltered'!AI77/(Calibration!AI$34*'Corrected data'!$A77+Calibration!AI$35)</f>
        <v>2.436294423300299</v>
      </c>
      <c r="AJ77" s="19">
        <f>'Not MDL Filltered'!AJ77/(Calibration!AJ$34*'Corrected data'!$A77+Calibration!AJ$35)</f>
        <v>0.34319109976599266</v>
      </c>
      <c r="AK77" s="19">
        <f>'Not MDL Filltered'!AK77/(Calibration!AK$34*'Corrected data'!$A77+Calibration!AK$35)</f>
        <v>1.9922859481307083</v>
      </c>
      <c r="AL77" s="19">
        <f>'Not MDL Filltered'!AL77/(Calibration!AL$34*'Corrected data'!$A77+Calibration!AL$35)</f>
        <v>0.25151501842178547</v>
      </c>
      <c r="AM77" s="19">
        <f>'Not MDL Filltered'!AM77/(Calibration!AM$34*'Corrected data'!$A77+Calibration!AM$35)</f>
        <v>3.7183683683319857</v>
      </c>
      <c r="AN77" s="19">
        <f>'Not MDL Filltered'!AN77/(Calibration!AN$34*'Corrected data'!$A77+Calibration!AN$35)</f>
        <v>0.8892986408114647</v>
      </c>
      <c r="AO77" s="19">
        <f>'Not MDL Filltered'!AO77/(Calibration!AO$34*'Corrected data'!$A77+Calibration!AO$35)</f>
        <v>2.0508204210079457</v>
      </c>
      <c r="AP77" s="19">
        <f>'Not MDL Filltered'!AP77/(Calibration!AP$34*'Corrected data'!$A77+Calibration!AP$35)</f>
        <v>0.99434936298842658</v>
      </c>
      <c r="AQ77" s="19">
        <f>'Not MDL Filltered'!AQ77/(Calibration!AQ$34*'Corrected data'!$A77+Calibration!AQ$35)</f>
        <v>0.54140013247277807</v>
      </c>
    </row>
    <row r="78" spans="1:43" s="19" customFormat="1" x14ac:dyDescent="0.2">
      <c r="A78" s="19">
        <v>77</v>
      </c>
      <c r="B78" s="19" t="s">
        <v>139</v>
      </c>
      <c r="C78" s="19">
        <f>'Not MDL Filltered'!C78/(Calibration!C$34*'Corrected data'!$A78+Calibration!C$35)</f>
        <v>5.5177006337968013</v>
      </c>
      <c r="D78" s="19">
        <f>'Not MDL Filltered'!D78/(Calibration!D$34*'Corrected data'!$A78+Calibration!D$35)</f>
        <v>3.3129567004342388</v>
      </c>
      <c r="E78" s="19">
        <f>'Not MDL Filltered'!E78/(Calibration!E$34*'Corrected data'!$A78+Calibration!E$35)</f>
        <v>18701.562469931785</v>
      </c>
      <c r="F78" s="19">
        <f>'Not MDL Filltered'!F78/(Calibration!F$34*'Corrected data'!$A78+Calibration!F$35)</f>
        <v>46324.368757769174</v>
      </c>
      <c r="G78" s="19">
        <f>'Not MDL Filltered'!G78/(Calibration!G$34*'Corrected data'!$A78+Calibration!G$35)</f>
        <v>73440.305375058946</v>
      </c>
      <c r="H78" s="19">
        <f>'Not MDL Filltered'!H78/(Calibration!H$34*'Corrected data'!$A78+Calibration!H$35)</f>
        <v>235343.78142479312</v>
      </c>
      <c r="I78" s="19">
        <f>'Not MDL Filltered'!I78/(Calibration!I$34*'Corrected data'!$A78+Calibration!I$35)</f>
        <v>974.78343257339679</v>
      </c>
      <c r="J78" s="19">
        <f>'Not MDL Filltered'!J78/(Calibration!J$34*'Corrected data'!$A78+Calibration!J$35)</f>
        <v>3840.6279401306369</v>
      </c>
      <c r="K78" s="19">
        <f>'Not MDL Filltered'!K78/(Calibration!K$34*'Corrected data'!$A78+Calibration!K$35)</f>
        <v>77901.851738655634</v>
      </c>
      <c r="L78" s="19">
        <f>'Not MDL Filltered'!L78/(Calibration!L$34*'Corrected data'!$A78+Calibration!L$35)</f>
        <v>31.87110126368918</v>
      </c>
      <c r="M78" s="19">
        <f>'Not MDL Filltered'!M78/(Calibration!M$34*'Corrected data'!$A78+Calibration!M$35)</f>
        <v>15595.340503987702</v>
      </c>
      <c r="N78" s="19">
        <f>'Not MDL Filltered'!N78/(Calibration!N$34*'Corrected data'!$A78+Calibration!N$35)</f>
        <v>319.73825159824514</v>
      </c>
      <c r="O78" s="19">
        <f>'Not MDL Filltered'!O78/(Calibration!O$34*'Corrected data'!$A78+Calibration!O$35)</f>
        <v>1317.1121762004791</v>
      </c>
      <c r="P78" s="19">
        <f>'Not MDL Filltered'!P78/(Calibration!P$34*'Corrected data'!$A78+Calibration!P$35)</f>
        <v>87356.078009166959</v>
      </c>
      <c r="Q78" s="19">
        <f>'Not MDL Filltered'!Q78/(Calibration!Q$34*'Corrected data'!$A78+Calibration!Q$35)</f>
        <v>0.22508526791010494</v>
      </c>
      <c r="R78" s="19">
        <f>'Not MDL Filltered'!R78/(Calibration!R$34*'Corrected data'!$A78+Calibration!R$35)</f>
        <v>9.02557087364832</v>
      </c>
      <c r="S78" s="19">
        <f>'Not MDL Filltered'!S78/(Calibration!S$34*'Corrected data'!$A78+Calibration!S$35)</f>
        <v>372.9529446094171</v>
      </c>
      <c r="T78" s="19">
        <f>'Not MDL Filltered'!T78/(Calibration!T$34*'Corrected data'!$A78+Calibration!T$35)</f>
        <v>25.231893710993898</v>
      </c>
      <c r="U78" s="19">
        <f>'Not MDL Filltered'!U78/(Calibration!U$34*'Corrected data'!$A78+Calibration!U$35)</f>
        <v>153.82851928674722</v>
      </c>
      <c r="V78" s="19">
        <f>'Not MDL Filltered'!V78/(Calibration!V$34*'Corrected data'!$A78+Calibration!V$35)</f>
        <v>15.229069753524955</v>
      </c>
      <c r="W78" s="19">
        <f>'Not MDL Filltered'!W78/(Calibration!W$34*'Corrected data'!$A78+Calibration!W$35)</f>
        <v>0.11288402529557327</v>
      </c>
      <c r="X78" s="19">
        <f>'Not MDL Filltered'!X78/(Calibration!X$34*'Corrected data'!$A78+Calibration!X$35)</f>
        <v>135.80664639814344</v>
      </c>
      <c r="Y78" s="19">
        <f>'Not MDL Filltered'!Y78/(Calibration!Y$34*'Corrected data'!$A78+Calibration!Y$35)</f>
        <v>14.409545834397628</v>
      </c>
      <c r="Z78" s="19">
        <f>'Not MDL Filltered'!Z78/(Calibration!Z$34*'Corrected data'!$A78+Calibration!Z$35)</f>
        <v>33.628574459596535</v>
      </c>
      <c r="AA78" s="19">
        <f>'Not MDL Filltered'!AA78/(Calibration!AA$34*'Corrected data'!$A78+Calibration!AA$35)</f>
        <v>4.6012933566777505</v>
      </c>
      <c r="AB78" s="19">
        <f>'Not MDL Filltered'!AB78/(Calibration!AB$34*'Corrected data'!$A78+Calibration!AB$35)</f>
        <v>21.284294298993171</v>
      </c>
      <c r="AC78" s="19">
        <f>'Not MDL Filltered'!AC78/(Calibration!AC$34*'Corrected data'!$A78+Calibration!AC$35)</f>
        <v>5.8760273491509398</v>
      </c>
      <c r="AD78" s="19">
        <f>'Not MDL Filltered'!AD78/(Calibration!AD$34*'Corrected data'!$A78+Calibration!AD$35)</f>
        <v>2.0624019699442862</v>
      </c>
      <c r="AE78" s="19">
        <f>'Not MDL Filltered'!AE78/(Calibration!AE$34*'Corrected data'!$A78+Calibration!AE$35)</f>
        <v>6.3498773623752456</v>
      </c>
      <c r="AF78" s="19">
        <f>'Not MDL Filltered'!AF78/(Calibration!AF$34*'Corrected data'!$A78+Calibration!AF$35)</f>
        <v>0.91590888436588225</v>
      </c>
      <c r="AG78" s="19">
        <f>'Not MDL Filltered'!AG78/(Calibration!AG$34*'Corrected data'!$A78+Calibration!AG$35)</f>
        <v>5.1922653055256456</v>
      </c>
      <c r="AH78" s="19">
        <f>'Not MDL Filltered'!AH78/(Calibration!AH$34*'Corrected data'!$A78+Calibration!AH$35)</f>
        <v>0.99868297630748659</v>
      </c>
      <c r="AI78" s="19">
        <f>'Not MDL Filltered'!AI78/(Calibration!AI$34*'Corrected data'!$A78+Calibration!AI$35)</f>
        <v>2.7781676490319107</v>
      </c>
      <c r="AJ78" s="19">
        <f>'Not MDL Filltered'!AJ78/(Calibration!AJ$34*'Corrected data'!$A78+Calibration!AJ$35)</f>
        <v>0.32131567467665118</v>
      </c>
      <c r="AK78" s="19">
        <f>'Not MDL Filltered'!AK78/(Calibration!AK$34*'Corrected data'!$A78+Calibration!AK$35)</f>
        <v>2.1316884804690566</v>
      </c>
      <c r="AL78" s="19">
        <f>'Not MDL Filltered'!AL78/(Calibration!AL$34*'Corrected data'!$A78+Calibration!AL$35)</f>
        <v>0.3005405996617746</v>
      </c>
      <c r="AM78" s="19">
        <f>'Not MDL Filltered'!AM78/(Calibration!AM$34*'Corrected data'!$A78+Calibration!AM$35)</f>
        <v>4.2607533679435452</v>
      </c>
      <c r="AN78" s="19">
        <f>'Not MDL Filltered'!AN78/(Calibration!AN$34*'Corrected data'!$A78+Calibration!AN$35)</f>
        <v>1.0509102385439302</v>
      </c>
      <c r="AO78" s="19">
        <f>'Not MDL Filltered'!AO78/(Calibration!AO$34*'Corrected data'!$A78+Calibration!AO$35)</f>
        <v>2.1812935574733721</v>
      </c>
      <c r="AP78" s="19">
        <f>'Not MDL Filltered'!AP78/(Calibration!AP$34*'Corrected data'!$A78+Calibration!AP$35)</f>
        <v>1.0048725758969579</v>
      </c>
      <c r="AQ78" s="19">
        <f>'Not MDL Filltered'!AQ78/(Calibration!AQ$34*'Corrected data'!$A78+Calibration!AQ$35)</f>
        <v>0.58970848258128361</v>
      </c>
    </row>
    <row r="79" spans="1:43" s="19" customFormat="1" x14ac:dyDescent="0.2">
      <c r="A79" s="19">
        <v>78</v>
      </c>
      <c r="B79" s="19" t="s">
        <v>140</v>
      </c>
      <c r="C79" s="19">
        <f>'Not MDL Filltered'!C79/(Calibration!C$34*'Corrected data'!$A79+Calibration!C$35)</f>
        <v>5.3452363734650952</v>
      </c>
      <c r="D79" s="19">
        <f>'Not MDL Filltered'!D79/(Calibration!D$34*'Corrected data'!$A79+Calibration!D$35)</f>
        <v>3.4509617550332772</v>
      </c>
      <c r="E79" s="19">
        <f>'Not MDL Filltered'!E79/(Calibration!E$34*'Corrected data'!$A79+Calibration!E$35)</f>
        <v>18381.467486477959</v>
      </c>
      <c r="F79" s="19">
        <f>'Not MDL Filltered'!F79/(Calibration!F$34*'Corrected data'!$A79+Calibration!F$35)</f>
        <v>47227.321970646852</v>
      </c>
      <c r="G79" s="19">
        <f>'Not MDL Filltered'!G79/(Calibration!G$34*'Corrected data'!$A79+Calibration!G$35)</f>
        <v>75357.035154973841</v>
      </c>
      <c r="H79" s="19">
        <f>'Not MDL Filltered'!H79/(Calibration!H$34*'Corrected data'!$A79+Calibration!H$35)</f>
        <v>232149.33185597262</v>
      </c>
      <c r="I79" s="19">
        <f>'Not MDL Filltered'!I79/(Calibration!I$34*'Corrected data'!$A79+Calibration!I$35)</f>
        <v>1003.7227586169764</v>
      </c>
      <c r="J79" s="19">
        <f>'Not MDL Filltered'!J79/(Calibration!J$34*'Corrected data'!$A79+Calibration!J$35)</f>
        <v>4073.3024640176163</v>
      </c>
      <c r="K79" s="19">
        <f>'Not MDL Filltered'!K79/(Calibration!K$34*'Corrected data'!$A79+Calibration!K$35)</f>
        <v>77901.86184477323</v>
      </c>
      <c r="L79" s="19">
        <f>'Not MDL Filltered'!L79/(Calibration!L$34*'Corrected data'!$A79+Calibration!L$35)</f>
        <v>30.754637363033449</v>
      </c>
      <c r="M79" s="19">
        <f>'Not MDL Filltered'!M79/(Calibration!M$34*'Corrected data'!$A79+Calibration!M$35)</f>
        <v>15189.824142111376</v>
      </c>
      <c r="N79" s="19">
        <f>'Not MDL Filltered'!N79/(Calibration!N$34*'Corrected data'!$A79+Calibration!N$35)</f>
        <v>313.18331445835105</v>
      </c>
      <c r="O79" s="19">
        <f>'Not MDL Filltered'!O79/(Calibration!O$34*'Corrected data'!$A79+Calibration!O$35)</f>
        <v>1324.3169879280608</v>
      </c>
      <c r="P79" s="19">
        <f>'Not MDL Filltered'!P79/(Calibration!P$34*'Corrected data'!$A79+Calibration!P$35)</f>
        <v>86889.938938062754</v>
      </c>
      <c r="Q79" s="19">
        <f>'Not MDL Filltered'!Q79/(Calibration!Q$34*'Corrected data'!$A79+Calibration!Q$35)</f>
        <v>0.13096629611382218</v>
      </c>
      <c r="R79" s="19">
        <f>'Not MDL Filltered'!R79/(Calibration!R$34*'Corrected data'!$A79+Calibration!R$35)</f>
        <v>9.1844552741141445</v>
      </c>
      <c r="S79" s="19">
        <f>'Not MDL Filltered'!S79/(Calibration!S$34*'Corrected data'!$A79+Calibration!S$35)</f>
        <v>376.69389946618071</v>
      </c>
      <c r="T79" s="19">
        <f>'Not MDL Filltered'!T79/(Calibration!T$34*'Corrected data'!$A79+Calibration!T$35)</f>
        <v>25.902536376599592</v>
      </c>
      <c r="U79" s="19">
        <f>'Not MDL Filltered'!U79/(Calibration!U$34*'Corrected data'!$A79+Calibration!U$35)</f>
        <v>153.20836237432482</v>
      </c>
      <c r="V79" s="19">
        <f>'Not MDL Filltered'!V79/(Calibration!V$34*'Corrected data'!$A79+Calibration!V$35)</f>
        <v>14.993657629594097</v>
      </c>
      <c r="W79" s="19">
        <f>'Not MDL Filltered'!W79/(Calibration!W$34*'Corrected data'!$A79+Calibration!W$35)</f>
        <v>0.14934340986207204</v>
      </c>
      <c r="X79" s="19">
        <f>'Not MDL Filltered'!X79/(Calibration!X$34*'Corrected data'!$A79+Calibration!X$35)</f>
        <v>129.24973814508476</v>
      </c>
      <c r="Y79" s="19">
        <f>'Not MDL Filltered'!Y79/(Calibration!Y$34*'Corrected data'!$A79+Calibration!Y$35)</f>
        <v>13.966835304146132</v>
      </c>
      <c r="Z79" s="19">
        <f>'Not MDL Filltered'!Z79/(Calibration!Z$34*'Corrected data'!$A79+Calibration!Z$35)</f>
        <v>33.901968569964815</v>
      </c>
      <c r="AA79" s="19">
        <f>'Not MDL Filltered'!AA79/(Calibration!AA$34*'Corrected data'!$A79+Calibration!AA$35)</f>
        <v>4.7427935051904893</v>
      </c>
      <c r="AB79" s="19">
        <f>'Not MDL Filltered'!AB79/(Calibration!AB$34*'Corrected data'!$A79+Calibration!AB$35)</f>
        <v>20.743480339974663</v>
      </c>
      <c r="AC79" s="19">
        <f>'Not MDL Filltered'!AC79/(Calibration!AC$34*'Corrected data'!$A79+Calibration!AC$35)</f>
        <v>6.0608170939559756</v>
      </c>
      <c r="AD79" s="19">
        <f>'Not MDL Filltered'!AD79/(Calibration!AD$34*'Corrected data'!$A79+Calibration!AD$35)</f>
        <v>1.8835101864741428</v>
      </c>
      <c r="AE79" s="19">
        <f>'Not MDL Filltered'!AE79/(Calibration!AE$34*'Corrected data'!$A79+Calibration!AE$35)</f>
        <v>6.3685112335617369</v>
      </c>
      <c r="AF79" s="19">
        <f>'Not MDL Filltered'!AF79/(Calibration!AF$34*'Corrected data'!$A79+Calibration!AF$35)</f>
        <v>0.97722603106302919</v>
      </c>
      <c r="AG79" s="19">
        <f>'Not MDL Filltered'!AG79/(Calibration!AG$34*'Corrected data'!$A79+Calibration!AG$35)</f>
        <v>5.6544709471108119</v>
      </c>
      <c r="AH79" s="19">
        <f>'Not MDL Filltered'!AH79/(Calibration!AH$34*'Corrected data'!$A79+Calibration!AH$35)</f>
        <v>0.94858550051980539</v>
      </c>
      <c r="AI79" s="19">
        <f>'Not MDL Filltered'!AI79/(Calibration!AI$34*'Corrected data'!$A79+Calibration!AI$35)</f>
        <v>2.9343572926958319</v>
      </c>
      <c r="AJ79" s="19">
        <f>'Not MDL Filltered'!AJ79/(Calibration!AJ$34*'Corrected data'!$A79+Calibration!AJ$35)</f>
        <v>0.34764038850572049</v>
      </c>
      <c r="AK79" s="19">
        <f>'Not MDL Filltered'!AK79/(Calibration!AK$34*'Corrected data'!$A79+Calibration!AK$35)</f>
        <v>2.0818265369323292</v>
      </c>
      <c r="AL79" s="19">
        <f>'Not MDL Filltered'!AL79/(Calibration!AL$34*'Corrected data'!$A79+Calibration!AL$35)</f>
        <v>0.27768651444760895</v>
      </c>
      <c r="AM79" s="19">
        <f>'Not MDL Filltered'!AM79/(Calibration!AM$34*'Corrected data'!$A79+Calibration!AM$35)</f>
        <v>3.9610794894824468</v>
      </c>
      <c r="AN79" s="19">
        <f>'Not MDL Filltered'!AN79/(Calibration!AN$34*'Corrected data'!$A79+Calibration!AN$35)</f>
        <v>1.0104146021207017</v>
      </c>
      <c r="AO79" s="19">
        <f>'Not MDL Filltered'!AO79/(Calibration!AO$34*'Corrected data'!$A79+Calibration!AO$35)</f>
        <v>2.1207709182002294</v>
      </c>
      <c r="AP79" s="19">
        <f>'Not MDL Filltered'!AP79/(Calibration!AP$34*'Corrected data'!$A79+Calibration!AP$35)</f>
        <v>1.0458657969671219</v>
      </c>
      <c r="AQ79" s="19">
        <f>'Not MDL Filltered'!AQ79/(Calibration!AQ$34*'Corrected data'!$A79+Calibration!AQ$35)</f>
        <v>0.54954800855163122</v>
      </c>
    </row>
    <row r="81" spans="2:43" s="5" customFormat="1" x14ac:dyDescent="0.2">
      <c r="B81" s="22" t="s">
        <v>151</v>
      </c>
      <c r="C81" s="19">
        <v>5.0999999999999996</v>
      </c>
      <c r="D81" s="19">
        <v>2.73</v>
      </c>
      <c r="E81" s="23">
        <v>17433.808225366654</v>
      </c>
      <c r="F81" s="23">
        <v>44263.274116712979</v>
      </c>
      <c r="G81" s="23">
        <v>70391.73801747727</v>
      </c>
      <c r="H81" s="23">
        <v>235125.12482524459</v>
      </c>
      <c r="I81" s="23">
        <v>1012.51460093136</v>
      </c>
      <c r="J81" s="23">
        <v>3984.7210573809657</v>
      </c>
      <c r="K81" s="23">
        <v>77901.849243005156</v>
      </c>
      <c r="L81" s="19">
        <v>31.8</v>
      </c>
      <c r="M81" s="23">
        <v>15343.331872534904</v>
      </c>
      <c r="N81" s="19">
        <v>309</v>
      </c>
      <c r="O81" s="23">
        <v>1277.8620466047339</v>
      </c>
      <c r="P81" s="23">
        <v>83172.081175881074</v>
      </c>
      <c r="Q81" s="19">
        <v>0.17</v>
      </c>
      <c r="R81" s="19">
        <v>8.6999999999999993</v>
      </c>
      <c r="S81" s="19">
        <v>356</v>
      </c>
      <c r="T81" s="19">
        <v>25.4</v>
      </c>
      <c r="U81" s="19">
        <v>152</v>
      </c>
      <c r="V81" s="19">
        <v>15</v>
      </c>
      <c r="W81" s="19">
        <v>0.115</v>
      </c>
      <c r="X81" s="19">
        <v>123</v>
      </c>
      <c r="Y81" s="19">
        <v>13.1</v>
      </c>
      <c r="Z81" s="19">
        <v>32.4</v>
      </c>
      <c r="AA81" s="19">
        <v>4.5999999999999996</v>
      </c>
      <c r="AB81" s="19">
        <v>21.6</v>
      </c>
      <c r="AC81" s="19">
        <v>5.54</v>
      </c>
      <c r="AD81" s="19">
        <v>1.92</v>
      </c>
      <c r="AE81" s="19">
        <v>5.92</v>
      </c>
      <c r="AF81" s="19">
        <v>0.89</v>
      </c>
      <c r="AG81" s="19">
        <v>5.22</v>
      </c>
      <c r="AH81" s="19">
        <v>0.96099999999999997</v>
      </c>
      <c r="AI81" s="19">
        <v>2.54</v>
      </c>
      <c r="AJ81" s="19">
        <v>0.33100000000000002</v>
      </c>
      <c r="AK81" s="19">
        <v>2.1</v>
      </c>
      <c r="AL81" s="19">
        <v>0.28499999999999998</v>
      </c>
      <c r="AM81" s="19">
        <v>3.93</v>
      </c>
      <c r="AN81" s="19">
        <v>0.96099999999999997</v>
      </c>
      <c r="AO81" s="19">
        <v>2.0699999999999998</v>
      </c>
      <c r="AP81" s="19">
        <v>1.02</v>
      </c>
      <c r="AQ81" s="19">
        <v>0.54800000000000004</v>
      </c>
    </row>
    <row r="82" spans="2:43" x14ac:dyDescent="0.2">
      <c r="B82" s="18" t="s">
        <v>155</v>
      </c>
      <c r="C82">
        <f>AVERAGE(C3:C4,C22:C24,C38,C40:C42,C60:C63,C77:C79)</f>
        <v>5.114145676761451</v>
      </c>
      <c r="D82">
        <f t="shared" ref="D82:AQ82" si="0">AVERAGE(D3:D4,D22:D24,D38,D40:D42,D60:D63,D77:D79)</f>
        <v>2.7712392726928021</v>
      </c>
      <c r="E82">
        <f t="shared" si="0"/>
        <v>17541.975862084455</v>
      </c>
      <c r="F82">
        <f t="shared" si="0"/>
        <v>44539.362977400517</v>
      </c>
      <c r="G82">
        <f t="shared" si="0"/>
        <v>70677.587455236877</v>
      </c>
      <c r="H82">
        <f t="shared" si="0"/>
        <v>234236.05676604828</v>
      </c>
      <c r="I82">
        <f t="shared" si="0"/>
        <v>1004.5336465444775</v>
      </c>
      <c r="J82">
        <f t="shared" si="0"/>
        <v>3979.356498436433</v>
      </c>
      <c r="K82">
        <f t="shared" si="0"/>
        <v>77901.850717572714</v>
      </c>
      <c r="L82">
        <f t="shared" si="0"/>
        <v>31.709333106985778</v>
      </c>
      <c r="M82">
        <f t="shared" si="0"/>
        <v>15337.524455028408</v>
      </c>
      <c r="N82">
        <f t="shared" si="0"/>
        <v>310.77156520086027</v>
      </c>
      <c r="O82">
        <f t="shared" si="0"/>
        <v>1287.4523702507083</v>
      </c>
      <c r="P82">
        <f t="shared" si="0"/>
        <v>83998.390214900021</v>
      </c>
      <c r="Q82">
        <f t="shared" si="0"/>
        <v>0.17239671450190017</v>
      </c>
      <c r="R82">
        <f t="shared" si="0"/>
        <v>8.7323078736035438</v>
      </c>
      <c r="S82">
        <f t="shared" si="0"/>
        <v>358.83621592308623</v>
      </c>
      <c r="T82">
        <f t="shared" si="0"/>
        <v>25.436495136139495</v>
      </c>
      <c r="U82">
        <f t="shared" si="0"/>
        <v>152.08734558793157</v>
      </c>
      <c r="V82">
        <f t="shared" si="0"/>
        <v>15.040526809002365</v>
      </c>
      <c r="W82">
        <f t="shared" si="0"/>
        <v>0.11767187850777759</v>
      </c>
      <c r="X82">
        <f t="shared" si="0"/>
        <v>123.56657998620614</v>
      </c>
      <c r="Y82">
        <f t="shared" si="0"/>
        <v>13.153729935323739</v>
      </c>
      <c r="Z82">
        <f t="shared" si="0"/>
        <v>32.485102651609651</v>
      </c>
      <c r="AA82">
        <f t="shared" si="0"/>
        <v>4.609632838115461</v>
      </c>
      <c r="AB82">
        <f t="shared" si="0"/>
        <v>21.527554953033256</v>
      </c>
      <c r="AC82">
        <f t="shared" si="0"/>
        <v>5.5681013663944032</v>
      </c>
      <c r="AD82">
        <f t="shared" si="0"/>
        <v>1.9258913322429758</v>
      </c>
      <c r="AE82">
        <f t="shared" si="0"/>
        <v>5.9943968541983361</v>
      </c>
      <c r="AF82">
        <f t="shared" si="0"/>
        <v>0.89931785484787896</v>
      </c>
      <c r="AG82">
        <f t="shared" si="0"/>
        <v>5.2040359048903762</v>
      </c>
      <c r="AH82">
        <f t="shared" si="0"/>
        <v>0.95511142917075087</v>
      </c>
      <c r="AI82">
        <f t="shared" si="0"/>
        <v>2.5658019945450703</v>
      </c>
      <c r="AJ82">
        <f t="shared" si="0"/>
        <v>0.33011617405584676</v>
      </c>
      <c r="AK82">
        <f t="shared" si="0"/>
        <v>2.0906101889541051</v>
      </c>
      <c r="AL82">
        <f t="shared" si="0"/>
        <v>0.28181545339533637</v>
      </c>
      <c r="AM82">
        <f t="shared" si="0"/>
        <v>3.9143367975929486</v>
      </c>
      <c r="AN82">
        <f t="shared" si="0"/>
        <v>0.96403025578559109</v>
      </c>
      <c r="AO82">
        <f t="shared" si="0"/>
        <v>2.0763135209559671</v>
      </c>
      <c r="AP82">
        <f t="shared" si="0"/>
        <v>1.0292605793391139</v>
      </c>
      <c r="AQ82">
        <f t="shared" si="0"/>
        <v>0.5553751893123211</v>
      </c>
    </row>
    <row r="83" spans="2:43" x14ac:dyDescent="0.2">
      <c r="B83" s="27" t="s">
        <v>156</v>
      </c>
      <c r="C83" s="10">
        <f>ABS((C82-C81))/C81</f>
        <v>2.7736621100885096E-3</v>
      </c>
      <c r="D83" s="10">
        <f t="shared" ref="D83:AQ83" si="1">ABS((D82-D81))/D81</f>
        <v>1.5105960693334117E-2</v>
      </c>
      <c r="E83" s="10">
        <f t="shared" si="1"/>
        <v>6.2044755408295618E-3</v>
      </c>
      <c r="F83" s="10">
        <f t="shared" si="1"/>
        <v>6.2374251836759603E-3</v>
      </c>
      <c r="G83" s="10">
        <f t="shared" si="1"/>
        <v>4.0608379024344408E-3</v>
      </c>
      <c r="H83" s="10">
        <f t="shared" si="1"/>
        <v>3.7812550226485244E-3</v>
      </c>
      <c r="I83" s="10">
        <f t="shared" si="1"/>
        <v>7.882310417589215E-3</v>
      </c>
      <c r="J83" s="10">
        <f t="shared" si="1"/>
        <v>1.3462821781705103E-3</v>
      </c>
      <c r="K83" s="10">
        <f t="shared" si="1"/>
        <v>1.8928530867535538E-8</v>
      </c>
      <c r="L83" s="10">
        <f t="shared" si="1"/>
        <v>2.851160157679973E-3</v>
      </c>
      <c r="M83" s="10">
        <f t="shared" si="1"/>
        <v>3.784978096505392E-4</v>
      </c>
      <c r="N83" s="10">
        <f t="shared" si="1"/>
        <v>5.7332207147581422E-3</v>
      </c>
      <c r="O83" s="10">
        <f t="shared" si="1"/>
        <v>7.5049757299356463E-3</v>
      </c>
      <c r="P83" s="10">
        <f t="shared" si="1"/>
        <v>9.9349328204446363E-3</v>
      </c>
      <c r="Q83" s="10">
        <f t="shared" si="1"/>
        <v>1.4098320599412673E-2</v>
      </c>
      <c r="R83" s="10">
        <f t="shared" si="1"/>
        <v>3.713548690062584E-3</v>
      </c>
      <c r="S83" s="10">
        <f t="shared" si="1"/>
        <v>7.9668986603545749E-3</v>
      </c>
      <c r="T83" s="10">
        <f t="shared" si="1"/>
        <v>1.4368163834447445E-3</v>
      </c>
      <c r="U83" s="10">
        <f t="shared" si="1"/>
        <v>5.7464202586556359E-4</v>
      </c>
      <c r="V83" s="10">
        <f t="shared" si="1"/>
        <v>2.7017872668243588E-3</v>
      </c>
      <c r="W83" s="10">
        <f t="shared" si="1"/>
        <v>2.3233726154587707E-2</v>
      </c>
      <c r="X83" s="10">
        <f t="shared" si="1"/>
        <v>4.6063413512694006E-3</v>
      </c>
      <c r="Y83" s="10">
        <f t="shared" si="1"/>
        <v>4.1015217804380947E-3</v>
      </c>
      <c r="Z83" s="10">
        <f t="shared" si="1"/>
        <v>2.6266250496806321E-3</v>
      </c>
      <c r="AA83" s="10">
        <f t="shared" si="1"/>
        <v>2.0940952424915956E-3</v>
      </c>
      <c r="AB83" s="10">
        <f t="shared" si="1"/>
        <v>3.3539373595715392E-3</v>
      </c>
      <c r="AC83" s="10">
        <f t="shared" si="1"/>
        <v>5.0724488076540064E-3</v>
      </c>
      <c r="AD83" s="10">
        <f t="shared" si="1"/>
        <v>3.0684022098832753E-3</v>
      </c>
      <c r="AE83" s="10">
        <f t="shared" si="1"/>
        <v>1.2567036182151384E-2</v>
      </c>
      <c r="AF83" s="10">
        <f t="shared" si="1"/>
        <v>1.046949982907747E-2</v>
      </c>
      <c r="AG83" s="10">
        <f t="shared" si="1"/>
        <v>3.0582557681271263E-3</v>
      </c>
      <c r="AH83" s="10">
        <f t="shared" si="1"/>
        <v>6.1275450876681539E-3</v>
      </c>
      <c r="AI83" s="10">
        <f t="shared" si="1"/>
        <v>1.0158265568925299E-2</v>
      </c>
      <c r="AJ83" s="10">
        <f t="shared" si="1"/>
        <v>2.670169015568762E-3</v>
      </c>
      <c r="AK83" s="10">
        <f t="shared" si="1"/>
        <v>4.4713385932833236E-3</v>
      </c>
      <c r="AL83" s="10">
        <f t="shared" si="1"/>
        <v>1.117384773566178E-2</v>
      </c>
      <c r="AM83" s="10">
        <f t="shared" si="1"/>
        <v>3.9855476862726584E-3</v>
      </c>
      <c r="AN83" s="10">
        <f t="shared" si="1"/>
        <v>3.1532318268378038E-3</v>
      </c>
      <c r="AO83" s="10">
        <f t="shared" si="1"/>
        <v>3.0500101236556848E-3</v>
      </c>
      <c r="AP83" s="10">
        <f t="shared" si="1"/>
        <v>9.0789993520723911E-3</v>
      </c>
      <c r="AQ83" s="10">
        <f t="shared" si="1"/>
        <v>1.3458374657520185E-2</v>
      </c>
    </row>
    <row r="84" spans="2:43" x14ac:dyDescent="0.2">
      <c r="B84" s="27" t="s">
        <v>148</v>
      </c>
      <c r="C84">
        <f>STDEV((C3:C4,C22:C24,C38,C40:C42,C60:C63,C77:C79))</f>
        <v>0.28850812939638443</v>
      </c>
      <c r="D84">
        <f>STDEV((D3:D4,D22:D24,D38,D40:D42,D60:D63,D77:D79))</f>
        <v>0.36902065824753316</v>
      </c>
      <c r="E84">
        <f>STDEV((E2:E4,E22:E24,E38,E40:E42,E60:E63,E77:E79))</f>
        <v>884.55697305310377</v>
      </c>
      <c r="F84">
        <f>STDEV((F2:F4,F22:F24,F38,F40:F42,F60:F63,F77:F79))</f>
        <v>1868.018984781165</v>
      </c>
      <c r="G84">
        <f>STDEV((G2:G4,G22:G24,G38,G40:G42,G60:G63,G77:G79))</f>
        <v>2542.8321758766242</v>
      </c>
      <c r="H84">
        <f>STDEV((H2:H4,H22:H24,H38,H40:H42,H60:H63,H77:H79))</f>
        <v>6530.0102097532899</v>
      </c>
      <c r="I84">
        <f>STDEV((I2:I4,I22:I24,I38,I40:I42,I60:I63,I77:I79))</f>
        <v>58.410301165180975</v>
      </c>
      <c r="J84">
        <f>STDEV((J2:J4,J22:J24,J38,J40:J42,J60:J63,J77:J79))</f>
        <v>112.35630153856305</v>
      </c>
      <c r="K84">
        <f>STDEV((K2:K4,K22:K24,K38,K40:K42,K60:K63,K77:K79))</f>
        <v>5.1748336490904951E-3</v>
      </c>
      <c r="L84">
        <f>STDEV((L2:L4,L22:L24,L38,L40:L42,L60:L63,L77:L79))</f>
        <v>0.69576766271087176</v>
      </c>
      <c r="M84">
        <f>STDEV((M2:M4,M22:M24,M38,M40:M42,M60:M63,M77:M79))</f>
        <v>482.9913173375852</v>
      </c>
      <c r="N84">
        <f>STDEV((N2:N4,N22:N24,N38,N40:N42,N60:N63,N77:N79))</f>
        <v>13.885793739449802</v>
      </c>
      <c r="O84">
        <f>STDEV((O2:O4,O22:O24,O38,O40:O42,O60:O63,O77:O79))</f>
        <v>66.73771410454134</v>
      </c>
      <c r="P84">
        <f>STDEV((P2:P4,P22:P24,P38,P40:P42,P60:P63,P77:P79))</f>
        <v>3982.4963412728894</v>
      </c>
      <c r="Q84">
        <f>STDEV((Q2:Q4,Q22:Q24,Q38,Q40:Q42,Q60:Q63,Q77:Q79))</f>
        <v>4.0321436191349945E-2</v>
      </c>
      <c r="R84">
        <f>STDEV((R2:R4,R22:R24,R38,R40:R42,R60:R63,R77:R79))</f>
        <v>0.32746724331877897</v>
      </c>
      <c r="S84">
        <f>STDEV((S2:S4,S22:S24,S38,S40:S42,S60:S63,S77:S79))</f>
        <v>9.8769630148403067</v>
      </c>
      <c r="T84">
        <f>STDEV((T2:T4,T22:T24,T38,T40:T42,T60:T63,T77:T79))</f>
        <v>0.69837883309226634</v>
      </c>
      <c r="U84">
        <f>STDEV((U2:U4,U22:U24,U38,U40:U42,U60:U63,U77:U79))</f>
        <v>3.5884927892422738</v>
      </c>
      <c r="V84">
        <f>STDEV((V2:V4,V22:V24,V38,V40:V42,V60:V63,V77:V79))</f>
        <v>0.52944090020573642</v>
      </c>
      <c r="W84">
        <f>STDEV((W2:W4,W22:W24,W38,W40:W42,W60:W63,W77:W79))</f>
        <v>1.5325000280505876E-2</v>
      </c>
      <c r="X84">
        <f>STDEV((X2:X4,X22:X24,X38,X40:X42,X60:X63,X77:X79))</f>
        <v>6.9367271527203975</v>
      </c>
      <c r="Y84">
        <f>STDEV((Y2:Y4,Y22:Y24,Y38,Y40:Y42,Y60:Y63,Y77:Y79))</f>
        <v>0.74448743424005204</v>
      </c>
      <c r="Z84">
        <f>STDEV((Z2:Z4,Z22:Z24,Z38,Z40:Z42,Z60:Z63,Z77:Z79))</f>
        <v>1.2002479281411345</v>
      </c>
      <c r="AA84">
        <f>STDEV((AA2:AA4,AA22:AA24,AA38,AA40:AA42,AA60:AA63,AA77:AA79))</f>
        <v>0.11917288234889871</v>
      </c>
      <c r="AB84">
        <f>STDEV((AB2:AB4,AB22:AB24,AB38,AB40:AB42,AB60:AB63,AB77:AB79))</f>
        <v>0.81554446123453528</v>
      </c>
      <c r="AC84">
        <f>STDEV((AC2:AC4,AC22:AC24,AC38,AC40:AC42,AC60:AC63,AC77:AC79))</f>
        <v>0.22917890693375517</v>
      </c>
      <c r="AD84">
        <f>STDEV((AD2:AD4,AD22:AD24,AD38,AD40:AD42,AD60:AD63,AD77:AD79))</f>
        <v>0.10959285988746492</v>
      </c>
      <c r="AE84">
        <f>STDEV((AE2:AE4,AE22:AE24,AE38,AE40:AE42,AE60:AE63,AE77:AE79))</f>
        <v>0.30479293602737273</v>
      </c>
      <c r="AF84">
        <f>STDEV((AF2:AF4,AF22:AF24,AF38,AF40:AF42,AF60:AF63,AF77:AF79))</f>
        <v>3.9983620379760436E-2</v>
      </c>
      <c r="AG84">
        <f>STDEV((AG2:AG4,AG22:AG24,AG38,AG40:AG42,AG60:AG63,AG77:AG79))</f>
        <v>0.23739955771812102</v>
      </c>
      <c r="AH84">
        <f>STDEV((AH2:AH4,AH22:AH24,AH38,AH40:AH42,AH60:AH63,AH77:AH79))</f>
        <v>5.8899181319418979E-2</v>
      </c>
      <c r="AI84">
        <f>STDEV((AI2:AI4,AI22:AI24,AI38,AI40:AI42,AI60:AI63,AI77:AI79))</f>
        <v>0.17743189935960496</v>
      </c>
      <c r="AJ84">
        <f>STDEV((AJ2:AJ4,AJ22:AJ24,AJ38,AJ40:AJ42,AJ60:AJ63,AJ77:AJ79))</f>
        <v>2.5261679477921562E-2</v>
      </c>
      <c r="AK84">
        <f>STDEV((AK2:AK4,AK22:AK24,AK38,AK40:AK42,AK60:AK63,AK77:AK79))</f>
        <v>9.0382245068209827E-2</v>
      </c>
      <c r="AL84">
        <f>STDEV((AL2:AL4,AL22:AL24,AL38,AL40:AL42,AL60:AL63,AL77:AL79))</f>
        <v>1.9025974137848983E-2</v>
      </c>
      <c r="AM84">
        <f>STDEV((AM2:AM4,AM22:AM24,AM38,AM40:AM42,AM60:AM63,AM77:AM79))</f>
        <v>0.24878252975967338</v>
      </c>
      <c r="AN84">
        <f>STDEV((AN2:AN4,AN22:AN24,AN38,AN40:AN42,AN60:AN63,AN77:AN79))</f>
        <v>6.1582507532491518E-2</v>
      </c>
      <c r="AO84">
        <f>STDEV((AO2:AO4,AO22:AO24,AO38,AO40:AO42,AO60:AO63,AO77:AO79))</f>
        <v>8.0664378757240848E-2</v>
      </c>
      <c r="AP84">
        <f>STDEV((AP2:AP4,AP22:AP24,AP38,AP40:AP42,AP60:AP63,AP77:AP79))</f>
        <v>4.96599771851692E-2</v>
      </c>
      <c r="AQ84">
        <f>STDEV((AQ2:AQ4,AQ22:AQ24,AQ38,AQ40:AQ42,AQ60:AQ63,AQ77:AQ79))</f>
        <v>5.8541663916892833E-2</v>
      </c>
    </row>
    <row r="85" spans="2:43" x14ac:dyDescent="0.2">
      <c r="B85" s="27" t="s">
        <v>150</v>
      </c>
      <c r="C85" s="9">
        <f>C84/C82</f>
        <v>5.6413748772812258E-2</v>
      </c>
      <c r="D85" s="9">
        <f t="shared" ref="D85:AQ85" si="2">D84/D82</f>
        <v>0.1331608792801775</v>
      </c>
      <c r="E85" s="9">
        <f t="shared" si="2"/>
        <v>5.0425161909212361E-2</v>
      </c>
      <c r="F85" s="9">
        <f t="shared" si="2"/>
        <v>4.194085545698098E-2</v>
      </c>
      <c r="G85" s="9">
        <f t="shared" si="2"/>
        <v>3.5977914179471791E-2</v>
      </c>
      <c r="H85" s="9">
        <f t="shared" si="2"/>
        <v>2.7877903598229427E-2</v>
      </c>
      <c r="I85" s="9">
        <f t="shared" si="2"/>
        <v>5.814668464924809E-2</v>
      </c>
      <c r="J85" s="9">
        <f t="shared" si="2"/>
        <v>2.8234791625909875E-2</v>
      </c>
      <c r="K85" s="9">
        <f t="shared" si="2"/>
        <v>6.6427608605236657E-8</v>
      </c>
      <c r="L85" s="9">
        <f t="shared" si="2"/>
        <v>2.194204653763562E-2</v>
      </c>
      <c r="M85" s="9">
        <f t="shared" si="2"/>
        <v>3.1490826225169376E-2</v>
      </c>
      <c r="N85" s="9">
        <f t="shared" si="2"/>
        <v>4.4681673918509981E-2</v>
      </c>
      <c r="O85" s="9">
        <f t="shared" si="2"/>
        <v>5.1837035409352937E-2</v>
      </c>
      <c r="P85" s="9">
        <f t="shared" si="2"/>
        <v>4.7411579330081687E-2</v>
      </c>
      <c r="Q85" s="9">
        <f t="shared" si="2"/>
        <v>0.23388749784384968</v>
      </c>
      <c r="R85" s="9">
        <f t="shared" si="2"/>
        <v>3.7500652526082284E-2</v>
      </c>
      <c r="S85" s="9">
        <f t="shared" si="2"/>
        <v>2.7524989330946902E-2</v>
      </c>
      <c r="T85" s="9">
        <f t="shared" si="2"/>
        <v>2.7455780733723345E-2</v>
      </c>
      <c r="U85" s="9">
        <f t="shared" si="2"/>
        <v>2.359494654450086E-2</v>
      </c>
      <c r="V85" s="9">
        <f t="shared" si="2"/>
        <v>3.5200954523005444E-2</v>
      </c>
      <c r="W85" s="9">
        <f t="shared" si="2"/>
        <v>0.13023502705017972</v>
      </c>
      <c r="X85" s="9">
        <f t="shared" si="2"/>
        <v>5.6137566917323044E-2</v>
      </c>
      <c r="Y85" s="9">
        <f t="shared" si="2"/>
        <v>5.6598959983264148E-2</v>
      </c>
      <c r="Z85" s="9">
        <f t="shared" si="2"/>
        <v>3.6947641539364556E-2</v>
      </c>
      <c r="AA85" s="9">
        <f t="shared" si="2"/>
        <v>2.5853009672158558E-2</v>
      </c>
      <c r="AB85" s="9">
        <f t="shared" si="2"/>
        <v>3.7883747736972992E-2</v>
      </c>
      <c r="AC85" s="9">
        <f t="shared" si="2"/>
        <v>4.1159255525938611E-2</v>
      </c>
      <c r="AD85" s="9">
        <f t="shared" si="2"/>
        <v>5.6905007075258168E-2</v>
      </c>
      <c r="AE85" s="9">
        <f t="shared" si="2"/>
        <v>5.0846305882117707E-2</v>
      </c>
      <c r="AF85" s="9">
        <f t="shared" si="2"/>
        <v>4.4459942793556265E-2</v>
      </c>
      <c r="AG85" s="9">
        <f t="shared" si="2"/>
        <v>4.5618355072268066E-2</v>
      </c>
      <c r="AH85" s="9">
        <f t="shared" si="2"/>
        <v>6.166734008256667E-2</v>
      </c>
      <c r="AI85" s="9">
        <f t="shared" si="2"/>
        <v>6.9152607931877663E-2</v>
      </c>
      <c r="AJ85" s="9">
        <f t="shared" si="2"/>
        <v>7.652360430436822E-2</v>
      </c>
      <c r="AK85" s="9">
        <f t="shared" si="2"/>
        <v>4.323247133576176E-2</v>
      </c>
      <c r="AL85" s="9">
        <f t="shared" si="2"/>
        <v>6.7512174753451032E-2</v>
      </c>
      <c r="AM85" s="9">
        <f t="shared" si="2"/>
        <v>6.3556751149430407E-2</v>
      </c>
      <c r="AN85" s="9">
        <f t="shared" si="2"/>
        <v>6.388026429970059E-2</v>
      </c>
      <c r="AO85" s="9">
        <f t="shared" si="2"/>
        <v>3.8849806613069547E-2</v>
      </c>
      <c r="AP85" s="9">
        <f t="shared" si="2"/>
        <v>4.8248206704910208E-2</v>
      </c>
      <c r="AQ85" s="9">
        <f t="shared" si="2"/>
        <v>0.1054092171264988</v>
      </c>
    </row>
    <row r="86" spans="2:43" x14ac:dyDescent="0.2">
      <c r="B86" s="27" t="s">
        <v>157</v>
      </c>
      <c r="C86" s="10">
        <f>2*C84/C82</f>
        <v>0.11282749754562452</v>
      </c>
      <c r="D86" s="10">
        <f>2*D84/D82</f>
        <v>0.266321758560355</v>
      </c>
      <c r="E86" s="10">
        <f>2*E84/E82</f>
        <v>0.10085032381842472</v>
      </c>
      <c r="F86" s="10">
        <f>2*F84/F82</f>
        <v>8.388171091396196E-2</v>
      </c>
      <c r="G86" s="10">
        <f>2*G84/G82</f>
        <v>7.1955828358943583E-2</v>
      </c>
      <c r="H86" s="10">
        <f>2*H84/H82</f>
        <v>5.5755807196458854E-2</v>
      </c>
      <c r="I86" s="10">
        <f>2*I84/I82</f>
        <v>0.11629336929849618</v>
      </c>
      <c r="J86" s="10">
        <f>2*J84/J82</f>
        <v>5.6469583251819749E-2</v>
      </c>
      <c r="K86" s="10">
        <f>2*K84/K82</f>
        <v>1.3285521721047331E-7</v>
      </c>
      <c r="L86" s="10">
        <f>2*L84/L82</f>
        <v>4.388409307527124E-2</v>
      </c>
      <c r="M86" s="10">
        <f>2*M84/M82</f>
        <v>6.2981652450338751E-2</v>
      </c>
      <c r="N86" s="10">
        <f>2*N84/N82</f>
        <v>8.9363347837019963E-2</v>
      </c>
      <c r="O86" s="10">
        <f>2*O84/O82</f>
        <v>0.10367407081870587</v>
      </c>
      <c r="P86" s="10">
        <f>2*P84/P82</f>
        <v>9.4823158660163373E-2</v>
      </c>
      <c r="Q86" s="10">
        <f>2*Q84/Q82</f>
        <v>0.46777499568769937</v>
      </c>
      <c r="R86" s="10">
        <f>2*R84/R82</f>
        <v>7.5001305052164569E-2</v>
      </c>
      <c r="S86" s="10">
        <f>2*S84/S82</f>
        <v>5.5049978661893803E-2</v>
      </c>
      <c r="T86" s="10">
        <f>2*T84/T82</f>
        <v>5.491156146744669E-2</v>
      </c>
      <c r="U86" s="10">
        <f>2*U84/U82</f>
        <v>4.7189893089001719E-2</v>
      </c>
      <c r="V86" s="10">
        <f>2*V84/V82</f>
        <v>7.0401909046010888E-2</v>
      </c>
      <c r="W86" s="10">
        <f>2*W84/W82</f>
        <v>0.26047005410035945</v>
      </c>
      <c r="X86" s="10">
        <f>2*X84/X82</f>
        <v>0.11227513383464609</v>
      </c>
      <c r="Y86" s="10">
        <f>2*Y84/Y82</f>
        <v>0.1131979199665283</v>
      </c>
      <c r="Z86" s="10">
        <f>2*Z84/Z82</f>
        <v>7.3895283078729113E-2</v>
      </c>
      <c r="AA86" s="10">
        <f>2*AA84/AA82</f>
        <v>5.1706019344317115E-2</v>
      </c>
      <c r="AB86" s="10">
        <f>2*AB84/AB82</f>
        <v>7.5767495473945984E-2</v>
      </c>
      <c r="AC86" s="10">
        <f>2*AC84/AC82</f>
        <v>8.2318511051877222E-2</v>
      </c>
      <c r="AD86" s="10">
        <f>2*AD84/AD82</f>
        <v>0.11381001415051634</v>
      </c>
      <c r="AE86" s="10">
        <f>2*AE84/AE82</f>
        <v>0.10169261176423541</v>
      </c>
      <c r="AF86" s="10">
        <f>2*AF84/AF82</f>
        <v>8.8919885587112529E-2</v>
      </c>
      <c r="AG86" s="10">
        <f>2*AG84/AG82</f>
        <v>9.1236710144536132E-2</v>
      </c>
      <c r="AH86" s="10">
        <f>2*AH84/AH82</f>
        <v>0.12333468016513334</v>
      </c>
      <c r="AI86" s="10">
        <f>2*AI84/AI82</f>
        <v>0.13830521586375533</v>
      </c>
      <c r="AJ86" s="10">
        <f>2*AJ84/AJ82</f>
        <v>0.15304720860873644</v>
      </c>
      <c r="AK86" s="10">
        <f>2*AK84/AK82</f>
        <v>8.646494267152352E-2</v>
      </c>
      <c r="AL86" s="10">
        <f>2*AL84/AL82</f>
        <v>0.13502434950690206</v>
      </c>
      <c r="AM86" s="10">
        <f>2*AM84/AM82</f>
        <v>0.12711350229886081</v>
      </c>
      <c r="AN86" s="10">
        <f>2*AN84/AN82</f>
        <v>0.12776052859940118</v>
      </c>
      <c r="AO86" s="10">
        <f>2*AO84/AO82</f>
        <v>7.7699613226139094E-2</v>
      </c>
      <c r="AP86" s="10">
        <f>2*AP84/AP82</f>
        <v>9.6496413409820417E-2</v>
      </c>
      <c r="AQ86" s="10">
        <f>2*AQ84/AQ82</f>
        <v>0.21081843425299759</v>
      </c>
    </row>
    <row r="87" spans="2:43" x14ac:dyDescent="0.2">
      <c r="B87" s="27"/>
      <c r="C87" s="9"/>
      <c r="D87" s="33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</row>
    <row r="89" spans="2:43" x14ac:dyDescent="0.2">
      <c r="B89" s="4" t="s">
        <v>158</v>
      </c>
      <c r="C89" s="4">
        <v>2.2000000000000002</v>
      </c>
      <c r="D89" s="4">
        <v>4.2</v>
      </c>
      <c r="E89" s="4">
        <v>853.14380677326187</v>
      </c>
      <c r="F89" s="4">
        <v>206843.3654227868</v>
      </c>
      <c r="G89" s="4">
        <v>12331.785682761056</v>
      </c>
      <c r="H89" s="4">
        <v>248213.60095865786</v>
      </c>
      <c r="I89" s="4">
        <v>1.7457148291920002</v>
      </c>
      <c r="J89" s="4">
        <v>30.881588194702484</v>
      </c>
      <c r="K89" s="4">
        <v>15008.61315690925</v>
      </c>
      <c r="L89" s="4">
        <v>13.3</v>
      </c>
      <c r="M89" s="4">
        <v>371.59631878795466</v>
      </c>
      <c r="N89" s="4">
        <v>61</v>
      </c>
      <c r="O89" s="4">
        <v>844.16341260555134</v>
      </c>
      <c r="P89" s="4">
        <v>52857.023551027232</v>
      </c>
      <c r="Q89" s="4">
        <v>0.03</v>
      </c>
      <c r="R89" s="4">
        <v>0.374</v>
      </c>
      <c r="S89" s="4">
        <v>0.78</v>
      </c>
      <c r="T89" s="4">
        <v>2.1800000000000002</v>
      </c>
      <c r="U89" s="4">
        <v>20</v>
      </c>
      <c r="V89" s="4">
        <v>3.9E-2</v>
      </c>
      <c r="W89" s="4">
        <v>1.07</v>
      </c>
      <c r="X89" s="4">
        <v>0.53300000000000003</v>
      </c>
      <c r="Y89" s="4">
        <v>0.223</v>
      </c>
      <c r="Z89" s="4">
        <v>0.47099999999999997</v>
      </c>
      <c r="AA89" s="4">
        <v>7.4999999999999997E-2</v>
      </c>
      <c r="AB89" s="4">
        <v>0.36699999999999999</v>
      </c>
      <c r="AC89" s="4">
        <v>0.14699999999999999</v>
      </c>
      <c r="AD89" s="4">
        <v>5.2999999999999999E-2</v>
      </c>
      <c r="AE89" s="4">
        <v>0.253</v>
      </c>
      <c r="AF89" s="4">
        <v>5.0999999999999997E-2</v>
      </c>
      <c r="AG89" s="4">
        <v>0.36099999999999999</v>
      </c>
      <c r="AH89" s="4">
        <v>8.3000000000000004E-2</v>
      </c>
      <c r="AI89" s="4">
        <v>0.26400000000000001</v>
      </c>
      <c r="AJ89" s="4">
        <v>4.1000000000000002E-2</v>
      </c>
      <c r="AK89" s="4">
        <v>0.28000000000000003</v>
      </c>
      <c r="AL89" s="4">
        <v>4.4999999999999998E-2</v>
      </c>
      <c r="AM89" s="4">
        <v>0.52</v>
      </c>
      <c r="AN89" s="4">
        <v>3.0999999999999999E-3</v>
      </c>
      <c r="AO89" s="4">
        <v>0.56999999999999995</v>
      </c>
      <c r="AP89" s="4">
        <v>5.3999999999999999E-2</v>
      </c>
      <c r="AQ89" s="4">
        <v>8.4000000000000005E-2</v>
      </c>
    </row>
    <row r="90" spans="2:43" x14ac:dyDescent="0.2">
      <c r="B90" s="18" t="s">
        <v>162</v>
      </c>
      <c r="C90">
        <f>AVERAGE(C5:C6)</f>
        <v>1.9213236793664881</v>
      </c>
      <c r="D90">
        <f>AVERAGE(D5:D6)</f>
        <v>2.1615352285505605</v>
      </c>
      <c r="E90">
        <f>AVERAGE(E5:E6)</f>
        <v>884.50190414405301</v>
      </c>
      <c r="F90">
        <f>AVERAGE(F5:F6)</f>
        <v>210948.23377402156</v>
      </c>
      <c r="G90">
        <f>AVERAGE(G5:G6)</f>
        <v>12249.4905585623</v>
      </c>
      <c r="H90">
        <f>AVERAGE(H5:H6)</f>
        <v>240334.63764933034</v>
      </c>
      <c r="I90">
        <f>AVERAGE(I5:I6)</f>
        <v>17.636532207189944</v>
      </c>
      <c r="J90" s="17" t="e">
        <f>AVERAGE(J5:J6)</f>
        <v>#VALUE!</v>
      </c>
      <c r="K90">
        <f>AVERAGE(K5:K6)</f>
        <v>15008.749678981827</v>
      </c>
      <c r="L90">
        <f>AVERAGE(L5:L6)</f>
        <v>16.568045516507517</v>
      </c>
      <c r="M90">
        <f>AVERAGE(M5:M6)</f>
        <v>363.41605284111751</v>
      </c>
      <c r="N90">
        <f>AVERAGE(N5:N6)</f>
        <v>57.695756924624455</v>
      </c>
      <c r="O90">
        <f>AVERAGE(O5:O6)</f>
        <v>868.33484728279473</v>
      </c>
      <c r="P90">
        <f>AVERAGE(P5:P6)</f>
        <v>57638.959699503772</v>
      </c>
      <c r="Q90">
        <f>AVERAGE(Q5:Q6)</f>
        <v>0.10181720484177371</v>
      </c>
      <c r="R90">
        <f>AVERAGE(R5:R6)</f>
        <v>0.28519482978327837</v>
      </c>
      <c r="S90">
        <f>AVERAGE(S5:S6)</f>
        <v>0.66765318590757927</v>
      </c>
      <c r="T90">
        <f>AVERAGE(T5:T6)</f>
        <v>2.2320864977469541</v>
      </c>
      <c r="U90">
        <f>AVERAGE(U5:U6)</f>
        <v>19.906732999360273</v>
      </c>
      <c r="V90">
        <f>AVERAGE(V5:V6)</f>
        <v>1.4387570837513153E-2</v>
      </c>
      <c r="W90">
        <f>AVERAGE(W5:W6)</f>
        <v>0.82578308302446946</v>
      </c>
      <c r="X90">
        <f>AVERAGE(X5:X6)</f>
        <v>0.46171849534068038</v>
      </c>
      <c r="Y90">
        <f>AVERAGE(Y5:Y6)</f>
        <v>0.19593927335601447</v>
      </c>
      <c r="Z90">
        <f>AVERAGE(Z5:Z6)</f>
        <v>0.43585880659823051</v>
      </c>
      <c r="AA90">
        <f>AVERAGE(AA5:AA6)</f>
        <v>7.5792224818619441E-2</v>
      </c>
      <c r="AB90">
        <f>AVERAGE(AB5:AB6)</f>
        <v>0.40668904061912137</v>
      </c>
      <c r="AC90">
        <f>AVERAGE(AC5:AC6)</f>
        <v>0.12908455818493136</v>
      </c>
      <c r="AD90">
        <f>AVERAGE(AD5:AD6)</f>
        <v>4.9900037513553111E-2</v>
      </c>
      <c r="AE90">
        <f>AVERAGE(AE5:AE6)</f>
        <v>0.28879238535744572</v>
      </c>
      <c r="AF90">
        <f>AVERAGE(AF5:AF6)</f>
        <v>4.4490766433438834E-2</v>
      </c>
      <c r="AG90">
        <f>AVERAGE(AG5:AG6)</f>
        <v>0.36566148270589477</v>
      </c>
      <c r="AH90">
        <f>AVERAGE(AH5:AH6)</f>
        <v>8.6025630192200955E-2</v>
      </c>
      <c r="AI90">
        <f>AVERAGE(AI5:AI6)</f>
        <v>0.23730726611332556</v>
      </c>
      <c r="AJ90">
        <f>AVERAGE(AJ5:AJ6)</f>
        <v>4.2742006048989006E-2</v>
      </c>
      <c r="AK90">
        <f>AVERAGE(AK5:AK6)</f>
        <v>0.30890172951662198</v>
      </c>
      <c r="AL90">
        <f>AVERAGE(AL5:AL6)</f>
        <v>5.380850112129152E-2</v>
      </c>
      <c r="AM90">
        <f>AVERAGE(AM5:AM6)</f>
        <v>0.55686955212759059</v>
      </c>
      <c r="AN90">
        <f>AVERAGE(AN5:AN6)</f>
        <v>3.556154667775484E-3</v>
      </c>
      <c r="AO90">
        <f>AVERAGE(AO5:AO6)</f>
        <v>0.48295572903673456</v>
      </c>
      <c r="AP90">
        <f>AVERAGE(AP5:AP6)</f>
        <v>5.4595153628804016E-2</v>
      </c>
      <c r="AQ90">
        <f>AVERAGE(AQ5:AQ6)</f>
        <v>8.6860170282792776E-2</v>
      </c>
    </row>
    <row r="91" spans="2:43" x14ac:dyDescent="0.2">
      <c r="B91" s="27" t="s">
        <v>156</v>
      </c>
      <c r="C91" s="10">
        <f>ABS(C90-C89)/C89</f>
        <v>0.12667105483341459</v>
      </c>
      <c r="D91" s="10">
        <f t="shared" ref="D91:AQ91" si="3">ABS(D90-D89)/D89</f>
        <v>0.48534875510700942</v>
      </c>
      <c r="E91" s="10">
        <f t="shared" si="3"/>
        <v>3.6755933902155272E-2</v>
      </c>
      <c r="F91" s="10">
        <f t="shared" si="3"/>
        <v>1.9845298604789344E-2</v>
      </c>
      <c r="G91" s="10">
        <f t="shared" si="3"/>
        <v>6.6734150524362709E-3</v>
      </c>
      <c r="H91" s="10">
        <f t="shared" si="3"/>
        <v>3.1742673563806154E-2</v>
      </c>
      <c r="I91" s="10">
        <f t="shared" si="3"/>
        <v>9.1027567116176531</v>
      </c>
      <c r="J91" s="10" t="e">
        <f t="shared" si="3"/>
        <v>#VALUE!</v>
      </c>
      <c r="K91" s="10">
        <f t="shared" si="3"/>
        <v>9.0962483441520147E-6</v>
      </c>
      <c r="L91" s="10">
        <f t="shared" si="3"/>
        <v>0.24571770800808396</v>
      </c>
      <c r="M91" s="10">
        <f t="shared" si="3"/>
        <v>2.2013850873224307E-2</v>
      </c>
      <c r="N91" s="10">
        <f t="shared" si="3"/>
        <v>5.4167919268451561E-2</v>
      </c>
      <c r="O91" s="10">
        <f t="shared" si="3"/>
        <v>2.8633596666594537E-2</v>
      </c>
      <c r="P91" s="10">
        <f t="shared" si="3"/>
        <v>9.0469266470522003E-2</v>
      </c>
      <c r="Q91" s="10">
        <f t="shared" si="3"/>
        <v>2.3939068280591238</v>
      </c>
      <c r="R91" s="10">
        <f t="shared" si="3"/>
        <v>0.23744697918909527</v>
      </c>
      <c r="S91" s="10">
        <f t="shared" si="3"/>
        <v>0.14403437704156508</v>
      </c>
      <c r="T91" s="10">
        <f t="shared" si="3"/>
        <v>2.3892888874749517E-2</v>
      </c>
      <c r="U91" s="10">
        <f t="shared" si="3"/>
        <v>4.6633500319863685E-3</v>
      </c>
      <c r="V91" s="10">
        <f t="shared" si="3"/>
        <v>0.63108792724325258</v>
      </c>
      <c r="W91" s="10">
        <f t="shared" si="3"/>
        <v>0.22824010932292579</v>
      </c>
      <c r="X91" s="10">
        <f t="shared" si="3"/>
        <v>0.13373640649028076</v>
      </c>
      <c r="Y91" s="10">
        <f t="shared" si="3"/>
        <v>0.12134854997302932</v>
      </c>
      <c r="Z91" s="10">
        <f t="shared" si="3"/>
        <v>7.4609752445370423E-2</v>
      </c>
      <c r="AA91" s="10">
        <f t="shared" si="3"/>
        <v>1.0562997581592589E-2</v>
      </c>
      <c r="AB91" s="10">
        <f t="shared" si="3"/>
        <v>0.10814452484774216</v>
      </c>
      <c r="AC91" s="10">
        <f t="shared" si="3"/>
        <v>0.12187375384400428</v>
      </c>
      <c r="AD91" s="10">
        <f t="shared" si="3"/>
        <v>5.8489858234846932E-2</v>
      </c>
      <c r="AE91" s="10">
        <f t="shared" si="3"/>
        <v>0.14147187888318466</v>
      </c>
      <c r="AF91" s="10">
        <f t="shared" si="3"/>
        <v>0.12763203071688553</v>
      </c>
      <c r="AG91" s="10">
        <f t="shared" si="3"/>
        <v>1.291269447616283E-2</v>
      </c>
      <c r="AH91" s="10">
        <f t="shared" si="3"/>
        <v>3.645337580965001E-2</v>
      </c>
      <c r="AI91" s="10">
        <f t="shared" si="3"/>
        <v>0.10110884047982746</v>
      </c>
      <c r="AJ91" s="10">
        <f t="shared" si="3"/>
        <v>4.2487952414365968E-2</v>
      </c>
      <c r="AK91" s="10">
        <f t="shared" si="3"/>
        <v>0.10322046255936411</v>
      </c>
      <c r="AL91" s="10">
        <f t="shared" si="3"/>
        <v>0.19574446936203382</v>
      </c>
      <c r="AM91" s="10">
        <f t="shared" si="3"/>
        <v>7.0902984860751112E-2</v>
      </c>
      <c r="AN91" s="10">
        <f t="shared" si="3"/>
        <v>0.1471466670243497</v>
      </c>
      <c r="AO91" s="10">
        <f t="shared" si="3"/>
        <v>0.15270924730397439</v>
      </c>
      <c r="AP91" s="10">
        <f t="shared" si="3"/>
        <v>1.1021363496370682E-2</v>
      </c>
      <c r="AQ91" s="10">
        <f t="shared" si="3"/>
        <v>3.4049646223723459E-2</v>
      </c>
    </row>
    <row r="92" spans="2:43" x14ac:dyDescent="0.2">
      <c r="B92" s="27" t="s">
        <v>148</v>
      </c>
      <c r="C92">
        <f>STDEV(C5:C6)</f>
        <v>0.21836889461209943</v>
      </c>
      <c r="D92">
        <f>STDEV(D5:D6)</f>
        <v>7.2982557912084994E-2</v>
      </c>
      <c r="E92">
        <f>STDEV(E5:E6)</f>
        <v>2.6097581585911862</v>
      </c>
      <c r="F92">
        <f>STDEV(F5:F6)</f>
        <v>80.446698976791154</v>
      </c>
      <c r="G92">
        <f>STDEV(G5:G6)</f>
        <v>314.77785331426054</v>
      </c>
      <c r="H92">
        <f>STDEV(H5:H6)</f>
        <v>73.267217926332165</v>
      </c>
      <c r="I92">
        <f>STDEV(I5:I6)</f>
        <v>0.40606328494221566</v>
      </c>
      <c r="J92" s="17" t="e">
        <f>STDEV(J5:J6)</f>
        <v>#VALUE!</v>
      </c>
      <c r="K92">
        <f>STDEV(K5:K6)</f>
        <v>1.4453866055618422E-5</v>
      </c>
      <c r="L92">
        <f>STDEV(L5:L6)</f>
        <v>5.1699752275620361E-2</v>
      </c>
      <c r="M92">
        <f>STDEV(M5:M6)</f>
        <v>13.374445654729312</v>
      </c>
      <c r="N92">
        <f>STDEV(N5:N6)</f>
        <v>8.4525888026184409E-2</v>
      </c>
      <c r="O92">
        <f>STDEV(O5:O6)</f>
        <v>5.5026110837790068</v>
      </c>
      <c r="P92">
        <f>STDEV(P5:P6)</f>
        <v>343.31884300258412</v>
      </c>
      <c r="Q92">
        <f>STDEV(Q5:Q6)</f>
        <v>2.5436652582635919E-2</v>
      </c>
      <c r="R92">
        <f>STDEV(R5:R6)</f>
        <v>2.9905980132108278E-2</v>
      </c>
      <c r="S92">
        <f>STDEV(S5:S6)</f>
        <v>1.3648857391969641E-2</v>
      </c>
      <c r="T92">
        <f>STDEV(T5:T6)</f>
        <v>7.707977987022957E-2</v>
      </c>
      <c r="U92">
        <f>STDEV(U5:U6)</f>
        <v>0.35807990981117155</v>
      </c>
      <c r="V92">
        <f>STDEV(V5:V6)</f>
        <v>1.1629968777356109E-2</v>
      </c>
      <c r="W92">
        <f>STDEV(W5:W6)</f>
        <v>4.1144786438212649E-2</v>
      </c>
      <c r="X92">
        <f>STDEV(X5:X6)</f>
        <v>1.6716542560572648E-2</v>
      </c>
      <c r="Y92">
        <f>STDEV(Y5:Y6)</f>
        <v>2.6840205977626042E-2</v>
      </c>
      <c r="Z92">
        <f>STDEV(Z5:Z6)</f>
        <v>2.0792842712168719E-2</v>
      </c>
      <c r="AA92">
        <f>STDEV(AA5:AA6)</f>
        <v>3.5244515902074199E-3</v>
      </c>
      <c r="AB92">
        <f>STDEV(AB5:AB6)</f>
        <v>1.6631913099902647E-2</v>
      </c>
      <c r="AC92">
        <f>STDEV(AC5:AC6)</f>
        <v>3.1154386330464204E-2</v>
      </c>
      <c r="AD92">
        <f>STDEV(AD5:AD6)</f>
        <v>6.577349958198391E-3</v>
      </c>
      <c r="AE92">
        <f>STDEV(AE5:AE6)</f>
        <v>1.5042405889203801E-3</v>
      </c>
      <c r="AF92">
        <f>STDEV(AF5:AF6)</f>
        <v>1.0673525647843011E-3</v>
      </c>
      <c r="AG92">
        <f>STDEV(AG5:AG6)</f>
        <v>1.9548321959183507E-2</v>
      </c>
      <c r="AH92">
        <f>STDEV(AH5:AH6)</f>
        <v>4.8876254628701602E-3</v>
      </c>
      <c r="AI92">
        <f>STDEV(AI5:AI6)</f>
        <v>2.9807022142381363E-2</v>
      </c>
      <c r="AJ92">
        <f>STDEV(AJ5:AJ6)</f>
        <v>2.7347655273775012E-3</v>
      </c>
      <c r="AK92">
        <f>STDEV(AK5:AK6)</f>
        <v>1.1991681659884382E-2</v>
      </c>
      <c r="AL92">
        <f>STDEV(AL5:AL6)</f>
        <v>8.7727205559281845E-4</v>
      </c>
      <c r="AM92">
        <f>STDEV(AM5:AM6)</f>
        <v>3.2563449087008055E-2</v>
      </c>
      <c r="AN92">
        <f>STDEV(AN5:AN6)</f>
        <v>1.5807652376651441E-3</v>
      </c>
      <c r="AO92">
        <f>STDEV(AO5:AO6)</f>
        <v>2.8296214660178398E-3</v>
      </c>
      <c r="AP92">
        <f>STDEV(AP5:AP6)</f>
        <v>1.0339939623747036E-3</v>
      </c>
      <c r="AQ92">
        <f>STDEV(AQ5:AQ6)</f>
        <v>1.0277142394481601E-2</v>
      </c>
    </row>
    <row r="93" spans="2:43" x14ac:dyDescent="0.2">
      <c r="B93" s="27" t="s">
        <v>150</v>
      </c>
      <c r="C93" s="9">
        <f>C92/C90</f>
        <v>0.11365544335772799</v>
      </c>
      <c r="D93" s="9">
        <f t="shared" ref="D93:S93" si="4">D92/D90</f>
        <v>3.3764223200296484E-2</v>
      </c>
      <c r="E93" s="9">
        <f t="shared" si="4"/>
        <v>2.9505398986299433E-3</v>
      </c>
      <c r="F93" s="9">
        <f t="shared" si="4"/>
        <v>3.8135753752254565E-4</v>
      </c>
      <c r="G93" s="9">
        <f t="shared" si="4"/>
        <v>2.5697219962689241E-2</v>
      </c>
      <c r="H93" s="9">
        <f t="shared" si="4"/>
        <v>3.0485500817920209E-4</v>
      </c>
      <c r="I93" s="9">
        <f t="shared" si="4"/>
        <v>2.3023986811685944E-2</v>
      </c>
      <c r="J93" s="25" t="e">
        <f t="shared" si="4"/>
        <v>#VALUE!</v>
      </c>
      <c r="K93" s="9">
        <f t="shared" si="4"/>
        <v>9.6302932387895967E-10</v>
      </c>
      <c r="L93" s="9">
        <f t="shared" si="4"/>
        <v>3.1204496767050457E-3</v>
      </c>
      <c r="M93" s="9">
        <f t="shared" si="4"/>
        <v>3.6802022228160924E-2</v>
      </c>
      <c r="N93" s="9">
        <f t="shared" si="4"/>
        <v>1.4650278032856329E-3</v>
      </c>
      <c r="O93" s="9">
        <f t="shared" si="4"/>
        <v>6.3369690862895263E-3</v>
      </c>
      <c r="P93" s="9">
        <f t="shared" si="4"/>
        <v>5.9563677899887538E-3</v>
      </c>
      <c r="Q93" s="34">
        <f t="shared" si="4"/>
        <v>0.24982666359938935</v>
      </c>
      <c r="R93" s="34">
        <f t="shared" si="4"/>
        <v>0.10486157885412596</v>
      </c>
      <c r="S93" s="9">
        <f t="shared" si="4"/>
        <v>2.0443034917022027E-2</v>
      </c>
      <c r="T93" s="9">
        <f t="shared" ref="T93" si="5">T92/T90</f>
        <v>3.4532613296139346E-2</v>
      </c>
      <c r="U93" s="9">
        <f t="shared" ref="U93" si="6">U92/U90</f>
        <v>1.7987879267917988E-2</v>
      </c>
      <c r="V93" s="9">
        <f t="shared" ref="V93" si="7">V92/V90</f>
        <v>0.80833442342003536</v>
      </c>
      <c r="W93" s="9">
        <f t="shared" ref="W93" si="8">W92/W90</f>
        <v>4.9825174775339223E-2</v>
      </c>
      <c r="X93" s="9">
        <f t="shared" ref="X93" si="9">X92/X90</f>
        <v>3.6205052925675628E-2</v>
      </c>
      <c r="Y93" s="9">
        <f t="shared" ref="Y93" si="10">Y92/Y90</f>
        <v>0.13698226760726204</v>
      </c>
      <c r="Z93" s="9">
        <f t="shared" ref="Z93" si="11">Z92/Z90</f>
        <v>4.7705455063422213E-2</v>
      </c>
      <c r="AA93" s="9">
        <f t="shared" ref="AA93" si="12">AA92/AA90</f>
        <v>4.650149271435014E-2</v>
      </c>
      <c r="AB93" s="9">
        <f t="shared" ref="AB93" si="13">AB92/AB90</f>
        <v>4.0895896959955262E-2</v>
      </c>
      <c r="AC93" s="9">
        <f t="shared" ref="AC93" si="14">AC92/AC90</f>
        <v>0.24134866918652861</v>
      </c>
      <c r="AD93" s="9">
        <f t="shared" ref="AD93" si="15">AD92/AD90</f>
        <v>0.13181052131297394</v>
      </c>
      <c r="AE93" s="9">
        <f t="shared" ref="AE93" si="16">AE92/AE90</f>
        <v>5.2087266326587634E-3</v>
      </c>
      <c r="AF93" s="9">
        <f t="shared" ref="AF93" si="17">AF92/AF90</f>
        <v>2.3990428809113278E-2</v>
      </c>
      <c r="AG93" s="9">
        <f t="shared" ref="AG93" si="18">AG92/AG90</f>
        <v>5.3460161607741495E-2</v>
      </c>
      <c r="AH93" s="9">
        <f t="shared" ref="AH93:AI93" si="19">AH92/AH90</f>
        <v>5.6815921626497658E-2</v>
      </c>
      <c r="AI93" s="9">
        <f t="shared" si="19"/>
        <v>0.12560518112474098</v>
      </c>
      <c r="AJ93" s="9">
        <f t="shared" ref="AJ93" si="20">AJ92/AJ90</f>
        <v>6.3983087837361521E-2</v>
      </c>
      <c r="AK93" s="9">
        <f t="shared" ref="AK93" si="21">AK92/AK90</f>
        <v>3.8820377207499937E-2</v>
      </c>
      <c r="AL93" s="9">
        <f t="shared" ref="AL93" si="22">AL92/AL90</f>
        <v>1.6303595850316113E-2</v>
      </c>
      <c r="AM93" s="9">
        <f t="shared" ref="AM93" si="23">AM92/AM90</f>
        <v>5.8475901515166843E-2</v>
      </c>
      <c r="AN93" s="9">
        <f t="shared" ref="AN93" si="24">AN92/AN90</f>
        <v>0.44451532212291983</v>
      </c>
      <c r="AO93" s="9">
        <f t="shared" ref="AO93" si="25">AO92/AO90</f>
        <v>5.8589665592363501E-3</v>
      </c>
      <c r="AP93" s="9">
        <f t="shared" ref="AP93" si="26">AP92/AP90</f>
        <v>1.8939299436812568E-2</v>
      </c>
      <c r="AQ93" s="9">
        <f t="shared" ref="AQ93" si="27">AQ92/AQ90</f>
        <v>0.11831823908498058</v>
      </c>
    </row>
    <row r="94" spans="2:43" x14ac:dyDescent="0.2">
      <c r="B94" s="27" t="s">
        <v>157</v>
      </c>
      <c r="C94" s="9">
        <f>(2*C92)/C90</f>
        <v>0.22731088671545599</v>
      </c>
      <c r="D94" s="9">
        <f t="shared" ref="D94:S94" si="28">(2*D92)/D90</f>
        <v>6.7528446400592967E-2</v>
      </c>
      <c r="E94" s="9">
        <f t="shared" si="28"/>
        <v>5.9010797972598866E-3</v>
      </c>
      <c r="F94" s="9">
        <f t="shared" si="28"/>
        <v>7.6271507504509131E-4</v>
      </c>
      <c r="G94" s="9">
        <f t="shared" si="28"/>
        <v>5.1394439925378482E-2</v>
      </c>
      <c r="H94" s="9">
        <f t="shared" si="28"/>
        <v>6.0971001635840418E-4</v>
      </c>
      <c r="I94" s="9">
        <f t="shared" si="28"/>
        <v>4.6047973623371888E-2</v>
      </c>
      <c r="J94" s="25" t="e">
        <f t="shared" si="28"/>
        <v>#VALUE!</v>
      </c>
      <c r="K94" s="9">
        <f t="shared" si="28"/>
        <v>1.9260586477579193E-9</v>
      </c>
      <c r="L94" s="9">
        <f t="shared" si="28"/>
        <v>6.2408993534100914E-3</v>
      </c>
      <c r="M94" s="9">
        <f t="shared" si="28"/>
        <v>7.3604044456321849E-2</v>
      </c>
      <c r="N94" s="9">
        <f t="shared" si="28"/>
        <v>2.9300556065712659E-3</v>
      </c>
      <c r="O94" s="9">
        <f t="shared" si="28"/>
        <v>1.2673938172579053E-2</v>
      </c>
      <c r="P94" s="9">
        <f t="shared" si="28"/>
        <v>1.1912735579977508E-2</v>
      </c>
      <c r="Q94" s="25">
        <f t="shared" si="28"/>
        <v>0.4996533271987787</v>
      </c>
      <c r="R94" s="25">
        <f t="shared" si="28"/>
        <v>0.20972315770825192</v>
      </c>
      <c r="S94" s="9">
        <f t="shared" si="28"/>
        <v>4.0886069834044053E-2</v>
      </c>
      <c r="T94" s="9">
        <f t="shared" ref="T94:AQ94" si="29">(2*T92)/T90</f>
        <v>6.9065226592278692E-2</v>
      </c>
      <c r="U94" s="9">
        <f t="shared" si="29"/>
        <v>3.5975758535835976E-2</v>
      </c>
      <c r="V94" s="9">
        <f t="shared" si="29"/>
        <v>1.6166688468400707</v>
      </c>
      <c r="W94" s="9">
        <f t="shared" si="29"/>
        <v>9.9650349550678446E-2</v>
      </c>
      <c r="X94" s="9">
        <f t="shared" si="29"/>
        <v>7.2410105851351256E-2</v>
      </c>
      <c r="Y94" s="9">
        <f t="shared" si="29"/>
        <v>0.27396453521452407</v>
      </c>
      <c r="Z94" s="9">
        <f t="shared" si="29"/>
        <v>9.5410910126844425E-2</v>
      </c>
      <c r="AA94" s="9">
        <f t="shared" si="29"/>
        <v>9.300298542870028E-2</v>
      </c>
      <c r="AB94" s="9">
        <f t="shared" si="29"/>
        <v>8.1791793919910524E-2</v>
      </c>
      <c r="AC94" s="9">
        <f t="shared" si="29"/>
        <v>0.48269733837305723</v>
      </c>
      <c r="AD94" s="9">
        <f t="shared" si="29"/>
        <v>0.26362104262594788</v>
      </c>
      <c r="AE94" s="9">
        <f t="shared" si="29"/>
        <v>1.0417453265317527E-2</v>
      </c>
      <c r="AF94" s="9">
        <f t="shared" si="29"/>
        <v>4.7980857618226555E-2</v>
      </c>
      <c r="AG94" s="9">
        <f t="shared" si="29"/>
        <v>0.10692032321548299</v>
      </c>
      <c r="AH94" s="9">
        <f t="shared" si="29"/>
        <v>0.11363184325299532</v>
      </c>
      <c r="AI94" s="9">
        <f t="shared" si="29"/>
        <v>0.25121036224948196</v>
      </c>
      <c r="AJ94" s="9">
        <f t="shared" si="29"/>
        <v>0.12796617567472304</v>
      </c>
      <c r="AK94" s="9">
        <f t="shared" si="29"/>
        <v>7.7640754414999874E-2</v>
      </c>
      <c r="AL94" s="9">
        <f t="shared" si="29"/>
        <v>3.2607191700632226E-2</v>
      </c>
      <c r="AM94" s="9">
        <f t="shared" si="29"/>
        <v>0.11695180303033369</v>
      </c>
      <c r="AN94" s="9">
        <f t="shared" si="29"/>
        <v>0.88903064424583966</v>
      </c>
      <c r="AO94" s="9">
        <f t="shared" si="29"/>
        <v>1.17179331184727E-2</v>
      </c>
      <c r="AP94" s="9">
        <f t="shared" si="29"/>
        <v>3.7878598873625137E-2</v>
      </c>
      <c r="AQ94" s="9">
        <f t="shared" si="29"/>
        <v>0.23663647816996117</v>
      </c>
    </row>
    <row r="95" spans="2:43" x14ac:dyDescent="0.2">
      <c r="B95" s="27"/>
    </row>
    <row r="96" spans="2:43" x14ac:dyDescent="0.2">
      <c r="B96" s="28"/>
    </row>
    <row r="97" spans="2:43" x14ac:dyDescent="0.2">
      <c r="B97" s="29" t="s">
        <v>159</v>
      </c>
      <c r="C97" s="20">
        <v>10.4</v>
      </c>
      <c r="D97" s="20">
        <v>23.5</v>
      </c>
      <c r="E97" s="20">
        <v>4258.3003920682804</v>
      </c>
      <c r="F97" s="20">
        <v>156790.8892417626</v>
      </c>
      <c r="G97" s="20">
        <v>52449.783740842096</v>
      </c>
      <c r="H97" s="20">
        <v>215492.41062512482</v>
      </c>
      <c r="I97" s="20">
        <v>109.1071768245</v>
      </c>
      <c r="J97" s="20">
        <v>298.85407930357241</v>
      </c>
      <c r="K97" s="20">
        <v>44597.021951958915</v>
      </c>
      <c r="L97" s="20">
        <v>32.1</v>
      </c>
      <c r="M97" s="20">
        <v>1726.1248356601766</v>
      </c>
      <c r="N97" s="20">
        <v>189</v>
      </c>
      <c r="O97" s="20">
        <v>1363.0528497117159</v>
      </c>
      <c r="P97" s="20">
        <v>76254.029564055454</v>
      </c>
      <c r="Q97" s="20">
        <v>0.1</v>
      </c>
      <c r="R97" s="20">
        <v>0.40600000000000003</v>
      </c>
      <c r="S97" s="20">
        <v>30</v>
      </c>
      <c r="T97" s="20">
        <v>11.8</v>
      </c>
      <c r="U97" s="20">
        <v>10</v>
      </c>
      <c r="V97" s="20">
        <v>9.9000000000000005E-2</v>
      </c>
      <c r="W97" s="20">
        <v>0.24</v>
      </c>
      <c r="X97" s="20">
        <v>1.06</v>
      </c>
      <c r="Y97" s="20">
        <v>0.121</v>
      </c>
      <c r="Z97" s="20">
        <v>0.45</v>
      </c>
      <c r="AA97" s="20">
        <v>0.1</v>
      </c>
      <c r="AB97" s="20">
        <v>0.78400000000000003</v>
      </c>
      <c r="AC97" s="20">
        <v>0.52500000000000002</v>
      </c>
      <c r="AD97" s="20">
        <v>0.26400000000000001</v>
      </c>
      <c r="AE97" s="20">
        <v>1.17</v>
      </c>
      <c r="AF97" s="20">
        <v>0.248</v>
      </c>
      <c r="AG97" s="20">
        <v>1.98</v>
      </c>
      <c r="AH97" s="20">
        <v>0.443</v>
      </c>
      <c r="AI97" s="20">
        <v>1.4</v>
      </c>
      <c r="AJ97" s="20">
        <v>0.20399999999999999</v>
      </c>
      <c r="AK97" s="20">
        <v>1.41</v>
      </c>
      <c r="AL97" s="20">
        <v>0.20599999999999999</v>
      </c>
      <c r="AM97" s="20">
        <v>0.34899999999999998</v>
      </c>
      <c r="AN97" s="20">
        <v>1.9E-2</v>
      </c>
      <c r="AO97" s="20">
        <v>0.34499999999999997</v>
      </c>
      <c r="AP97" s="20">
        <v>8.0000000000000002E-3</v>
      </c>
      <c r="AQ97" s="20">
        <v>1.21E-2</v>
      </c>
    </row>
    <row r="98" spans="2:43" x14ac:dyDescent="0.2">
      <c r="B98" s="30" t="s">
        <v>163</v>
      </c>
      <c r="C98">
        <f>AVERAGE(C9:C10,C43,C65)</f>
        <v>10.229496918852325</v>
      </c>
      <c r="D98">
        <f>AVERAGE(D9:D10,D43,D65)</f>
        <v>20.142901209048826</v>
      </c>
      <c r="E98">
        <f>AVERAGE(E9:E10,E43,E65)</f>
        <v>4775.5246728452912</v>
      </c>
      <c r="F98">
        <f>AVERAGE(F9:F10,F43,F65)</f>
        <v>168020.63368056627</v>
      </c>
      <c r="G98">
        <f>AVERAGE(G9:G10,G43,G65)</f>
        <v>53342.567087052747</v>
      </c>
      <c r="H98">
        <f>AVERAGE(H9:H10,H43,H65)</f>
        <v>216604.90174361505</v>
      </c>
      <c r="I98">
        <f>AVERAGE(I9:I10,I43,I65)</f>
        <v>83.069435200679038</v>
      </c>
      <c r="J98">
        <f>AVERAGE(J9:J10,J43,J65)</f>
        <v>225.89126677780507</v>
      </c>
      <c r="K98">
        <f>AVERAGE(K9:K10,K43,K65)</f>
        <v>44597.424783352282</v>
      </c>
      <c r="L98">
        <f>AVERAGE(L9:L10,L43,L65)</f>
        <v>31.163817449642604</v>
      </c>
      <c r="M98">
        <f>AVERAGE(M9:M10,M43,M65)</f>
        <v>1731.5785335513499</v>
      </c>
      <c r="N98">
        <f>AVERAGE(N9:N10,N43,N65)</f>
        <v>192.20454184732475</v>
      </c>
      <c r="O98">
        <f>AVERAGE(O9:O10,O43,O65)</f>
        <v>1462.3480874014231</v>
      </c>
      <c r="P98">
        <f>AVERAGE(P9:P10,P43,P65)</f>
        <v>82280.820546657924</v>
      </c>
      <c r="Q98">
        <f>AVERAGE(Q9:Q10,Q43,Q65)</f>
        <v>0.13570488420623139</v>
      </c>
      <c r="R98">
        <f>AVERAGE(R9:R10,R43,R65)</f>
        <v>0.40241009726285626</v>
      </c>
      <c r="S98">
        <f>AVERAGE(S9:S10,S43,S65)</f>
        <v>30.561016245003394</v>
      </c>
      <c r="T98">
        <f>AVERAGE(T9:T10,T43,T65)</f>
        <v>11.358489240220194</v>
      </c>
      <c r="U98">
        <f>AVERAGE(U9:U10,U43,U65)</f>
        <v>9.5186559911199033</v>
      </c>
      <c r="V98">
        <f>AVERAGE(V9:V10,V43,V65)</f>
        <v>0.10223737311286926</v>
      </c>
      <c r="W98">
        <f>AVERAGE(W9:W10,W43,W65)</f>
        <v>0.20807557270619997</v>
      </c>
      <c r="X98">
        <f>AVERAGE(X9:X10,X43,X65)</f>
        <v>1.0782395942800846</v>
      </c>
      <c r="Y98">
        <f>AVERAGE(Y9:Y10,Y43,Y65)</f>
        <v>0.11019000456555215</v>
      </c>
      <c r="Z98">
        <f>AVERAGE(Z9:Z10,Z43,Z65)</f>
        <v>0.44322730131735771</v>
      </c>
      <c r="AA98">
        <f>AVERAGE(AA9:AA10,AA43,AA65)</f>
        <v>8.7566673192698452E-2</v>
      </c>
      <c r="AB98">
        <f>AVERAGE(AB9:AB10,AB43,AB65)</f>
        <v>0.71529401549289362</v>
      </c>
      <c r="AC98">
        <f>AVERAGE(AC9:AC10,AC43,AC65)</f>
        <v>0.50569433322984014</v>
      </c>
      <c r="AD98">
        <f>AVERAGE(AD9:AD10,AD43,AD65)</f>
        <v>0.26920166836657383</v>
      </c>
      <c r="AE98">
        <f>AVERAGE(AE9:AE10,AE43,AE65)</f>
        <v>1.2152188028691473</v>
      </c>
      <c r="AF98">
        <f>AVERAGE(AF9:AF10,AF43,AF65)</f>
        <v>0.23529256176180641</v>
      </c>
      <c r="AG98">
        <f>AVERAGE(AG9:AG10,AG43,AG65)</f>
        <v>1.8648182586665956</v>
      </c>
      <c r="AH98">
        <f>AVERAGE(AH9:AH10,AH43,AH65)</f>
        <v>0.4246122416626294</v>
      </c>
      <c r="AI98">
        <f>AVERAGE(AI9:AI10,AI43,AI65)</f>
        <v>1.3721007840003603</v>
      </c>
      <c r="AJ98">
        <f>AVERAGE(AJ9:AJ10,AJ43,AJ65)</f>
        <v>0.18700443373144923</v>
      </c>
      <c r="AK98">
        <f>AVERAGE(AK9:AK10,AK43,AK65)</f>
        <v>1.2840906267185317</v>
      </c>
      <c r="AL98">
        <f>AVERAGE(AL9:AL10,AL43,AL65)</f>
        <v>0.19253072846606775</v>
      </c>
      <c r="AM98">
        <f>AVERAGE(AM9:AM10,AM43,AM65)</f>
        <v>0.3657340673350592</v>
      </c>
      <c r="AN98">
        <f>AVERAGE(AN9:AN10,AN43,AN65)</f>
        <v>1.7492562275098916E-2</v>
      </c>
      <c r="AO98">
        <f>AVERAGE(AO9:AO10,AO43,AO65)</f>
        <v>0.30926998080061963</v>
      </c>
      <c r="AP98">
        <f>AVERAGE(AP9:AP10,AP43,AP65)</f>
        <v>4.4103891339986332E-3</v>
      </c>
      <c r="AQ98">
        <f>AVERAGE(AQ9:AQ10,AQ43,AQ65)</f>
        <v>8.4397566715936918E-3</v>
      </c>
    </row>
    <row r="99" spans="2:43" x14ac:dyDescent="0.2">
      <c r="B99" s="27" t="s">
        <v>156</v>
      </c>
      <c r="C99" s="9">
        <f>ABS(C98-C97)/C97</f>
        <v>1.639452703343032E-2</v>
      </c>
      <c r="D99" s="9">
        <f t="shared" ref="D99:AQ99" si="30">ABS(D98-D97)/D97</f>
        <v>0.14285526770004994</v>
      </c>
      <c r="E99" s="9">
        <f t="shared" si="30"/>
        <v>0.12146261023304465</v>
      </c>
      <c r="F99" s="9">
        <f t="shared" si="30"/>
        <v>7.1622429677581853E-2</v>
      </c>
      <c r="G99" s="9">
        <f t="shared" si="30"/>
        <v>1.7021678308950759E-2</v>
      </c>
      <c r="H99" s="9">
        <f t="shared" si="30"/>
        <v>5.1625535918549985E-3</v>
      </c>
      <c r="I99" s="9">
        <f t="shared" si="30"/>
        <v>0.23864371145541538</v>
      </c>
      <c r="J99" s="9">
        <f t="shared" si="30"/>
        <v>0.24414193273116602</v>
      </c>
      <c r="K99" s="9">
        <f t="shared" si="30"/>
        <v>9.0326971563423353E-6</v>
      </c>
      <c r="L99" s="9">
        <f t="shared" si="30"/>
        <v>2.9164565431694624E-2</v>
      </c>
      <c r="M99" s="9">
        <f t="shared" si="30"/>
        <v>3.1595037499634118E-3</v>
      </c>
      <c r="N99" s="9">
        <f t="shared" si="30"/>
        <v>1.6955247869443111E-2</v>
      </c>
      <c r="O99" s="9">
        <f t="shared" si="30"/>
        <v>7.2847679905227433E-2</v>
      </c>
      <c r="P99" s="9">
        <f t="shared" si="30"/>
        <v>7.9035704959562844E-2</v>
      </c>
      <c r="Q99" s="9">
        <f t="shared" si="30"/>
        <v>0.35704884206231385</v>
      </c>
      <c r="R99" s="9">
        <f t="shared" si="30"/>
        <v>8.8421249683344055E-3</v>
      </c>
      <c r="S99" s="9">
        <f t="shared" si="30"/>
        <v>1.8700541500113133E-2</v>
      </c>
      <c r="T99" s="9">
        <f t="shared" si="30"/>
        <v>3.7416166083034427E-2</v>
      </c>
      <c r="U99" s="9">
        <f t="shared" si="30"/>
        <v>4.8134400888009667E-2</v>
      </c>
      <c r="V99" s="9">
        <f t="shared" si="30"/>
        <v>3.2700738513830881E-2</v>
      </c>
      <c r="W99" s="9">
        <f t="shared" si="30"/>
        <v>0.13301844705750007</v>
      </c>
      <c r="X99" s="9">
        <f t="shared" si="30"/>
        <v>1.7207164415174142E-2</v>
      </c>
      <c r="Y99" s="9">
        <f t="shared" si="30"/>
        <v>8.9338805243370595E-2</v>
      </c>
      <c r="Z99" s="9">
        <f t="shared" si="30"/>
        <v>1.5050441516982883E-2</v>
      </c>
      <c r="AA99" s="9">
        <f t="shared" si="30"/>
        <v>0.12433326807301553</v>
      </c>
      <c r="AB99" s="9">
        <f t="shared" si="30"/>
        <v>8.7635184320288786E-2</v>
      </c>
      <c r="AC99" s="9">
        <f t="shared" si="30"/>
        <v>3.677269860982834E-2</v>
      </c>
      <c r="AD99" s="9">
        <f t="shared" si="30"/>
        <v>1.9703289267325074E-2</v>
      </c>
      <c r="AE99" s="9">
        <f t="shared" si="30"/>
        <v>3.8648549460809721E-2</v>
      </c>
      <c r="AF99" s="9">
        <f t="shared" si="30"/>
        <v>5.1239670315296741E-2</v>
      </c>
      <c r="AG99" s="9">
        <f t="shared" si="30"/>
        <v>5.8172596633032536E-2</v>
      </c>
      <c r="AH99" s="9">
        <f t="shared" si="30"/>
        <v>4.1507355163364804E-2</v>
      </c>
      <c r="AI99" s="9">
        <f t="shared" si="30"/>
        <v>1.9928011428314019E-2</v>
      </c>
      <c r="AJ99" s="9">
        <f t="shared" si="30"/>
        <v>8.3311599355640961E-2</v>
      </c>
      <c r="AK99" s="9">
        <f t="shared" si="30"/>
        <v>8.9297427859197337E-2</v>
      </c>
      <c r="AL99" s="9">
        <f t="shared" si="30"/>
        <v>6.5384813271515713E-2</v>
      </c>
      <c r="AM99" s="9">
        <f t="shared" si="30"/>
        <v>4.7948617005900349E-2</v>
      </c>
      <c r="AN99" s="9">
        <f t="shared" si="30"/>
        <v>7.9338827626372843E-2</v>
      </c>
      <c r="AO99" s="9">
        <f t="shared" si="30"/>
        <v>0.10356527304168217</v>
      </c>
      <c r="AP99" s="9">
        <f t="shared" si="30"/>
        <v>0.44870135825017088</v>
      </c>
      <c r="AQ99" s="9">
        <f t="shared" si="30"/>
        <v>0.30249944862862049</v>
      </c>
    </row>
    <row r="100" spans="2:43" x14ac:dyDescent="0.2">
      <c r="B100" s="27" t="s">
        <v>148</v>
      </c>
      <c r="C100">
        <f>STDEV(C9:C10,C43,C65)</f>
        <v>0.89559899019757083</v>
      </c>
      <c r="D100">
        <f>STDEV(D9:D10,D43,D65)</f>
        <v>2.2390212217735863</v>
      </c>
      <c r="E100">
        <f>STDEV(E9:E10,E43,E65)</f>
        <v>424.57155674806529</v>
      </c>
      <c r="F100">
        <f>STDEV(F9:F10,F43,F65)</f>
        <v>28704.582971207205</v>
      </c>
      <c r="G100">
        <f>STDEV(G9:G10,G43,G65)</f>
        <v>2323.118134411588</v>
      </c>
      <c r="H100">
        <f>STDEV(H9:H10,H43,H65)</f>
        <v>21040.660088096</v>
      </c>
      <c r="I100">
        <f>STDEV(I9:I10,I43,I65)</f>
        <v>6.7255508463169509</v>
      </c>
      <c r="J100">
        <f>STDEV(J9:J10,J43,J65)</f>
        <v>22.337117470764849</v>
      </c>
      <c r="K100">
        <f>STDEV(K9:K10,K43,K65)</f>
        <v>4.2482583539800939E-3</v>
      </c>
      <c r="L100">
        <f>STDEV(L9:L10,L43,L65)</f>
        <v>1.4047332184981898</v>
      </c>
      <c r="M100">
        <f>STDEV(M9:M10,M43,M65)</f>
        <v>34.25365143687177</v>
      </c>
      <c r="N100">
        <f>STDEV(N9:N10,N43,N65)</f>
        <v>7.46496133874256</v>
      </c>
      <c r="O100">
        <f>STDEV(O9:O10,O43,O65)</f>
        <v>75.049850242658692</v>
      </c>
      <c r="P100">
        <f>STDEV(P9:P10,P43,P65)</f>
        <v>5013.3263384261436</v>
      </c>
      <c r="Q100">
        <f>STDEV(Q9:Q10,Q43,Q65)</f>
        <v>7.6851407314664819E-2</v>
      </c>
      <c r="R100">
        <f>STDEV(R9:R10,R43,R65)</f>
        <v>6.3534997180132086E-2</v>
      </c>
      <c r="S100">
        <f>STDEV(S9:S10,S43,S65)</f>
        <v>1.2324203589805904</v>
      </c>
      <c r="T100">
        <f>STDEV(T9:T10,T43,T65)</f>
        <v>0.42756769625814961</v>
      </c>
      <c r="U100">
        <f>STDEV(U9:U10,U43,U65)</f>
        <v>0.41174287913008195</v>
      </c>
      <c r="V100">
        <f>STDEV(V9:V10,V43,V65)</f>
        <v>1.8335622499377788E-2</v>
      </c>
      <c r="W100">
        <f>STDEV(W9:W10,W43,W65)</f>
        <v>1.5859231669712533E-2</v>
      </c>
      <c r="X100">
        <f>STDEV(X9:X10,X43,X65)</f>
        <v>0.10661390554624026</v>
      </c>
      <c r="Y100">
        <f>STDEV(Y9:Y10,Y43,Y65)</f>
        <v>6.1703861270301728E-3</v>
      </c>
      <c r="Z100">
        <f>STDEV(Z9:Z10,Z43,Z65)</f>
        <v>2.3934985012646556E-2</v>
      </c>
      <c r="AA100">
        <f>STDEV(AA9:AA10,AA43,AA65)</f>
        <v>9.737207948981752E-3</v>
      </c>
      <c r="AB100">
        <f>STDEV(AB9:AB10,AB43,AB65)</f>
        <v>3.9589650165107321E-2</v>
      </c>
      <c r="AC100">
        <f>STDEV(AC9:AC10,AC43,AC65)</f>
        <v>4.666071693153738E-2</v>
      </c>
      <c r="AD100">
        <f>STDEV(AD9:AD10,AD43,AD65)</f>
        <v>1.5537614117768104E-2</v>
      </c>
      <c r="AE100">
        <f>STDEV(AE9:AE10,AE43,AE65)</f>
        <v>0.1198356011926226</v>
      </c>
      <c r="AF100">
        <f>STDEV(AF9:AF10,AF43,AF65)</f>
        <v>8.1284518577063505E-3</v>
      </c>
      <c r="AG100">
        <f>STDEV(AG9:AG10,AG43,AG65)</f>
        <v>5.6907671003444016E-2</v>
      </c>
      <c r="AH100">
        <f>STDEV(AH9:AH10,AH43,AH65)</f>
        <v>3.4823393175883829E-2</v>
      </c>
      <c r="AI100">
        <f>STDEV(AI9:AI10,AI43,AI65)</f>
        <v>4.2800494374058883E-2</v>
      </c>
      <c r="AJ100">
        <f>STDEV(AJ9:AJ10,AJ43,AJ65)</f>
        <v>2.8801585434707143E-2</v>
      </c>
      <c r="AK100">
        <f>STDEV(AK9:AK10,AK43,AK65)</f>
        <v>0.10704893010952689</v>
      </c>
      <c r="AL100">
        <f>STDEV(AL9:AL10,AL43,AL65)</f>
        <v>3.0294703819881242E-2</v>
      </c>
      <c r="AM100">
        <f>STDEV(AM9:AM10,AM43,AM65)</f>
        <v>4.2324846775114139E-2</v>
      </c>
      <c r="AN100">
        <f>STDEV(AN9:AN10,AN43,AN65)</f>
        <v>5.8758408589057974E-4</v>
      </c>
      <c r="AO100">
        <f>STDEV(AO9:AO10,AO43,AO65)</f>
        <v>4.9477659924453323E-3</v>
      </c>
      <c r="AP100">
        <f>STDEV(AP9:AP10,AP43,AP65)</f>
        <v>6.9045637233306817E-3</v>
      </c>
      <c r="AQ100">
        <f>STDEV(AQ9:AQ10,AQ43,AQ65)</f>
        <v>3.0452498288897575E-3</v>
      </c>
    </row>
    <row r="101" spans="2:43" x14ac:dyDescent="0.2">
      <c r="B101" s="27" t="s">
        <v>150</v>
      </c>
      <c r="C101" s="9">
        <f>C100/C98</f>
        <v>8.7550638834157882E-2</v>
      </c>
      <c r="D101" s="9">
        <f t="shared" ref="D101:AQ101" si="31">D100/D98</f>
        <v>0.11115683875606495</v>
      </c>
      <c r="E101" s="9">
        <f t="shared" si="31"/>
        <v>8.8905740381213974E-2</v>
      </c>
      <c r="F101" s="9">
        <f t="shared" si="31"/>
        <v>0.17083963048121306</v>
      </c>
      <c r="G101" s="9">
        <f t="shared" si="31"/>
        <v>4.3550924923061174E-2</v>
      </c>
      <c r="H101" s="9">
        <f t="shared" si="31"/>
        <v>9.7138430011158433E-2</v>
      </c>
      <c r="I101" s="9">
        <f t="shared" si="31"/>
        <v>8.096300197623077E-2</v>
      </c>
      <c r="J101" s="9">
        <f t="shared" si="31"/>
        <v>9.8884378264771325E-2</v>
      </c>
      <c r="K101" s="9">
        <f t="shared" si="31"/>
        <v>9.5257929681310235E-8</v>
      </c>
      <c r="L101" s="9">
        <f t="shared" si="31"/>
        <v>4.5075774839462089E-2</v>
      </c>
      <c r="M101" s="9">
        <f t="shared" si="31"/>
        <v>1.9781748718390415E-2</v>
      </c>
      <c r="N101" s="9">
        <f t="shared" si="31"/>
        <v>3.8838631319504706E-2</v>
      </c>
      <c r="O101" s="9">
        <f t="shared" si="31"/>
        <v>5.1321467774489642E-2</v>
      </c>
      <c r="P101" s="9">
        <f t="shared" si="31"/>
        <v>6.0929464547370443E-2</v>
      </c>
      <c r="Q101" s="9">
        <f t="shared" si="31"/>
        <v>0.56631275848460505</v>
      </c>
      <c r="R101" s="9">
        <f t="shared" si="31"/>
        <v>0.15788619026284201</v>
      </c>
      <c r="S101" s="9">
        <f t="shared" si="31"/>
        <v>4.032655030514852E-2</v>
      </c>
      <c r="T101" s="9">
        <f t="shared" si="31"/>
        <v>3.7643007552812614E-2</v>
      </c>
      <c r="U101" s="9">
        <f t="shared" si="31"/>
        <v>4.325640925716856E-2</v>
      </c>
      <c r="V101" s="9">
        <f t="shared" si="31"/>
        <v>0.17934363864313496</v>
      </c>
      <c r="W101" s="9">
        <f t="shared" si="31"/>
        <v>7.6218613571260307E-2</v>
      </c>
      <c r="X101" s="9">
        <f t="shared" si="31"/>
        <v>9.8877750466420097E-2</v>
      </c>
      <c r="Y101" s="9">
        <f t="shared" si="31"/>
        <v>5.5997693723294141E-2</v>
      </c>
      <c r="Z101" s="9">
        <f t="shared" si="31"/>
        <v>5.400160355985998E-2</v>
      </c>
      <c r="AA101" s="9">
        <f t="shared" si="31"/>
        <v>0.11119764625012232</v>
      </c>
      <c r="AB101" s="9">
        <f t="shared" si="31"/>
        <v>5.534738066811163E-2</v>
      </c>
      <c r="AC101" s="9">
        <f t="shared" si="31"/>
        <v>9.22705948344687E-2</v>
      </c>
      <c r="AD101" s="9">
        <f t="shared" si="31"/>
        <v>5.7717376760869195E-2</v>
      </c>
      <c r="AE101" s="9">
        <f t="shared" si="31"/>
        <v>9.8612365863405993E-2</v>
      </c>
      <c r="AF101" s="9">
        <f t="shared" si="31"/>
        <v>3.4546148832086843E-2</v>
      </c>
      <c r="AG101" s="9">
        <f t="shared" si="31"/>
        <v>3.0516470298899159E-2</v>
      </c>
      <c r="AH101" s="9">
        <f t="shared" si="31"/>
        <v>8.2012221408238023E-2</v>
      </c>
      <c r="AI101" s="9">
        <f t="shared" si="31"/>
        <v>3.1193404211368517E-2</v>
      </c>
      <c r="AJ101" s="9">
        <f t="shared" si="31"/>
        <v>0.15401552177136146</v>
      </c>
      <c r="AK101" s="9">
        <f t="shared" si="31"/>
        <v>8.3365556824511924E-2</v>
      </c>
      <c r="AL101" s="9">
        <f t="shared" si="31"/>
        <v>0.15734996725585276</v>
      </c>
      <c r="AM101" s="9">
        <f t="shared" si="31"/>
        <v>0.11572574325251239</v>
      </c>
      <c r="AN101" s="9">
        <f t="shared" si="31"/>
        <v>3.3590509877847903E-2</v>
      </c>
      <c r="AO101" s="9">
        <f t="shared" si="31"/>
        <v>1.5998209653704028E-2</v>
      </c>
      <c r="AP101" s="9">
        <f t="shared" si="31"/>
        <v>1.5655225680892995</v>
      </c>
      <c r="AQ101" s="9">
        <f t="shared" si="31"/>
        <v>0.36082199373583579</v>
      </c>
    </row>
    <row r="102" spans="2:43" x14ac:dyDescent="0.2">
      <c r="B102" s="27" t="s">
        <v>157</v>
      </c>
      <c r="C102" s="9">
        <f>2*C100/C98</f>
        <v>0.17510127766831576</v>
      </c>
      <c r="D102" s="9">
        <f t="shared" ref="D102:AQ102" si="32">2*D100/D98</f>
        <v>0.22231367751212991</v>
      </c>
      <c r="E102" s="9">
        <f t="shared" si="32"/>
        <v>0.17781148076242795</v>
      </c>
      <c r="F102" s="9">
        <f t="shared" si="32"/>
        <v>0.34167926096242612</v>
      </c>
      <c r="G102" s="9">
        <f t="shared" si="32"/>
        <v>8.7101849846122348E-2</v>
      </c>
      <c r="H102" s="9">
        <f t="shared" si="32"/>
        <v>0.19427686002231687</v>
      </c>
      <c r="I102" s="9">
        <f t="shared" si="32"/>
        <v>0.16192600395246154</v>
      </c>
      <c r="J102" s="9">
        <f t="shared" si="32"/>
        <v>0.19776875652954265</v>
      </c>
      <c r="K102" s="9">
        <f t="shared" si="32"/>
        <v>1.9051585936262047E-7</v>
      </c>
      <c r="L102" s="9">
        <f t="shared" si="32"/>
        <v>9.0151549678924178E-2</v>
      </c>
      <c r="M102" s="9">
        <f t="shared" si="32"/>
        <v>3.956349743678083E-2</v>
      </c>
      <c r="N102" s="9">
        <f t="shared" si="32"/>
        <v>7.7677262639009412E-2</v>
      </c>
      <c r="O102" s="9">
        <f t="shared" si="32"/>
        <v>0.10264293554897928</v>
      </c>
      <c r="P102" s="9">
        <f t="shared" si="32"/>
        <v>0.12185892909474089</v>
      </c>
      <c r="Q102" s="9">
        <f t="shared" si="32"/>
        <v>1.1326255169692101</v>
      </c>
      <c r="R102" s="9">
        <f t="shared" si="32"/>
        <v>0.31577238052568402</v>
      </c>
      <c r="S102" s="9">
        <f t="shared" si="32"/>
        <v>8.065310061029704E-2</v>
      </c>
      <c r="T102" s="9">
        <f t="shared" si="32"/>
        <v>7.5286015105625229E-2</v>
      </c>
      <c r="U102" s="9">
        <f t="shared" si="32"/>
        <v>8.651281851433712E-2</v>
      </c>
      <c r="V102" s="9">
        <f t="shared" si="32"/>
        <v>0.35868727728626992</v>
      </c>
      <c r="W102" s="9">
        <f t="shared" si="32"/>
        <v>0.15243722714252061</v>
      </c>
      <c r="X102" s="9">
        <f t="shared" si="32"/>
        <v>0.19775550093284019</v>
      </c>
      <c r="Y102" s="9">
        <f t="shared" si="32"/>
        <v>0.11199538744658828</v>
      </c>
      <c r="Z102" s="9">
        <f t="shared" si="32"/>
        <v>0.10800320711971996</v>
      </c>
      <c r="AA102" s="9">
        <f t="shared" si="32"/>
        <v>0.22239529250024465</v>
      </c>
      <c r="AB102" s="9">
        <f t="shared" si="32"/>
        <v>0.11069476133622326</v>
      </c>
      <c r="AC102" s="9">
        <f t="shared" si="32"/>
        <v>0.1845411896689374</v>
      </c>
      <c r="AD102" s="9">
        <f t="shared" si="32"/>
        <v>0.11543475352173839</v>
      </c>
      <c r="AE102" s="9">
        <f t="shared" si="32"/>
        <v>0.19722473172681199</v>
      </c>
      <c r="AF102" s="9">
        <f t="shared" si="32"/>
        <v>6.9092297664173685E-2</v>
      </c>
      <c r="AG102" s="9">
        <f t="shared" si="32"/>
        <v>6.1032940597798319E-2</v>
      </c>
      <c r="AH102" s="9">
        <f t="shared" si="32"/>
        <v>0.16402444281647605</v>
      </c>
      <c r="AI102" s="9">
        <f t="shared" si="32"/>
        <v>6.2386808422737035E-2</v>
      </c>
      <c r="AJ102" s="9">
        <f t="shared" si="32"/>
        <v>0.30803104354272293</v>
      </c>
      <c r="AK102" s="9">
        <f t="shared" si="32"/>
        <v>0.16673111364902385</v>
      </c>
      <c r="AL102" s="9">
        <f t="shared" si="32"/>
        <v>0.31469993451170553</v>
      </c>
      <c r="AM102" s="9">
        <f t="shared" si="32"/>
        <v>0.23145148650502478</v>
      </c>
      <c r="AN102" s="9">
        <f t="shared" si="32"/>
        <v>6.7181019755695806E-2</v>
      </c>
      <c r="AO102" s="9">
        <f t="shared" si="32"/>
        <v>3.1996419307408056E-2</v>
      </c>
      <c r="AP102" s="9">
        <f t="shared" si="32"/>
        <v>3.1310451361785989</v>
      </c>
      <c r="AQ102" s="9">
        <f t="shared" si="32"/>
        <v>0.72164398747167158</v>
      </c>
    </row>
    <row r="103" spans="2:43" x14ac:dyDescent="0.2">
      <c r="B103" s="27"/>
    </row>
    <row r="104" spans="2:43" x14ac:dyDescent="0.2">
      <c r="B104" s="27"/>
    </row>
    <row r="105" spans="2:43" x14ac:dyDescent="0.2">
      <c r="B105" s="31" t="s">
        <v>160</v>
      </c>
      <c r="C105" s="8">
        <v>8.9</v>
      </c>
      <c r="D105" s="8">
        <v>17.2</v>
      </c>
      <c r="E105" s="8">
        <v>6157.4726923635417</v>
      </c>
      <c r="F105" s="8">
        <v>135081.38150059545</v>
      </c>
      <c r="G105" s="8">
        <v>58218.730691146622</v>
      </c>
      <c r="H105" s="8">
        <v>212687.73716796481</v>
      </c>
      <c r="I105" s="8">
        <v>157.11433462727999</v>
      </c>
      <c r="J105" s="8">
        <v>255.68626784861195</v>
      </c>
      <c r="K105" s="8">
        <v>60391.800559944357</v>
      </c>
      <c r="L105" s="8">
        <v>36.5</v>
      </c>
      <c r="M105" s="8">
        <v>1834.0076378889378</v>
      </c>
      <c r="N105" s="8">
        <v>214</v>
      </c>
      <c r="O105" s="8">
        <v>1192.6712434977514</v>
      </c>
      <c r="P105" s="8">
        <v>78508.226156672783</v>
      </c>
      <c r="Q105" s="8">
        <v>0.16</v>
      </c>
      <c r="R105" s="8">
        <v>2.1</v>
      </c>
      <c r="S105" s="8">
        <v>15.3</v>
      </c>
      <c r="T105" s="8">
        <v>12.9</v>
      </c>
      <c r="U105" s="8">
        <v>9.9</v>
      </c>
      <c r="V105" s="8">
        <v>7.2999999999999995E-2</v>
      </c>
      <c r="W105" s="8">
        <v>7.45</v>
      </c>
      <c r="X105" s="8">
        <v>0.81499999999999995</v>
      </c>
      <c r="Y105" s="8">
        <v>8.4199999999999997E-2</v>
      </c>
      <c r="Z105" s="8">
        <v>0.39300000000000002</v>
      </c>
      <c r="AA105" s="8">
        <v>8.8999999999999996E-2</v>
      </c>
      <c r="AB105" s="8">
        <v>0.68899999999999995</v>
      </c>
      <c r="AC105" s="8">
        <v>0.50800000000000001</v>
      </c>
      <c r="AD105" s="8">
        <v>0.255</v>
      </c>
      <c r="AE105" s="8">
        <v>1.19</v>
      </c>
      <c r="AF105" s="8">
        <v>0.26900000000000002</v>
      </c>
      <c r="AG105" s="8">
        <v>2.15</v>
      </c>
      <c r="AH105" s="8">
        <v>0.50700000000000001</v>
      </c>
      <c r="AI105" s="8">
        <v>1.56</v>
      </c>
      <c r="AJ105" s="8">
        <v>0.23400000000000001</v>
      </c>
      <c r="AK105" s="8">
        <v>1.61</v>
      </c>
      <c r="AL105" s="8">
        <v>0.23699999999999999</v>
      </c>
      <c r="AM105" s="8">
        <v>0.35699999999999998</v>
      </c>
      <c r="AN105" s="8">
        <v>3.1E-2</v>
      </c>
      <c r="AO105" s="8">
        <v>19.5</v>
      </c>
      <c r="AP105" s="8">
        <v>8.9999999999999993E-3</v>
      </c>
      <c r="AQ105" s="8">
        <v>4.8000000000000001E-2</v>
      </c>
    </row>
    <row r="106" spans="2:43" x14ac:dyDescent="0.2">
      <c r="B106" s="30" t="s">
        <v>164</v>
      </c>
      <c r="C106">
        <f>AVERAGE(C7:C8,C39,C64)</f>
        <v>9.1461372364476894</v>
      </c>
      <c r="D106">
        <f>AVERAGE(D7:D8,D39,D64)</f>
        <v>16.029951264339893</v>
      </c>
      <c r="E106">
        <f>AVERAGE(E7:E8,E39,E64)</f>
        <v>6545.5523736729065</v>
      </c>
      <c r="F106">
        <f>AVERAGE(F7:F8,F39,F64)</f>
        <v>143025.41488272059</v>
      </c>
      <c r="G106">
        <f>AVERAGE(G7:G8,G39,G64)</f>
        <v>57434.250411098023</v>
      </c>
      <c r="H106">
        <f>AVERAGE(H7:H8,H39,H64)</f>
        <v>209993.31426845019</v>
      </c>
      <c r="I106">
        <f>AVERAGE(I7:I8,I39,I64)</f>
        <v>114.79845564426208</v>
      </c>
      <c r="J106">
        <f>AVERAGE(J7:J8,J39,J64)</f>
        <v>173.79556930482778</v>
      </c>
      <c r="K106">
        <f>AVERAGE(K7:K8,K39,K64)</f>
        <v>60392.351396571459</v>
      </c>
      <c r="L106">
        <f>AVERAGE(L7:L8,L39,L64)</f>
        <v>35.18192365180893</v>
      </c>
      <c r="M106">
        <f>AVERAGE(M7:M8,M39,M64)</f>
        <v>1796.3567980277562</v>
      </c>
      <c r="N106">
        <f>AVERAGE(N7:N8,N39,N64)</f>
        <v>231.19542245320238</v>
      </c>
      <c r="O106">
        <f>AVERAGE(O7:O8,O39,O64)</f>
        <v>1264.8392624959256</v>
      </c>
      <c r="P106">
        <f>AVERAGE(P7:P8,P39,P64)</f>
        <v>84994.387908263816</v>
      </c>
      <c r="Q106">
        <f>AVERAGE(Q7:Q8,Q39,Q64)</f>
        <v>0.15482245638716824</v>
      </c>
      <c r="R106">
        <f>AVERAGE(R7:R8,R39,R64)</f>
        <v>2.1809986073250545</v>
      </c>
      <c r="S106">
        <f>AVERAGE(S7:S8,S39,S64)</f>
        <v>15.510109886168367</v>
      </c>
      <c r="T106">
        <f>AVERAGE(T7:T8,T39,T64)</f>
        <v>12.851000461482837</v>
      </c>
      <c r="U106">
        <f>AVERAGE(U7:U8,U39,U64)</f>
        <v>9.6597740419812492</v>
      </c>
      <c r="V106">
        <f>AVERAGE(V7:V8,V39,V64)</f>
        <v>4.6864726163755976E-2</v>
      </c>
      <c r="W106">
        <f>AVERAGE(W7:W8,W39,W64)</f>
        <v>7.8268872464022845</v>
      </c>
      <c r="X106">
        <f>AVERAGE(X7:X8,X39,X64)</f>
        <v>0.78317777226650231</v>
      </c>
      <c r="Y106">
        <f>AVERAGE(Y7:Y8,Y39,Y64)</f>
        <v>8.9079157081175739E-2</v>
      </c>
      <c r="Z106">
        <f>AVERAGE(Z7:Z8,Z39,Z64)</f>
        <v>0.34278232194415859</v>
      </c>
      <c r="AA106">
        <f>AVERAGE(AA7:AA8,AA39,AA64)</f>
        <v>8.598671648692105E-2</v>
      </c>
      <c r="AB106">
        <f>AVERAGE(AB7:AB8,AB39,AB64)</f>
        <v>0.62106285516945714</v>
      </c>
      <c r="AC106">
        <f>AVERAGE(AC7:AC8,AC39,AC64)</f>
        <v>0.50657472760274602</v>
      </c>
      <c r="AD106">
        <f>AVERAGE(AD7:AD8,AD39,AD64)</f>
        <v>0.26896139673716568</v>
      </c>
      <c r="AE106">
        <f>AVERAGE(AE7:AE8,AE39,AE64)</f>
        <v>1.1954989231197004</v>
      </c>
      <c r="AF106">
        <f>AVERAGE(AF7:AF8,AF39,AF64)</f>
        <v>0.24576356343171216</v>
      </c>
      <c r="AG106">
        <f>AVERAGE(AG7:AG8,AG39,AG64)</f>
        <v>2.081457951642423</v>
      </c>
      <c r="AH106">
        <f>AVERAGE(AH7:AH8,AH39,AH64)</f>
        <v>0.48413746274439523</v>
      </c>
      <c r="AI106">
        <f>AVERAGE(AI7:AI8,AI39,AI64)</f>
        <v>1.5705835244783195</v>
      </c>
      <c r="AJ106">
        <f>AVERAGE(AJ7:AJ8,AJ39,AJ64)</f>
        <v>0.22178373596593115</v>
      </c>
      <c r="AK106">
        <f>AVERAGE(AK7:AK8,AK39,AK64)</f>
        <v>1.4612251804197154</v>
      </c>
      <c r="AL106">
        <f>AVERAGE(AL7:AL8,AL39,AL64)</f>
        <v>0.22213901867938782</v>
      </c>
      <c r="AM106">
        <f>AVERAGE(AM7:AM8,AM39,AM64)</f>
        <v>0.35138103539683124</v>
      </c>
      <c r="AN106">
        <f>AVERAGE(AN7:AN8,AN39,AN64)</f>
        <v>2.5315162281844564E-2</v>
      </c>
      <c r="AO106">
        <f>AVERAGE(AO7:AO8,AO39,AO64)</f>
        <v>22.07755535582276</v>
      </c>
      <c r="AP106">
        <f>AVERAGE(AP7:AP8,AP39,AP64)</f>
        <v>3.2948257319081464E-3</v>
      </c>
      <c r="AQ106">
        <f>AVERAGE(AQ7:AQ8,AQ39,AQ64)</f>
        <v>5.9893932576428693E-2</v>
      </c>
    </row>
    <row r="107" spans="2:43" x14ac:dyDescent="0.2">
      <c r="B107" s="27" t="s">
        <v>156</v>
      </c>
      <c r="C107" s="9">
        <f>ABS(C106-C105)/C105</f>
        <v>2.7655869263785285E-2</v>
      </c>
      <c r="D107" s="9">
        <f t="shared" ref="D107:AQ107" si="33">ABS(D106-D105)/D105</f>
        <v>6.8026089282564345E-2</v>
      </c>
      <c r="E107" s="9">
        <f t="shared" si="33"/>
        <v>6.3025806316714769E-2</v>
      </c>
      <c r="F107" s="9">
        <f t="shared" si="33"/>
        <v>5.8809239984639355E-2</v>
      </c>
      <c r="G107" s="9">
        <f t="shared" si="33"/>
        <v>1.347470600501938E-2</v>
      </c>
      <c r="H107" s="9">
        <f t="shared" si="33"/>
        <v>1.2668444995428949E-2</v>
      </c>
      <c r="I107" s="9">
        <f t="shared" si="33"/>
        <v>0.26933175183157693</v>
      </c>
      <c r="J107" s="9">
        <f t="shared" si="33"/>
        <v>0.32027804712715524</v>
      </c>
      <c r="K107" s="9">
        <f t="shared" si="33"/>
        <v>9.1210499106686389E-6</v>
      </c>
      <c r="L107" s="9">
        <f t="shared" si="33"/>
        <v>3.6111680772358087E-2</v>
      </c>
      <c r="M107" s="9">
        <f t="shared" si="33"/>
        <v>2.0529271025566793E-2</v>
      </c>
      <c r="N107" s="9">
        <f t="shared" si="33"/>
        <v>8.0352441370104596E-2</v>
      </c>
      <c r="O107" s="9">
        <f t="shared" si="33"/>
        <v>6.0509565726198554E-2</v>
      </c>
      <c r="P107" s="9">
        <f t="shared" si="33"/>
        <v>8.2617606703367652E-2</v>
      </c>
      <c r="Q107" s="9">
        <f t="shared" si="33"/>
        <v>3.2359647580198526E-2</v>
      </c>
      <c r="R107" s="9">
        <f t="shared" si="33"/>
        <v>3.8570765392883032E-2</v>
      </c>
      <c r="S107" s="9">
        <f t="shared" si="33"/>
        <v>1.3732672298586036E-2</v>
      </c>
      <c r="T107" s="9">
        <f t="shared" si="33"/>
        <v>3.7984138385398093E-3</v>
      </c>
      <c r="U107" s="9">
        <f t="shared" si="33"/>
        <v>2.4265248284722336E-2</v>
      </c>
      <c r="V107" s="9">
        <f t="shared" si="33"/>
        <v>0.35801744981156192</v>
      </c>
      <c r="W107" s="9">
        <f t="shared" si="33"/>
        <v>5.058889213453481E-2</v>
      </c>
      <c r="X107" s="9">
        <f t="shared" si="33"/>
        <v>3.9045678200610591E-2</v>
      </c>
      <c r="Y107" s="9">
        <f t="shared" si="33"/>
        <v>5.7947233743179831E-2</v>
      </c>
      <c r="Z107" s="9">
        <f t="shared" si="33"/>
        <v>0.12778035128712831</v>
      </c>
      <c r="AA107" s="9">
        <f t="shared" si="33"/>
        <v>3.3857118124482541E-2</v>
      </c>
      <c r="AB107" s="9">
        <f t="shared" si="33"/>
        <v>9.8602532410076646E-2</v>
      </c>
      <c r="AC107" s="9">
        <f t="shared" si="33"/>
        <v>2.8056543253031198E-3</v>
      </c>
      <c r="AD107" s="9">
        <f t="shared" si="33"/>
        <v>5.4750575439865397E-2</v>
      </c>
      <c r="AE107" s="9">
        <f t="shared" si="33"/>
        <v>4.6209437980676143E-3</v>
      </c>
      <c r="AF107" s="9">
        <f t="shared" si="33"/>
        <v>8.6380805086571963E-2</v>
      </c>
      <c r="AG107" s="9">
        <f t="shared" si="33"/>
        <v>3.1880022491896247E-2</v>
      </c>
      <c r="AH107" s="9">
        <f t="shared" si="33"/>
        <v>4.5093761845374308E-2</v>
      </c>
      <c r="AI107" s="9">
        <f t="shared" si="33"/>
        <v>6.7843105630252887E-3</v>
      </c>
      <c r="AJ107" s="9">
        <f t="shared" si="33"/>
        <v>5.2206256555849838E-2</v>
      </c>
      <c r="AK107" s="9">
        <f t="shared" si="33"/>
        <v>9.2406720236201681E-2</v>
      </c>
      <c r="AL107" s="9">
        <f t="shared" si="33"/>
        <v>6.270456253422857E-2</v>
      </c>
      <c r="AM107" s="9">
        <f t="shared" si="33"/>
        <v>1.5739396647531489E-2</v>
      </c>
      <c r="AN107" s="9">
        <f t="shared" si="33"/>
        <v>0.18338186187598182</v>
      </c>
      <c r="AO107" s="9">
        <f t="shared" si="33"/>
        <v>0.13218232593962873</v>
      </c>
      <c r="AP107" s="9">
        <f t="shared" si="33"/>
        <v>0.63390825201020595</v>
      </c>
      <c r="AQ107" s="9">
        <f t="shared" si="33"/>
        <v>0.24779026200893109</v>
      </c>
    </row>
    <row r="108" spans="2:43" x14ac:dyDescent="0.2">
      <c r="B108" s="27" t="s">
        <v>148</v>
      </c>
      <c r="C108">
        <f>STDEV(C7:C8,C39,C64)</f>
        <v>6.5407133481548821E-2</v>
      </c>
      <c r="D108">
        <f>STDEV(D7:D8,D39,D64)</f>
        <v>2.2557919749620217</v>
      </c>
      <c r="E108">
        <f>STDEV(E7:E8,E39,E64)</f>
        <v>196.78187665320124</v>
      </c>
      <c r="F108">
        <f>STDEV(F7:F8,F39,F64)</f>
        <v>3280.4823447977742</v>
      </c>
      <c r="G108">
        <f>STDEV(G7:G8,G39,G64)</f>
        <v>1237.8912218747214</v>
      </c>
      <c r="H108">
        <f>STDEV(H7:H8,H39,H64)</f>
        <v>6055.7716969916955</v>
      </c>
      <c r="I108">
        <f>STDEV(I7:I8,I39,I64)</f>
        <v>6.9521889552438685</v>
      </c>
      <c r="J108">
        <f>STDEV(J7:J8,J39,J64)</f>
        <v>11.763678386485429</v>
      </c>
      <c r="K108">
        <f>STDEV(K7:K8,K39,K64)</f>
        <v>2.2520114702992639E-3</v>
      </c>
      <c r="L108">
        <f>STDEV(L7:L8,L39,L64)</f>
        <v>1.3159192935487933</v>
      </c>
      <c r="M108">
        <f>STDEV(M7:M8,M39,M64)</f>
        <v>24.34981288403052</v>
      </c>
      <c r="N108">
        <f>STDEV(N7:N8,N39,N64)</f>
        <v>6.4859982177012663</v>
      </c>
      <c r="O108">
        <f>STDEV(O7:O8,O39,O64)</f>
        <v>21.993891979906685</v>
      </c>
      <c r="P108">
        <f>STDEV(P7:P8,P39,P64)</f>
        <v>2287.1485882329221</v>
      </c>
      <c r="Q108">
        <f>STDEV(Q7:Q8,Q39,Q64)</f>
        <v>2.5983822184350743E-2</v>
      </c>
      <c r="R108">
        <f>STDEV(R7:R8,R39,R64)</f>
        <v>0.11457063128277831</v>
      </c>
      <c r="S108">
        <f>STDEV(S7:S8,S39,S64)</f>
        <v>0.35820897231802068</v>
      </c>
      <c r="T108">
        <f>STDEV(T7:T8,T39,T64)</f>
        <v>0.62623132085484345</v>
      </c>
      <c r="U108">
        <f>STDEV(U7:U8,U39,U64)</f>
        <v>0.38076180494382522</v>
      </c>
      <c r="V108">
        <f>STDEV(V7:V8,V39,V64)</f>
        <v>1.8063893630198398E-2</v>
      </c>
      <c r="W108">
        <f>STDEV(W7:W8,W39,W64)</f>
        <v>0.15884500946163421</v>
      </c>
      <c r="X108">
        <f>STDEV(X7:X8,X39,X64)</f>
        <v>8.7508639550479994E-2</v>
      </c>
      <c r="Y108">
        <f>STDEV(Y7:Y8,Y39,Y64)</f>
        <v>1.1715554285015133E-2</v>
      </c>
      <c r="Z108">
        <f>STDEV(Z7:Z8,Z39,Z64)</f>
        <v>1.8241823671936802E-2</v>
      </c>
      <c r="AA108">
        <f>STDEV(AA7:AA8,AA39,AA64)</f>
        <v>1.4966570066218962E-3</v>
      </c>
      <c r="AB108">
        <f>STDEV(AB7:AB8,AB39,AB64)</f>
        <v>9.3478994311549782E-2</v>
      </c>
      <c r="AC108">
        <f>STDEV(AC7:AC8,AC39,AC64)</f>
        <v>2.714394685053689E-2</v>
      </c>
      <c r="AD108">
        <f>STDEV(AD7:AD8,AD39,AD64)</f>
        <v>1.4117444679547831E-2</v>
      </c>
      <c r="AE108">
        <f>STDEV(AE7:AE8,AE39,AE64)</f>
        <v>7.5244183208566323E-2</v>
      </c>
      <c r="AF108">
        <f>STDEV(AF7:AF8,AF39,AF64)</f>
        <v>2.6647456349187373E-2</v>
      </c>
      <c r="AG108">
        <f>STDEV(AG7:AG8,AG39,AG64)</f>
        <v>7.8962467269564213E-2</v>
      </c>
      <c r="AH108">
        <f>STDEV(AH7:AH8,AH39,AH64)</f>
        <v>3.052104269716864E-2</v>
      </c>
      <c r="AI108">
        <f>STDEV(AI7:AI8,AI39,AI64)</f>
        <v>0.10098961458167376</v>
      </c>
      <c r="AJ108">
        <f>STDEV(AJ7:AJ8,AJ39,AJ64)</f>
        <v>7.6028426810900752E-3</v>
      </c>
      <c r="AK108">
        <f>STDEV(AK7:AK8,AK39,AK64)</f>
        <v>5.7446336010850675E-2</v>
      </c>
      <c r="AL108">
        <f>STDEV(AL7:AL8,AL39,AL64)</f>
        <v>1.6376691596777283E-2</v>
      </c>
      <c r="AM108">
        <f>STDEV(AM7:AM8,AM39,AM64)</f>
        <v>2.8919544233310803E-2</v>
      </c>
      <c r="AN108">
        <f>STDEV(AN7:AN8,AN39,AN64)</f>
        <v>8.4411410410301611E-3</v>
      </c>
      <c r="AO108">
        <f>STDEV(AO7:AO8,AO39,AO64)</f>
        <v>0.3612028892956663</v>
      </c>
      <c r="AP108">
        <f>STDEV(AP7:AP8,AP39,AP64)</f>
        <v>4.2130148244346145E-3</v>
      </c>
      <c r="AQ108">
        <f>STDEV(AQ7:AQ8,AQ39,AQ64)</f>
        <v>8.7046495175435012E-3</v>
      </c>
    </row>
    <row r="109" spans="2:43" x14ac:dyDescent="0.2">
      <c r="B109" s="27" t="s">
        <v>150</v>
      </c>
      <c r="C109" s="9">
        <f>C108/C106</f>
        <v>7.1513396082554959E-3</v>
      </c>
      <c r="D109" s="9">
        <f t="shared" ref="D109:AQ109" si="34">D108/D106</f>
        <v>0.14072357038166669</v>
      </c>
      <c r="E109" s="9">
        <f t="shared" si="34"/>
        <v>3.0063448494382913E-2</v>
      </c>
      <c r="F109" s="9">
        <f t="shared" si="34"/>
        <v>2.2936359579783332E-2</v>
      </c>
      <c r="G109" s="9">
        <f t="shared" si="34"/>
        <v>2.1553188437461065E-2</v>
      </c>
      <c r="H109" s="9">
        <f t="shared" si="34"/>
        <v>2.883792618868879E-2</v>
      </c>
      <c r="I109" s="9">
        <f t="shared" si="34"/>
        <v>6.055995192816304E-2</v>
      </c>
      <c r="J109" s="9">
        <f t="shared" si="34"/>
        <v>6.7686871613237679E-2</v>
      </c>
      <c r="K109" s="9">
        <f t="shared" si="34"/>
        <v>3.7289680203230391E-8</v>
      </c>
      <c r="L109" s="9">
        <f t="shared" si="34"/>
        <v>3.7403278643097546E-2</v>
      </c>
      <c r="M109" s="9">
        <f t="shared" si="34"/>
        <v>1.3555109380700148E-2</v>
      </c>
      <c r="N109" s="9">
        <f t="shared" si="34"/>
        <v>2.805418095600113E-2</v>
      </c>
      <c r="O109" s="9">
        <f t="shared" si="34"/>
        <v>1.7388685370586788E-2</v>
      </c>
      <c r="P109" s="9">
        <f t="shared" si="34"/>
        <v>2.6909407132874329E-2</v>
      </c>
      <c r="Q109" s="9">
        <f t="shared" si="34"/>
        <v>0.16782980189496782</v>
      </c>
      <c r="R109" s="9">
        <f t="shared" si="34"/>
        <v>5.2531272096178271E-2</v>
      </c>
      <c r="S109" s="9">
        <f t="shared" si="34"/>
        <v>2.3095192422683278E-2</v>
      </c>
      <c r="T109" s="9">
        <f t="shared" si="34"/>
        <v>4.8730160949864647E-2</v>
      </c>
      <c r="U109" s="9">
        <f t="shared" si="34"/>
        <v>3.941725792850221E-2</v>
      </c>
      <c r="V109" s="9">
        <f t="shared" si="34"/>
        <v>0.38544754464325809</v>
      </c>
      <c r="W109" s="9">
        <f t="shared" si="34"/>
        <v>2.0294786990147209E-2</v>
      </c>
      <c r="X109" s="9">
        <f t="shared" si="34"/>
        <v>0.11173534623848118</v>
      </c>
      <c r="Y109" s="9">
        <f t="shared" si="34"/>
        <v>0.13151846816802526</v>
      </c>
      <c r="Z109" s="9">
        <f t="shared" si="34"/>
        <v>5.321693244994271E-2</v>
      </c>
      <c r="AA109" s="9">
        <f t="shared" si="34"/>
        <v>1.7405676920452522E-2</v>
      </c>
      <c r="AB109" s="9">
        <f t="shared" si="34"/>
        <v>0.15051454701158068</v>
      </c>
      <c r="AC109" s="9">
        <f t="shared" si="34"/>
        <v>5.358330246554082E-2</v>
      </c>
      <c r="AD109" s="9">
        <f t="shared" si="34"/>
        <v>5.2488739465253717E-2</v>
      </c>
      <c r="AE109" s="9">
        <f t="shared" si="34"/>
        <v>6.2939565861099847E-2</v>
      </c>
      <c r="AF109" s="9">
        <f t="shared" si="34"/>
        <v>0.10842720530698861</v>
      </c>
      <c r="AG109" s="9">
        <f t="shared" si="34"/>
        <v>3.7936133760116092E-2</v>
      </c>
      <c r="AH109" s="9">
        <f t="shared" si="34"/>
        <v>6.3042100737580195E-2</v>
      </c>
      <c r="AI109" s="9">
        <f t="shared" si="34"/>
        <v>6.4300696529475038E-2</v>
      </c>
      <c r="AJ109" s="9">
        <f t="shared" si="34"/>
        <v>3.4280433810791114E-2</v>
      </c>
      <c r="AK109" s="9">
        <f t="shared" si="34"/>
        <v>3.9313814722485185E-2</v>
      </c>
      <c r="AL109" s="9">
        <f t="shared" si="34"/>
        <v>7.3722715145391374E-2</v>
      </c>
      <c r="AM109" s="9">
        <f t="shared" si="34"/>
        <v>8.2302518690715878E-2</v>
      </c>
      <c r="AN109" s="9">
        <f t="shared" si="34"/>
        <v>0.33344210663361806</v>
      </c>
      <c r="AO109" s="9">
        <f t="shared" si="34"/>
        <v>1.6360637918201491E-2</v>
      </c>
      <c r="AP109" s="9">
        <f t="shared" si="34"/>
        <v>1.2786760718888501</v>
      </c>
      <c r="AQ109" s="9">
        <f t="shared" si="34"/>
        <v>0.14533441273764722</v>
      </c>
    </row>
    <row r="110" spans="2:43" x14ac:dyDescent="0.2">
      <c r="B110" s="27" t="s">
        <v>157</v>
      </c>
      <c r="C110" s="9">
        <f>2*C108/C106</f>
        <v>1.4302679216510992E-2</v>
      </c>
      <c r="D110" s="9">
        <f t="shared" ref="D110:AQ110" si="35">2*D108/D106</f>
        <v>0.28144714076333338</v>
      </c>
      <c r="E110" s="9">
        <f t="shared" si="35"/>
        <v>6.0126896988765825E-2</v>
      </c>
      <c r="F110" s="9">
        <f t="shared" si="35"/>
        <v>4.5872719159566665E-2</v>
      </c>
      <c r="G110" s="9">
        <f t="shared" si="35"/>
        <v>4.310637687492213E-2</v>
      </c>
      <c r="H110" s="9">
        <f t="shared" si="35"/>
        <v>5.767585237737758E-2</v>
      </c>
      <c r="I110" s="9">
        <f t="shared" si="35"/>
        <v>0.12111990385632608</v>
      </c>
      <c r="J110" s="9">
        <f t="shared" si="35"/>
        <v>0.13537374322647536</v>
      </c>
      <c r="K110" s="9">
        <f t="shared" si="35"/>
        <v>7.4579360406460782E-8</v>
      </c>
      <c r="L110" s="9">
        <f t="shared" si="35"/>
        <v>7.4806557286195091E-2</v>
      </c>
      <c r="M110" s="9">
        <f t="shared" si="35"/>
        <v>2.7110218761400295E-2</v>
      </c>
      <c r="N110" s="9">
        <f t="shared" si="35"/>
        <v>5.6108361912002261E-2</v>
      </c>
      <c r="O110" s="9">
        <f t="shared" si="35"/>
        <v>3.4777370741173576E-2</v>
      </c>
      <c r="P110" s="9">
        <f t="shared" si="35"/>
        <v>5.3818814265748659E-2</v>
      </c>
      <c r="Q110" s="9">
        <f t="shared" si="35"/>
        <v>0.33565960378993565</v>
      </c>
      <c r="R110" s="9">
        <f t="shared" si="35"/>
        <v>0.10506254419235654</v>
      </c>
      <c r="S110" s="9">
        <f t="shared" si="35"/>
        <v>4.6190384845366556E-2</v>
      </c>
      <c r="T110" s="9">
        <f t="shared" si="35"/>
        <v>9.7460321899729294E-2</v>
      </c>
      <c r="U110" s="9">
        <f t="shared" si="35"/>
        <v>7.883451585700442E-2</v>
      </c>
      <c r="V110" s="9">
        <f t="shared" si="35"/>
        <v>0.77089508928651618</v>
      </c>
      <c r="W110" s="9">
        <f t="shared" si="35"/>
        <v>4.0589573980294419E-2</v>
      </c>
      <c r="X110" s="9">
        <f t="shared" si="35"/>
        <v>0.22347069247696236</v>
      </c>
      <c r="Y110" s="9">
        <f t="shared" si="35"/>
        <v>0.26303693633605052</v>
      </c>
      <c r="Z110" s="9">
        <f t="shared" si="35"/>
        <v>0.10643386489988542</v>
      </c>
      <c r="AA110" s="9">
        <f t="shared" si="35"/>
        <v>3.4811353840905043E-2</v>
      </c>
      <c r="AB110" s="9">
        <f t="shared" si="35"/>
        <v>0.30102909402316136</v>
      </c>
      <c r="AC110" s="9">
        <f t="shared" si="35"/>
        <v>0.10716660493108164</v>
      </c>
      <c r="AD110" s="9">
        <f t="shared" si="35"/>
        <v>0.10497747893050743</v>
      </c>
      <c r="AE110" s="9">
        <f t="shared" si="35"/>
        <v>0.12587913172219969</v>
      </c>
      <c r="AF110" s="9">
        <f t="shared" si="35"/>
        <v>0.21685441061397723</v>
      </c>
      <c r="AG110" s="9">
        <f t="shared" si="35"/>
        <v>7.5872267520232184E-2</v>
      </c>
      <c r="AH110" s="9">
        <f t="shared" si="35"/>
        <v>0.12608420147516039</v>
      </c>
      <c r="AI110" s="9">
        <f t="shared" si="35"/>
        <v>0.12860139305895008</v>
      </c>
      <c r="AJ110" s="9">
        <f t="shared" si="35"/>
        <v>6.8560867621582228E-2</v>
      </c>
      <c r="AK110" s="9">
        <f t="shared" si="35"/>
        <v>7.8627629444970371E-2</v>
      </c>
      <c r="AL110" s="9">
        <f t="shared" si="35"/>
        <v>0.14744543029078275</v>
      </c>
      <c r="AM110" s="9">
        <f t="shared" si="35"/>
        <v>0.16460503738143176</v>
      </c>
      <c r="AN110" s="9">
        <f t="shared" si="35"/>
        <v>0.66688421326723613</v>
      </c>
      <c r="AO110" s="9">
        <f t="shared" si="35"/>
        <v>3.2721275836402983E-2</v>
      </c>
      <c r="AP110" s="9">
        <f t="shared" si="35"/>
        <v>2.5573521437777003</v>
      </c>
      <c r="AQ110" s="9">
        <f t="shared" si="35"/>
        <v>0.29066882547529443</v>
      </c>
    </row>
    <row r="111" spans="2:43" x14ac:dyDescent="0.2">
      <c r="B111" s="27"/>
    </row>
    <row r="112" spans="2:43" x14ac:dyDescent="0.2">
      <c r="B112" s="28"/>
    </row>
    <row r="113" spans="2:43" x14ac:dyDescent="0.2">
      <c r="B113" s="32" t="s">
        <v>161</v>
      </c>
      <c r="C113" s="21">
        <v>9</v>
      </c>
      <c r="D113" s="21">
        <v>6</v>
      </c>
      <c r="E113" s="21">
        <v>23962.213007631617</v>
      </c>
      <c r="F113" s="21">
        <v>21468.290988487493</v>
      </c>
      <c r="G113" s="21">
        <v>70920.999205578628</v>
      </c>
      <c r="H113" s="21">
        <v>254290.39344917113</v>
      </c>
      <c r="I113" s="21">
        <v>1614.7862170025999</v>
      </c>
      <c r="J113" s="21">
        <v>14444.613833005998</v>
      </c>
      <c r="K113" s="21">
        <v>50457.528041799662</v>
      </c>
      <c r="L113" s="21">
        <v>33</v>
      </c>
      <c r="M113" s="21">
        <v>13605.220058849307</v>
      </c>
      <c r="N113" s="21">
        <v>425</v>
      </c>
      <c r="O113" s="21">
        <v>1471.4775082115116</v>
      </c>
      <c r="P113" s="21">
        <v>96386.337063637897</v>
      </c>
      <c r="Q113" s="1"/>
      <c r="R113" s="21">
        <v>47</v>
      </c>
      <c r="S113" s="21">
        <v>342</v>
      </c>
      <c r="T113" s="21">
        <v>35</v>
      </c>
      <c r="U113" s="21">
        <v>184</v>
      </c>
      <c r="V113" s="21">
        <v>12.5</v>
      </c>
      <c r="W113" s="21">
        <v>1.1599999999999999</v>
      </c>
      <c r="X113" s="21">
        <v>683</v>
      </c>
      <c r="Y113" s="21">
        <v>24.7</v>
      </c>
      <c r="Z113" s="21">
        <v>53.3</v>
      </c>
      <c r="AA113" s="21">
        <v>6.7</v>
      </c>
      <c r="AB113" s="21">
        <v>28.9</v>
      </c>
      <c r="AC113" s="21">
        <v>6.59</v>
      </c>
      <c r="AD113" s="21">
        <v>1.97</v>
      </c>
      <c r="AE113" s="21">
        <v>6.71</v>
      </c>
      <c r="AF113" s="21">
        <v>1.02</v>
      </c>
      <c r="AG113" s="21">
        <v>6.44</v>
      </c>
      <c r="AH113" s="21">
        <v>1.27</v>
      </c>
      <c r="AI113" s="21">
        <v>3.7</v>
      </c>
      <c r="AJ113" s="21">
        <v>0.51</v>
      </c>
      <c r="AK113" s="21">
        <v>3.39</v>
      </c>
      <c r="AL113" s="21">
        <v>0.503</v>
      </c>
      <c r="AM113" s="21">
        <v>4.84</v>
      </c>
      <c r="AN113" s="21">
        <v>0.78</v>
      </c>
      <c r="AO113" s="21">
        <v>11</v>
      </c>
      <c r="AP113" s="21">
        <v>5.9</v>
      </c>
      <c r="AQ113" s="21">
        <v>1.69</v>
      </c>
    </row>
    <row r="114" spans="2:43" x14ac:dyDescent="0.2">
      <c r="B114" s="30" t="s">
        <v>165</v>
      </c>
      <c r="C114">
        <f>AVERAGE(C11:C12,C66)</f>
        <v>12.339923298616782</v>
      </c>
      <c r="D114">
        <f>AVERAGE(D11:D12,D66)</f>
        <v>8.7866601595836666</v>
      </c>
      <c r="E114">
        <f>AVERAGE(E11:E12,E66)</f>
        <v>27194.398548626996</v>
      </c>
      <c r="F114">
        <f>AVERAGE(F11:F12,F66)</f>
        <v>24476.307203248809</v>
      </c>
      <c r="G114">
        <f>AVERAGE(G11:G12,G66)</f>
        <v>90335.051232318263</v>
      </c>
      <c r="H114">
        <f>AVERAGE(H11:H12,H66)</f>
        <v>275890.06375873572</v>
      </c>
      <c r="I114">
        <f>AVERAGE(I11:I12,I66)</f>
        <v>1940.5753512212316</v>
      </c>
      <c r="J114">
        <f>AVERAGE(J11:J12,J66)</f>
        <v>26836.312620950514</v>
      </c>
      <c r="K114">
        <f>AVERAGE(K11:K12,K66)</f>
        <v>57756.813117862424</v>
      </c>
      <c r="L114">
        <f>AVERAGE(L11:L12,L66)</f>
        <v>34.633364040640807</v>
      </c>
      <c r="M114">
        <f>AVERAGE(M11:M12,M66)</f>
        <v>11655.361114640647</v>
      </c>
      <c r="N114">
        <f>AVERAGE(N11:N12,N66)</f>
        <v>365.69576767593998</v>
      </c>
      <c r="O114">
        <f>AVERAGE(O11:O12,O66)</f>
        <v>1675.7977141633637</v>
      </c>
      <c r="P114">
        <f>AVERAGE(P11:P12,P66)</f>
        <v>90233.919531714593</v>
      </c>
      <c r="Q114">
        <f>AVERAGE(Q11:Q12,Q66)</f>
        <v>0.62514926988349073</v>
      </c>
      <c r="R114">
        <f>AVERAGE(R11:R12,R66)</f>
        <v>98.809791455770778</v>
      </c>
      <c r="S114">
        <f>AVERAGE(S11:S12,S66)</f>
        <v>860.20424129127298</v>
      </c>
      <c r="T114">
        <f>AVERAGE(T11:T12,T66)</f>
        <v>35.004218665227256</v>
      </c>
      <c r="U114">
        <f>AVERAGE(U11:U12,U66)</f>
        <v>233.1911762727209</v>
      </c>
      <c r="V114">
        <f>AVERAGE(V11:V12,V66)</f>
        <v>22.187190500107153</v>
      </c>
      <c r="W114">
        <f>AVERAGE(W11:W12,W66)</f>
        <v>2.1513068674028979</v>
      </c>
      <c r="X114">
        <f>AVERAGE(X11:X12,X66)</f>
        <v>917.61646666634078</v>
      </c>
      <c r="Y114">
        <f>AVERAGE(Y11:Y12,Y66)</f>
        <v>37.064047101710365</v>
      </c>
      <c r="Z114">
        <f>AVERAGE(Z11:Z12,Z66)</f>
        <v>76.729909574600512</v>
      </c>
      <c r="AA114">
        <f>AVERAGE(AA11:AA12,AA66)</f>
        <v>9.1398148338246248</v>
      </c>
      <c r="AB114">
        <f>AVERAGE(AB11:AB12,AB66)</f>
        <v>37.890246610711266</v>
      </c>
      <c r="AC114">
        <f>AVERAGE(AC11:AC12,AC66)</f>
        <v>7.4185910921022939</v>
      </c>
      <c r="AD114">
        <f>AVERAGE(AD11:AD12,AD66)</f>
        <v>2.1813258584300272</v>
      </c>
      <c r="AE114">
        <f>AVERAGE(AE11:AE12,AE66)</f>
        <v>7.4763963200291812</v>
      </c>
      <c r="AF114">
        <f>AVERAGE(AF11:AF12,AF66)</f>
        <v>1.0565049232108688</v>
      </c>
      <c r="AG114">
        <f>AVERAGE(AG11:AG12,AG66)</f>
        <v>6.4177788338221236</v>
      </c>
      <c r="AH114">
        <f>AVERAGE(AH11:AH12,AH66)</f>
        <v>1.2955439765587915</v>
      </c>
      <c r="AI114">
        <f>AVERAGE(AI11:AI12,AI66)</f>
        <v>3.695278145371597</v>
      </c>
      <c r="AJ114">
        <f>AVERAGE(AJ11:AJ12,AJ66)</f>
        <v>0.52480644046170821</v>
      </c>
      <c r="AK114">
        <f>AVERAGE(AK11:AK12,AK66)</f>
        <v>3.6105551052183888</v>
      </c>
      <c r="AL114">
        <f>AVERAGE(AL11:AL12,AL66)</f>
        <v>0.52833781483056363</v>
      </c>
      <c r="AM114">
        <f>AVERAGE(AM11:AM12,AM66)</f>
        <v>6.0636913094805491</v>
      </c>
      <c r="AN114">
        <f>AVERAGE(AN11:AN12,AN66)</f>
        <v>1.2944907733052027</v>
      </c>
      <c r="AO114">
        <f>AVERAGE(AO11:AO12,AO66)</f>
        <v>15.886908045710271</v>
      </c>
      <c r="AP114">
        <f>AVERAGE(AP11:AP12,AP66)</f>
        <v>11.295516330157779</v>
      </c>
      <c r="AQ114">
        <f>AVERAGE(AQ11:AQ12,AQ66)</f>
        <v>3.2745894035670204</v>
      </c>
    </row>
    <row r="115" spans="2:43" x14ac:dyDescent="0.2">
      <c r="B115" s="27" t="s">
        <v>156</v>
      </c>
      <c r="C115" s="9">
        <f>ABS(C114-C113)/C113</f>
        <v>0.37110258873519797</v>
      </c>
      <c r="D115" s="9">
        <f t="shared" ref="D115:AQ115" si="36">ABS(D114-D113)/D113</f>
        <v>0.46444335993061109</v>
      </c>
      <c r="E115" s="9">
        <f t="shared" si="36"/>
        <v>0.13488677109939615</v>
      </c>
      <c r="F115" s="9">
        <f t="shared" si="36"/>
        <v>0.14011437689075404</v>
      </c>
      <c r="G115" s="9">
        <f t="shared" si="36"/>
        <v>0.27374194165629478</v>
      </c>
      <c r="H115" s="9">
        <f t="shared" si="36"/>
        <v>8.4940960673302215E-2</v>
      </c>
      <c r="I115" s="9">
        <f t="shared" si="36"/>
        <v>0.20175372491311472</v>
      </c>
      <c r="J115" s="9">
        <f t="shared" si="36"/>
        <v>0.85787677892983438</v>
      </c>
      <c r="K115" s="9">
        <f t="shared" si="36"/>
        <v>0.14466196342428708</v>
      </c>
      <c r="L115" s="9">
        <f t="shared" si="36"/>
        <v>4.9495880019418383E-2</v>
      </c>
      <c r="M115" s="9">
        <f t="shared" si="36"/>
        <v>0.14331697214558492</v>
      </c>
      <c r="N115" s="9">
        <f t="shared" si="36"/>
        <v>0.13953937017425888</v>
      </c>
      <c r="O115" s="9">
        <f t="shared" si="36"/>
        <v>0.13885377439454749</v>
      </c>
      <c r="P115" s="9">
        <f t="shared" si="36"/>
        <v>6.3830805478801891E-2</v>
      </c>
      <c r="Q115" s="9" t="e">
        <f t="shared" si="36"/>
        <v>#DIV/0!</v>
      </c>
      <c r="R115" s="9">
        <f t="shared" si="36"/>
        <v>1.1023359884206549</v>
      </c>
      <c r="S115" s="9">
        <f t="shared" si="36"/>
        <v>1.5152170797990439</v>
      </c>
      <c r="T115" s="9">
        <f t="shared" si="36"/>
        <v>1.205332922073207E-4</v>
      </c>
      <c r="U115" s="9">
        <f t="shared" si="36"/>
        <v>0.26734334930826575</v>
      </c>
      <c r="V115" s="9">
        <f t="shared" si="36"/>
        <v>0.77497524000857221</v>
      </c>
      <c r="W115" s="9">
        <f t="shared" si="36"/>
        <v>0.85457488569215345</v>
      </c>
      <c r="X115" s="9">
        <f t="shared" si="36"/>
        <v>0.34350873596828813</v>
      </c>
      <c r="Y115" s="9">
        <f t="shared" si="36"/>
        <v>0.50056870857126989</v>
      </c>
      <c r="Z115" s="9">
        <f t="shared" si="36"/>
        <v>0.43958554548969075</v>
      </c>
      <c r="AA115" s="9">
        <f t="shared" si="36"/>
        <v>0.36415146773501861</v>
      </c>
      <c r="AB115" s="9">
        <f t="shared" si="36"/>
        <v>0.311081197602466</v>
      </c>
      <c r="AC115" s="9">
        <f t="shared" si="36"/>
        <v>0.12573461185163795</v>
      </c>
      <c r="AD115" s="9">
        <f t="shared" si="36"/>
        <v>0.1072720093553438</v>
      </c>
      <c r="AE115" s="9">
        <f t="shared" si="36"/>
        <v>0.11421703726217305</v>
      </c>
      <c r="AF115" s="9">
        <f t="shared" si="36"/>
        <v>3.5789140402812482E-2</v>
      </c>
      <c r="AG115" s="9">
        <f t="shared" si="36"/>
        <v>3.4504916425274592E-3</v>
      </c>
      <c r="AH115" s="9">
        <f t="shared" si="36"/>
        <v>2.0113367369127149E-2</v>
      </c>
      <c r="AI115" s="9">
        <f t="shared" si="36"/>
        <v>1.2761769265954412E-3</v>
      </c>
      <c r="AJ115" s="9">
        <f t="shared" si="36"/>
        <v>2.9032236199427849E-2</v>
      </c>
      <c r="AK115" s="9">
        <f t="shared" si="36"/>
        <v>6.5060503014273963E-2</v>
      </c>
      <c r="AL115" s="9">
        <f t="shared" si="36"/>
        <v>5.0373389325176203E-2</v>
      </c>
      <c r="AM115" s="9">
        <f t="shared" si="36"/>
        <v>0.25282878295052674</v>
      </c>
      <c r="AN115" s="9">
        <f t="shared" si="36"/>
        <v>0.65960355551949057</v>
      </c>
      <c r="AO115" s="9">
        <f t="shared" si="36"/>
        <v>0.44426436779184281</v>
      </c>
      <c r="AP115" s="9">
        <f t="shared" si="36"/>
        <v>0.9144942932470812</v>
      </c>
      <c r="AQ115" s="9">
        <f t="shared" si="36"/>
        <v>0.93762686601598844</v>
      </c>
    </row>
    <row r="116" spans="2:43" x14ac:dyDescent="0.2">
      <c r="B116" s="27" t="s">
        <v>148</v>
      </c>
      <c r="C116">
        <f>STDEV(C11:C12,C25)</f>
        <v>0.15220640977003333</v>
      </c>
      <c r="D116">
        <f>STDEV(D11:D12,D25)</f>
        <v>0.63429004275801859</v>
      </c>
      <c r="E116">
        <f>STDEV(E11:E12,E25)</f>
        <v>578.1749975067861</v>
      </c>
      <c r="F116">
        <f>STDEV(F11:F12,F25)</f>
        <v>447.51938474191513</v>
      </c>
      <c r="G116">
        <f>STDEV(G11:G12,G25)</f>
        <v>719.0470860333678</v>
      </c>
      <c r="H116">
        <f>STDEV(H11:H12,H25)</f>
        <v>5411.1402872022072</v>
      </c>
      <c r="I116">
        <f>STDEV(I11:I12,I25)</f>
        <v>54.738719660761561</v>
      </c>
      <c r="J116">
        <f>STDEV(J11:J12,J25)</f>
        <v>282.62283333184308</v>
      </c>
      <c r="K116">
        <f>STDEV(K11:K12,K25)</f>
        <v>5.4142475783260167E-4</v>
      </c>
      <c r="L116">
        <f>STDEV(L11:L12,L25)</f>
        <v>0.55927868451344931</v>
      </c>
      <c r="M116">
        <f>STDEV(M11:M12,M25)</f>
        <v>20.119346711682308</v>
      </c>
      <c r="N116">
        <f>STDEV(N11:N12,N25)</f>
        <v>7.366427977593144</v>
      </c>
      <c r="O116">
        <f>STDEV(O11:O12,O25)</f>
        <v>47.771971608916182</v>
      </c>
      <c r="P116">
        <f>STDEV(P11:P12,P25)</f>
        <v>3281.4248330405599</v>
      </c>
      <c r="Q116">
        <f>STDEV(Q11:Q12,Q25)</f>
        <v>2.7596108731390786E-2</v>
      </c>
      <c r="R116">
        <f>STDEV(R11:R12,R25)</f>
        <v>0.48564061317747542</v>
      </c>
      <c r="S116">
        <f>STDEV(S11:S12,S25)</f>
        <v>2.6434216400113137</v>
      </c>
      <c r="T116">
        <f>STDEV(T11:T12,T25)</f>
        <v>0.57677843335052459</v>
      </c>
      <c r="U116">
        <f>STDEV(U11:U12,U25)</f>
        <v>1.1661467806012604</v>
      </c>
      <c r="V116">
        <f>STDEV(V11:V12,V25)</f>
        <v>0.32131702545033552</v>
      </c>
      <c r="W116">
        <f>STDEV(W11:W12,W25)</f>
        <v>5.7187804252338804E-2</v>
      </c>
      <c r="X116">
        <f>STDEV(X11:X12,X25)</f>
        <v>6.6395358521861381</v>
      </c>
      <c r="Y116">
        <f>STDEV(Y11:Y12,Y25)</f>
        <v>0.29046773230630274</v>
      </c>
      <c r="Z116">
        <f>STDEV(Z11:Z12,Z25)</f>
        <v>0.58445654127207491</v>
      </c>
      <c r="AA116">
        <f>STDEV(AA11:AA12,AA25)</f>
        <v>5.5225468644262518E-2</v>
      </c>
      <c r="AB116">
        <f>STDEV(AB11:AB12,AB25)</f>
        <v>0.64677596008317551</v>
      </c>
      <c r="AC116">
        <f>STDEV(AC11:AC12,AC25)</f>
        <v>0.233998940320925</v>
      </c>
      <c r="AD116">
        <f>STDEV(AD11:AD12,AD25)</f>
        <v>1.4924318636615625E-2</v>
      </c>
      <c r="AE116">
        <f>STDEV(AE11:AE12,AE25)</f>
        <v>0.24389651078014868</v>
      </c>
      <c r="AF116">
        <f>STDEV(AF11:AF12,AF25)</f>
        <v>1.5561652651924912E-2</v>
      </c>
      <c r="AG116">
        <f>STDEV(AG11:AG12,AG25)</f>
        <v>0.1659669395482192</v>
      </c>
      <c r="AH116">
        <f>STDEV(AH11:AH12,AH25)</f>
        <v>4.1462189437161297E-2</v>
      </c>
      <c r="AI116">
        <f>STDEV(AI11:AI12,AI25)</f>
        <v>6.7552779477590058E-2</v>
      </c>
      <c r="AJ116">
        <f>STDEV(AJ11:AJ12,AJ25)</f>
        <v>9.9514227897663041E-3</v>
      </c>
      <c r="AK116">
        <f>STDEV(AK11:AK12,AK25)</f>
        <v>8.8672069147992527E-2</v>
      </c>
      <c r="AL116">
        <f>STDEV(AL11:AL12,AL25)</f>
        <v>2.1297444011210399E-2</v>
      </c>
      <c r="AM116">
        <f>STDEV(AM11:AM12,AM25)</f>
        <v>5.1130978709731725E-2</v>
      </c>
      <c r="AN116">
        <f>STDEV(AN11:AN12,AN25)</f>
        <v>2.3847446470217516E-2</v>
      </c>
      <c r="AO116">
        <f>STDEV(AO11:AO12,AO25)</f>
        <v>0.34061474902331157</v>
      </c>
      <c r="AP116">
        <f>STDEV(AP11:AP12,AP25)</f>
        <v>5.744922369838483E-2</v>
      </c>
      <c r="AQ116">
        <f>STDEV(AQ11:AQ12,AQ25)</f>
        <v>7.1625826524864919E-2</v>
      </c>
    </row>
    <row r="117" spans="2:43" x14ac:dyDescent="0.2">
      <c r="B117" s="27" t="s">
        <v>150</v>
      </c>
      <c r="C117" s="9">
        <f>C116/C114</f>
        <v>1.2334469679166855E-2</v>
      </c>
      <c r="D117" s="9">
        <f t="shared" ref="D117:AQ117" si="37">D116/D114</f>
        <v>7.2187842847910119E-2</v>
      </c>
      <c r="E117" s="9">
        <f t="shared" si="37"/>
        <v>2.1260812092348234E-2</v>
      </c>
      <c r="F117" s="9">
        <f t="shared" si="37"/>
        <v>1.8283778718160337E-2</v>
      </c>
      <c r="G117" s="9">
        <f t="shared" si="37"/>
        <v>7.9597794679295165E-3</v>
      </c>
      <c r="H117" s="9">
        <f t="shared" si="37"/>
        <v>1.9613393151897703E-2</v>
      </c>
      <c r="I117" s="9">
        <f t="shared" si="37"/>
        <v>2.8207469308683997E-2</v>
      </c>
      <c r="J117" s="9">
        <f t="shared" si="37"/>
        <v>1.0531358660325254E-2</v>
      </c>
      <c r="K117" s="9">
        <f t="shared" si="37"/>
        <v>9.3742145489872164E-9</v>
      </c>
      <c r="L117" s="9">
        <f t="shared" si="37"/>
        <v>1.6148552126127834E-2</v>
      </c>
      <c r="M117" s="9">
        <f t="shared" si="37"/>
        <v>1.7261881904636824E-3</v>
      </c>
      <c r="N117" s="9">
        <f t="shared" si="37"/>
        <v>2.0143596477498416E-2</v>
      </c>
      <c r="O117" s="9">
        <f t="shared" si="37"/>
        <v>2.850700368258121E-2</v>
      </c>
      <c r="P117" s="9">
        <f t="shared" si="37"/>
        <v>3.6365757467592158E-2</v>
      </c>
      <c r="Q117" s="9">
        <f t="shared" si="37"/>
        <v>4.4143231162269266E-2</v>
      </c>
      <c r="R117" s="9">
        <f t="shared" si="37"/>
        <v>4.9149037359810417E-3</v>
      </c>
      <c r="S117" s="9">
        <f t="shared" si="37"/>
        <v>3.0730162827879237E-3</v>
      </c>
      <c r="T117" s="9">
        <f t="shared" si="37"/>
        <v>1.6477397735018978E-2</v>
      </c>
      <c r="U117" s="9">
        <f t="shared" si="37"/>
        <v>5.0008186383408981E-3</v>
      </c>
      <c r="V117" s="9">
        <f t="shared" si="37"/>
        <v>1.4482096119776126E-2</v>
      </c>
      <c r="W117" s="9">
        <f t="shared" si="37"/>
        <v>2.6582820479431231E-2</v>
      </c>
      <c r="X117" s="9">
        <f t="shared" si="37"/>
        <v>7.235632852478413E-3</v>
      </c>
      <c r="Y117" s="9">
        <f t="shared" si="37"/>
        <v>7.8369135326535559E-3</v>
      </c>
      <c r="Z117" s="9">
        <f t="shared" si="37"/>
        <v>7.6170628182982304E-3</v>
      </c>
      <c r="AA117" s="9">
        <f t="shared" si="37"/>
        <v>6.0422962224446954E-3</v>
      </c>
      <c r="AB117" s="9">
        <f t="shared" si="37"/>
        <v>1.7069721575798273E-2</v>
      </c>
      <c r="AC117" s="9">
        <f t="shared" si="37"/>
        <v>3.1542234558531779E-2</v>
      </c>
      <c r="AD117" s="9">
        <f t="shared" si="37"/>
        <v>6.8418565612004224E-3</v>
      </c>
      <c r="AE117" s="9">
        <f t="shared" si="37"/>
        <v>3.2622201972727513E-2</v>
      </c>
      <c r="AF117" s="9">
        <f t="shared" si="37"/>
        <v>1.4729370692027479E-2</v>
      </c>
      <c r="AG117" s="9">
        <f t="shared" si="37"/>
        <v>2.5860495328003878E-2</v>
      </c>
      <c r="AH117" s="9">
        <f t="shared" si="37"/>
        <v>3.2003691258163748E-2</v>
      </c>
      <c r="AI117" s="9">
        <f t="shared" si="37"/>
        <v>1.8280837549996376E-2</v>
      </c>
      <c r="AJ117" s="9">
        <f t="shared" si="37"/>
        <v>1.8962082060218915E-2</v>
      </c>
      <c r="AK117" s="9">
        <f t="shared" si="37"/>
        <v>2.4559123615045638E-2</v>
      </c>
      <c r="AL117" s="9">
        <f t="shared" si="37"/>
        <v>4.0310277654535154E-2</v>
      </c>
      <c r="AM117" s="9">
        <f t="shared" si="37"/>
        <v>8.4323188797207922E-3</v>
      </c>
      <c r="AN117" s="9">
        <f t="shared" si="37"/>
        <v>1.8422260677322722E-2</v>
      </c>
      <c r="AO117" s="9">
        <f t="shared" si="37"/>
        <v>2.1439964783788321E-2</v>
      </c>
      <c r="AP117" s="9">
        <f t="shared" si="37"/>
        <v>5.0860201534127089E-3</v>
      </c>
      <c r="AQ117" s="9">
        <f t="shared" si="37"/>
        <v>2.1873223692363594E-2</v>
      </c>
    </row>
    <row r="118" spans="2:43" x14ac:dyDescent="0.2">
      <c r="B118" s="27" t="s">
        <v>157</v>
      </c>
      <c r="C118" s="9">
        <f>2*C116/C114</f>
        <v>2.4668939358333711E-2</v>
      </c>
      <c r="D118" s="9">
        <f t="shared" ref="D118:AQ118" si="38">2*D116/D114</f>
        <v>0.14437568569582024</v>
      </c>
      <c r="E118" s="9">
        <f t="shared" si="38"/>
        <v>4.2521624184696467E-2</v>
      </c>
      <c r="F118" s="9">
        <f t="shared" si="38"/>
        <v>3.6567557436320675E-2</v>
      </c>
      <c r="G118" s="9">
        <f t="shared" si="38"/>
        <v>1.5919558935859033E-2</v>
      </c>
      <c r="H118" s="9">
        <f t="shared" si="38"/>
        <v>3.9226786303795405E-2</v>
      </c>
      <c r="I118" s="9">
        <f t="shared" si="38"/>
        <v>5.6414938617367995E-2</v>
      </c>
      <c r="J118" s="9">
        <f t="shared" si="38"/>
        <v>2.1062717320650508E-2</v>
      </c>
      <c r="K118" s="9">
        <f t="shared" si="38"/>
        <v>1.8748429097974433E-8</v>
      </c>
      <c r="L118" s="9">
        <f t="shared" si="38"/>
        <v>3.2297104252255668E-2</v>
      </c>
      <c r="M118" s="9">
        <f t="shared" si="38"/>
        <v>3.4523763809273648E-3</v>
      </c>
      <c r="N118" s="9">
        <f t="shared" si="38"/>
        <v>4.0287192954996831E-2</v>
      </c>
      <c r="O118" s="9">
        <f t="shared" si="38"/>
        <v>5.701400736516242E-2</v>
      </c>
      <c r="P118" s="9">
        <f t="shared" si="38"/>
        <v>7.2731514935184316E-2</v>
      </c>
      <c r="Q118" s="9">
        <f t="shared" si="38"/>
        <v>8.8286462324538531E-2</v>
      </c>
      <c r="R118" s="9">
        <f t="shared" si="38"/>
        <v>9.8298074719620834E-3</v>
      </c>
      <c r="S118" s="9">
        <f t="shared" si="38"/>
        <v>6.1460325655758475E-3</v>
      </c>
      <c r="T118" s="9">
        <f t="shared" si="38"/>
        <v>3.2954795470037955E-2</v>
      </c>
      <c r="U118" s="9">
        <f t="shared" si="38"/>
        <v>1.0001637276681796E-2</v>
      </c>
      <c r="V118" s="9">
        <f t="shared" si="38"/>
        <v>2.8964192239552253E-2</v>
      </c>
      <c r="W118" s="9">
        <f t="shared" si="38"/>
        <v>5.3165640958862462E-2</v>
      </c>
      <c r="X118" s="9">
        <f t="shared" si="38"/>
        <v>1.4471265704956826E-2</v>
      </c>
      <c r="Y118" s="9">
        <f t="shared" si="38"/>
        <v>1.5673827065307112E-2</v>
      </c>
      <c r="Z118" s="9">
        <f t="shared" si="38"/>
        <v>1.5234125636596461E-2</v>
      </c>
      <c r="AA118" s="9">
        <f t="shared" si="38"/>
        <v>1.2084592444889391E-2</v>
      </c>
      <c r="AB118" s="9">
        <f t="shared" si="38"/>
        <v>3.4139443151596546E-2</v>
      </c>
      <c r="AC118" s="9">
        <f t="shared" si="38"/>
        <v>6.3084469117063557E-2</v>
      </c>
      <c r="AD118" s="9">
        <f t="shared" si="38"/>
        <v>1.3683713122400845E-2</v>
      </c>
      <c r="AE118" s="9">
        <f t="shared" si="38"/>
        <v>6.5244403945455026E-2</v>
      </c>
      <c r="AF118" s="9">
        <f t="shared" si="38"/>
        <v>2.9458741384054958E-2</v>
      </c>
      <c r="AG118" s="9">
        <f t="shared" si="38"/>
        <v>5.1720990656007756E-2</v>
      </c>
      <c r="AH118" s="9">
        <f t="shared" si="38"/>
        <v>6.4007382516327496E-2</v>
      </c>
      <c r="AI118" s="9">
        <f t="shared" si="38"/>
        <v>3.6561675099992752E-2</v>
      </c>
      <c r="AJ118" s="9">
        <f t="shared" si="38"/>
        <v>3.792416412043783E-2</v>
      </c>
      <c r="AK118" s="9">
        <f t="shared" si="38"/>
        <v>4.9118247230091276E-2</v>
      </c>
      <c r="AL118" s="9">
        <f t="shared" si="38"/>
        <v>8.0620555309070308E-2</v>
      </c>
      <c r="AM118" s="9">
        <f t="shared" si="38"/>
        <v>1.6864637759441584E-2</v>
      </c>
      <c r="AN118" s="9">
        <f t="shared" si="38"/>
        <v>3.6844521354645443E-2</v>
      </c>
      <c r="AO118" s="9">
        <f t="shared" si="38"/>
        <v>4.2879929567576643E-2</v>
      </c>
      <c r="AP118" s="9">
        <f t="shared" si="38"/>
        <v>1.0172040306825418E-2</v>
      </c>
      <c r="AQ118" s="9">
        <f t="shared" si="38"/>
        <v>4.3746447384727188E-2</v>
      </c>
    </row>
    <row r="119" spans="2:43" x14ac:dyDescent="0.2">
      <c r="B119" s="27"/>
    </row>
  </sheetData>
  <autoFilter ref="A1:AQ119" xr:uid="{FB71FA2D-60AF-A84E-AF34-571AB95002E9}">
    <sortState xmlns:xlrd2="http://schemas.microsoft.com/office/spreadsheetml/2017/richdata2" ref="A2:AQ119">
      <sortCondition ref="A1:A119"/>
    </sortState>
  </autoFilter>
  <conditionalFormatting sqref="C87:AQ87">
    <cfRule type="expression" dxfId="6" priority="8">
      <formula>C$86&lt;C$83</formula>
    </cfRule>
  </conditionalFormatting>
  <conditionalFormatting sqref="C103:AQ103">
    <cfRule type="expression" dxfId="5" priority="6">
      <formula>C$102&lt;C$99</formula>
    </cfRule>
  </conditionalFormatting>
  <conditionalFormatting sqref="C95:AQ95">
    <cfRule type="expression" dxfId="4" priority="5">
      <formula>C$94&lt;C$91</formula>
    </cfRule>
  </conditionalFormatting>
  <conditionalFormatting sqref="C111:AQ111">
    <cfRule type="expression" dxfId="3" priority="4">
      <formula>C$110&lt;C$107</formula>
    </cfRule>
  </conditionalFormatting>
  <conditionalFormatting sqref="C119:AQ119">
    <cfRule type="expression" dxfId="2" priority="3">
      <formula>C$118&lt;C$115</formula>
    </cfRule>
  </conditionalFormatting>
  <conditionalFormatting sqref="C83:AQ83 C86:AQ86 C91:AQ91 C94:AQ94 C99:AQ99 C107:AQ107 C110:AQ110 C115:AQ115 C118:AQ118">
    <cfRule type="cellIs" dxfId="1" priority="2" operator="greaterThan">
      <formula>0.05</formula>
    </cfRule>
  </conditionalFormatting>
  <conditionalFormatting sqref="C102:AQ102">
    <cfRule type="cellIs" dxfId="0" priority="1" operator="greater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MDL Filtered Raw</vt:lpstr>
      <vt:lpstr>Not MDL Filltered</vt:lpstr>
      <vt:lpstr>MDL Filtered Clean</vt:lpstr>
      <vt:lpstr>Sheet4</vt:lpstr>
      <vt:lpstr>Calibration</vt:lpstr>
      <vt:lpstr>Corrected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Fernando Fajardo Tenesaca</dc:creator>
  <cp:lastModifiedBy>Paul Fernando Fajardo Tenesaca</cp:lastModifiedBy>
  <dcterms:created xsi:type="dcterms:W3CDTF">2026-10-06T11:41:59Z</dcterms:created>
  <dcterms:modified xsi:type="dcterms:W3CDTF">2026-10-10T14:47:34Z</dcterms:modified>
</cp:coreProperties>
</file>