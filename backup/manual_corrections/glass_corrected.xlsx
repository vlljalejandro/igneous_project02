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lejad\Desktop\"/>
    </mc:Choice>
  </mc:AlternateContent>
  <xr:revisionPtr revIDLastSave="0" documentId="13_ncr:1_{88BC2EDC-5812-47AF-89A9-0EEA2D81B3E6}" xr6:coauthVersionLast="47" xr6:coauthVersionMax="47" xr10:uidLastSave="{00000000-0000-0000-0000-000000000000}"/>
  <bookViews>
    <workbookView xWindow="-108" yWindow="-108" windowWidth="41496" windowHeight="16776" xr2:uid="{18FDC0D8-3CDB-3641-AAED-6D69E972A582}"/>
  </bookViews>
  <sheets>
    <sheet name="Bgls_std-cnd" sheetId="6" r:id="rId1"/>
    <sheet name="Bgls_oxides" sheetId="7" r:id="rId2"/>
    <sheet name="Bgls_all" sheetId="8" r:id="rId3"/>
    <sheet name="GlassStdCalc" sheetId="12" r:id="rId4"/>
    <sheet name="GlassCorrected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3" l="1"/>
  <c r="X12" i="12"/>
  <c r="X17" i="12" s="1"/>
  <c r="AB12" i="12"/>
  <c r="AB17" i="12" s="1"/>
  <c r="W12" i="12"/>
  <c r="W17" i="12" s="1"/>
  <c r="J13" i="12"/>
  <c r="J14" i="12" s="1"/>
  <c r="J12" i="12"/>
  <c r="F13" i="12"/>
  <c r="F14" i="12" s="1"/>
  <c r="E13" i="12"/>
  <c r="E14" i="12" s="1"/>
  <c r="F12" i="12"/>
  <c r="E12" i="12"/>
  <c r="C13" i="12"/>
  <c r="C14" i="12" s="1"/>
  <c r="D13" i="12"/>
  <c r="D14" i="12" s="1"/>
  <c r="G13" i="12"/>
  <c r="G14" i="12" s="1"/>
  <c r="H13" i="12"/>
  <c r="H14" i="12" s="1"/>
  <c r="I13" i="12"/>
  <c r="I14" i="12" s="1"/>
  <c r="K13" i="12"/>
  <c r="K14" i="12" s="1"/>
  <c r="L13" i="12"/>
  <c r="L14" i="12" s="1"/>
  <c r="M13" i="12"/>
  <c r="M14" i="12" s="1"/>
  <c r="N13" i="12"/>
  <c r="N14" i="12" s="1"/>
  <c r="B13" i="12"/>
  <c r="B14" i="12" s="1"/>
  <c r="T12" i="12"/>
  <c r="T17" i="12" s="1"/>
  <c r="AL3" i="12" s="1"/>
  <c r="U12" i="12"/>
  <c r="U17" i="12" s="1"/>
  <c r="V12" i="12"/>
  <c r="V17" i="12" s="1"/>
  <c r="Y12" i="12"/>
  <c r="Y17" i="12" s="1"/>
  <c r="Z12" i="12"/>
  <c r="Z17" i="12" s="1"/>
  <c r="AA12" i="12"/>
  <c r="AA17" i="12" s="1"/>
  <c r="AC12" i="12"/>
  <c r="AC17" i="12" s="1"/>
  <c r="AD12" i="12"/>
  <c r="AD17" i="12" s="1"/>
  <c r="AE12" i="12"/>
  <c r="AE17" i="12" s="1"/>
  <c r="AF12" i="12"/>
  <c r="AF17" i="12" s="1"/>
  <c r="AG8" i="12"/>
  <c r="AG7" i="12"/>
  <c r="AG6" i="12"/>
  <c r="AG5" i="12"/>
  <c r="AG4" i="12"/>
  <c r="AG3" i="12"/>
  <c r="O4" i="12"/>
  <c r="O5" i="12"/>
  <c r="O6" i="12"/>
  <c r="O7" i="12"/>
  <c r="O8" i="12"/>
  <c r="O3" i="12"/>
  <c r="C12" i="12"/>
  <c r="D12" i="12"/>
  <c r="G12" i="12"/>
  <c r="H12" i="12"/>
  <c r="I12" i="12"/>
  <c r="K12" i="12"/>
  <c r="L12" i="12"/>
  <c r="M12" i="12"/>
  <c r="N12" i="12"/>
  <c r="B12" i="12"/>
  <c r="I15" i="12" l="1"/>
  <c r="C15" i="12"/>
  <c r="E15" i="12"/>
  <c r="G15" i="12"/>
  <c r="H15" i="12"/>
  <c r="K15" i="12"/>
  <c r="M15" i="12"/>
  <c r="B15" i="12"/>
  <c r="D15" i="12"/>
  <c r="F15" i="12"/>
  <c r="J15" i="12"/>
  <c r="L15" i="12"/>
  <c r="N15" i="12"/>
  <c r="AM5" i="12"/>
  <c r="AM7" i="12"/>
  <c r="AM6" i="12"/>
  <c r="AM8" i="12"/>
  <c r="AM4" i="12"/>
  <c r="AM3" i="12"/>
  <c r="AN8" i="12"/>
  <c r="AN5" i="12"/>
  <c r="AN12" i="12" s="1"/>
  <c r="AN15" i="12" s="1"/>
  <c r="AN6" i="12"/>
  <c r="AN7" i="12"/>
  <c r="AN4" i="12"/>
  <c r="AN3" i="12"/>
  <c r="AO7" i="12"/>
  <c r="AO6" i="12"/>
  <c r="AO4" i="12"/>
  <c r="AO5" i="12"/>
  <c r="AO8" i="12"/>
  <c r="AO3" i="12"/>
  <c r="AP8" i="12"/>
  <c r="AP3" i="12"/>
  <c r="AP4" i="12"/>
  <c r="AP6" i="12"/>
  <c r="AP7" i="12"/>
  <c r="AP5" i="12"/>
  <c r="AP12" i="12" s="1"/>
  <c r="AP15" i="12" s="1"/>
  <c r="AQ3" i="12"/>
  <c r="AQ7" i="12"/>
  <c r="AQ4" i="12"/>
  <c r="AQ6" i="12"/>
  <c r="AQ5" i="12"/>
  <c r="AQ8" i="12"/>
  <c r="AR8" i="12"/>
  <c r="AR4" i="12"/>
  <c r="AR5" i="12"/>
  <c r="AR12" i="12" s="1"/>
  <c r="AR15" i="12" s="1"/>
  <c r="AR6" i="12"/>
  <c r="AR3" i="12"/>
  <c r="AR7" i="12"/>
  <c r="AS7" i="12"/>
  <c r="AS6" i="12"/>
  <c r="AS3" i="12"/>
  <c r="AS5" i="12"/>
  <c r="AS4" i="12"/>
  <c r="AS8" i="12"/>
  <c r="AT3" i="12"/>
  <c r="AT7" i="12"/>
  <c r="AT6" i="12"/>
  <c r="AT4" i="12"/>
  <c r="AT5" i="12"/>
  <c r="AT8" i="12"/>
  <c r="AU7" i="12"/>
  <c r="AU5" i="12"/>
  <c r="AU8" i="12"/>
  <c r="AU6" i="12"/>
  <c r="AU3" i="12"/>
  <c r="AU4" i="12"/>
  <c r="AV7" i="12"/>
  <c r="AV6" i="12"/>
  <c r="AV3" i="12"/>
  <c r="AV5" i="12"/>
  <c r="AV4" i="12"/>
  <c r="AV8" i="12"/>
  <c r="AW5" i="12"/>
  <c r="AW7" i="12"/>
  <c r="AW4" i="12"/>
  <c r="AW3" i="12"/>
  <c r="AW8" i="12"/>
  <c r="AW6" i="12"/>
  <c r="AX5" i="12"/>
  <c r="AX7" i="12"/>
  <c r="AX3" i="12"/>
  <c r="AX6" i="12"/>
  <c r="AX4" i="12"/>
  <c r="AX8" i="12"/>
  <c r="C17" i="12"/>
  <c r="D17" i="12"/>
  <c r="E17" i="12"/>
  <c r="F17" i="12"/>
  <c r="G17" i="12"/>
  <c r="H17" i="12"/>
  <c r="I17" i="12"/>
  <c r="J17" i="12"/>
  <c r="K17" i="12"/>
  <c r="K83" i="13" s="1"/>
  <c r="L17" i="12"/>
  <c r="M17" i="12"/>
  <c r="N17" i="12"/>
  <c r="B17" i="12"/>
  <c r="AL8" i="12"/>
  <c r="AY8" i="12" s="1"/>
  <c r="AL4" i="12"/>
  <c r="AY4" i="12" s="1"/>
  <c r="AL5" i="12"/>
  <c r="AL12" i="12" s="1"/>
  <c r="AL6" i="12"/>
  <c r="AY6" i="12" s="1"/>
  <c r="AL7" i="12"/>
  <c r="AY7" i="12" s="1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5" i="13"/>
  <c r="C83" i="13"/>
  <c r="C76" i="13"/>
  <c r="C75" i="13"/>
  <c r="C72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82" i="13"/>
  <c r="C74" i="13"/>
  <c r="C69" i="13"/>
  <c r="C28" i="13"/>
  <c r="C18" i="13"/>
  <c r="C17" i="13"/>
  <c r="C12" i="13"/>
  <c r="C86" i="13"/>
  <c r="C77" i="13"/>
  <c r="C29" i="13"/>
  <c r="C25" i="13"/>
  <c r="C21" i="13"/>
  <c r="C19" i="13"/>
  <c r="C13" i="13"/>
  <c r="C11" i="13"/>
  <c r="C8" i="13"/>
  <c r="C7" i="13"/>
  <c r="C2" i="13"/>
  <c r="C81" i="13"/>
  <c r="C80" i="13"/>
  <c r="C79" i="13"/>
  <c r="C78" i="13"/>
  <c r="C71" i="13"/>
  <c r="C27" i="13"/>
  <c r="C23" i="13"/>
  <c r="C15" i="13"/>
  <c r="C14" i="13"/>
  <c r="C10" i="13"/>
  <c r="C73" i="13"/>
  <c r="C70" i="13"/>
  <c r="C68" i="13"/>
  <c r="C30" i="13"/>
  <c r="C26" i="13"/>
  <c r="C24" i="13"/>
  <c r="C22" i="13"/>
  <c r="C20" i="13"/>
  <c r="C16" i="13"/>
  <c r="C9" i="13"/>
  <c r="C6" i="13"/>
  <c r="C5" i="13"/>
  <c r="C4" i="13"/>
  <c r="C3" i="13"/>
  <c r="C87" i="13"/>
  <c r="C84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6" i="13"/>
  <c r="D79" i="13"/>
  <c r="D78" i="13"/>
  <c r="D77" i="13"/>
  <c r="D74" i="13"/>
  <c r="D73" i="13"/>
  <c r="D69" i="13"/>
  <c r="D68" i="13"/>
  <c r="D25" i="13"/>
  <c r="D18" i="13"/>
  <c r="D16" i="13"/>
  <c r="D13" i="13"/>
  <c r="D11" i="13"/>
  <c r="D75" i="13"/>
  <c r="D72" i="13"/>
  <c r="D29" i="13"/>
  <c r="D28" i="13"/>
  <c r="D27" i="13"/>
  <c r="D26" i="13"/>
  <c r="D23" i="13"/>
  <c r="D20" i="13"/>
  <c r="D17" i="13"/>
  <c r="D8" i="13"/>
  <c r="D7" i="13"/>
  <c r="D4" i="13"/>
  <c r="D3" i="13"/>
  <c r="D83" i="13"/>
  <c r="D82" i="13"/>
  <c r="E106" i="13"/>
  <c r="E105" i="13"/>
  <c r="E104" i="13"/>
  <c r="E103" i="13"/>
  <c r="E102" i="13"/>
  <c r="E101" i="13"/>
  <c r="E100" i="13"/>
  <c r="E99" i="13"/>
  <c r="E98" i="13"/>
  <c r="E97" i="13"/>
  <c r="E96" i="13"/>
  <c r="E40" i="13"/>
  <c r="E39" i="13"/>
  <c r="E38" i="13"/>
  <c r="E37" i="13"/>
  <c r="E36" i="13"/>
  <c r="E35" i="13"/>
  <c r="E34" i="13"/>
  <c r="E33" i="13"/>
  <c r="E32" i="13"/>
  <c r="E31" i="13"/>
  <c r="E30" i="13"/>
  <c r="E80" i="13"/>
  <c r="E28" i="13"/>
  <c r="E25" i="13"/>
  <c r="E13" i="13"/>
  <c r="E82" i="13"/>
  <c r="E81" i="13"/>
  <c r="E78" i="13"/>
  <c r="E72" i="13"/>
  <c r="E71" i="13"/>
  <c r="E69" i="13"/>
  <c r="E68" i="13"/>
  <c r="E26" i="13"/>
  <c r="E23" i="13"/>
  <c r="E21" i="13"/>
  <c r="E17" i="13"/>
  <c r="E16" i="13"/>
  <c r="E15" i="13"/>
  <c r="E8" i="13"/>
  <c r="E7" i="13"/>
  <c r="E27" i="13"/>
  <c r="E86" i="13"/>
  <c r="E2" i="13"/>
  <c r="E79" i="13"/>
  <c r="E77" i="13"/>
  <c r="E73" i="13"/>
  <c r="E29" i="13"/>
  <c r="E24" i="13"/>
  <c r="E20" i="13"/>
  <c r="E14" i="13"/>
  <c r="E12" i="13"/>
  <c r="E75" i="13"/>
  <c r="E74" i="13"/>
  <c r="E70" i="13"/>
  <c r="E22" i="13"/>
  <c r="E19" i="13"/>
  <c r="E18" i="13"/>
  <c r="E11" i="13"/>
  <c r="E10" i="13"/>
  <c r="E9" i="13"/>
  <c r="E6" i="13"/>
  <c r="E5" i="13"/>
  <c r="E4" i="13"/>
  <c r="E3" i="13"/>
  <c r="E84" i="13"/>
  <c r="E83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2" i="13"/>
  <c r="F75" i="13"/>
  <c r="F74" i="13"/>
  <c r="F72" i="13"/>
  <c r="F70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H11" i="13"/>
  <c r="H81" i="13"/>
  <c r="H77" i="13"/>
  <c r="H74" i="13"/>
  <c r="H68" i="13"/>
  <c r="H67" i="13"/>
  <c r="H29" i="13"/>
  <c r="H28" i="13"/>
  <c r="H27" i="13"/>
  <c r="H25" i="13"/>
  <c r="H20" i="13"/>
  <c r="H18" i="13"/>
  <c r="H10" i="13"/>
  <c r="H6" i="13"/>
  <c r="H5" i="13"/>
  <c r="H80" i="13"/>
  <c r="H79" i="13"/>
  <c r="H70" i="13"/>
  <c r="H23" i="13"/>
  <c r="H22" i="13"/>
  <c r="H13" i="13"/>
  <c r="H12" i="13"/>
  <c r="H2" i="13"/>
  <c r="H72" i="13"/>
  <c r="H71" i="13"/>
  <c r="H69" i="13"/>
  <c r="H21" i="13"/>
  <c r="H19" i="13"/>
  <c r="H16" i="13"/>
  <c r="H15" i="13"/>
  <c r="H9" i="13"/>
  <c r="H8" i="13"/>
  <c r="H7" i="13"/>
  <c r="H4" i="13"/>
  <c r="H3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3" i="13"/>
  <c r="I79" i="13"/>
  <c r="I75" i="13"/>
  <c r="I73" i="13"/>
  <c r="I72" i="13"/>
  <c r="I66" i="13"/>
  <c r="I65" i="13"/>
  <c r="I64" i="13"/>
  <c r="I86" i="13"/>
  <c r="I84" i="13"/>
  <c r="I82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77" i="13"/>
  <c r="J72" i="13"/>
  <c r="J71" i="13"/>
  <c r="J69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81" i="13"/>
  <c r="J79" i="13"/>
  <c r="J75" i="13"/>
  <c r="J74" i="13"/>
  <c r="J68" i="13"/>
  <c r="J29" i="13"/>
  <c r="J28" i="13"/>
  <c r="J23" i="13"/>
  <c r="J17" i="13"/>
  <c r="J16" i="13"/>
  <c r="J14" i="13"/>
  <c r="J12" i="13"/>
  <c r="J10" i="13"/>
  <c r="J9" i="13"/>
  <c r="J2" i="13"/>
  <c r="J78" i="13"/>
  <c r="J76" i="13"/>
  <c r="J70" i="13"/>
  <c r="J22" i="13"/>
  <c r="J20" i="13"/>
  <c r="J13" i="13"/>
  <c r="J6" i="13"/>
  <c r="J5" i="13"/>
  <c r="J80" i="13"/>
  <c r="J27" i="13"/>
  <c r="J25" i="13"/>
  <c r="J24" i="13"/>
  <c r="J21" i="13"/>
  <c r="J19" i="13"/>
  <c r="J15" i="13"/>
  <c r="J73" i="13"/>
  <c r="J26" i="13"/>
  <c r="J18" i="13"/>
  <c r="J11" i="13"/>
  <c r="J8" i="13"/>
  <c r="J7" i="13"/>
  <c r="J4" i="13"/>
  <c r="J3" i="13"/>
  <c r="J83" i="13"/>
  <c r="J82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4" i="13"/>
  <c r="K82" i="13"/>
  <c r="K79" i="13"/>
  <c r="K78" i="13"/>
  <c r="K76" i="13"/>
  <c r="K75" i="13"/>
  <c r="K70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81" i="13"/>
  <c r="K74" i="13"/>
  <c r="K71" i="13"/>
  <c r="K26" i="13"/>
  <c r="K25" i="13"/>
  <c r="K21" i="13"/>
  <c r="K17" i="13"/>
  <c r="K77" i="13"/>
  <c r="K29" i="13"/>
  <c r="K27" i="13"/>
  <c r="K16" i="13"/>
  <c r="K12" i="13"/>
  <c r="K8" i="13"/>
  <c r="K7" i="13"/>
  <c r="K4" i="13"/>
  <c r="K80" i="13"/>
  <c r="K67" i="13"/>
  <c r="K28" i="13"/>
  <c r="K23" i="13"/>
  <c r="K18" i="13"/>
  <c r="K15" i="13"/>
  <c r="K14" i="13"/>
  <c r="K13" i="13"/>
  <c r="K73" i="13"/>
  <c r="K72" i="13"/>
  <c r="K69" i="13"/>
  <c r="K68" i="13"/>
  <c r="K24" i="13"/>
  <c r="K22" i="13"/>
  <c r="K20" i="13"/>
  <c r="K19" i="13"/>
  <c r="K11" i="13"/>
  <c r="K10" i="13"/>
  <c r="K9" i="13"/>
  <c r="K6" i="13"/>
  <c r="K5" i="13"/>
  <c r="K3" i="13"/>
  <c r="K2" i="13"/>
  <c r="K86" i="13"/>
  <c r="K85" i="13"/>
  <c r="L39" i="13"/>
  <c r="L38" i="13"/>
  <c r="L37" i="13"/>
  <c r="L36" i="13"/>
  <c r="L35" i="13"/>
  <c r="L34" i="13"/>
  <c r="L33" i="13"/>
  <c r="L32" i="13"/>
  <c r="L31" i="13"/>
  <c r="L30" i="13"/>
  <c r="L85" i="13"/>
  <c r="L84" i="13"/>
  <c r="L83" i="13"/>
  <c r="L77" i="13"/>
  <c r="L73" i="13"/>
  <c r="L71" i="13"/>
  <c r="L27" i="13"/>
  <c r="L23" i="13"/>
  <c r="L18" i="13"/>
  <c r="L14" i="13"/>
  <c r="L13" i="13"/>
  <c r="L10" i="13"/>
  <c r="L86" i="13"/>
  <c r="L79" i="13"/>
  <c r="L25" i="13"/>
  <c r="L24" i="13"/>
  <c r="L21" i="13"/>
  <c r="L11" i="13"/>
  <c r="L9" i="13"/>
  <c r="L5" i="13"/>
  <c r="L81" i="13"/>
  <c r="L78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75" i="13"/>
  <c r="M67" i="13"/>
  <c r="M28" i="13"/>
  <c r="M26" i="13"/>
  <c r="M25" i="13"/>
  <c r="M24" i="13"/>
  <c r="M21" i="13"/>
  <c r="M20" i="13"/>
  <c r="M12" i="13"/>
  <c r="M9" i="13"/>
  <c r="M8" i="13"/>
  <c r="M81" i="13"/>
  <c r="M80" i="13"/>
  <c r="M70" i="13"/>
  <c r="M68" i="13"/>
  <c r="M23" i="13"/>
  <c r="M19" i="13"/>
  <c r="M7" i="13"/>
  <c r="M6" i="13"/>
  <c r="M4" i="13"/>
  <c r="M84" i="13"/>
  <c r="M83" i="13"/>
  <c r="M79" i="13"/>
  <c r="M73" i="13"/>
  <c r="N75" i="13"/>
  <c r="N73" i="13"/>
  <c r="N13" i="13"/>
  <c r="N78" i="13"/>
  <c r="N77" i="13"/>
  <c r="N71" i="13"/>
  <c r="N24" i="13"/>
  <c r="N22" i="13"/>
  <c r="N21" i="13"/>
  <c r="N20" i="13"/>
  <c r="N17" i="13"/>
  <c r="N16" i="13"/>
  <c r="N15" i="13"/>
  <c r="N14" i="13"/>
  <c r="N12" i="13"/>
  <c r="N10" i="13"/>
  <c r="N8" i="13"/>
  <c r="N5" i="13"/>
  <c r="N3" i="13"/>
  <c r="N27" i="13"/>
  <c r="N85" i="13"/>
  <c r="N82" i="13"/>
  <c r="N80" i="13"/>
  <c r="N79" i="13"/>
  <c r="N68" i="13"/>
  <c r="N29" i="13"/>
  <c r="N28" i="13"/>
  <c r="N25" i="13"/>
  <c r="N23" i="13"/>
  <c r="N19" i="13"/>
  <c r="N18" i="13"/>
  <c r="N26" i="13"/>
  <c r="N11" i="13"/>
  <c r="N9" i="13"/>
  <c r="N7" i="13"/>
  <c r="N6" i="13"/>
  <c r="N4" i="13"/>
  <c r="N2" i="13"/>
  <c r="N86" i="13"/>
  <c r="N84" i="13"/>
  <c r="B2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E95" i="13" l="1"/>
  <c r="E94" i="13"/>
  <c r="E93" i="13"/>
  <c r="E92" i="13"/>
  <c r="E91" i="13"/>
  <c r="E90" i="13"/>
  <c r="E89" i="13"/>
  <c r="E88" i="13"/>
  <c r="E87" i="13"/>
  <c r="E85" i="13"/>
  <c r="E76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F38" i="13"/>
  <c r="F37" i="13"/>
  <c r="F36" i="13"/>
  <c r="F35" i="13"/>
  <c r="F34" i="13"/>
  <c r="F33" i="13"/>
  <c r="F32" i="13"/>
  <c r="F31" i="13"/>
  <c r="F30" i="13"/>
  <c r="F81" i="13"/>
  <c r="F79" i="13"/>
  <c r="F77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86" i="13"/>
  <c r="H85" i="13"/>
  <c r="H78" i="13"/>
  <c r="H75" i="13"/>
  <c r="H26" i="13"/>
  <c r="H24" i="13"/>
  <c r="H17" i="13"/>
  <c r="H14" i="13"/>
  <c r="F76" i="13"/>
  <c r="F73" i="13"/>
  <c r="O73" i="13" s="1"/>
  <c r="F69" i="13"/>
  <c r="F68" i="13"/>
  <c r="F29" i="13"/>
  <c r="F19" i="13"/>
  <c r="F17" i="13"/>
  <c r="F15" i="13"/>
  <c r="F14" i="13"/>
  <c r="F11" i="13"/>
  <c r="F10" i="13"/>
  <c r="F80" i="13"/>
  <c r="F28" i="13"/>
  <c r="H64" i="13"/>
  <c r="H76" i="13"/>
  <c r="H73" i="13"/>
  <c r="H66" i="13"/>
  <c r="H65" i="13"/>
  <c r="H82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F25" i="13"/>
  <c r="F24" i="13"/>
  <c r="F22" i="13"/>
  <c r="F20" i="13"/>
  <c r="F18" i="13"/>
  <c r="F16" i="13"/>
  <c r="F13" i="13"/>
  <c r="F12" i="13"/>
  <c r="F9" i="13"/>
  <c r="F6" i="13"/>
  <c r="F5" i="13"/>
  <c r="F84" i="13"/>
  <c r="F85" i="13"/>
  <c r="F78" i="13"/>
  <c r="F71" i="13"/>
  <c r="F26" i="13"/>
  <c r="F23" i="13"/>
  <c r="F2" i="13"/>
  <c r="F27" i="13"/>
  <c r="F21" i="13"/>
  <c r="G12" i="13"/>
  <c r="G82" i="13"/>
  <c r="G30" i="13"/>
  <c r="G76" i="13"/>
  <c r="G68" i="13"/>
  <c r="G27" i="13"/>
  <c r="G22" i="13"/>
  <c r="G9" i="13"/>
  <c r="G80" i="13"/>
  <c r="G74" i="13"/>
  <c r="G21" i="13"/>
  <c r="G32" i="13"/>
  <c r="G11" i="13"/>
  <c r="G8" i="13"/>
  <c r="G7" i="13"/>
  <c r="G4" i="13"/>
  <c r="G86" i="13"/>
  <c r="G78" i="13"/>
  <c r="G26" i="13"/>
  <c r="G24" i="13"/>
  <c r="G16" i="13"/>
  <c r="G15" i="13"/>
  <c r="G14" i="13"/>
  <c r="G73" i="13"/>
  <c r="G72" i="13"/>
  <c r="G29" i="13"/>
  <c r="G28" i="13"/>
  <c r="G25" i="13"/>
  <c r="G23" i="13"/>
  <c r="G20" i="13"/>
  <c r="G19" i="13"/>
  <c r="G18" i="13"/>
  <c r="G17" i="13"/>
  <c r="G13" i="13"/>
  <c r="G10" i="13"/>
  <c r="G6" i="13"/>
  <c r="G5" i="13"/>
  <c r="G3" i="13"/>
  <c r="G2" i="13"/>
  <c r="G85" i="13"/>
  <c r="G84" i="13"/>
  <c r="G83" i="13"/>
  <c r="G31" i="13"/>
  <c r="H98" i="13"/>
  <c r="H105" i="13"/>
  <c r="H104" i="13"/>
  <c r="H103" i="13"/>
  <c r="H102" i="13"/>
  <c r="H101" i="13"/>
  <c r="H100" i="13"/>
  <c r="H99" i="13"/>
  <c r="H106" i="13"/>
  <c r="H97" i="13"/>
  <c r="H96" i="13"/>
  <c r="H95" i="13"/>
  <c r="H94" i="13"/>
  <c r="H93" i="13"/>
  <c r="H92" i="13"/>
  <c r="H91" i="13"/>
  <c r="H90" i="13"/>
  <c r="H89" i="13"/>
  <c r="H88" i="13"/>
  <c r="H87" i="13"/>
  <c r="H84" i="13"/>
  <c r="H83" i="13"/>
  <c r="L4" i="13"/>
  <c r="L75" i="13"/>
  <c r="L29" i="13"/>
  <c r="L22" i="13"/>
  <c r="L19" i="13"/>
  <c r="L17" i="13"/>
  <c r="L12" i="13"/>
  <c r="L72" i="13"/>
  <c r="L70" i="13"/>
  <c r="L67" i="13"/>
  <c r="L28" i="13"/>
  <c r="L26" i="13"/>
  <c r="L20" i="13"/>
  <c r="L16" i="13"/>
  <c r="L15" i="13"/>
  <c r="L8" i="13"/>
  <c r="L7" i="13"/>
  <c r="L6" i="13"/>
  <c r="L76" i="13"/>
  <c r="L3" i="13"/>
  <c r="L2" i="13"/>
  <c r="L82" i="13"/>
  <c r="M99" i="13"/>
  <c r="M55" i="13"/>
  <c r="M104" i="13"/>
  <c r="M103" i="13"/>
  <c r="M102" i="13"/>
  <c r="M101" i="13"/>
  <c r="M100" i="13"/>
  <c r="M106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5" i="13"/>
  <c r="M78" i="13"/>
  <c r="M77" i="13"/>
  <c r="M76" i="13"/>
  <c r="M66" i="13"/>
  <c r="M65" i="13"/>
  <c r="M64" i="13"/>
  <c r="M63" i="13"/>
  <c r="M62" i="13"/>
  <c r="M61" i="13"/>
  <c r="M60" i="13"/>
  <c r="M59" i="13"/>
  <c r="M58" i="13"/>
  <c r="M57" i="13"/>
  <c r="M56" i="13"/>
  <c r="M105" i="13"/>
  <c r="D70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S39" i="13" s="1"/>
  <c r="T39" i="13" s="1"/>
  <c r="U39" i="13" s="1"/>
  <c r="D38" i="13"/>
  <c r="S38" i="13" s="1"/>
  <c r="T38" i="13" s="1"/>
  <c r="U38" i="13" s="1"/>
  <c r="D37" i="13"/>
  <c r="S37" i="13" s="1"/>
  <c r="D36" i="13"/>
  <c r="S36" i="13" s="1"/>
  <c r="T36" i="13" s="1"/>
  <c r="U36" i="13" s="1"/>
  <c r="D35" i="13"/>
  <c r="S35" i="13" s="1"/>
  <c r="T35" i="13" s="1"/>
  <c r="U35" i="13" s="1"/>
  <c r="D34" i="13"/>
  <c r="S34" i="13" s="1"/>
  <c r="D33" i="13"/>
  <c r="S33" i="13" s="1"/>
  <c r="D32" i="13"/>
  <c r="S32" i="13" s="1"/>
  <c r="D31" i="13"/>
  <c r="S31" i="13" s="1"/>
  <c r="T31" i="13" s="1"/>
  <c r="U31" i="13" s="1"/>
  <c r="D30" i="13"/>
  <c r="S30" i="13" s="1"/>
  <c r="D87" i="13"/>
  <c r="D81" i="13"/>
  <c r="D80" i="13"/>
  <c r="D71" i="13"/>
  <c r="D22" i="13"/>
  <c r="D21" i="13"/>
  <c r="D19" i="13"/>
  <c r="D15" i="13"/>
  <c r="D14" i="13"/>
  <c r="D12" i="13"/>
  <c r="D10" i="13"/>
  <c r="D24" i="13"/>
  <c r="D9" i="13"/>
  <c r="D6" i="13"/>
  <c r="D5" i="13"/>
  <c r="D2" i="13"/>
  <c r="D85" i="13"/>
  <c r="S85" i="13" s="1"/>
  <c r="D84" i="13"/>
  <c r="D76" i="13"/>
  <c r="F47" i="13"/>
  <c r="F48" i="13"/>
  <c r="F46" i="13"/>
  <c r="F45" i="13"/>
  <c r="F44" i="13"/>
  <c r="F43" i="13"/>
  <c r="F42" i="13"/>
  <c r="F41" i="13"/>
  <c r="F40" i="13"/>
  <c r="F39" i="13"/>
  <c r="I23" i="13"/>
  <c r="O23" i="13" s="1"/>
  <c r="I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63" i="13"/>
  <c r="I13" i="13"/>
  <c r="I6" i="13"/>
  <c r="O6" i="13" s="1"/>
  <c r="I5" i="13"/>
  <c r="I3" i="13"/>
  <c r="I62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S83" i="13"/>
  <c r="T83" i="13" s="1"/>
  <c r="U83" i="13" s="1"/>
  <c r="S73" i="13"/>
  <c r="T73" i="13" s="1"/>
  <c r="U73" i="13" s="1"/>
  <c r="S71" i="13"/>
  <c r="S27" i="13"/>
  <c r="S23" i="13"/>
  <c r="T23" i="13" s="1"/>
  <c r="U23" i="13" s="1"/>
  <c r="S18" i="13"/>
  <c r="S14" i="13"/>
  <c r="T14" i="13" s="1"/>
  <c r="U14" i="13" s="1"/>
  <c r="S13" i="13"/>
  <c r="T13" i="13" s="1"/>
  <c r="U13" i="13" s="1"/>
  <c r="S10" i="13"/>
  <c r="S25" i="13"/>
  <c r="S24" i="13"/>
  <c r="S21" i="13"/>
  <c r="S11" i="13"/>
  <c r="T11" i="13" s="1"/>
  <c r="U11" i="13" s="1"/>
  <c r="S9" i="13"/>
  <c r="T9" i="13" s="1"/>
  <c r="U9" i="13" s="1"/>
  <c r="S5" i="13"/>
  <c r="S81" i="13"/>
  <c r="T81" i="13" s="1"/>
  <c r="U81" i="13" s="1"/>
  <c r="S76" i="13"/>
  <c r="T76" i="13" s="1"/>
  <c r="U76" i="13" s="1"/>
  <c r="S75" i="13"/>
  <c r="S29" i="13"/>
  <c r="S22" i="13"/>
  <c r="S19" i="13"/>
  <c r="S17" i="13"/>
  <c r="S12" i="13"/>
  <c r="S72" i="13"/>
  <c r="T72" i="13" s="1"/>
  <c r="U72" i="13" s="1"/>
  <c r="S28" i="13"/>
  <c r="S26" i="13"/>
  <c r="T26" i="13" s="1"/>
  <c r="U26" i="13" s="1"/>
  <c r="S20" i="13"/>
  <c r="S16" i="13"/>
  <c r="S15" i="13"/>
  <c r="S8" i="13"/>
  <c r="S7" i="13"/>
  <c r="T7" i="13" s="1"/>
  <c r="U7" i="13" s="1"/>
  <c r="S6" i="13"/>
  <c r="S4" i="13"/>
  <c r="T4" i="13" s="1"/>
  <c r="U4" i="13" s="1"/>
  <c r="S3" i="13"/>
  <c r="T3" i="13" s="1"/>
  <c r="U3" i="13" s="1"/>
  <c r="T2" i="13"/>
  <c r="U2" i="13" s="1"/>
  <c r="S82" i="13"/>
  <c r="T82" i="13" s="1"/>
  <c r="U82" i="13" s="1"/>
  <c r="F8" i="13"/>
  <c r="F7" i="13"/>
  <c r="F4" i="13"/>
  <c r="F3" i="13"/>
  <c r="F83" i="13"/>
  <c r="G42" i="13"/>
  <c r="G33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1" i="13"/>
  <c r="G79" i="13"/>
  <c r="G77" i="13"/>
  <c r="G75" i="13"/>
  <c r="G71" i="13"/>
  <c r="G70" i="13"/>
  <c r="G69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106" i="13"/>
  <c r="G41" i="13"/>
  <c r="G40" i="13"/>
  <c r="G39" i="13"/>
  <c r="G38" i="13"/>
  <c r="G37" i="13"/>
  <c r="G36" i="13"/>
  <c r="G35" i="13"/>
  <c r="G34" i="13"/>
  <c r="G105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80" i="13"/>
  <c r="I77" i="13"/>
  <c r="I76" i="13"/>
  <c r="I70" i="13"/>
  <c r="I67" i="13"/>
  <c r="I22" i="13"/>
  <c r="I19" i="13"/>
  <c r="I15" i="13"/>
  <c r="I12" i="13"/>
  <c r="I78" i="13"/>
  <c r="I68" i="13"/>
  <c r="I24" i="13"/>
  <c r="I21" i="13"/>
  <c r="I17" i="13"/>
  <c r="I9" i="13"/>
  <c r="I8" i="13"/>
  <c r="I7" i="13"/>
  <c r="I4" i="13"/>
  <c r="I85" i="13"/>
  <c r="I81" i="13"/>
  <c r="I74" i="13"/>
  <c r="I69" i="13"/>
  <c r="I26" i="13"/>
  <c r="I20" i="13"/>
  <c r="O20" i="13" s="1"/>
  <c r="I18" i="13"/>
  <c r="I16" i="13"/>
  <c r="I14" i="13"/>
  <c r="I11" i="13"/>
  <c r="I10" i="13"/>
  <c r="I71" i="13"/>
  <c r="I29" i="13"/>
  <c r="I28" i="13"/>
  <c r="I27" i="13"/>
  <c r="I25" i="13"/>
  <c r="O25" i="13" s="1"/>
  <c r="L96" i="13"/>
  <c r="S96" i="13" s="1"/>
  <c r="T96" i="13" s="1"/>
  <c r="U96" i="13" s="1"/>
  <c r="L40" i="13"/>
  <c r="L104" i="13"/>
  <c r="S104" i="13" s="1"/>
  <c r="T104" i="13" s="1"/>
  <c r="U104" i="13" s="1"/>
  <c r="L103" i="13"/>
  <c r="S103" i="13" s="1"/>
  <c r="L102" i="13"/>
  <c r="S102" i="13" s="1"/>
  <c r="T102" i="13" s="1"/>
  <c r="U102" i="13" s="1"/>
  <c r="L101" i="13"/>
  <c r="S101" i="13" s="1"/>
  <c r="T101" i="13" s="1"/>
  <c r="U101" i="13" s="1"/>
  <c r="L100" i="13"/>
  <c r="S100" i="13" s="1"/>
  <c r="L99" i="13"/>
  <c r="S99" i="13" s="1"/>
  <c r="L98" i="13"/>
  <c r="S98" i="13" s="1"/>
  <c r="T98" i="13" s="1"/>
  <c r="U98" i="13" s="1"/>
  <c r="L97" i="13"/>
  <c r="S97" i="13" s="1"/>
  <c r="T97" i="13" s="1"/>
  <c r="U97" i="13" s="1"/>
  <c r="L106" i="13"/>
  <c r="S106" i="13" s="1"/>
  <c r="L95" i="13"/>
  <c r="S95" i="13" s="1"/>
  <c r="L94" i="13"/>
  <c r="S94" i="13" s="1"/>
  <c r="T94" i="13" s="1"/>
  <c r="L93" i="13"/>
  <c r="S93" i="13" s="1"/>
  <c r="T93" i="13" s="1"/>
  <c r="U93" i="13" s="1"/>
  <c r="L92" i="13"/>
  <c r="S92" i="13" s="1"/>
  <c r="L91" i="13"/>
  <c r="S91" i="13" s="1"/>
  <c r="T91" i="13" s="1"/>
  <c r="U91" i="13" s="1"/>
  <c r="L90" i="13"/>
  <c r="S90" i="13" s="1"/>
  <c r="T90" i="13" s="1"/>
  <c r="U90" i="13" s="1"/>
  <c r="L89" i="13"/>
  <c r="S89" i="13" s="1"/>
  <c r="L88" i="13"/>
  <c r="S88" i="13" s="1"/>
  <c r="T88" i="13" s="1"/>
  <c r="U88" i="13" s="1"/>
  <c r="L87" i="13"/>
  <c r="L80" i="13"/>
  <c r="L74" i="13"/>
  <c r="S74" i="13" s="1"/>
  <c r="T74" i="13" s="1"/>
  <c r="U74" i="13" s="1"/>
  <c r="L69" i="13"/>
  <c r="S69" i="13" s="1"/>
  <c r="L68" i="13"/>
  <c r="S68" i="13" s="1"/>
  <c r="T68" i="13" s="1"/>
  <c r="U68" i="13" s="1"/>
  <c r="L66" i="13"/>
  <c r="S66" i="13" s="1"/>
  <c r="T66" i="13" s="1"/>
  <c r="U66" i="13" s="1"/>
  <c r="L65" i="13"/>
  <c r="S65" i="13" s="1"/>
  <c r="L64" i="13"/>
  <c r="S64" i="13" s="1"/>
  <c r="L63" i="13"/>
  <c r="S63" i="13" s="1"/>
  <c r="L62" i="13"/>
  <c r="S62" i="13" s="1"/>
  <c r="T62" i="13" s="1"/>
  <c r="U62" i="13" s="1"/>
  <c r="L61" i="13"/>
  <c r="S61" i="13" s="1"/>
  <c r="L60" i="13"/>
  <c r="S60" i="13" s="1"/>
  <c r="T60" i="13" s="1"/>
  <c r="U60" i="13" s="1"/>
  <c r="L59" i="13"/>
  <c r="S59" i="13" s="1"/>
  <c r="L58" i="13"/>
  <c r="S58" i="13" s="1"/>
  <c r="L57" i="13"/>
  <c r="S57" i="13" s="1"/>
  <c r="L56" i="13"/>
  <c r="S56" i="13" s="1"/>
  <c r="T56" i="13" s="1"/>
  <c r="U56" i="13" s="1"/>
  <c r="L55" i="13"/>
  <c r="S55" i="13" s="1"/>
  <c r="L54" i="13"/>
  <c r="S54" i="13" s="1"/>
  <c r="T54" i="13" s="1"/>
  <c r="U54" i="13" s="1"/>
  <c r="L53" i="13"/>
  <c r="S53" i="13" s="1"/>
  <c r="T53" i="13" s="1"/>
  <c r="U53" i="13" s="1"/>
  <c r="L52" i="13"/>
  <c r="S52" i="13" s="1"/>
  <c r="L51" i="13"/>
  <c r="S51" i="13" s="1"/>
  <c r="L50" i="13"/>
  <c r="S50" i="13" s="1"/>
  <c r="L49" i="13"/>
  <c r="S49" i="13" s="1"/>
  <c r="T49" i="13" s="1"/>
  <c r="U49" i="13" s="1"/>
  <c r="L48" i="13"/>
  <c r="S48" i="13" s="1"/>
  <c r="T48" i="13" s="1"/>
  <c r="U48" i="13" s="1"/>
  <c r="L47" i="13"/>
  <c r="S47" i="13" s="1"/>
  <c r="L46" i="13"/>
  <c r="S46" i="13" s="1"/>
  <c r="T46" i="13" s="1"/>
  <c r="U46" i="13" s="1"/>
  <c r="L45" i="13"/>
  <c r="S45" i="13" s="1"/>
  <c r="L44" i="13"/>
  <c r="S44" i="13" s="1"/>
  <c r="L43" i="13"/>
  <c r="S43" i="13" s="1"/>
  <c r="T43" i="13" s="1"/>
  <c r="U43" i="13" s="1"/>
  <c r="L42" i="13"/>
  <c r="L41" i="13"/>
  <c r="S41" i="13" s="1"/>
  <c r="L105" i="13"/>
  <c r="S105" i="13" s="1"/>
  <c r="T105" i="13" s="1"/>
  <c r="U105" i="13" s="1"/>
  <c r="M2" i="13"/>
  <c r="M16" i="13"/>
  <c r="M15" i="13"/>
  <c r="M14" i="13"/>
  <c r="M13" i="13"/>
  <c r="M11" i="13"/>
  <c r="M74" i="13"/>
  <c r="M72" i="13"/>
  <c r="M69" i="13"/>
  <c r="M29" i="13"/>
  <c r="M27" i="13"/>
  <c r="M22" i="13"/>
  <c r="M18" i="13"/>
  <c r="M17" i="13"/>
  <c r="M10" i="13"/>
  <c r="M5" i="13"/>
  <c r="M3" i="13"/>
  <c r="M71" i="13"/>
  <c r="M86" i="13"/>
  <c r="M82" i="13"/>
  <c r="N70" i="13"/>
  <c r="N76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3" i="13"/>
  <c r="N74" i="13"/>
  <c r="N72" i="13"/>
  <c r="N106" i="13"/>
  <c r="N69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81" i="13"/>
  <c r="N105" i="13"/>
  <c r="AM12" i="12"/>
  <c r="AM15" i="12" s="1"/>
  <c r="AO12" i="12"/>
  <c r="AO15" i="12" s="1"/>
  <c r="AQ12" i="12"/>
  <c r="AQ15" i="12" s="1"/>
  <c r="AS12" i="12"/>
  <c r="AS15" i="12" s="1"/>
  <c r="AT12" i="12"/>
  <c r="AT15" i="12" s="1"/>
  <c r="AU12" i="12"/>
  <c r="AU15" i="12" s="1"/>
  <c r="AV12" i="12"/>
  <c r="AV15" i="12" s="1"/>
  <c r="AW12" i="12"/>
  <c r="AW15" i="12" s="1"/>
  <c r="AX12" i="12"/>
  <c r="AX15" i="12" s="1"/>
  <c r="S77" i="13"/>
  <c r="T77" i="13" s="1"/>
  <c r="U77" i="13" s="1"/>
  <c r="S86" i="13"/>
  <c r="S79" i="13"/>
  <c r="S78" i="13"/>
  <c r="T78" i="13" s="1"/>
  <c r="U78" i="13" s="1"/>
  <c r="S70" i="13"/>
  <c r="T70" i="13" s="1"/>
  <c r="U70" i="13" s="1"/>
  <c r="S67" i="13"/>
  <c r="AY5" i="12"/>
  <c r="AL15" i="12"/>
  <c r="AY3" i="12"/>
  <c r="O79" i="13" l="1"/>
  <c r="O75" i="13"/>
  <c r="O78" i="13"/>
  <c r="O26" i="13"/>
  <c r="O28" i="13"/>
  <c r="S40" i="13"/>
  <c r="T40" i="13" s="1"/>
  <c r="U40" i="13" s="1"/>
  <c r="S87" i="13"/>
  <c r="T87" i="13" s="1"/>
  <c r="U87" i="13" s="1"/>
  <c r="S80" i="13"/>
  <c r="T80" i="13" s="1"/>
  <c r="U80" i="13" s="1"/>
  <c r="O86" i="13"/>
  <c r="O82" i="13"/>
  <c r="O3" i="13"/>
  <c r="O22" i="13"/>
  <c r="O19" i="13"/>
  <c r="O12" i="13"/>
  <c r="O24" i="13"/>
  <c r="O21" i="13"/>
  <c r="O17" i="13"/>
  <c r="O9" i="13"/>
  <c r="O18" i="13"/>
  <c r="O11" i="13"/>
  <c r="O10" i="13"/>
  <c r="O29" i="13"/>
  <c r="O27" i="13"/>
  <c r="O8" i="13"/>
  <c r="O7" i="13"/>
  <c r="O16" i="13"/>
  <c r="O4" i="13"/>
  <c r="O80" i="13"/>
  <c r="O68" i="13"/>
  <c r="O32" i="13"/>
  <c r="O31" i="13"/>
  <c r="O30" i="13"/>
  <c r="O85" i="13"/>
  <c r="O77" i="13"/>
  <c r="O15" i="13"/>
  <c r="O14" i="13"/>
  <c r="O84" i="13"/>
  <c r="S84" i="13"/>
  <c r="T84" i="13" s="1"/>
  <c r="U84" i="13" s="1"/>
  <c r="T103" i="13"/>
  <c r="U103" i="13"/>
  <c r="T106" i="13"/>
  <c r="U106" i="13" s="1"/>
  <c r="T41" i="13"/>
  <c r="U41" i="13"/>
  <c r="S42" i="13"/>
  <c r="O105" i="13"/>
  <c r="O2" i="13"/>
  <c r="O13" i="13"/>
  <c r="O74" i="13"/>
  <c r="O72" i="13"/>
  <c r="O69" i="13"/>
  <c r="O5" i="13"/>
  <c r="O71" i="13"/>
  <c r="O70" i="13"/>
  <c r="O76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3" i="13"/>
  <c r="O106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81" i="13"/>
  <c r="T37" i="13"/>
  <c r="U37" i="13"/>
  <c r="T34" i="13"/>
  <c r="U34" i="13"/>
  <c r="T33" i="13"/>
  <c r="U33" i="13"/>
  <c r="T32" i="13"/>
  <c r="U32" i="13"/>
  <c r="T30" i="13"/>
  <c r="U30" i="13" s="1"/>
  <c r="T85" i="13"/>
  <c r="U85" i="13"/>
  <c r="T71" i="13"/>
  <c r="U71" i="13"/>
  <c r="T27" i="13"/>
  <c r="U27" i="13" s="1"/>
  <c r="T18" i="13"/>
  <c r="U18" i="13" s="1"/>
  <c r="T10" i="13"/>
  <c r="U10" i="13"/>
  <c r="T25" i="13"/>
  <c r="U25" i="13"/>
  <c r="T24" i="13"/>
  <c r="U24" i="13"/>
  <c r="T21" i="13"/>
  <c r="U21" i="13"/>
  <c r="T5" i="13"/>
  <c r="U5" i="13" s="1"/>
  <c r="T75" i="13"/>
  <c r="U75" i="13"/>
  <c r="T29" i="13"/>
  <c r="U29" i="13" s="1"/>
  <c r="T22" i="13"/>
  <c r="U22" i="13"/>
  <c r="T19" i="13"/>
  <c r="U19" i="13"/>
  <c r="T17" i="13"/>
  <c r="U17" i="13"/>
  <c r="T12" i="13"/>
  <c r="U12" i="13"/>
  <c r="T28" i="13"/>
  <c r="U28" i="13" s="1"/>
  <c r="T20" i="13"/>
  <c r="U20" i="13"/>
  <c r="T16" i="13"/>
  <c r="U16" i="13" s="1"/>
  <c r="T15" i="13"/>
  <c r="U15" i="13" s="1"/>
  <c r="T8" i="13"/>
  <c r="U8" i="13"/>
  <c r="T6" i="13"/>
  <c r="U6" i="13" s="1"/>
  <c r="T69" i="13"/>
  <c r="U69" i="13"/>
  <c r="T59" i="13"/>
  <c r="U59" i="13"/>
  <c r="T58" i="13"/>
  <c r="U58" i="13" s="1"/>
  <c r="T57" i="13"/>
  <c r="U57" i="13" s="1"/>
  <c r="T55" i="13"/>
  <c r="U55" i="13" s="1"/>
  <c r="T52" i="13"/>
  <c r="U52" i="13"/>
  <c r="T51" i="13"/>
  <c r="U51" i="13"/>
  <c r="T50" i="13"/>
  <c r="U50" i="13"/>
  <c r="T47" i="13"/>
  <c r="U47" i="13"/>
  <c r="T45" i="13"/>
  <c r="U45" i="13" s="1"/>
  <c r="T44" i="13"/>
  <c r="U44" i="13" s="1"/>
  <c r="T100" i="13"/>
  <c r="U100" i="13" s="1"/>
  <c r="T99" i="13"/>
  <c r="U99" i="13" s="1"/>
  <c r="T95" i="13"/>
  <c r="U95" i="13" s="1"/>
  <c r="U94" i="13"/>
  <c r="T92" i="13"/>
  <c r="U92" i="13" s="1"/>
  <c r="T89" i="13"/>
  <c r="U89" i="13" s="1"/>
  <c r="T65" i="13"/>
  <c r="U65" i="13"/>
  <c r="T64" i="13"/>
  <c r="U64" i="13" s="1"/>
  <c r="T63" i="13"/>
  <c r="U63" i="13"/>
  <c r="T61" i="13"/>
  <c r="U61" i="13"/>
  <c r="T86" i="13"/>
  <c r="U86" i="13"/>
  <c r="T79" i="13"/>
  <c r="U79" i="13"/>
  <c r="T67" i="13"/>
  <c r="U67" i="13" s="1"/>
  <c r="T42" i="13" l="1"/>
  <c r="U42" i="13" s="1"/>
</calcChain>
</file>

<file path=xl/sharedStrings.xml><?xml version="1.0" encoding="utf-8"?>
<sst xmlns="http://schemas.openxmlformats.org/spreadsheetml/2006/main" count="6245" uniqueCount="4951">
  <si>
    <t xml:space="preserve"> </t>
  </si>
  <si>
    <t xml:space="preserve">Mass percent  </t>
  </si>
  <si>
    <t xml:space="preserve"> Page </t>
  </si>
  <si>
    <t xml:space="preserve">   No. </t>
  </si>
  <si>
    <t xml:space="preserve">   MgO   </t>
  </si>
  <si>
    <t xml:space="preserve">   MnO   </t>
  </si>
  <si>
    <t xml:space="preserve">   FeO   </t>
  </si>
  <si>
    <t xml:space="preserve">   SiO2  </t>
  </si>
  <si>
    <t xml:space="preserve">   CaO   </t>
  </si>
  <si>
    <t xml:space="preserve">   Al2O3 </t>
  </si>
  <si>
    <t xml:space="preserve">  Total  </t>
  </si>
  <si>
    <t xml:space="preserve">Comment  </t>
  </si>
  <si>
    <t>Minimum</t>
  </si>
  <si>
    <t>Maximum</t>
  </si>
  <si>
    <t>Average</t>
  </si>
  <si>
    <t xml:space="preserve">Sigma  </t>
  </si>
  <si>
    <t>==============================================================================</t>
  </si>
  <si>
    <t>|</t>
  </si>
  <si>
    <t>CITZAF</t>
  </si>
  <si>
    <t>Copyright,</t>
  </si>
  <si>
    <t>John</t>
  </si>
  <si>
    <t>T.</t>
  </si>
  <si>
    <t>Armstrong,</t>
  </si>
  <si>
    <t>California</t>
  </si>
  <si>
    <t>Institute</t>
  </si>
  <si>
    <t>of</t>
  </si>
  <si>
    <t>Technology</t>
  </si>
  <si>
    <t>JEOL</t>
  </si>
  <si>
    <t>On-line</t>
  </si>
  <si>
    <t>type</t>
  </si>
  <si>
    <t>Implemented</t>
  </si>
  <si>
    <t>by</t>
  </si>
  <si>
    <t>Paul</t>
  </si>
  <si>
    <t>Carpenter</t>
  </si>
  <si>
    <t>Caltech</t>
  </si>
  <si>
    <t>License</t>
  </si>
  <si>
    <t>Version:</t>
  </si>
  <si>
    <t>Measurement</t>
  </si>
  <si>
    <t>Condition</t>
  </si>
  <si>
    <t>WDS elements</t>
  </si>
  <si>
    <t>Element</t>
  </si>
  <si>
    <t>X-ray</t>
  </si>
  <si>
    <t>Crystal</t>
  </si>
  <si>
    <t>CH</t>
  </si>
  <si>
    <t>Acc.v</t>
  </si>
  <si>
    <t>Peak</t>
  </si>
  <si>
    <t>Pos.</t>
  </si>
  <si>
    <t>(nm)</t>
  </si>
  <si>
    <t>BG_L</t>
  </si>
  <si>
    <t>BG_U</t>
  </si>
  <si>
    <t>(mm)</t>
  </si>
  <si>
    <t>Na</t>
  </si>
  <si>
    <t>Ka</t>
  </si>
  <si>
    <t>TAPH</t>
  </si>
  <si>
    <t>(</t>
  </si>
  <si>
    <t>1)</t>
  </si>
  <si>
    <t>S</t>
  </si>
  <si>
    <t>PETH</t>
  </si>
  <si>
    <t>2)</t>
  </si>
  <si>
    <t>Fe</t>
  </si>
  <si>
    <t>LIF</t>
  </si>
  <si>
    <t>3)</t>
  </si>
  <si>
    <t>Si</t>
  </si>
  <si>
    <t>TAP</t>
  </si>
  <si>
    <t>4)</t>
  </si>
  <si>
    <t>Cl</t>
  </si>
  <si>
    <t>5)</t>
  </si>
  <si>
    <t>F</t>
  </si>
  <si>
    <t>K</t>
  </si>
  <si>
    <t>Mn</t>
  </si>
  <si>
    <t>Al</t>
  </si>
  <si>
    <t>P</t>
  </si>
  <si>
    <t>Mg</t>
  </si>
  <si>
    <t>Ca</t>
  </si>
  <si>
    <t>Ti</t>
  </si>
  <si>
    <t>Back</t>
  </si>
  <si>
    <t>Pksk</t>
  </si>
  <si>
    <t>Gain</t>
  </si>
  <si>
    <t>High.V</t>
  </si>
  <si>
    <t>Base.L</t>
  </si>
  <si>
    <t>Window.W</t>
  </si>
  <si>
    <t>Mode</t>
  </si>
  <si>
    <t>(s)</t>
  </si>
  <si>
    <t>(V)</t>
  </si>
  <si>
    <t>Int</t>
  </si>
  <si>
    <t>Order</t>
  </si>
  <si>
    <t xml:space="preserve">WDS  </t>
  </si>
  <si>
    <t>Channel</t>
  </si>
  <si>
    <t>Na1TH</t>
  </si>
  <si>
    <t>S2PH</t>
  </si>
  <si>
    <t>Fe3L</t>
  </si>
  <si>
    <t>Si4T</t>
  </si>
  <si>
    <t>Cl5PH</t>
  </si>
  <si>
    <t>F1T</t>
  </si>
  <si>
    <t>K2PH</t>
  </si>
  <si>
    <t>Mn3L</t>
  </si>
  <si>
    <t>Al4T</t>
  </si>
  <si>
    <t>P5PH</t>
  </si>
  <si>
    <t>Mg1TH</t>
  </si>
  <si>
    <t>Ca2PH</t>
  </si>
  <si>
    <t>Ti5PH</t>
  </si>
  <si>
    <t>Calc.</t>
  </si>
  <si>
    <t>Elements</t>
  </si>
  <si>
    <t>:</t>
  </si>
  <si>
    <t>O</t>
  </si>
  <si>
    <t>(Anion)</t>
  </si>
  <si>
    <t>Standard Data</t>
  </si>
  <si>
    <t>Standard name</t>
  </si>
  <si>
    <t>Mass(%)</t>
  </si>
  <si>
    <t>Na2O</t>
  </si>
  <si>
    <t>VGA99-15KV</t>
  </si>
  <si>
    <t>SO3</t>
  </si>
  <si>
    <t>Scapolite_bgls</t>
  </si>
  <si>
    <t>FeO</t>
  </si>
  <si>
    <t>SiO2</t>
  </si>
  <si>
    <t>KE3</t>
  </si>
  <si>
    <t>K2O</t>
  </si>
  <si>
    <t>MnO</t>
  </si>
  <si>
    <t>Rhodonite</t>
  </si>
  <si>
    <t>Al2O3</t>
  </si>
  <si>
    <t>P2O5</t>
  </si>
  <si>
    <t>MgO</t>
  </si>
  <si>
    <t>CaO</t>
  </si>
  <si>
    <t>TiO2</t>
  </si>
  <si>
    <t xml:space="preserve">Standard Intensity of WDS  </t>
  </si>
  <si>
    <t>Curr.(A)</t>
  </si>
  <si>
    <t>Net(cps)</t>
  </si>
  <si>
    <t>Bg-(cps)</t>
  </si>
  <si>
    <t>Bg+(cps)</t>
  </si>
  <si>
    <t>S.D.(%)</t>
  </si>
  <si>
    <t>Date</t>
  </si>
  <si>
    <t>Standard Factors</t>
  </si>
  <si>
    <t>f(chi)</t>
  </si>
  <si>
    <t>If/Ip</t>
  </si>
  <si>
    <t>abs-el</t>
  </si>
  <si>
    <t>1/s-el</t>
  </si>
  <si>
    <t>r-el</t>
  </si>
  <si>
    <t>c/k-el</t>
  </si>
  <si>
    <t xml:space="preserve">UNK No. :     1    2      3      4      5      6      7      8      9  </t>
  </si>
  <si>
    <t xml:space="preserve">           10     11     12     13     14     15     16     17  </t>
  </si>
  <si>
    <t xml:space="preserve">           18     19     20     21     22     23     24     25  </t>
  </si>
  <si>
    <t xml:space="preserve">           26     27     28     29     30     31     32     33  </t>
  </si>
  <si>
    <t xml:space="preserve">           34     35     36     37     38     39     40     41  </t>
  </si>
  <si>
    <t xml:space="preserve">           42     43     44     45     46     47     48     49  </t>
  </si>
  <si>
    <t xml:space="preserve">           50     51     52     53     54     55     56     57  </t>
  </si>
  <si>
    <t xml:space="preserve">           58     59     60     61     62     63     64     65  </t>
  </si>
  <si>
    <t xml:space="preserve">           66     67     68     69     70     71     72     73  </t>
  </si>
  <si>
    <t xml:space="preserve">           74     75     76     77     78     79     80     81  </t>
  </si>
  <si>
    <t xml:space="preserve">           82     83     84     85     86     87     88     89  </t>
  </si>
  <si>
    <t xml:space="preserve">           90     91     92     93     94     95     96     97  </t>
  </si>
  <si>
    <t xml:space="preserve">           98     99    100    101    102    103    104    105  </t>
  </si>
  <si>
    <t xml:space="preserve">        </t>
  </si>
  <si>
    <t xml:space="preserve">      Group : bas-Glas      </t>
  </si>
  <si>
    <t xml:space="preserve">  Sample : 201216_Fr       </t>
  </si>
  <si>
    <t xml:space="preserve">   Na2O  </t>
  </si>
  <si>
    <t xml:space="preserve">   SO3   </t>
  </si>
  <si>
    <t xml:space="preserve">   Cl    </t>
  </si>
  <si>
    <t xml:space="preserve">   F     </t>
  </si>
  <si>
    <t xml:space="preserve">   K2O   </t>
  </si>
  <si>
    <t xml:space="preserve">   P2O5  </t>
  </si>
  <si>
    <t xml:space="preserve">   TiO2  </t>
  </si>
  <si>
    <t xml:space="preserve">VGA99_ </t>
  </si>
  <si>
    <t xml:space="preserve">VG-2_ </t>
  </si>
  <si>
    <t xml:space="preserve">KE3_ </t>
  </si>
  <si>
    <t xml:space="preserve">Scap </t>
  </si>
  <si>
    <t xml:space="preserve">1982-CS2-L3A_1 </t>
  </si>
  <si>
    <t xml:space="preserve">1982-CS2-L3A_2 </t>
  </si>
  <si>
    <t xml:space="preserve">1982-CS2-L3A_3 </t>
  </si>
  <si>
    <t xml:space="preserve">1982-CS2-L3A_4 </t>
  </si>
  <si>
    <t xml:space="preserve">1982-CS2-L3A_5 </t>
  </si>
  <si>
    <t xml:space="preserve">1982-CS2-L3A_6 </t>
  </si>
  <si>
    <t xml:space="preserve">1982-CS2-L3A_7 </t>
  </si>
  <si>
    <t xml:space="preserve">1982-CS2-L3A_8 </t>
  </si>
  <si>
    <t xml:space="preserve">1982-CS2-L3A_9 </t>
  </si>
  <si>
    <t xml:space="preserve">1982-CS2-L5B_1 </t>
  </si>
  <si>
    <t xml:space="preserve">1982-CS2-L5B_2 </t>
  </si>
  <si>
    <t xml:space="preserve">1982-CS2-L5B_3 </t>
  </si>
  <si>
    <t xml:space="preserve">1982-CS2-L5B_4 </t>
  </si>
  <si>
    <t xml:space="preserve">1982-CS2-L5B_5 </t>
  </si>
  <si>
    <t xml:space="preserve">1982-CS2-L5B_6 </t>
  </si>
  <si>
    <t xml:space="preserve">1982-CS2-L5B_7 </t>
  </si>
  <si>
    <t xml:space="preserve">1982-CS2-L5B_8 </t>
  </si>
  <si>
    <t xml:space="preserve">1982-CS2-L5B_9 </t>
  </si>
  <si>
    <t xml:space="preserve">UnknA-C21_1 </t>
  </si>
  <si>
    <t xml:space="preserve">UnknA-C21_2 </t>
  </si>
  <si>
    <t xml:space="preserve">UnknA-C21_3 </t>
  </si>
  <si>
    <t xml:space="preserve">UnknA-C21_4 </t>
  </si>
  <si>
    <t xml:space="preserve">UnknA-C21_5 </t>
  </si>
  <si>
    <t xml:space="preserve">UnknA-C21_6 </t>
  </si>
  <si>
    <t xml:space="preserve">UnknA-C21_7 </t>
  </si>
  <si>
    <t xml:space="preserve">UnknA-C21_8 </t>
  </si>
  <si>
    <t xml:space="preserve">UnknA-C21_9 </t>
  </si>
  <si>
    <t xml:space="preserve">UnknA-C22-PS1-L2_1 </t>
  </si>
  <si>
    <t xml:space="preserve">UnknA-C22-PS1-L2_2 </t>
  </si>
  <si>
    <t xml:space="preserve">UnknA-C22-PS1-L2_3 </t>
  </si>
  <si>
    <t xml:space="preserve">UnknA-C22-PS1-L2_4 </t>
  </si>
  <si>
    <t xml:space="preserve">UnknA-C22-PS1-L2_5 </t>
  </si>
  <si>
    <t xml:space="preserve">UnknA-C22-PS1-L2_6 </t>
  </si>
  <si>
    <t xml:space="preserve">UnknA-C22-PS1-L2_7 </t>
  </si>
  <si>
    <t xml:space="preserve">UnknA-C22-PS1-L2_8 </t>
  </si>
  <si>
    <t xml:space="preserve">UnknA-C22-PS1-L2_9 </t>
  </si>
  <si>
    <t xml:space="preserve">UnknA-C22-PS1-L3_1 </t>
  </si>
  <si>
    <t xml:space="preserve">UnknA-C22-PS1-L3_2 </t>
  </si>
  <si>
    <t xml:space="preserve">UnknA-C22-PS1-L3_3 </t>
  </si>
  <si>
    <t xml:space="preserve">UnknA-C22-PS1-L3_4 </t>
  </si>
  <si>
    <t xml:space="preserve">UnknA-C22-PS1-L3_5 </t>
  </si>
  <si>
    <t xml:space="preserve">UnknA-C22-PS1-L3_6 </t>
  </si>
  <si>
    <t xml:space="preserve">UnknA-C22-PS1-L3_7 </t>
  </si>
  <si>
    <t xml:space="preserve">UnknA-C22-PS1-L3_8 </t>
  </si>
  <si>
    <t xml:space="preserve">UnknA-C22-PS1-L3_9 </t>
  </si>
  <si>
    <t xml:space="preserve">UnknA-BatokeCS1-3_1 </t>
  </si>
  <si>
    <t xml:space="preserve">UnknA-BatokeCS1-3_2 </t>
  </si>
  <si>
    <t xml:space="preserve">UnknA-BatokeCS1-3_3 </t>
  </si>
  <si>
    <t xml:space="preserve">UnknA-BatokeCS1-3_4 </t>
  </si>
  <si>
    <t xml:space="preserve">UnknA-BatokeCS1-3_5 </t>
  </si>
  <si>
    <t xml:space="preserve">UnknA-BatokeCS1-3_6 </t>
  </si>
  <si>
    <t xml:space="preserve">UnknA-BatokeCS1-3_7 </t>
  </si>
  <si>
    <t xml:space="preserve">UnknA-BatokeCS1-3_8 </t>
  </si>
  <si>
    <t xml:space="preserve">UnknA-BatokeCS1-3_9 </t>
  </si>
  <si>
    <t xml:space="preserve">UnknA-Flow1-1_1 </t>
  </si>
  <si>
    <t xml:space="preserve">UnknA-Flow1-1_2 </t>
  </si>
  <si>
    <t xml:space="preserve">UnknA-Flow1-1_3 </t>
  </si>
  <si>
    <t xml:space="preserve">UnknA-Flow1-1_4 </t>
  </si>
  <si>
    <t xml:space="preserve">UnknA-Flow1-1_5 </t>
  </si>
  <si>
    <t xml:space="preserve">UnknA-Flow1-1_6 </t>
  </si>
  <si>
    <t xml:space="preserve">UnknA-Flow1-1_7 </t>
  </si>
  <si>
    <t xml:space="preserve">UnknA-Flow1-1_8 </t>
  </si>
  <si>
    <t xml:space="preserve">UnknA-Flow1-1_9 </t>
  </si>
  <si>
    <t xml:space="preserve">UnknA-Flow1-2_1 </t>
  </si>
  <si>
    <t xml:space="preserve">UnknA-Flow1-2_2 </t>
  </si>
  <si>
    <t xml:space="preserve">UnknA-Flow1-2_3 </t>
  </si>
  <si>
    <t xml:space="preserve">UnknA-Flow1-2_4 </t>
  </si>
  <si>
    <t xml:space="preserve">UnknA-Flow1-2_5 </t>
  </si>
  <si>
    <t xml:space="preserve">UnknA-Flow1-2_6 </t>
  </si>
  <si>
    <t xml:space="preserve">UnknA-Flow1-2_7 </t>
  </si>
  <si>
    <t xml:space="preserve">UnknA-Flow1-2_8 </t>
  </si>
  <si>
    <t xml:space="preserve">UnknA-Flow1-2_9 </t>
  </si>
  <si>
    <t xml:space="preserve">No. of data   105 </t>
  </si>
  <si>
    <t xml:space="preserve">Intensity &amp; Mass%      Group : bas-Glas        Sample : 201216_Fr        Page 1 </t>
  </si>
  <si>
    <t xml:space="preserve">Unknown Specimen No. 1 </t>
  </si>
  <si>
    <t xml:space="preserve"> Group        : bas-Glas        Sample  : 201216_Fr      </t>
  </si>
  <si>
    <t xml:space="preserve"> UNK No.      :    1            Comment : VGA99_                                   </t>
  </si>
  <si>
    <t xml:space="preserve"> Stage        :    X=   42.5705  Y=   29.7320  Z=   11.4010 </t>
  </si>
  <si>
    <t xml:space="preserve"> Acc. Voltage :    15.0 (kV)    Probe Dia. : 5    Scan : Off </t>
  </si>
  <si>
    <t xml:space="preserve"> Dated on Dec 20 16:18 2016 </t>
  </si>
  <si>
    <t xml:space="preserve"> WDS only       No. of accumulation : 1 </t>
  </si>
  <si>
    <t xml:space="preserve">Curr.(A) : 1.002E-08 </t>
  </si>
  <si>
    <t xml:space="preserve">Element Peak(mm) Net(cps)   Bg-   Bg+  S.D.(%)   D.L.(ppm)  </t>
  </si>
  <si>
    <t xml:space="preserve"> 1 Na   129.476    231.6    0.0   14.5    2.14      145 </t>
  </si>
  <si>
    <t xml:space="preserve"> 2 S    171.948      2.1    5.9    4.9   30.75      113 </t>
  </si>
  <si>
    <t xml:space="preserve"> 3 Fe   134.739    186.3    3.5    4.1    1.67      453 </t>
  </si>
  <si>
    <t xml:space="preserve"> 4 Si    77.822   3625.9   31.4   18.5    0.37      226 </t>
  </si>
  <si>
    <t xml:space="preserve"> 5 Cl   151.478      3.8    8.7    7.8   21.47       46 </t>
  </si>
  <si>
    <t xml:space="preserve"> 6 F    199.140      0.2    4.5    3.5  345.94 ?    412 </t>
  </si>
  <si>
    <t xml:space="preserve"> 7 K    119.485    180.9   27.6   21.4    1.54       58 </t>
  </si>
  <si>
    <t xml:space="preserve"> 8 Mn   146.243      2.2    1.9    1.5   19.96      268 </t>
  </si>
  <si>
    <t xml:space="preserve"> 9 Al    90.995    857.0   15.2    9.5    0.78      160 </t>
  </si>
  <si>
    <t xml:space="preserve">10 P    197.118     13.6    2.7    2.8    7.21      149 </t>
  </si>
  <si>
    <t xml:space="preserve">11 Mg   107.534    584.1   42.3    0.0    0.96      179 </t>
  </si>
  <si>
    <t xml:space="preserve">12 Ca   107.121   1925.2   31.9   35.9    0.52       89 </t>
  </si>
  <si>
    <t xml:space="preserve">13 Ti    88.305    686.7    0.0   45.5    0.88      126 </t>
  </si>
  <si>
    <t>Element  f(chi)    If/Ip     abs-el    1/s-el      r-el      c/k-el    c/k-std</t>
  </si>
  <si>
    <t xml:space="preserve"> Na      0.3978    0.0040    0.4747    0.9905     0.9878     2.1443     1.0019</t>
  </si>
  <si>
    <t xml:space="preserve"> S       0.7652    0.0030    0.8170    0.9599     1.0246     1.2408     0.9963</t>
  </si>
  <si>
    <t xml:space="preserve"> Fe      0.9816    0.0000    0.9976    0.8085     1.0561     1.1739     0.9996</t>
  </si>
  <si>
    <t xml:space="preserve"> Si      0.7128    0.0010    0.7822    0.9849     1.0102     1.2836     1.0000</t>
  </si>
  <si>
    <t xml:space="preserve"> Cl      0.8286    0.0057    0.8779    0.9109     1.0311     1.2059     0.9911</t>
  </si>
  <si>
    <t xml:space="preserve"> F       0.1901    0.0014    0.2496    1.0160     0.9753     4.0368     1.0173</t>
  </si>
  <si>
    <t xml:space="preserve"> K       0.9081    0.0158    0.9470    0.9018     1.0420     1.1063     0.9999</t>
  </si>
  <si>
    <t xml:space="preserve"> Mn      0.9762    0.0000    0.9949    0.7969     1.0566     1.1939     1.0412</t>
  </si>
  <si>
    <t xml:space="preserve"> Al      0.6495    0.0109    0.7285    0.9663     1.0026     1.4017     1.0017</t>
  </si>
  <si>
    <t xml:space="preserve"> P       0.6806    0.0016    0.7374    0.9439     1.0176     1.4095     0.9999</t>
  </si>
  <si>
    <t xml:space="preserve"> Mg      0.5392    0.0072    0.6181    1.0053     0.9950     1.6057     1.0024</t>
  </si>
  <si>
    <t xml:space="preserve"> Ca      0.9305    0.0073    0.9638    0.9161     1.0464     1.0746     0.9997</t>
  </si>
  <si>
    <t xml:space="preserve"> Ti      0.9513    0.0116    0.9788    0.8263     1.0529     1.1609     0.9994</t>
  </si>
  <si>
    <t xml:space="preserve">Element  El. mass% Ox mass% Norm El%  Norm ox%  At prop  c/k-std   k-value   k-(std) </t>
  </si>
  <si>
    <t xml:space="preserve"> Na       2.08      2.80      2.08      2.81     0.798   1.0019   0.02074   1.04657  </t>
  </si>
  <si>
    <t xml:space="preserve"> S        0.0163    0.0408    0.0164    0.0409   0.0045  0.9963   0.000164  0.030480  </t>
  </si>
  <si>
    <t xml:space="preserve"> Fe      10.57     13.60     10.59     13.63     1.670   0.9996   0.10573   1.01636  </t>
  </si>
  <si>
    <t xml:space="preserve"> Si      23.91     51.16     23.96     51.26     7.512   1.0000   0.23911   0.99812  </t>
  </si>
  <si>
    <t xml:space="preserve"> Cl       0.0237    0.0237    0.0238    0.0238   0.0059  0.9911   0.000239  0.016497  </t>
  </si>
  <si>
    <t xml:space="preserve"> F        0.0126    0.0126    0.0127    0.0127   0.0059  1.0173   0.000124  0.026071 ?</t>
  </si>
  <si>
    <t xml:space="preserve"> K        0.6756    0.8138    0.6769    0.8155   0.1524  0.9999   0.006756  0.987782  </t>
  </si>
  <si>
    <t xml:space="preserve"> Mn       0.1383    0.1786    0.1386    0.1790   0.0222  1.0412   0.001328  0.003944  </t>
  </si>
  <si>
    <t xml:space="preserve"> Al       6.51     12.30      6.52     12.32     2.128   1.0017   0.06497   0.97685  </t>
  </si>
  <si>
    <t xml:space="preserve"> P        0.1693    0.3881    0.1697    0.3889   0.0482  0.9999   0.001694  0.990416  </t>
  </si>
  <si>
    <t xml:space="preserve"> Mg       3.09      5.13      3.10      5.14     1.122   1.0024   0.03084   1.00174  </t>
  </si>
  <si>
    <t xml:space="preserve"> Ca       6.63      9.27      6.64      9.29     1.459   0.9997   0.06629   0.99073  </t>
  </si>
  <si>
    <t xml:space="preserve"> Ti       2.45      4.08      2.45      4.09     0.451   0.9994   0.02450   1.00212  </t>
  </si>
  <si>
    <t xml:space="preserve"> O       43.52       -       43.61       -      24.000      -         -        </t>
  </si>
  <si>
    <t xml:space="preserve"> -----------------------------------------------------------------------------</t>
  </si>
  <si>
    <t>Total:   99.79     99.79    100.00    100.00    15.379</t>
  </si>
  <si>
    <t xml:space="preserve">Unknown Specimen No. 2 </t>
  </si>
  <si>
    <t xml:space="preserve"> UNK No.      :    2            Comment : VGA99_                                   </t>
  </si>
  <si>
    <t xml:space="preserve"> Stage        :    X=   42.5565  Y=   29.7300  Z=   11.4010 </t>
  </si>
  <si>
    <t xml:space="preserve"> Dated on Dec 20 16:21 2016 </t>
  </si>
  <si>
    <t xml:space="preserve"> 1 Na   129.476    223.3    0.0   17.1    2.20      157 </t>
  </si>
  <si>
    <t xml:space="preserve"> 2 S    171.948      1.2    7.3    5.0   54.84 ?    120 </t>
  </si>
  <si>
    <t xml:space="preserve"> 3 Fe   134.739    184.4    2.3    3.1    1.67      387 </t>
  </si>
  <si>
    <t xml:space="preserve"> 4 Si    77.822   3631.5   30.1   20.2    0.37      226 </t>
  </si>
  <si>
    <t xml:space="preserve"> 5 Cl   151.478      4.8    8.1    6.7   16.69       43 </t>
  </si>
  <si>
    <t xml:space="preserve"> 6 F    199.140      1.0    3.5    3.5   53.46 ?    379 </t>
  </si>
  <si>
    <t xml:space="preserve"> 7 K    119.485    181.0   27.1   21.3    1.53       57 </t>
  </si>
  <si>
    <t xml:space="preserve"> 8 Mn   146.243      3.0    1.7    1.5   15.18      258 </t>
  </si>
  <si>
    <t xml:space="preserve"> 9 Al    90.995    870.2   15.0   11.4    0.77      164 </t>
  </si>
  <si>
    <t xml:space="preserve">10 P    197.118     12.5    2.9    2.9    7.71      152 </t>
  </si>
  <si>
    <t xml:space="preserve">11 Mg   107.534    593.3   38.8    0.0    0.95      171 </t>
  </si>
  <si>
    <t xml:space="preserve">12 Ca   107.121   1946.1   31.6   36.3    0.52       89 </t>
  </si>
  <si>
    <t xml:space="preserve">13 Ti    88.305    683.0    0.0   46.2    0.88      127 </t>
  </si>
  <si>
    <t xml:space="preserve"> Na      0.3981    0.0040    0.4752    0.9904     0.9879     2.1426     1.0011</t>
  </si>
  <si>
    <t xml:space="preserve"> S       0.7653    0.0030    0.8171    0.9598     1.0247     1.2407     0.9962</t>
  </si>
  <si>
    <t xml:space="preserve"> Fe      0.9816    0.0000    0.9976    0.8084     1.0561     1.1740     0.9997</t>
  </si>
  <si>
    <t xml:space="preserve"> Si      0.7127    0.0010    0.7821    0.9848     1.0103     1.2839     1.0002</t>
  </si>
  <si>
    <t xml:space="preserve"> Cl      0.8287    0.0057    0.8781    0.9107     1.0312     1.2058     0.9910</t>
  </si>
  <si>
    <t xml:space="preserve"> F       0.1899    0.0014    0.2493    1.0159     0.9754     4.0418     1.0185</t>
  </si>
  <si>
    <t xml:space="preserve"> K       0.9082    0.0159    0.9470    0.9016     1.0421     1.1063     0.9998</t>
  </si>
  <si>
    <t xml:space="preserve"> Mn      0.9762    0.0000    0.9948    0.7968     1.0566     1.1940     1.0413</t>
  </si>
  <si>
    <t xml:space="preserve"> Al      0.6500    0.0109    0.7290    0.9661     1.0026     1.4009     1.0011</t>
  </si>
  <si>
    <t xml:space="preserve"> P       0.6806    0.0016    0.7375    0.9438     1.0177     1.4095     0.9999</t>
  </si>
  <si>
    <t xml:space="preserve"> Mg      0.5401    0.0072    0.6191    1.0052     0.9951     1.6033     1.0009</t>
  </si>
  <si>
    <t xml:space="preserve"> Ca      0.9305    0.0073    0.9638    0.9159     1.0465     1.0747     0.9997</t>
  </si>
  <si>
    <t xml:space="preserve"> Ti      0.9512    0.0115    0.9787    0.8262     1.0529     1.1612     0.9996</t>
  </si>
  <si>
    <t xml:space="preserve"> Na       2.00      2.70      2.00      2.70     0.766   1.0011   0.02000   1.00904  </t>
  </si>
  <si>
    <t xml:space="preserve"> S        0.0093    0.0232    0.0093    0.0232   0.0025  0.9962   0.000093  0.017326 ?</t>
  </si>
  <si>
    <t xml:space="preserve"> Fe      10.46     13.46     10.46     13.45     1.649   0.9997   0.10466   1.00607  </t>
  </si>
  <si>
    <t xml:space="preserve"> Si      23.95     51.24     23.94     51.21     7.505   1.0002   0.23948   0.99965  </t>
  </si>
  <si>
    <t xml:space="preserve"> Cl       0.0300    0.0300    0.0300    0.0300   0.0075  0.9910   0.000303  0.020882  </t>
  </si>
  <si>
    <t xml:space="preserve"> F        0.0791    0.0791    0.0790    0.0790   0.0366  1.0185   0.000776  0.163118  </t>
  </si>
  <si>
    <t xml:space="preserve"> K        0.6759    0.8142    0.6755    0.8137   0.1521  0.9998   0.006760  0.988297  </t>
  </si>
  <si>
    <t xml:space="preserve"> Mn       0.1911    0.2468    0.1910    0.2467   0.0306  1.0413   0.001836  0.005450  </t>
  </si>
  <si>
    <t xml:space="preserve"> Al       6.60     12.48      6.60     12.47     2.155   1.0011   0.06597   0.99191  </t>
  </si>
  <si>
    <t xml:space="preserve"> P        0.1546    0.3543    0.1545    0.3541   0.0439  0.9999   0.001546  0.904174  </t>
  </si>
  <si>
    <t xml:space="preserve"> Mg       3.14      5.20      3.13      5.20     1.135   1.0009   0.03133   1.01745  </t>
  </si>
  <si>
    <t xml:space="preserve"> Ca       6.70      9.37      6.70      9.37     1.471   0.9997   0.06701   1.00148  </t>
  </si>
  <si>
    <t xml:space="preserve"> Ti       2.44      4.06      2.43      4.06     0.448   0.9996   0.02437   0.99679  </t>
  </si>
  <si>
    <t xml:space="preserve"> O       43.63       -       43.60       -      24.000      -         -        </t>
  </si>
  <si>
    <t>Total:  100.06    100.06    100.00    100.00    15.402</t>
  </si>
  <si>
    <t xml:space="preserve">Unknown Specimen No. 3 </t>
  </si>
  <si>
    <t xml:space="preserve"> UNK No.      :    3            Comment : VG-2_                                    </t>
  </si>
  <si>
    <t xml:space="preserve"> Stage        :    X=   60.2415  Y=   33.5530  Z=   11.3695 </t>
  </si>
  <si>
    <t xml:space="preserve"> Dated on Dec 20 16:25 2016 </t>
  </si>
  <si>
    <t xml:space="preserve">Curr.(A) : 1.003E-08 </t>
  </si>
  <si>
    <t xml:space="preserve"> 1 Na   129.476    229.8    0.0   18.2    2.17      162 </t>
  </si>
  <si>
    <t xml:space="preserve"> 2 S    171.948     19.0    5.5    5.9    5.32      118 </t>
  </si>
  <si>
    <t xml:space="preserve"> 3 Fe   134.739    160.8    2.8    3.3    1.80      406 </t>
  </si>
  <si>
    <t xml:space="preserve"> 4 Si    77.822   3649.3   31.4   20.4    0.37      229 </t>
  </si>
  <si>
    <t xml:space="preserve"> 5 Cl   151.478      5.3    8.7    7.9   16.06       46 </t>
  </si>
  <si>
    <t xml:space="preserve"> 6 F    199.140      0.9    3.7    2.7   59.47 ?    369 </t>
  </si>
  <si>
    <t xml:space="preserve"> 7 K    119.485     44.2   23.3   20.5    3.89       54 </t>
  </si>
  <si>
    <t xml:space="preserve"> 8 Mn   146.243      2.9    1.7    1.8   15.99      270 </t>
  </si>
  <si>
    <t xml:space="preserve"> 9 Al    90.995    981.6   13.9    9.3    0.72      154 </t>
  </si>
  <si>
    <t xml:space="preserve">10 P    197.118      6.1    3.8    3.7   13.68      173 </t>
  </si>
  <si>
    <t xml:space="preserve">11 Mg   107.534    820.8   42.7    0.0    0.80      180 </t>
  </si>
  <si>
    <t xml:space="preserve">12 Ca   107.121   2353.9   31.0   35.6    0.47       88 </t>
  </si>
  <si>
    <t xml:space="preserve">13 Ti    88.305    304.3    0.0   44.3    1.37      124 </t>
  </si>
  <si>
    <t xml:space="preserve"> Na      0.4112    0.0043    0.4907    0.9854     0.9896     2.0806     0.9721</t>
  </si>
  <si>
    <t xml:space="preserve"> S       0.7656    0.0030    0.8174    0.9551     1.0264     1.2442     0.9991</t>
  </si>
  <si>
    <t xml:space="preserve"> Fe      0.9821    0.0000    0.9981    0.8047     1.0570     1.1779     1.0030</t>
  </si>
  <si>
    <t xml:space="preserve"> Si      0.7111    0.0010    0.7804    0.9799     1.0121     1.2908     1.0056</t>
  </si>
  <si>
    <t xml:space="preserve"> Cl      0.8284    0.0057    0.8777    0.9063     1.0329     1.2103     0.9947</t>
  </si>
  <si>
    <t xml:space="preserve"> F       0.1908    0.0014    0.2505    1.0108     0.9770     4.0367     1.0173</t>
  </si>
  <si>
    <t xml:space="preserve"> K       0.9080    0.0168    0.9468    0.8973     1.0436     1.1091     1.0024</t>
  </si>
  <si>
    <t xml:space="preserve"> Mn      0.9768    0.0000    0.9955    0.7930     1.0576     1.1977     1.0446</t>
  </si>
  <si>
    <t xml:space="preserve"> Al      0.6534    0.0108    0.7328    0.9614     1.0044     1.3982     0.9992</t>
  </si>
  <si>
    <t xml:space="preserve"> P       0.6804    0.0017    0.7372    0.9392     1.0194     1.4143     1.0034</t>
  </si>
  <si>
    <t xml:space="preserve"> Mg      0.5527    0.0075    0.6335    1.0002     0.9969     1.5714     0.9810</t>
  </si>
  <si>
    <t xml:space="preserve"> Ca      0.9317    0.0050    0.9651    0.9116     1.0479     1.0794     1.0042</t>
  </si>
  <si>
    <t xml:space="preserve"> Ti      0.9498    0.0099    0.9772    0.8223     1.0542     1.1689     1.0062</t>
  </si>
  <si>
    <t xml:space="preserve"> Na       2.00      2.69      1.97      2.65     0.748   0.9721   0.02056   1.03740  </t>
  </si>
  <si>
    <t xml:space="preserve"> S        0.1468    0.3666    0.1447    0.3613   0.0394  0.9991   0.001470  0.273157  </t>
  </si>
  <si>
    <t xml:space="preserve"> Fe       9.14     11.76      9.01     11.59     1.409   1.0030   0.09117   0.87640  </t>
  </si>
  <si>
    <t xml:space="preserve"> Si      24.15     51.66     23.80     50.92     7.401   1.0056   0.24041   1.00357  </t>
  </si>
  <si>
    <t xml:space="preserve"> Cl       0.0331    0.0331    0.0326    0.0326   0.0080  0.9947   0.000333  0.022939  </t>
  </si>
  <si>
    <t xml:space="preserve"> F        0.0693    0.0693    0.0683    0.0683   0.0314  1.0173   0.000681  0.143056  </t>
  </si>
  <si>
    <t xml:space="preserve"> K        0.1655    0.1994    0.1631    0.1965   0.0364  1.0024   0.001651  0.241425  </t>
  </si>
  <si>
    <t xml:space="preserve"> Mn       0.1856    0.2396    0.1829    0.2362   0.0291  1.0446   0.001777  0.005275  </t>
  </si>
  <si>
    <t xml:space="preserve"> Al       7.43     14.03      7.32     13.83     2.369   0.9992   0.07434   1.11776  </t>
  </si>
  <si>
    <t xml:space="preserve"> P        0.0755    0.1729    0.0744    0.1704   0.0210  1.0034   0.000752  0.439847  </t>
  </si>
  <si>
    <t xml:space="preserve"> Mg       4.25      7.04      4.19      6.94     1.504   0.9810   0.04330   1.40624  </t>
  </si>
  <si>
    <t xml:space="preserve"> Ca       8.13     11.38      8.01     11.21     1.746   1.0042   0.08097   1.21014  </t>
  </si>
  <si>
    <t xml:space="preserve"> Ti       1.09      1.82      1.08      1.79     0.196   1.0062   0.01085   0.44369  </t>
  </si>
  <si>
    <t xml:space="preserve"> O       44.61       -       43.96       -      24.000      -         -        </t>
  </si>
  <si>
    <t>Total:  101.47    101.47    100.00    100.00    15.539</t>
  </si>
  <si>
    <t xml:space="preserve">Unknown Specimen No. 4 </t>
  </si>
  <si>
    <t xml:space="preserve"> UNK No.      :    4            Comment : VG-2_                                    </t>
  </si>
  <si>
    <t xml:space="preserve"> Stage        :    X=   60.1845  Y=   33.5905  Z=   11.3700 </t>
  </si>
  <si>
    <t xml:space="preserve"> Dated on Dec 20 16:28 2016 </t>
  </si>
  <si>
    <t xml:space="preserve"> 1 Na   129.476    221.3    0.0   15.9    2.20      151 </t>
  </si>
  <si>
    <t xml:space="preserve"> 2 S    171.948     18.6    5.2    6.3    5.42      118 </t>
  </si>
  <si>
    <t xml:space="preserve"> 3 Fe   134.739    165.4    3.4    2.2    1.77      369 </t>
  </si>
  <si>
    <t xml:space="preserve"> 4 Si    77.822   3642.3   29.1   17.5    0.37      218 </t>
  </si>
  <si>
    <t xml:space="preserve"> 5 Cl   151.478      5.6    8.7    7.7   15.35       45 </t>
  </si>
  <si>
    <t xml:space="preserve"> 6 F    199.140      0.9    3.1    2.5   54.84 ?    343 </t>
  </si>
  <si>
    <t xml:space="preserve"> 7 K    119.485     42.0   21.8   20.0    4.00       53 </t>
  </si>
  <si>
    <t xml:space="preserve"> 8 Mn   146.243      3.0    1.9    1.5   15.53      265 </t>
  </si>
  <si>
    <t xml:space="preserve"> 9 Al    90.995    980.6   16.8    9.2    0.72      164 </t>
  </si>
  <si>
    <t xml:space="preserve">10 P    197.118      5.6    2.8    3.1   13.69      154 </t>
  </si>
  <si>
    <t xml:space="preserve">11 Mg   107.534    834.3   44.1    0.0    0.79      183 </t>
  </si>
  <si>
    <t xml:space="preserve">12 Ca   107.121   2341.4   34.0   34.0    0.47       88 </t>
  </si>
  <si>
    <t xml:space="preserve">13 Ti    88.305    309.9    0.0   43.6    1.36      123 </t>
  </si>
  <si>
    <t xml:space="preserve"> Na      0.4097    0.0043    0.4890    0.9859     0.9894     2.0874     0.9753</t>
  </si>
  <si>
    <t xml:space="preserve"> S       0.7655    0.0030    0.8174    0.9555     1.0262     1.2440     0.9989</t>
  </si>
  <si>
    <t xml:space="preserve"> Fe      0.9821    0.0000    0.9981    0.8050     1.0569     1.1775     1.0026</t>
  </si>
  <si>
    <t xml:space="preserve"> Si      0.7103    0.0010    0.7795    0.9804     1.0119     1.2918     1.0064</t>
  </si>
  <si>
    <t xml:space="preserve"> Cl      0.8283    0.0056    0.8777    0.9067     1.0327     1.2100     0.9944</t>
  </si>
  <si>
    <t xml:space="preserve"> F       0.1911    0.0014    0.2509    1.0112     0.9768     4.0292     1.0154</t>
  </si>
  <si>
    <t xml:space="preserve"> K       0.9080    0.0168    0.9468    0.8977     1.0435     1.1089     1.0022</t>
  </si>
  <si>
    <t xml:space="preserve"> Mn      0.9768    0.0000    0.9955    0.7934     1.0575     1.1973     1.0442</t>
  </si>
  <si>
    <t xml:space="preserve"> Al      0.6522    0.0107    0.7315    0.9618     1.0043     1.4004     1.0007</t>
  </si>
  <si>
    <t xml:space="preserve"> P       0.6803    0.0017    0.7371    0.9396     1.0193     1.4141     1.0032</t>
  </si>
  <si>
    <t xml:space="preserve"> Mg      0.5517    0.0074    0.6324    1.0007     0.9967     1.5737     0.9824</t>
  </si>
  <si>
    <t xml:space="preserve"> Ca      0.9317    0.0051    0.9651    0.9120     1.0477     1.0790     1.0037</t>
  </si>
  <si>
    <t xml:space="preserve"> Ti      0.9499    0.0102    0.9773    0.8227     1.0540     1.1680     1.0055</t>
  </si>
  <si>
    <t xml:space="preserve"> Na       1.93      2.60      1.90      2.56     0.722   0.9753   0.01980   0.99900  </t>
  </si>
  <si>
    <t xml:space="preserve"> S        0.1438    0.3591    0.1414    0.3530   0.0386  0.9989   0.001440  0.267610  </t>
  </si>
  <si>
    <t xml:space="preserve"> Fe       9.40     12.10      9.24     11.89     1.448   1.0026   0.09381   0.90173  </t>
  </si>
  <si>
    <t xml:space="preserve"> Si      24.12     51.60     23.71     50.72     7.383   1.0064   0.23995   1.00164  </t>
  </si>
  <si>
    <t xml:space="preserve"> Cl       0.0346    0.0346    0.0340    0.0340   0.0084  0.9944   0.000348  0.023978  </t>
  </si>
  <si>
    <t xml:space="preserve"> F        0.0702    0.0702    0.0691    0.0691   0.0318  1.0154   0.000692  0.145332  </t>
  </si>
  <si>
    <t xml:space="preserve"> K        0.1571    0.1893    0.1545    0.1861   0.0346  1.0022   0.001568  0.229243  </t>
  </si>
  <si>
    <t xml:space="preserve"> Mn       0.1896    0.2448    0.1864    0.2407   0.0297  1.0442   0.001816  0.005391  </t>
  </si>
  <si>
    <t xml:space="preserve"> Al       7.43     14.04      7.30     13.80     2.368   1.0007   0.07426   1.11659  </t>
  </si>
  <si>
    <t xml:space="preserve"> P        0.0699    0.1601    0.0687    0.1574   0.0194  1.0032   0.000696  0.407198  </t>
  </si>
  <si>
    <t xml:space="preserve"> Mg       4.32      7.17      4.25      7.05     1.529   0.9824   0.04401   1.42942  </t>
  </si>
  <si>
    <t xml:space="preserve"> Ca       8.08     11.31      7.95     11.12     1.734   1.0037   0.08054   1.20372  </t>
  </si>
  <si>
    <t xml:space="preserve"> Ti       1.11      1.85      1.09      1.82     0.199   1.0055   0.01105   0.45178  </t>
  </si>
  <si>
    <t xml:space="preserve"> O       44.66       -       43.90       -      24.000      -         -        </t>
  </si>
  <si>
    <t>Total:  101.72    101.72    100.00    100.00    15.546</t>
  </si>
  <si>
    <t xml:space="preserve">Unknown Specimen No. 5 </t>
  </si>
  <si>
    <t xml:space="preserve"> UNK No.      :    5            Comment : KE3_                                     </t>
  </si>
  <si>
    <t xml:space="preserve"> Stage        :    X=   47.7830  Y=   23.5580  Z=   11.4000 </t>
  </si>
  <si>
    <t xml:space="preserve"> Dated on Dec 20 16:32 2016 </t>
  </si>
  <si>
    <t xml:space="preserve"> 1 Na   129.476    565.1    0.0   24.1    1.36      186 </t>
  </si>
  <si>
    <t xml:space="preserve"> 2 S    171.948      1.3    5.5    4.9   47.13 ?    111 </t>
  </si>
  <si>
    <t xml:space="preserve"> 3 Fe   134.739    106.9    2.8    1.6    2.20      324 </t>
  </si>
  <si>
    <t xml:space="preserve"> 4 Si    77.822   5258.6   41.4   26.2    0.31      262 </t>
  </si>
  <si>
    <t xml:space="preserve"> 5 Cl   151.478     63.0    8.5    6.8    2.56       44 </t>
  </si>
  <si>
    <t xml:space="preserve"> 6 F    199.140      5.8    3.8    3.7   11.66      394 </t>
  </si>
  <si>
    <t xml:space="preserve"> 7 K    119.485    924.8   49.0   21.5    0.62       70 </t>
  </si>
  <si>
    <t xml:space="preserve"> 8 Mn   146.243      2.3    2.0    2.0   19.98      290 </t>
  </si>
  <si>
    <t xml:space="preserve"> 9 Al    90.995    652.1   15.9    9.0    0.89      160 </t>
  </si>
  <si>
    <t xml:space="preserve">10 P    197.118      0.5    3.3    2.1   96.80 ?    143 </t>
  </si>
  <si>
    <t xml:space="preserve">11 Mg   107.534      2.7   20.6    0.0   40.67 ?    125 </t>
  </si>
  <si>
    <t xml:space="preserve">12 Ca   107.121     80.1   29.1   30.4    3.31       83 </t>
  </si>
  <si>
    <t xml:space="preserve">13 Ti    88.305     56.5    0.0   42.2    3.93      121 </t>
  </si>
  <si>
    <t xml:space="preserve"> Na      0.4415    0.0044    0.5270    0.9736     0.9950     1.9502     0.9112</t>
  </si>
  <si>
    <t xml:space="preserve"> S       0.7538    0.0020    0.8048    0.9440     1.0317     1.2733     1.0224</t>
  </si>
  <si>
    <t xml:space="preserve"> Fe      0.9846    0.0000    1.0007    0.7960     1.0597     1.1847     1.0088</t>
  </si>
  <si>
    <t xml:space="preserve"> Si      0.7540    0.0007    0.8275    0.9685     1.0176     1.2255     0.9547</t>
  </si>
  <si>
    <t xml:space="preserve"> Cl      0.8200    0.0032    0.8688    0.8959     1.0380     1.2338     1.0140</t>
  </si>
  <si>
    <t xml:space="preserve"> F       0.1956    0.0014    0.2568    0.9985     0.9819     3.9660     0.9994</t>
  </si>
  <si>
    <t xml:space="preserve"> K       0.9023    0.0021    0.9409    0.8872     1.0483     1.1405     1.0307</t>
  </si>
  <si>
    <t xml:space="preserve"> Mn      0.9800    0.0000    0.9988    0.7844     1.0606     1.2034     1.0496</t>
  </si>
  <si>
    <t xml:space="preserve"> Al      0.6905    0.0169    0.7744    0.9500     1.0100     1.3234     0.9458</t>
  </si>
  <si>
    <t xml:space="preserve"> P       0.6657    0.0011    0.7213    0.9282     1.0249     1.4557     1.0327</t>
  </si>
  <si>
    <t xml:space="preserve"> Mg      0.5631    0.0095    0.6454    0.9883     1.0023     1.5492     0.9672</t>
  </si>
  <si>
    <t xml:space="preserve"> Ca      0.9189    0.0027    0.9518    0.9013     1.0523     1.1048     1.0278</t>
  </si>
  <si>
    <t xml:space="preserve"> Ti      0.9551    0.0077    0.9827    0.8132     1.0580     1.1737     1.0104</t>
  </si>
  <si>
    <t xml:space="preserve"> Na       4.61      6.21      4.62      6.22     1.664   0.9112   0.05057   2.55134  </t>
  </si>
  <si>
    <t xml:space="preserve"> S        0.0105    0.0261    0.0105    0.0262   0.0027  1.0224   0.000102  0.019031 ?</t>
  </si>
  <si>
    <t xml:space="preserve"> Fe       6.11      7.86      6.13      7.88     0.909   1.0088   0.06060   0.58250  </t>
  </si>
  <si>
    <t xml:space="preserve"> Si      33.08     70.77     33.15     70.91     9.778   0.9547   0.34643   1.44613  </t>
  </si>
  <si>
    <t xml:space="preserve"> Cl       0.3989    0.3989    0.3997    0.3997   0.0934  1.0140   0.003934  0.271151  </t>
  </si>
  <si>
    <t xml:space="preserve"> F        0.4579    0.4579    0.4588    0.4588   0.2001  0.9994   0.004582  0.962585  </t>
  </si>
  <si>
    <t xml:space="preserve"> K        3.56      4.29      3.56      4.29     0.755   1.0307   0.03452   5.04614  </t>
  </si>
  <si>
    <t xml:space="preserve"> Mn       0.1484    0.1916    0.1487    0.1919   0.0224  1.0496   0.001414  0.004197  </t>
  </si>
  <si>
    <t xml:space="preserve"> Al       4.67      8.83      4.68      8.84     1.437   0.9458   0.04939   0.74256  </t>
  </si>
  <si>
    <t xml:space="preserve"> P        0.0070    0.0161    0.0071    0.0162   0.0019  1.0327   0.000068  0.039904 ?</t>
  </si>
  <si>
    <t xml:space="preserve"> Mg       0.0135    0.0224    0.0136    0.0225   0.0046  0.9672   0.000140  0.004542  </t>
  </si>
  <si>
    <t xml:space="preserve"> Ca       0.2830    0.3960    0.2836    0.3968   0.0586  1.0278   0.002754  0.041158  </t>
  </si>
  <si>
    <t xml:space="preserve"> Ti       0.2033    0.3392    0.2037    0.3399   0.0352  1.0104   0.002013  0.082312  </t>
  </si>
  <si>
    <t xml:space="preserve"> O       46.25       -       46.34       -      24.000      -         -        </t>
  </si>
  <si>
    <t>Total:   99.80     99.80    100.00    100.00    14.963</t>
  </si>
  <si>
    <t xml:space="preserve">Unknown Specimen No. 6 </t>
  </si>
  <si>
    <t xml:space="preserve"> UNK No.      :    6            Comment : KE3_                                     </t>
  </si>
  <si>
    <t xml:space="preserve"> Stage        :    X=   47.7100  Y=   23.4960  Z=   11.3990 </t>
  </si>
  <si>
    <t xml:space="preserve"> Dated on Dec 20 16:35 2016 </t>
  </si>
  <si>
    <t xml:space="preserve"> 1 Na   129.476    211.9    0.0   16.8    2.26      155 </t>
  </si>
  <si>
    <t xml:space="preserve"> 2 S    171.948      1.8    4.5    4.5   34.25 ?    104 </t>
  </si>
  <si>
    <t xml:space="preserve"> 3 Fe   134.739    108.7    2.5    2.4    2.20      358 </t>
  </si>
  <si>
    <t xml:space="preserve"> 4 Si    77.822   5444.7   43.8   23.7    0.31      263 </t>
  </si>
  <si>
    <t xml:space="preserve"> 5 Cl   151.478     60.6    8.3    7.9    2.64       45 </t>
  </si>
  <si>
    <t xml:space="preserve"> 6 F    199.140      6.4    3.1    2.5   10.10      344 </t>
  </si>
  <si>
    <t xml:space="preserve"> 7 K    119.485    897.6   49.1   21.9    0.64       71 </t>
  </si>
  <si>
    <t xml:space="preserve"> 8 Mn   146.243      3.5    1.3    2.0   13.78      266 </t>
  </si>
  <si>
    <t xml:space="preserve"> 9 Al    90.995    664.4   13.9    9.2    0.88      154 </t>
  </si>
  <si>
    <t xml:space="preserve">10 P    197.118      0.5    2.7    2.7  110.17 ?    147 </t>
  </si>
  <si>
    <t xml:space="preserve">11 Mg   107.534      5.1   20.7    0.0   22.46      125 </t>
  </si>
  <si>
    <t xml:space="preserve">12 Ca   107.121     92.6   26.9   27.6    2.94       79 </t>
  </si>
  <si>
    <t xml:space="preserve">13 Ti    88.305     56.6    0.0   41.1    3.90      120 </t>
  </si>
  <si>
    <t xml:space="preserve"> Na      0.4353    0.0047    0.5195    0.9734     0.9946     1.9790     0.9246</t>
  </si>
  <si>
    <t xml:space="preserve"> S       0.7521    0.0020    0.8030    0.9438     1.0313     1.2769     1.0253</t>
  </si>
  <si>
    <t xml:space="preserve"> Fe      0.9845    0.0000    1.0006    0.7958     1.0595     1.1854     1.0093</t>
  </si>
  <si>
    <t xml:space="preserve"> Si      0.7614    0.0007    0.8355    0.9682     1.0172     1.2144     0.9461</t>
  </si>
  <si>
    <t xml:space="preserve"> Cl      0.8186    0.0032    0.8674    0.8957     1.0376     1.2365     1.0162</t>
  </si>
  <si>
    <t xml:space="preserve"> F       0.1922    0.0013    0.2523    0.9983     0.9815     4.0394     1.0180</t>
  </si>
  <si>
    <t xml:space="preserve"> K       0.9015    0.0022    0.9401    0.8869     1.0480     1.1419     1.0321</t>
  </si>
  <si>
    <t xml:space="preserve"> Mn      0.9799    0.0000    0.9986    0.7842     1.0604     1.2042     1.0502</t>
  </si>
  <si>
    <t xml:space="preserve"> Al      0.7014    0.0182    0.7867    0.9498     1.0096     1.3019     0.9304</t>
  </si>
  <si>
    <t xml:space="preserve"> P       0.6637    0.0011    0.7191    0.9280     1.0245     1.4611     1.0365</t>
  </si>
  <si>
    <t xml:space="preserve"> Mg      0.5764    0.0102    0.6608    0.9881     1.0019     1.5132     0.9447</t>
  </si>
  <si>
    <t xml:space="preserve"> Ca      0.9185    0.0028    0.9514    0.9011     1.0520     1.1058     1.0287</t>
  </si>
  <si>
    <t xml:space="preserve"> Ti      0.9548    0.0080    0.9824    0.8130     1.0578     1.1744     1.0110</t>
  </si>
  <si>
    <t xml:space="preserve"> Na       1.75      2.36      1.79      2.41     0.632   0.9246   0.01896   0.95654  </t>
  </si>
  <si>
    <t xml:space="preserve"> S        0.0139    0.0348    0.0142    0.0355   0.0036  1.0253   0.000136  0.025285  </t>
  </si>
  <si>
    <t xml:space="preserve"> Fe       6.22      8.00      6.34      8.15     0.922   1.0093   0.06162   0.59237  </t>
  </si>
  <si>
    <t xml:space="preserve"> Si      33.99     72.72     34.62     74.07    10.022   0.9461   0.35869   1.49729  </t>
  </si>
  <si>
    <t xml:space="preserve"> Cl       0.3848    0.3848    0.3919    0.3919   0.0899  1.0162   0.003786  0.260931  </t>
  </si>
  <si>
    <t xml:space="preserve"> F        0.5147    0.5147    0.5242    0.5242   0.2243  1.0180   0.005055  1.062076  </t>
  </si>
  <si>
    <t xml:space="preserve"> K        3.46      4.16      3.52      4.24     0.732   1.0321   0.03350   4.89737  </t>
  </si>
  <si>
    <t xml:space="preserve"> Mn       0.2250    0.2905    0.2292    0.2959   0.0339  1.0502   0.002142  0.006361  </t>
  </si>
  <si>
    <t xml:space="preserve"> Al       4.68      8.85      4.77      9.01     1.437   0.9304   0.05032   0.75652  </t>
  </si>
  <si>
    <t xml:space="preserve"> P        0.0064    0.0147    0.0065    0.0150   0.0017  1.0365   0.000062  0.036276 ?</t>
  </si>
  <si>
    <t xml:space="preserve"> Mg       0.0252    0.0417    0.0256    0.0425   0.0086  0.9447   0.000266  0.008653  </t>
  </si>
  <si>
    <t xml:space="preserve"> Ca       0.3277    0.4585    0.3338    0.4670   0.0677  1.0287   0.003186  0.047610  </t>
  </si>
  <si>
    <t xml:space="preserve"> Ti       0.2040    0.3403    0.2078    0.3466   0.0353  1.0110   0.002018  0.082531  </t>
  </si>
  <si>
    <t xml:space="preserve"> O       46.37       -       47.23       -      24.000      -         -        </t>
  </si>
  <si>
    <t>Total:   98.18     98.18    100.00    100.00    14.211</t>
  </si>
  <si>
    <t xml:space="preserve">Unknown Specimen No. 7 </t>
  </si>
  <si>
    <t xml:space="preserve"> UNK No.      :    7            Comment : Scap                                     </t>
  </si>
  <si>
    <t xml:space="preserve"> Stage        :    X=   21.2345  Y=   23.6130  Z=   11.5290 </t>
  </si>
  <si>
    <t xml:space="preserve"> Dated on Dec 20 16:38 2016 </t>
  </si>
  <si>
    <t xml:space="preserve"> 1 Na   129.476    524.0    0.0   20.5    1.41      172 </t>
  </si>
  <si>
    <t xml:space="preserve"> 2 S    171.948     72.1    4.9    3.6    2.27      100 </t>
  </si>
  <si>
    <t xml:space="preserve"> 3 Fe   134.739      2.6    3.2    1.8   22.72      344 </t>
  </si>
  <si>
    <t xml:space="preserve"> 4 Si    77.822   3610.4   29.2   17.4    0.37      218 </t>
  </si>
  <si>
    <t xml:space="preserve"> 5 Cl   151.478    232.1   10.1    8.3    1.24       48 </t>
  </si>
  <si>
    <t xml:space="preserve"> 6 F    199.140      0.1    2.7    2.0  525.83 ?    318 </t>
  </si>
  <si>
    <t xml:space="preserve"> 7 K    119.485    184.9   25.7   19.4    1.50       55 </t>
  </si>
  <si>
    <t xml:space="preserve"> 8 Mn   146.243      0.1    1.5    1.4  442.83 ?    245 </t>
  </si>
  <si>
    <t xml:space="preserve"> 9 Al    90.995   1976.2   19.3   11.0    0.51      177 </t>
  </si>
  <si>
    <t xml:space="preserve">10 P    197.118      0.7    3.1    1.8   72.10 ?    135 </t>
  </si>
  <si>
    <t xml:space="preserve">11 Mg   107.534     -2.6   23.9    0.0  100.00 ?    134 </t>
  </si>
  <si>
    <t xml:space="preserve">12 Ca   107.121   2819.9   30.4   34.7    0.43       87 </t>
  </si>
  <si>
    <t xml:space="preserve">13 Ti    88.305      0.4    0.0   40.4  357.08 ?    119 </t>
  </si>
  <si>
    <t xml:space="preserve"> Na      0.4766    0.0050    0.5688    0.9699     0.9963     1.8102     0.8458</t>
  </si>
  <si>
    <t xml:space="preserve"> S       0.7695    0.0043    0.8216    0.9404     1.0331     1.2474     1.0016</t>
  </si>
  <si>
    <t xml:space="preserve"> Fe      0.9812    0.0000    0.9972    0.7930     1.0604     1.1924     1.0153</t>
  </si>
  <si>
    <t xml:space="preserve"> Si      0.7188    0.0016    0.7888    0.9647     1.0190     1.2876     1.0032</t>
  </si>
  <si>
    <t xml:space="preserve"> Cl      0.8301    0.0062    0.8796    0.8925     1.0393     1.2181     1.0011</t>
  </si>
  <si>
    <t xml:space="preserve"> F       0.1818    0.0011    0.2387    0.9946     0.9832     4.2802     1.0786</t>
  </si>
  <si>
    <t xml:space="preserve"> K       0.9055    0.0166    0.9442    0.8838     1.0495     1.1231     1.0150</t>
  </si>
  <si>
    <t xml:space="preserve"> Al      0.7189    0.0120    0.8063    0.9463     1.0114     1.2805     0.9151</t>
  </si>
  <si>
    <t xml:space="preserve"> P       0.6851    0.0027    0.7424    0.9247     1.0263     1.4157     1.0043</t>
  </si>
  <si>
    <t xml:space="preserve"> Ca      0.9285    0.0001    0.9618    0.8979     1.0535     1.0991     1.0225</t>
  </si>
  <si>
    <t xml:space="preserve"> Na       3.97      5.35      3.96      5.34     1.448   0.8458   0.04689   2.36598  </t>
  </si>
  <si>
    <t xml:space="preserve"> S        0.5574    1.3920    0.5571    1.3912   0.1460  1.0016   0.005565  1.034436  </t>
  </si>
  <si>
    <t xml:space="preserve"> Fe       0.1522    0.1958    0.1521    0.1957   0.0229  1.0153   0.001499  0.014408  </t>
  </si>
  <si>
    <t xml:space="preserve"> Si      23.86     51.04     23.84     51.01     7.131   1.0032   0.23785   0.99287  </t>
  </si>
  <si>
    <t xml:space="preserve"> Cl       1.45      1.45      1.45      1.45     0.344   1.0011   0.01451   0.99971  </t>
  </si>
  <si>
    <t xml:space="preserve"> F        0.0068    0.0068    0.0068    0.0068   0.0030  1.0786   0.000063  0.013245 ?</t>
  </si>
  <si>
    <t xml:space="preserve"> K        0.7004    0.8437    0.6999    0.8431   0.1504  1.0150   0.006900  1.008764  </t>
  </si>
  <si>
    <t xml:space="preserve"> Mn       0.0046    0.0059    0.0046    0.0059   0.0007  1.0574   0.000043  0.000129 ?</t>
  </si>
  <si>
    <t xml:space="preserve"> Al      13.70     25.88     13.69     25.86     4.262   0.9151   0.14967   2.25034  </t>
  </si>
  <si>
    <t xml:space="preserve"> P        0.0089    0.0203    0.0089    0.0203   0.0024  1.0043   0.000088  0.051693 ?</t>
  </si>
  <si>
    <t xml:space="preserve"> Mg       0.00      0.00      0.00      0.00     0.000   0.6243   0.00000   0.00000 ?</t>
  </si>
  <si>
    <t xml:space="preserve"> Ca       9.92     13.88      9.91     13.87     2.078   1.0225   0.09700   1.44973  </t>
  </si>
  <si>
    <t xml:space="preserve"> Ti       0.0015    0.0025    0.0015    0.0025   0.0003  1.0317   0.000014  0.000583 ?</t>
  </si>
  <si>
    <t xml:space="preserve"> O       45.74       -       45.71       -      24.000      -         -        </t>
  </si>
  <si>
    <t>Total:  100.06    100.06    100.00    100.00    15.588</t>
  </si>
  <si>
    <t xml:space="preserve">Unknown Specimen No. 8 </t>
  </si>
  <si>
    <t xml:space="preserve"> UNK No.      :    8            Comment : Scap                                     </t>
  </si>
  <si>
    <t xml:space="preserve"> Stage        :    X=   21.2500  Y=   23.6210  Z=   11.5290 </t>
  </si>
  <si>
    <t xml:space="preserve"> Dated on Dec 20 16:42 2016 </t>
  </si>
  <si>
    <t xml:space="preserve"> 1 Na   129.476    508.4    0.0   25.4    1.44      191 </t>
  </si>
  <si>
    <t xml:space="preserve"> 2 S    171.948     70.4    5.1    5.0    2.33      110 </t>
  </si>
  <si>
    <t xml:space="preserve"> 3 Fe   134.739      1.2    2.6    2.6   50.20 ?    370 </t>
  </si>
  <si>
    <t xml:space="preserve"> 4 Si    77.822   3607.5   28.2   17.3    0.37      215 </t>
  </si>
  <si>
    <t xml:space="preserve"> 5 Cl   151.478    226.4    7.9    7.2    1.25       44 </t>
  </si>
  <si>
    <t xml:space="preserve"> 6 F    199.140     -0.7    3.9    2.6  100.00 ?    373 </t>
  </si>
  <si>
    <t xml:space="preserve"> 7 K    119.485    191.5   25.9   18.1    1.47       55 </t>
  </si>
  <si>
    <t xml:space="preserve"> 8 Mn   146.243      0.4    1.5    1.3   78.18 ?    241 </t>
  </si>
  <si>
    <t xml:space="preserve"> 9 Al    90.995   1945.5   16.7   10.9    0.51      168 </t>
  </si>
  <si>
    <t xml:space="preserve">10 P    197.118      0.0    3.0    3.0 1116.92 ?    155 </t>
  </si>
  <si>
    <t xml:space="preserve">11 Mg   107.534      0.2   22.1    0.0  422.86 ?    129 </t>
  </si>
  <si>
    <t xml:space="preserve">12 Ca   107.121   2847.8   30.2   33.6    0.42       86 </t>
  </si>
  <si>
    <t xml:space="preserve">13 Ti    88.305      2.1    0.0   37.8   67.26 ?    115 </t>
  </si>
  <si>
    <t xml:space="preserve"> Na      0.4765    0.0050    0.5687    0.9698     0.9963     1.8106     0.8460</t>
  </si>
  <si>
    <t xml:space="preserve"> S       0.7697    0.0043    0.8218    0.9404     1.0331     1.2472     1.0014</t>
  </si>
  <si>
    <t xml:space="preserve"> Fe      0.9812    0.0000    0.9971    0.7930     1.0604     1.1926     1.0155</t>
  </si>
  <si>
    <t xml:space="preserve"> Si      0.7198    0.0016    0.7899    0.9647     1.0189     1.2858     1.0017</t>
  </si>
  <si>
    <t xml:space="preserve"> Cl      0.8303    0.0063    0.8798    0.8925     1.0393     1.2178     1.0009</t>
  </si>
  <si>
    <t xml:space="preserve"> K       0.9057    0.0169    0.9444    0.8838     1.0495     1.1226     1.0146</t>
  </si>
  <si>
    <t xml:space="preserve"> Mn      0.9755    0.0000    0.9942    0.7815     1.0613     1.2127     1.0576</t>
  </si>
  <si>
    <t xml:space="preserve"> Al      0.7194    0.0121    0.8068    0.9463     1.0114     1.2796     0.9144</t>
  </si>
  <si>
    <t xml:space="preserve"> Ca      0.9286    0.0000    0.9618    0.8979     1.0534     1.0992     1.0225</t>
  </si>
  <si>
    <t xml:space="preserve"> Ti      0.9448    0.0001    0.9721    0.8101     1.0590     1.1989     1.0321</t>
  </si>
  <si>
    <t xml:space="preserve"> Na       3.85      5.19      3.87      5.22     1.414   0.8460   0.04550   2.29548  </t>
  </si>
  <si>
    <t xml:space="preserve"> S        0.5447    1.3602    0.5480    1.3684   0.1435  1.0014   0.005439  1.010995  </t>
  </si>
  <si>
    <t xml:space="preserve"> Fe       0.0662    0.0852    0.0666    0.0857   0.0100  1.0155   0.000652  0.006268  </t>
  </si>
  <si>
    <t xml:space="preserve"> Si      23.82     50.95     23.96     51.25     7.163   1.0017   0.23766   0.99207  </t>
  </si>
  <si>
    <t xml:space="preserve"> Cl       1.42      1.42      1.42      1.42     0.337   1.0009   0.01415   0.97499  </t>
  </si>
  <si>
    <t xml:space="preserve"> F        0.00      0.00      0.00      0.00     0.000   0.2520   0.00000   0.00000 ?</t>
  </si>
  <si>
    <t xml:space="preserve"> K        0.7250    0.8733    0.7293    0.8785   0.1566  1.0146   0.007145  1.044636  </t>
  </si>
  <si>
    <t xml:space="preserve"> Mn       0.0271    0.0350    0.0273    0.0352   0.0042  1.0576   0.000256  0.000761  </t>
  </si>
  <si>
    <t xml:space="preserve"> Al      13.48     25.46     13.56     25.62     4.220   0.9144   0.14735   2.21539  </t>
  </si>
  <si>
    <t xml:space="preserve"> P        0.0006    0.0014    0.0006    0.0014   0.0002  1.0041   0.000006  0.003628 ?</t>
  </si>
  <si>
    <t xml:space="preserve"> Mg       0.0012    0.0020    0.0012    0.0020   0.0004  0.9119   0.000013  0.000428 ?</t>
  </si>
  <si>
    <t xml:space="preserve"> Ca      10.02     14.02     10.08     14.10     2.111   1.0225   0.09796   1.46405  </t>
  </si>
  <si>
    <t xml:space="preserve"> Ti       0.0077    0.0129    0.0078    0.0130   0.0014  1.0321   0.000075  0.003062 ?</t>
  </si>
  <si>
    <t xml:space="preserve"> O       45.46       -       45.73       -      24.000      -         -        </t>
  </si>
  <si>
    <t>Total:   99.40     99.40    100.00    100.00    15.562</t>
  </si>
  <si>
    <t xml:space="preserve">Unknown Specimen No. 9 </t>
  </si>
  <si>
    <t xml:space="preserve"> UNK No.      :    9            Comment : 1982-CS2-L3A_1                           </t>
  </si>
  <si>
    <t xml:space="preserve"> Stage        :    X=   20.6570  Y=   85.0745  Z=   11.2990 </t>
  </si>
  <si>
    <t xml:space="preserve"> Dated on Dec 20 16:45 2016 </t>
  </si>
  <si>
    <t xml:space="preserve"> 1 Na   129.476    217.7    0.0   18.1    2.23      161 </t>
  </si>
  <si>
    <t xml:space="preserve"> 2 S    171.948      0.9    6.3    6.1   73.17 ?    122 </t>
  </si>
  <si>
    <t xml:space="preserve"> 3 Fe   134.739    189.5    2.3    2.8    1.65      372 </t>
  </si>
  <si>
    <t xml:space="preserve"> 4 Si    77.822   3231.9   30.5   19.5    0.40      225 </t>
  </si>
  <si>
    <t xml:space="preserve"> 5 Cl   151.478     18.6    7.9    7.5    5.73       44 </t>
  </si>
  <si>
    <t xml:space="preserve"> 6 F    199.140      1.4    4.6    3.5   40.59 ?    414 </t>
  </si>
  <si>
    <t xml:space="preserve"> 7 K    119.485    392.5   35.3   21.3    0.99       62 </t>
  </si>
  <si>
    <t xml:space="preserve"> 8 Mn   146.243      2.9    1.9    1.9   16.26      285 </t>
  </si>
  <si>
    <t xml:space="preserve"> 9 Al    90.995   1038.2   15.7    6.7    0.70      153 </t>
  </si>
  <si>
    <t xml:space="preserve">10 P    197.118     22.6    3.4    2.7    5.30      154 </t>
  </si>
  <si>
    <t xml:space="preserve">11 Mg   107.534    576.5   35.9    0.0    0.96      165 </t>
  </si>
  <si>
    <t xml:space="preserve">12 Ca   107.121   2333.8   35.6   34.6    0.47       90 </t>
  </si>
  <si>
    <t xml:space="preserve">13 Ti    88.305    672.8    0.0   44.8    0.89      125 </t>
  </si>
  <si>
    <t xml:space="preserve"> Na      0.3946    0.0039    0.4710    0.9938     0.9866     2.1574     1.0080</t>
  </si>
  <si>
    <t xml:space="preserve"> S       0.7693    0.0038    0.8213    0.9629     1.0234     1.2309     0.9883</t>
  </si>
  <si>
    <t xml:space="preserve"> Fe      0.9808    0.0000    0.9967    0.8109     1.0554     1.1722     0.9981</t>
  </si>
  <si>
    <t xml:space="preserve"> Si      0.7040    0.0013    0.7726    0.9881     1.0089     1.2967     1.0102</t>
  </si>
  <si>
    <t xml:space="preserve"> Cl      0.8317    0.0071    0.8813    0.9137     1.0299     1.1973     0.9840</t>
  </si>
  <si>
    <t xml:space="preserve"> F       0.1887    0.0014    0.2478    1.0194     0.9742     4.0582     1.0227</t>
  </si>
  <si>
    <t xml:space="preserve"> K       0.9097    0.0180    0.9486    0.9046     1.0410     1.0997     0.9939</t>
  </si>
  <si>
    <t xml:space="preserve"> Mn      0.9750    0.0000    0.9937    0.7993     1.0559     1.1925     1.0400</t>
  </si>
  <si>
    <t xml:space="preserve"> Al      0.6480    0.0097    0.7268    0.9694     1.0013     1.4040     1.0033</t>
  </si>
  <si>
    <t xml:space="preserve"> P       0.6862    0.0021    0.7435    0.9470     1.0164     1.3946     0.9894</t>
  </si>
  <si>
    <t xml:space="preserve"> Mg      0.5370    0.0070    0.6155    1.0086     0.9938     1.6096     1.0049</t>
  </si>
  <si>
    <t xml:space="preserve"> Ca      0.9297    0.0071    0.9630    0.9189     1.0454     1.0734     0.9986</t>
  </si>
  <si>
    <t xml:space="preserve"> Ti      0.9487    0.0112    0.9761    0.8289     1.0520     1.1620     1.0003</t>
  </si>
  <si>
    <t xml:space="preserve"> Na       1.96      2.65      1.95      2.63     0.766   1.0080   0.01948   0.98274  </t>
  </si>
  <si>
    <t xml:space="preserve"> S        0.0070    0.0175    0.0070    0.0174   0.0020  0.9883   0.000071  0.013174 ?</t>
  </si>
  <si>
    <t xml:space="preserve"> Fe      10.72     13.79     10.67     13.72     1.722   0.9981   0.10742   1.03262  </t>
  </si>
  <si>
    <t xml:space="preserve"> Si      21.50     46.00     21.39     45.77     6.868   1.0102   0.21292   0.88878  </t>
  </si>
  <si>
    <t xml:space="preserve"> Cl       0.1143    0.1143    0.1137    0.1137   0.0289  0.9840   0.001161  0.080029  </t>
  </si>
  <si>
    <t xml:space="preserve"> F        0.1165    0.1165    0.1159    0.1159   0.0550  1.0227   0.001139  0.239307  </t>
  </si>
  <si>
    <t xml:space="preserve"> K        1.46      1.75      1.45      1.75     0.334   0.9939   0.01465   2.14178  </t>
  </si>
  <si>
    <t xml:space="preserve"> Mn       0.1875    0.2421    0.1866    0.2409   0.0306  1.0400   0.001803  0.005353  </t>
  </si>
  <si>
    <t xml:space="preserve"> Al       7.89     14.90      7.85     14.83     2.623   1.0033   0.07862   1.18215  </t>
  </si>
  <si>
    <t xml:space="preserve"> P        0.2773    0.6354    0.2759    0.6322   0.0803  0.9894   0.002802  1.638841  </t>
  </si>
  <si>
    <t xml:space="preserve"> Mg       3.06      5.07      3.04      5.04     1.128   1.0049   0.03041   0.98761  </t>
  </si>
  <si>
    <t xml:space="preserve"> Ca       8.02     11.22      7.98     11.16     1.795   0.9986   0.08028   1.19983  </t>
  </si>
  <si>
    <t xml:space="preserve"> Ti       2.40      4.00      2.39      3.98     0.449   1.0003   0.02398   0.98090  </t>
  </si>
  <si>
    <t xml:space="preserve"> O       42.80       -       42.59       -      24.000      -         -        </t>
  </si>
  <si>
    <t>Total:  100.51    100.51    100.00    100.00    15.881</t>
  </si>
  <si>
    <t xml:space="preserve">Unknown Specimen No. 10 </t>
  </si>
  <si>
    <t xml:space="preserve"> UNK No.      :   10            Comment : 1982-CS2-L3A_2                           </t>
  </si>
  <si>
    <t xml:space="preserve"> Stage        :    X=   20.7270  Y=   85.3335  Z=   11.2975 </t>
  </si>
  <si>
    <t xml:space="preserve"> Dated on Dec 20 16:49 2016 </t>
  </si>
  <si>
    <t xml:space="preserve">Curr.(A) : 1.004E-08 </t>
  </si>
  <si>
    <t xml:space="preserve"> 1 Na   129.476    213.1    0.0   16.5    2.25      154 </t>
  </si>
  <si>
    <t xml:space="preserve"> 2 S    171.948      0.9    5.5    4.4   68.81 ?    108 </t>
  </si>
  <si>
    <t xml:space="preserve"> 3 Fe   134.739    189.1    2.8    3.3    1.65      406 </t>
  </si>
  <si>
    <t xml:space="preserve"> 4 Si    77.822   3231.6   30.1   19.5    0.40      224 </t>
  </si>
  <si>
    <t xml:space="preserve"> 5 Cl   151.478     17.5    9.1    8.7    6.20       47 </t>
  </si>
  <si>
    <t xml:space="preserve"> 6 F    199.140      2.0    3.7    2.9   27.75      372 </t>
  </si>
  <si>
    <t xml:space="preserve"> 7 K    119.485    397.1   34.8   21.5    0.98       62 </t>
  </si>
  <si>
    <t xml:space="preserve"> 8 Mn   146.243      2.7    2.6    1.5   17.62      289 </t>
  </si>
  <si>
    <t xml:space="preserve"> 9 Al    90.995   1045.6   15.7    9.8    0.70      162 </t>
  </si>
  <si>
    <t xml:space="preserve">10 P    197.118     22.3    2.6    3.5    5.39      159 </t>
  </si>
  <si>
    <t xml:space="preserve">11 Mg   107.534    579.3   36.9    0.0    0.96      167 </t>
  </si>
  <si>
    <t xml:space="preserve">12 Ca   107.121   2314.4   34.0   36.1    0.47       90 </t>
  </si>
  <si>
    <t xml:space="preserve">13 Ti    88.305    657.0    0.0   50.1    0.91      132 </t>
  </si>
  <si>
    <t xml:space="preserve"> Na      0.3949    0.0039    0.4713    0.9936     0.9867     2.1560     1.0073</t>
  </si>
  <si>
    <t xml:space="preserve"> S       0.7691    0.0037    0.8212    0.9628     1.0235     1.2312     0.9886</t>
  </si>
  <si>
    <t xml:space="preserve"> Fe      0.9808    0.0000    0.9968    0.8108     1.0555     1.1723     0.9982</t>
  </si>
  <si>
    <t xml:space="preserve"> Si      0.7039    0.0013    0.7725    0.9879     1.0090     1.2970     1.0105</t>
  </si>
  <si>
    <t xml:space="preserve"> Cl      0.8316    0.0070    0.8812    0.9136     1.0300     1.1976     0.9843</t>
  </si>
  <si>
    <t xml:space="preserve"> F       0.1890    0.0014    0.2481    1.0192     0.9743     4.0533     1.0215</t>
  </si>
  <si>
    <t xml:space="preserve"> K       0.9097    0.0178    0.9486    0.9044     1.0410     1.1001     0.9942</t>
  </si>
  <si>
    <t xml:space="preserve"> Mn      0.9751    0.0000    0.9938    0.7991     1.0559     1.1926     1.0401</t>
  </si>
  <si>
    <t xml:space="preserve"> Al      0.6483    0.0097    0.7271    0.9692     1.0014     1.4034     1.0029</t>
  </si>
  <si>
    <t xml:space="preserve"> P       0.6860    0.0020    0.7433    0.9468     1.0164     1.3952     0.9898</t>
  </si>
  <si>
    <t xml:space="preserve"> Mg      0.5375    0.0070    0.6161    1.0084     0.9938     1.6082     1.0040</t>
  </si>
  <si>
    <t xml:space="preserve"> Ca      0.9296    0.0070    0.9629    0.9187     1.0454     1.0737     0.9989</t>
  </si>
  <si>
    <t xml:space="preserve"> Ti      0.9487    0.0112    0.9761    0.8287     1.0520     1.1621     1.0004</t>
  </si>
  <si>
    <t xml:space="preserve"> Na       1.92      2.59      1.91      2.58     0.750   1.0073   0.01905   0.96100  </t>
  </si>
  <si>
    <t xml:space="preserve"> S        0.0066    0.0165    0.0066    0.0165   0.0019  0.9886   0.000067  0.012422 ?</t>
  </si>
  <si>
    <t xml:space="preserve"> Fe      10.69     13.75     10.66     13.71     1.720   0.9982   0.10709   1.02941  </t>
  </si>
  <si>
    <t xml:space="preserve"> Si      21.49     45.97     21.42     45.83     6.874   1.0105   0.21268   0.88780  </t>
  </si>
  <si>
    <t xml:space="preserve"> Cl       0.1074    0.1074    0.1071    0.1071   0.0272  0.9843   0.001091  0.075216  </t>
  </si>
  <si>
    <t xml:space="preserve"> F        0.1600    0.1600    0.1595    0.1595   0.0757  1.0215   0.001567  0.329101  </t>
  </si>
  <si>
    <t xml:space="preserve"> K        1.47      1.77      1.47      1.77     0.338   0.9942   0.01480   2.16431  </t>
  </si>
  <si>
    <t xml:space="preserve"> Mn       0.1704    0.2200    0.1699    0.2194   0.0279  1.0401   0.001639  0.004865  </t>
  </si>
  <si>
    <t xml:space="preserve"> Al       7.93     14.99      7.91     14.95     2.642   1.0029   0.07911   1.18944  </t>
  </si>
  <si>
    <t xml:space="preserve"> P        0.2734    0.6266    0.2726    0.6247   0.0793  0.9898   0.002762  1.615465  </t>
  </si>
  <si>
    <t xml:space="preserve"> Mg       3.06      5.08      3.06      5.07     1.133   1.0040   0.03053   0.99151  </t>
  </si>
  <si>
    <t xml:space="preserve"> Ca       7.94     11.12      7.92     11.08     1.781   0.9989   0.07953   1.18867  </t>
  </si>
  <si>
    <t xml:space="preserve"> Ti       2.34      3.90      2.33      3.89     0.439   1.0004   0.02340   0.95689  </t>
  </si>
  <si>
    <t xml:space="preserve"> O       42.73       -       42.60       -      24.000      -         -        </t>
  </si>
  <si>
    <t>Total:  100.30    100.30    100.00    100.00    15.890</t>
  </si>
  <si>
    <t xml:space="preserve">Unknown Specimen No. 11 </t>
  </si>
  <si>
    <t xml:space="preserve"> UNK No.      :   11            Comment : 1982-CS2-L3A_3                           </t>
  </si>
  <si>
    <t xml:space="preserve"> Stage        :    X=   20.2410  Y=   84.7885  Z=   11.3050 </t>
  </si>
  <si>
    <t xml:space="preserve"> Dated on Dec 20 16:52 2016 </t>
  </si>
  <si>
    <t xml:space="preserve"> 1 Na   129.476    239.6    0.0   17.9    2.12      160 </t>
  </si>
  <si>
    <t xml:space="preserve"> 2 S    171.948      1.5    4.8    5.2   40.93 ?    110 </t>
  </si>
  <si>
    <t xml:space="preserve"> 3 Fe   134.739    185.5    3.2    3.5    1.67      422 </t>
  </si>
  <si>
    <t xml:space="preserve"> 4 Si    77.822   3206.3   31.2   17.4    0.40      223 </t>
  </si>
  <si>
    <t xml:space="preserve"> 5 Cl   151.478     20.3    8.7    7.1    5.39       44 </t>
  </si>
  <si>
    <t xml:space="preserve"> 6 F    199.140      1.3    3.9    2.7   40.98 ?    376 </t>
  </si>
  <si>
    <t xml:space="preserve"> 7 K    119.485    410.7   35.1   21.2    0.96       62 </t>
  </si>
  <si>
    <t xml:space="preserve"> 8 Mn   146.243      2.7    2.5    1.5   17.22      287 </t>
  </si>
  <si>
    <t xml:space="preserve"> 9 Al    90.995   1046.9   15.2   10.9    0.70      163 </t>
  </si>
  <si>
    <t xml:space="preserve">10 P    197.118     23.1    3.6    3.1    5.28      162 </t>
  </si>
  <si>
    <t xml:space="preserve">11 Mg   107.534    577.1   39.5    0.0    0.96      173 </t>
  </si>
  <si>
    <t xml:space="preserve">12 Ca   107.121   2322.5   36.8   37.2    0.47       92 </t>
  </si>
  <si>
    <t xml:space="preserve">13 Ti    88.305    655.8    0.0   45.4    0.90      126 </t>
  </si>
  <si>
    <t xml:space="preserve"> Na      0.3962    0.0039    0.4729    0.9934     0.9868     2.1490     1.0041</t>
  </si>
  <si>
    <t xml:space="preserve"> S       0.7694    0.0038    0.8215    0.9626     1.0236     1.2309     0.9883</t>
  </si>
  <si>
    <t xml:space="preserve"> Fe      0.9808    0.0000    0.9967    0.8107     1.0555     1.1725     0.9983</t>
  </si>
  <si>
    <t xml:space="preserve"> Si      0.7037    0.0013    0.7722    0.9877     1.0091     1.2975     1.0109</t>
  </si>
  <si>
    <t xml:space="preserve"> Cl      0.8318    0.0071    0.8814    0.9134     1.0301     1.1974     0.9841</t>
  </si>
  <si>
    <t xml:space="preserve"> F       0.1889    0.0014    0.2480    1.0190     0.9744     4.0562     1.0222</t>
  </si>
  <si>
    <t xml:space="preserve"> K       0.9097    0.0179    0.9486    0.9042     1.0411     1.1001     0.9942</t>
  </si>
  <si>
    <t xml:space="preserve"> Mn      0.9751    0.0000    0.9937    0.7990     1.0560     1.1928     1.0402</t>
  </si>
  <si>
    <t xml:space="preserve"> Al      0.6482    0.0097    0.7270    0.9690     1.0015     1.4038     1.0032</t>
  </si>
  <si>
    <t xml:space="preserve"> P       0.6864    0.0021    0.7437    0.9466     1.0165     1.3945     0.9893</t>
  </si>
  <si>
    <t xml:space="preserve"> Mg      0.5373    0.0070    0.6159    1.0082     0.9940     1.6088     1.0044</t>
  </si>
  <si>
    <t xml:space="preserve"> Ca      0.9295    0.0069    0.9628    0.9186     1.0455     1.0740     0.9992</t>
  </si>
  <si>
    <t xml:space="preserve"> Ti      0.9486    0.0110    0.9760    0.8286     1.0521     1.1626     1.0008</t>
  </si>
  <si>
    <t xml:space="preserve"> Na       2.15      2.90      2.15      2.90     0.843   1.0041   0.02142   1.08059  </t>
  </si>
  <si>
    <t xml:space="preserve"> S        0.0117    0.0292    0.0117    0.0291   0.0033  0.9883   0.000118  0.021971  </t>
  </si>
  <si>
    <t xml:space="preserve"> Fe      10.49     13.49     10.48     13.48     1.692   0.9983   0.10507   1.00999  </t>
  </si>
  <si>
    <t xml:space="preserve"> Si      21.33     45.63     21.30     45.57     6.841   1.0109   0.21102   0.88086  </t>
  </si>
  <si>
    <t xml:space="preserve"> Cl       0.1246    0.1246    0.1245    0.1245   0.0317  0.9841   0.001266  0.087274  </t>
  </si>
  <si>
    <t xml:space="preserve"> F        0.1055    0.1055    0.1053    0.1053   0.0500  1.0222   0.001032  0.216755  </t>
  </si>
  <si>
    <t xml:space="preserve"> K        1.52      1.83      1.52      1.83     0.351   0.9942   0.01531   2.23844  </t>
  </si>
  <si>
    <t xml:space="preserve"> Mn       0.1744    0.2252    0.1742    0.2249   0.0286  1.0402   0.001677  0.004978  </t>
  </si>
  <si>
    <t xml:space="preserve"> Al       7.95     15.01      7.94     14.99     2.653   1.0032   0.07921   1.19088  </t>
  </si>
  <si>
    <t xml:space="preserve"> P        0.2834    0.6494    0.2830    0.6486   0.0824  0.9893   0.002865  1.675261  </t>
  </si>
  <si>
    <t xml:space="preserve"> Mg       3.05      5.07      3.05      5.06     1.132   1.0044   0.03041   0.98774  </t>
  </si>
  <si>
    <t xml:space="preserve"> Ca       7.97     11.16      7.96     11.14     1.793   0.9992   0.07981   1.19280  </t>
  </si>
  <si>
    <t xml:space="preserve"> Ti       2.34      3.90      2.33      3.89     0.440   1.0008   0.02335   0.95513  </t>
  </si>
  <si>
    <t xml:space="preserve"> O       42.62       -       42.57       -      24.000      -         -        </t>
  </si>
  <si>
    <t>Total:  100.12    100.12    100.00    100.00    15.941</t>
  </si>
  <si>
    <t xml:space="preserve">Unknown Specimen No. 12 </t>
  </si>
  <si>
    <t xml:space="preserve"> UNK No.      :   12            Comment : 1982-CS2-L3A_4                           </t>
  </si>
  <si>
    <t xml:space="preserve"> Stage        :    X=   19.9485  Y=   84.8465  Z=   11.3085 </t>
  </si>
  <si>
    <t xml:space="preserve"> Dated on Dec 20 16:56 2016 </t>
  </si>
  <si>
    <t xml:space="preserve"> 1 Na   129.476    218.5    0.0   15.1    2.21      147 </t>
  </si>
  <si>
    <t xml:space="preserve"> 2 S    171.948      2.3    5.5    4.2   27.48      107 </t>
  </si>
  <si>
    <t xml:space="preserve"> 3 Fe   134.739    187.3    2.2    3.3    1.66      393 </t>
  </si>
  <si>
    <t xml:space="preserve"> 4 Si    77.822   3248.8   28.9   21.2    0.40      224 </t>
  </si>
  <si>
    <t xml:space="preserve"> 5 Cl   151.478     20.0    7.3    8.1    5.44       44 </t>
  </si>
  <si>
    <t xml:space="preserve"> 6 F    199.140      1.5    3.9    3.6   36.65 ?    395 </t>
  </si>
  <si>
    <t xml:space="preserve"> 7 K    119.485    354.3   37.8   24.2    1.06       65 </t>
  </si>
  <si>
    <t xml:space="preserve"> 8 Mn   146.243      2.7    1.8    1.3   16.28      251 </t>
  </si>
  <si>
    <t xml:space="preserve"> 9 Al    90.995   1041.2   16.8    9.3    0.70      164 </t>
  </si>
  <si>
    <t xml:space="preserve">10 P    197.118     20.1    2.5    3.1    5.69      151 </t>
  </si>
  <si>
    <t xml:space="preserve">11 Mg   107.534    590.2   37.6    0.0    0.95      168 </t>
  </si>
  <si>
    <t xml:space="preserve">12 Ca   107.121   2336.8   35.3   38.5    0.47       92 </t>
  </si>
  <si>
    <t xml:space="preserve">13 Ti    88.305    671.5    0.0   47.6    0.89      129 </t>
  </si>
  <si>
    <t xml:space="preserve"> Na      0.3956    0.0039    0.4722    0.9932     0.9868     2.1525     1.0057</t>
  </si>
  <si>
    <t xml:space="preserve"> S       0.7691    0.0037    0.8212    0.9625     1.0236     1.2315     0.9889</t>
  </si>
  <si>
    <t xml:space="preserve"> Fe      0.9808    0.0000    0.9968    0.8106     1.0555     1.1725     0.9984</t>
  </si>
  <si>
    <t xml:space="preserve"> Si      0.7042    0.0013    0.7728    0.9876     1.0091     1.2968     1.0103</t>
  </si>
  <si>
    <t xml:space="preserve"> Cl      0.8316    0.0069    0.8811    0.9133     1.0301     1.1980     0.9846</t>
  </si>
  <si>
    <t xml:space="preserve"> F       0.1888    0.0014    0.2479    1.0189     0.9744     4.0582     1.0227</t>
  </si>
  <si>
    <t xml:space="preserve"> K       0.9096    0.0180    0.9485    0.9041     1.0411     1.1002     0.9944</t>
  </si>
  <si>
    <t xml:space="preserve"> Mn      0.9751    0.0000    0.9938    0.7989     1.0560     1.1928     1.0403</t>
  </si>
  <si>
    <t xml:space="preserve"> Al      0.6483    0.0097    0.7272    0.9689     1.0015     1.4035     1.0030</t>
  </si>
  <si>
    <t xml:space="preserve"> P       0.6858    0.0020    0.7431    0.9465     1.0166     1.3958     0.9902</t>
  </si>
  <si>
    <t xml:space="preserve"> Mg      0.5379    0.0070    0.6166    1.0081     0.9940     1.6072     1.0034</t>
  </si>
  <si>
    <t xml:space="preserve"> Ca      0.9300    0.0070    0.9633    0.9185     1.0455     1.0735     0.9987</t>
  </si>
  <si>
    <t xml:space="preserve"> Ti      0.9488    0.0111    0.9762    0.8285     1.0521     1.1623     1.0006</t>
  </si>
  <si>
    <t xml:space="preserve"> Na       1.96      2.65      1.96      2.64     0.765   1.0057   0.01953   0.98537  </t>
  </si>
  <si>
    <t xml:space="preserve"> S        0.0174    0.0435    0.0173    0.0433   0.0049  0.9889   0.000176  0.032754  </t>
  </si>
  <si>
    <t xml:space="preserve"> Fe      10.59     13.63     10.54     13.57     1.699   0.9984   0.10610   1.01985  </t>
  </si>
  <si>
    <t xml:space="preserve"> Si      21.60     46.20     21.50     45.99     6.887   1.0103   0.21382   0.89254  </t>
  </si>
  <si>
    <t xml:space="preserve"> Cl       0.1232    0.1232    0.1227    0.1227   0.0311  0.9846   0.001251  0.086237  </t>
  </si>
  <si>
    <t xml:space="preserve"> F        0.1241    0.1241    0.1236    0.1236   0.0585  1.0227   0.001214  0.254973  </t>
  </si>
  <si>
    <t xml:space="preserve"> K        1.31      1.58      1.31      1.58     0.301   0.9944   0.01321   1.93105  </t>
  </si>
  <si>
    <t xml:space="preserve"> Mn       0.1704    0.2200    0.1696    0.2190   0.0278  1.0403   0.001638  0.004863  </t>
  </si>
  <si>
    <t xml:space="preserve"> Al       7.90     14.93      7.87     14.86     2.623   1.0030   0.07878   1.18447  </t>
  </si>
  <si>
    <t xml:space="preserve"> P        0.2464    0.5646    0.2453    0.5621   0.0713  0.9902   0.002488  1.455104  </t>
  </si>
  <si>
    <t xml:space="preserve"> Mg       3.12      5.17      3.11      5.15     1.150   1.0034   0.03110   1.01010  </t>
  </si>
  <si>
    <t xml:space="preserve"> Ca       8.02     11.22      7.98     11.17     1.792   0.9987   0.08030   1.20017  </t>
  </si>
  <si>
    <t xml:space="preserve"> Ti       2.39      3.99      2.38      3.97     0.447   1.0006   0.02391   0.97803  </t>
  </si>
  <si>
    <t xml:space="preserve"> O       42.86       -       42.67       -      24.000      -         -        </t>
  </si>
  <si>
    <t>Total:  100.44    100.44    100.00    100.00    15.860</t>
  </si>
  <si>
    <t xml:space="preserve">Unknown Specimen No. 13 </t>
  </si>
  <si>
    <t xml:space="preserve"> UNK No.      :   13            Comment : 1982-CS2-L3A_5                           </t>
  </si>
  <si>
    <t xml:space="preserve"> Stage        :    X=   19.8710  Y=   84.3265  Z=   11.3085 </t>
  </si>
  <si>
    <t xml:space="preserve"> Dated on Dec 20 16:59 2016 </t>
  </si>
  <si>
    <t xml:space="preserve"> 1 Na   129.476    195.1    0.0   15.8    2.35      151 </t>
  </si>
  <si>
    <t xml:space="preserve"> 2 S    171.948      2.9    5.3    5.1   23.35      111 </t>
  </si>
  <si>
    <t xml:space="preserve"> 3 Fe   134.739    192.3    1.7    3.9    1.64      409 </t>
  </si>
  <si>
    <t xml:space="preserve"> 4 Si    77.822   3232.1   31.3   18.8    0.40      226 </t>
  </si>
  <si>
    <t xml:space="preserve"> 5 Cl   151.478     20.3    8.4    8.1    5.44       46 </t>
  </si>
  <si>
    <t xml:space="preserve"> 6 F    199.140      1.6    3.7    3.3   34.21 ?    381 </t>
  </si>
  <si>
    <t xml:space="preserve"> 7 K    119.485    378.2   33.7   23.2    1.01       62 </t>
  </si>
  <si>
    <t xml:space="preserve"> 8 Mn   146.243      3.2    1.9    1.5   14.60      265 </t>
  </si>
  <si>
    <t xml:space="preserve"> 9 Al    90.995   1051.1   17.8   10.8    0.70      172 </t>
  </si>
  <si>
    <t xml:space="preserve">10 P    197.118     25.0    3.3    3.0    5.01      158 </t>
  </si>
  <si>
    <t xml:space="preserve">11 Mg   107.534    569.3   38.1    0.0    0.97      170 </t>
  </si>
  <si>
    <t xml:space="preserve">12 Ca   107.121   2358.1   31.1   35.8    0.47       88 </t>
  </si>
  <si>
    <t xml:space="preserve">13 Ti    88.305    668.7    0.0   47.3    0.89      128 </t>
  </si>
  <si>
    <t xml:space="preserve"> Na      0.3934    0.0039    0.4696    0.9940     0.9864     2.1634     1.0108</t>
  </si>
  <si>
    <t xml:space="preserve"> S       0.7692    0.0038    0.8213    0.9632     1.0233     1.2307     0.9883</t>
  </si>
  <si>
    <t xml:space="preserve"> Fe      0.9808    0.0000    0.9967    0.8112     1.0554     1.1720     0.9979</t>
  </si>
  <si>
    <t xml:space="preserve"> Si      0.7039    0.0013    0.7724    0.9884     1.0088     1.2968     1.0103</t>
  </si>
  <si>
    <t xml:space="preserve"> Cl      0.8316    0.0071    0.8812    0.9140     1.0298     1.1973     0.9840</t>
  </si>
  <si>
    <t xml:space="preserve"> F       0.1886    0.0014    0.2476    1.0197     0.9741     4.0603     1.0232</t>
  </si>
  <si>
    <t xml:space="preserve"> K       0.9096    0.0181    0.9485    0.9048     1.0408     1.0995     0.9937</t>
  </si>
  <si>
    <t xml:space="preserve"> Mn      0.9750    0.0000    0.9937    0.7995     1.0558     1.1923     1.0398</t>
  </si>
  <si>
    <t xml:space="preserve"> Al      0.6484    0.0097    0.7272    0.9697     1.0012     1.4030     1.0026</t>
  </si>
  <si>
    <t xml:space="preserve"> P       0.6863    0.0021    0.7436    0.9472     1.0162     1.3942     0.9891</t>
  </si>
  <si>
    <t xml:space="preserve"> Mg      0.5371    0.0070    0.6156    1.0089     0.9936     1.6090     1.0045</t>
  </si>
  <si>
    <t xml:space="preserve"> Ca      0.9298    0.0071    0.9631    0.9192     1.0453     1.0731     0.9983</t>
  </si>
  <si>
    <t xml:space="preserve"> Ti      0.9486    0.0114    0.9760    0.8291     1.0518     1.1617     1.0000</t>
  </si>
  <si>
    <t xml:space="preserve"> Na       1.76      2.38      1.75      2.36     0.687   1.0108   0.01745   0.88022  </t>
  </si>
  <si>
    <t xml:space="preserve"> S        0.0217    0.0543    0.0216    0.0539   0.0061  0.9883   0.000220  0.040885  </t>
  </si>
  <si>
    <t xml:space="preserve"> Fe      10.87     13.98     10.80     13.90     1.743   0.9979   0.10893   1.04714  </t>
  </si>
  <si>
    <t xml:space="preserve"> Si      21.48     45.95     21.35     45.67     6.850   1.0103   0.21272   0.88796  </t>
  </si>
  <si>
    <t xml:space="preserve"> Cl       0.1250    0.1250    0.1242    0.1242   0.0316  0.9840   0.001270  0.087536  </t>
  </si>
  <si>
    <t xml:space="preserve"> F        0.1296    0.1296    0.1288    0.1288   0.0611  1.0232   0.001266  0.266058  </t>
  </si>
  <si>
    <t xml:space="preserve"> K        1.40      1.69      1.39      1.68     0.321   0.9937   0.01410   2.06129  </t>
  </si>
  <si>
    <t xml:space="preserve"> Mn       0.2041    0.2635    0.2028    0.2618   0.0333  1.0398   0.001963  0.005827  </t>
  </si>
  <si>
    <t xml:space="preserve"> Al       7.97     15.06      7.92     14.97     2.647   1.0026   0.07952   1.19567  </t>
  </si>
  <si>
    <t xml:space="preserve"> P        0.3069    0.7034    0.3050    0.6990   0.0888  0.9891   0.003103  1.814784  </t>
  </si>
  <si>
    <t xml:space="preserve"> Mg       3.01      5.00      2.99      4.97     1.110   1.0045   0.03000   0.97428  </t>
  </si>
  <si>
    <t xml:space="preserve"> Ca       8.09     11.32      8.04     11.25     1.808   0.9983   0.08104   1.21112  </t>
  </si>
  <si>
    <t xml:space="preserve"> Ti       2.38      3.97      2.37      3.95     0.445   1.0000   0.02381   0.97395  </t>
  </si>
  <si>
    <t xml:space="preserve"> O       42.87       -       42.60       -      24.000      -         -        </t>
  </si>
  <si>
    <t>Total:  100.63    100.63    100.00    100.00    15.832</t>
  </si>
  <si>
    <t xml:space="preserve">Unknown Specimen No. 14 </t>
  </si>
  <si>
    <t xml:space="preserve"> UNK No.      :   14            Comment : 1982-CS2-L3A_6                           </t>
  </si>
  <si>
    <t xml:space="preserve"> Stage        :    X=   20.6795  Y=   84.7765  Z=   11.2970 </t>
  </si>
  <si>
    <t xml:space="preserve"> Dated on Dec 20 17:03 2016 </t>
  </si>
  <si>
    <t xml:space="preserve"> 1 Na   129.476    228.2    0.0   14.8    2.16      146 </t>
  </si>
  <si>
    <t xml:space="preserve"> 2 S    171.948      1.5    5.2    5.9   42.91 ?    116 </t>
  </si>
  <si>
    <t xml:space="preserve"> 3 Fe   134.739    180.8    2.3    2.4    1.69      352 </t>
  </si>
  <si>
    <t xml:space="preserve"> 4 Si    77.822   3251.2   34.4   19.7    0.40      235 </t>
  </si>
  <si>
    <t xml:space="preserve"> 5 Cl   151.478     20.7    9.7    8.3    5.48       48 </t>
  </si>
  <si>
    <t xml:space="preserve"> 6 F    199.140      2.3    3.5    2.1   23.03      350 </t>
  </si>
  <si>
    <t xml:space="preserve"> 7 K    119.485    402.9   35.3   23.7    0.98       63 </t>
  </si>
  <si>
    <t xml:space="preserve"> 8 Mn   146.243      1.8    2.4    2.3   25.31      312 </t>
  </si>
  <si>
    <t xml:space="preserve"> 9 Al    90.995   1052.6   15.5    9.7    0.70      161 </t>
  </si>
  <si>
    <t xml:space="preserve">10 P    197.118     26.4    3.2    2.4    4.78      147 </t>
  </si>
  <si>
    <t xml:space="preserve">11 Mg   107.534    565.7   41.9    0.0    0.97      178 </t>
  </si>
  <si>
    <t xml:space="preserve">12 Ca   107.121   2301.6   31.5   31.3    0.47       85 </t>
  </si>
  <si>
    <t xml:space="preserve">13 Ti    88.305    656.6    0.0   49.6    0.90      131 </t>
  </si>
  <si>
    <t xml:space="preserve"> Na      0.3978    0.0039    0.4748    0.9925     0.9871     2.1416     1.0006</t>
  </si>
  <si>
    <t xml:space="preserve"> S       0.7691    0.0037    0.8211    0.9618     1.0239     1.2320     0.9893</t>
  </si>
  <si>
    <t xml:space="preserve"> Fe      0.9808    0.0000    0.9968    0.8100     1.0557     1.1731     0.9989</t>
  </si>
  <si>
    <t xml:space="preserve"> Si      0.7052    0.0013    0.7739    0.9869     1.0095     1.2953     1.0092</t>
  </si>
  <si>
    <t xml:space="preserve"> Cl      0.8316    0.0070    0.8811    0.9127     1.0304     1.1984     0.9849</t>
  </si>
  <si>
    <t xml:space="preserve"> F       0.1887    0.0014    0.2478    1.0181     0.9747     4.0618     1.0236</t>
  </si>
  <si>
    <t xml:space="preserve"> K       0.9096    0.0177    0.9485    0.9035     1.0414     1.1010     0.9951</t>
  </si>
  <si>
    <t xml:space="preserve"> Mn      0.9751    0.0000    0.9938    0.7984     1.0562     1.1934     1.0408</t>
  </si>
  <si>
    <t xml:space="preserve"> Al      0.6505    0.0098    0.7295    0.9682     1.0018     1.3994     1.0000</t>
  </si>
  <si>
    <t xml:space="preserve"> P       0.6862    0.0020    0.7435    0.9458     1.0169     1.3955     0.9900</t>
  </si>
  <si>
    <t xml:space="preserve"> Mg      0.5395    0.0071    0.6184    1.0074     0.9943     1.6030     1.0008</t>
  </si>
  <si>
    <t xml:space="preserve"> Ca      0.9295    0.0068    0.9628    0.9178     1.0458     1.0748     0.9998</t>
  </si>
  <si>
    <t xml:space="preserve"> Ti      0.9487    0.0107    0.9761    0.8279     1.0523     1.1635     1.0016</t>
  </si>
  <si>
    <t xml:space="preserve"> Na       2.04      2.75      2.04      2.75     0.797   1.0006   0.02040   1.02914  </t>
  </si>
  <si>
    <t xml:space="preserve"> S        0.0117    0.0293    0.0117    0.0292   0.0033  0.9893   0.000119  0.022031  </t>
  </si>
  <si>
    <t xml:space="preserve"> Fe      10.23     13.16     10.22     13.15     1.644   0.9989   0.10243   0.98457  </t>
  </si>
  <si>
    <t xml:space="preserve"> Si      21.59     46.19     21.57     46.14     6.899   1.0092   0.21397   0.89318  </t>
  </si>
  <si>
    <t xml:space="preserve"> Cl       0.1273    0.1273    0.1272    0.1272   0.0322  0.9849   0.001293  0.089106  </t>
  </si>
  <si>
    <t xml:space="preserve"> F        0.1892    0.1892    0.1890    0.1890   0.0894  1.0236   0.001848  0.388336  </t>
  </si>
  <si>
    <t xml:space="preserve"> K        1.49      1.80      1.49      1.80     0.343   0.9951   0.01502   2.19603  </t>
  </si>
  <si>
    <t xml:space="preserve"> Mn       0.1177    0.1520    0.1176    0.1518   0.0192  1.0408   0.001131  0.003358  </t>
  </si>
  <si>
    <t xml:space="preserve"> Al       7.96     15.05      7.96     15.03     2.649   1.0000   0.07964   1.19743  </t>
  </si>
  <si>
    <t xml:space="preserve"> P        0.3240    0.7424    0.3236    0.7415   0.0939  0.9900   0.003272  1.913538  </t>
  </si>
  <si>
    <t xml:space="preserve"> Mg       2.98      4.95      2.98      4.94     1.101   1.0008   0.02981   0.96821  </t>
  </si>
  <si>
    <t xml:space="preserve"> Ca       7.91     11.07      7.90     11.05     1.771   0.9998   0.07909   1.18210  </t>
  </si>
  <si>
    <t xml:space="preserve"> Ti       2.34      3.91      2.34      3.90     0.439   1.0016   0.02338   0.95637  </t>
  </si>
  <si>
    <t xml:space="preserve"> O       42.78       -       42.74       -      24.000      -         -        </t>
  </si>
  <si>
    <t>Total:  100.11    100.11    100.00    100.00    15.882</t>
  </si>
  <si>
    <t xml:space="preserve">Unknown Specimen No. 15 </t>
  </si>
  <si>
    <t xml:space="preserve"> UNK No.      :   15            Comment : 1982-CS2-L3A_7                           </t>
  </si>
  <si>
    <t xml:space="preserve"> Stage        :    X=   19.7690  Y=   85.1930  Z=   11.3090 </t>
  </si>
  <si>
    <t xml:space="preserve"> Dated on Dec 20 17:06 2016 </t>
  </si>
  <si>
    <t xml:space="preserve"> 1 Na   129.476    403.7    0.0   20.2    1.61      170 </t>
  </si>
  <si>
    <t xml:space="preserve"> 2 S    171.948      1.4    5.7    5.8   46.39 ?    118 </t>
  </si>
  <si>
    <t xml:space="preserve"> 3 Fe   134.739    173.8    3.3    2.5    1.72      381 </t>
  </si>
  <si>
    <t xml:space="preserve"> 4 Si    77.822   3248.9   30.2   17.3    0.40      220 </t>
  </si>
  <si>
    <t xml:space="preserve"> 5 Cl   151.478     19.6    8.5    7.9    5.59       45 </t>
  </si>
  <si>
    <t xml:space="preserve"> 6 F    199.140      1.5    4.4    2.7   38.23 ?    392 </t>
  </si>
  <si>
    <t xml:space="preserve"> 7 K    119.485    398.8   32.9   20.4    0.98       60 </t>
  </si>
  <si>
    <t xml:space="preserve"> 8 Mn   146.243      2.0    2.1    2.0   22.86      294 </t>
  </si>
  <si>
    <t xml:space="preserve"> 9 Al    90.995   1050.6   16.2    9.1    0.70      162 </t>
  </si>
  <si>
    <t xml:space="preserve">10 P    197.118     26.0    3.3    2.7    4.86      153 </t>
  </si>
  <si>
    <t xml:space="preserve">11 Mg   107.534    529.3   34.5    0.0    1.00      161 </t>
  </si>
  <si>
    <t xml:space="preserve">12 Ca   107.121   2176.6   31.1   35.4    0.49       88 </t>
  </si>
  <si>
    <t xml:space="preserve">13 Ti    88.305    670.7    0.0   48.2    0.89      130 </t>
  </si>
  <si>
    <t xml:space="preserve"> Na      0.4030    0.0038    0.4811    0.9914     0.9878     2.1145     0.9880</t>
  </si>
  <si>
    <t xml:space="preserve"> S       0.7689    0.0036    0.8209    0.9607     1.0247     1.2330     0.9901</t>
  </si>
  <si>
    <t xml:space="preserve"> Fe      0.9811    0.0000    0.9970    0.8092     1.0561     1.1736     0.9993</t>
  </si>
  <si>
    <t xml:space="preserve"> Si      0.7039    0.0013    0.7725    0.9858     1.0102     1.2983     1.0114</t>
  </si>
  <si>
    <t xml:space="preserve"> Cl      0.8315    0.0067    0.8810    0.9117     1.0311     1.1994     0.9858</t>
  </si>
  <si>
    <t xml:space="preserve"> F       0.1902    0.0014    0.2497    1.0169     0.9754     4.0323     1.0162</t>
  </si>
  <si>
    <t xml:space="preserve"> K       0.9096    0.0168    0.9484    0.9026     1.0421     1.1025     0.9964</t>
  </si>
  <si>
    <t xml:space="preserve"> Mn      0.9754    0.0000    0.9941    0.7976     1.0566     1.1937     1.0411</t>
  </si>
  <si>
    <t xml:space="preserve"> Al      0.6483    0.0097    0.7271    0.9671     1.0026     1.4047     1.0039</t>
  </si>
  <si>
    <t xml:space="preserve"> P       0.6859    0.0020    0.7432    0.9448     1.0176     1.3967     0.9909</t>
  </si>
  <si>
    <t xml:space="preserve"> Mg      0.5353    0.0070    0.6136    1.0062     0.9950     1.6163     1.0091</t>
  </si>
  <si>
    <t xml:space="preserve"> Ca      0.9295    0.0067    0.9628    0.9169     1.0464     1.0753     1.0003</t>
  </si>
  <si>
    <t xml:space="preserve"> Ti      0.9495    0.0103    0.9769    0.8271     1.0529     1.1635     1.0016</t>
  </si>
  <si>
    <t xml:space="preserve"> Na       3.56      4.81      3.54      4.77     1.385   0.9880   0.03609   1.82088  </t>
  </si>
  <si>
    <t xml:space="preserve"> S        0.0109    0.0272    0.0108    0.0270   0.0030  0.9901   0.000110  0.020476 ?</t>
  </si>
  <si>
    <t xml:space="preserve"> Fe       9.84     12.66      9.76     12.55     1.574   0.9993   0.09846   0.94648  </t>
  </si>
  <si>
    <t xml:space="preserve"> Si      21.62     46.24     21.43     45.85     6.874   1.0114   0.21382   0.89255  </t>
  </si>
  <si>
    <t xml:space="preserve"> Cl       0.1203    0.1203    0.1193    0.1193   0.0303  0.9858   0.001221  0.084128  </t>
  </si>
  <si>
    <t xml:space="preserve"> F        0.1179    0.1179    0.1170    0.1170   0.0555  1.0162   0.001161  0.243840  </t>
  </si>
  <si>
    <t xml:space="preserve"> K        1.48      1.78      1.47      1.77     0.338   0.9964   0.01487   2.17384  </t>
  </si>
  <si>
    <t xml:space="preserve"> Mn       0.1262    0.1630    0.1252    0.1616   0.0205  1.0411   0.001212  0.003600  </t>
  </si>
  <si>
    <t xml:space="preserve"> Al       7.98     15.07      7.91     14.95     2.641   1.0039   0.07949   1.19509  </t>
  </si>
  <si>
    <t xml:space="preserve"> P        0.3196    0.7324    0.3169    0.7263   0.0922  0.9909   0.003226  1.886358  </t>
  </si>
  <si>
    <t xml:space="preserve"> Mg       2.81      4.67      2.79      4.63     1.034   1.0091   0.02790   0.90599  </t>
  </si>
  <si>
    <t xml:space="preserve"> Ca       7.48     10.47      7.42     10.38     1.668   1.0003   0.07480   1.11789  </t>
  </si>
  <si>
    <t xml:space="preserve"> Ti       2.39      3.99      2.37      3.96     0.446   1.0016   0.02388   0.97686  </t>
  </si>
  <si>
    <t xml:space="preserve"> O       42.99       -       42.62       -      24.000      -         -        </t>
  </si>
  <si>
    <t>Total:  100.85    100.85    100.00    100.00    16.162</t>
  </si>
  <si>
    <t xml:space="preserve">Unknown Specimen No. 16 </t>
  </si>
  <si>
    <t xml:space="preserve"> UNK No.      :   16            Comment : 1982-CS2-L3A_8                           </t>
  </si>
  <si>
    <t xml:space="preserve"> Stage        :    X=   19.6255  Y=   85.1475  Z=   11.3100 </t>
  </si>
  <si>
    <t xml:space="preserve"> Dated on Dec 20 17:10 2016 </t>
  </si>
  <si>
    <t xml:space="preserve"> 1 Na   129.476    340.5    0.0   22.6    1.77      180 </t>
  </si>
  <si>
    <t xml:space="preserve"> 2 S    171.948      4.1    6.1    3.7   16.14      106 </t>
  </si>
  <si>
    <t xml:space="preserve"> 3 Fe   134.739    187.1    3.0    3.4    1.67      414 </t>
  </si>
  <si>
    <t xml:space="preserve"> 4 Si    77.822   3145.6   26.9   19.3    0.40      215 </t>
  </si>
  <si>
    <t xml:space="preserve"> 5 Cl   151.478     20.6    9.1    8.3    5.46       47 </t>
  </si>
  <si>
    <t xml:space="preserve"> 6 F    199.140      1.7    4.3    2.9   32.58      392 </t>
  </si>
  <si>
    <t xml:space="preserve"> 7 K    119.485    381.9   34.8   21.3    1.00       62 </t>
  </si>
  <si>
    <t xml:space="preserve"> 8 Mn   146.243      2.7    2.6    2.0   18.33      308 </t>
  </si>
  <si>
    <t xml:space="preserve"> 9 Al    90.995   1026.2   16.5    9.8    0.71      165 </t>
  </si>
  <si>
    <t xml:space="preserve">10 P    197.118     24.7    3.4    3.1    5.06      160 </t>
  </si>
  <si>
    <t xml:space="preserve">11 Mg   107.534    553.4   40.6    0.0    0.98      175 </t>
  </si>
  <si>
    <t xml:space="preserve">12 Ca   107.121   2255.8   31.8   36.1    0.48       89 </t>
  </si>
  <si>
    <t xml:space="preserve">13 Ti    88.305    662.7    0.0   50.1    0.90      132 </t>
  </si>
  <si>
    <t xml:space="preserve"> Na      0.3969    0.0038    0.4738    0.9935     0.9869     2.1446     1.0020</t>
  </si>
  <si>
    <t xml:space="preserve"> S       0.7695    0.0037    0.8216    0.9627     1.0237     1.2304     0.9880</t>
  </si>
  <si>
    <t xml:space="preserve"> Fe      0.9809    0.0000    0.9969    0.8108     1.0556     1.1720     0.9979</t>
  </si>
  <si>
    <t xml:space="preserve"> Si      0.7019    0.0013    0.7702    0.9879     1.0092     1.3005     1.0132</t>
  </si>
  <si>
    <t xml:space="preserve"> Cl      0.8318    0.0069    0.8814    0.9135     1.0302     1.1972     0.9840</t>
  </si>
  <si>
    <t xml:space="preserve"> F       0.1903    0.0014    0.2498    1.0191     0.9745     4.0246     1.0142</t>
  </si>
  <si>
    <t xml:space="preserve"> K       0.9097    0.0176    0.9486    0.9044     1.0412     1.1001     0.9942</t>
  </si>
  <si>
    <t xml:space="preserve"> Mn      0.9753    0.0000    0.9939    0.7991     1.0560     1.1922     1.0398</t>
  </si>
  <si>
    <t xml:space="preserve"> Al      0.6449    0.0095    0.7233    0.9692     1.0016     1.4109     1.0083</t>
  </si>
  <si>
    <t xml:space="preserve"> P       0.6866    0.0020    0.7440    0.9467     1.0167     1.3936     0.9887</t>
  </si>
  <si>
    <t xml:space="preserve"> Mg      0.5325    0.0069    0.6104    1.0084     0.9941     1.6232     1.0133</t>
  </si>
  <si>
    <t xml:space="preserve"> Ca      0.9298    0.0070    0.9631    0.9187     1.0456     1.0733     0.9985</t>
  </si>
  <si>
    <t xml:space="preserve"> Ti      0.9491    0.0112    0.9765    0.8287     1.0522     1.1614     0.9998</t>
  </si>
  <si>
    <t xml:space="preserve"> Na       3.05      4.11      3.05      4.11     1.203   1.0020   0.03044   1.53602  </t>
  </si>
  <si>
    <t xml:space="preserve"> S        0.0316    0.0790    0.0316    0.0790   0.0090  0.9880   0.000320  0.059519  </t>
  </si>
  <si>
    <t xml:space="preserve"> Fe      10.57     13.60     10.57     13.60     1.717   0.9979   0.10597   1.01861  </t>
  </si>
  <si>
    <t xml:space="preserve"> Si      20.98     44.87     20.97     44.87     6.772   1.0132   0.20702   0.86417  </t>
  </si>
  <si>
    <t xml:space="preserve"> Cl       0.1267    0.1267    0.1267    0.1267   0.0324  0.9840   0.001288  0.088737  </t>
  </si>
  <si>
    <t xml:space="preserve"> F        0.1397    0.1397    0.1397    0.1397   0.0667  1.0142   0.001378  0.289452  </t>
  </si>
  <si>
    <t xml:space="preserve"> K        1.42      1.71      1.42      1.71     0.328   0.9942   0.01424   2.08164  </t>
  </si>
  <si>
    <t xml:space="preserve"> Mn       0.1705    0.2202    0.1705    0.2201   0.0281  1.0398   0.001640  0.004869  </t>
  </si>
  <si>
    <t xml:space="preserve"> Al       7.83     14.79      7.83     14.79     2.632   1.0083   0.07764   1.16740  </t>
  </si>
  <si>
    <t xml:space="preserve"> P        0.3031    0.6947    0.3031    0.6946   0.0888  0.9887   0.003066  1.793040  </t>
  </si>
  <si>
    <t xml:space="preserve"> Mg       2.96      4.90      2.95      4.90     1.102   1.0133   0.02916   0.94713  </t>
  </si>
  <si>
    <t xml:space="preserve"> Ca       7.74     10.83      7.74     10.83     1.751   0.9985   0.07752   1.15854  </t>
  </si>
  <si>
    <t xml:space="preserve"> Ti       2.36      3.94      2.36      3.94     0.447   0.9998   0.02360   0.96513  </t>
  </si>
  <si>
    <t xml:space="preserve"> O       42.34       -       42.33       -      24.000      -         -        </t>
  </si>
  <si>
    <t>Total:  100.01    100.01    100.00    100.00    16.179</t>
  </si>
  <si>
    <t xml:space="preserve">Unknown Specimen No. 17 </t>
  </si>
  <si>
    <t xml:space="preserve"> UNK No.      :   17            Comment : 1982-CS2-L3A_9                           </t>
  </si>
  <si>
    <t xml:space="preserve"> Stage        :    X=   19.6420  Y=   85.3485  Z=   11.3110 </t>
  </si>
  <si>
    <t xml:space="preserve"> Dated on Dec 20 17:13 2016 </t>
  </si>
  <si>
    <t xml:space="preserve"> 1 Na   129.476    370.0    0.0   20.9    1.69      173 </t>
  </si>
  <si>
    <t xml:space="preserve"> 2 S    171.948      2.1    5.8    4.4   30.36      109 </t>
  </si>
  <si>
    <t xml:space="preserve"> 3 Fe   134.739    179.2    3.3    2.8    1.70      394 </t>
  </si>
  <si>
    <t xml:space="preserve"> 4 Si    77.822   3183.1   32.0   20.2    0.40      230 </t>
  </si>
  <si>
    <t xml:space="preserve"> 5 Cl   151.478     20.1    8.6    6.8    5.40       44 </t>
  </si>
  <si>
    <t xml:space="preserve"> 6 F    199.140      1.5    3.7    3.5   36.86 ?    384 </t>
  </si>
  <si>
    <t xml:space="preserve"> 7 K    119.485    374.6   29.9   20.5    1.01       59 </t>
  </si>
  <si>
    <t xml:space="preserve"> 8 Mn   146.243      2.6    1.8    1.8   17.35      275 </t>
  </si>
  <si>
    <t xml:space="preserve"> 9 Al    90.995   1041.5   16.0    9.4    0.70      162 </t>
  </si>
  <si>
    <t xml:space="preserve">10 P    197.118     24.4    3.9    3.0    5.12      163 </t>
  </si>
  <si>
    <t xml:space="preserve">11 Mg   107.534    543.7   36.9    0.0    0.99      167 </t>
  </si>
  <si>
    <t xml:space="preserve">12 Ca   107.121   2205.2   35.3   33.7    0.48       89 </t>
  </si>
  <si>
    <t xml:space="preserve">13 Ti    88.305    650.4    0.0   46.7    0.91      128 </t>
  </si>
  <si>
    <t xml:space="preserve"> Na      0.4001    0.0038    0.4776    0.9924     0.9874     2.1288     0.9946</t>
  </si>
  <si>
    <t xml:space="preserve"> S       0.7691    0.0036    0.8212    0.9617     1.0242     1.2318     0.9891</t>
  </si>
  <si>
    <t xml:space="preserve"> Fe      0.9810    0.0000    0.9970    0.8100     1.0559     1.1727     0.9986</t>
  </si>
  <si>
    <t xml:space="preserve"> Si      0.7023    0.0013    0.7706    0.9868     1.0098     1.3006     1.0133</t>
  </si>
  <si>
    <t xml:space="preserve"> Cl      0.8316    0.0067    0.8812    0.9126     1.0307     1.1984     0.9849</t>
  </si>
  <si>
    <t xml:space="preserve"> F       0.1904    0.0014    0.2500    1.0180     0.9749     4.0239     1.0140</t>
  </si>
  <si>
    <t xml:space="preserve"> K       0.9096    0.0172    0.9485    0.9035     1.0417     1.1013     0.9953</t>
  </si>
  <si>
    <t xml:space="preserve"> Mn      0.9754    0.0000    0.9941    0.7983     1.0563     1.1929     1.0404</t>
  </si>
  <si>
    <t xml:space="preserve"> Al      0.6461    0.0095    0.7246    0.9681     1.0021     1.4090     1.0069</t>
  </si>
  <si>
    <t xml:space="preserve"> P       0.6862    0.0020    0.7435    0.9457     1.0172     1.3954     0.9899</t>
  </si>
  <si>
    <t xml:space="preserve"> Mg      0.5336    0.0069    0.6116    1.0073     0.9946     1.6208     1.0118</t>
  </si>
  <si>
    <t xml:space="preserve"> Ca      0.9298    0.0069    0.9631    0.9178     1.0460     1.0742     0.9993</t>
  </si>
  <si>
    <t xml:space="preserve"> Ti      0.9493    0.0108    0.9768    0.8279     1.0525     1.1623     1.0006</t>
  </si>
  <si>
    <t xml:space="preserve"> Na       3.29      4.44      3.29      4.44     1.293   0.9946   0.03307   1.66874  </t>
  </si>
  <si>
    <t xml:space="preserve"> S        0.0160    0.0398    0.0160    0.0398   0.0045  0.9891   0.000161  0.029977  </t>
  </si>
  <si>
    <t xml:space="preserve"> Fe      10.14     13.04     10.14     13.04     1.639   0.9986   0.10149   0.97561  </t>
  </si>
  <si>
    <t xml:space="preserve"> Si      21.22     45.40     21.22     45.40     6.825   1.0133   0.20949   0.87448  </t>
  </si>
  <si>
    <t xml:space="preserve"> Cl       0.1237    0.1237    0.1237    0.1237   0.0315  0.9849   0.001256  0.086587  </t>
  </si>
  <si>
    <t xml:space="preserve"> F        0.1190    0.1190    0.1190    0.1190   0.0566  1.0140   0.001173  0.246512  </t>
  </si>
  <si>
    <t xml:space="preserve"> K        1.39      1.67      1.39      1.67     0.321   0.9953   0.01397   2.04206  </t>
  </si>
  <si>
    <t xml:space="preserve"> Mn       0.1682    0.2171    0.1682    0.2171   0.0277  1.0404   0.001616  0.004799  </t>
  </si>
  <si>
    <t xml:space="preserve"> Al       7.93     14.99      7.93     14.99     2.657   1.0069   0.07880   1.18479  </t>
  </si>
  <si>
    <t xml:space="preserve"> P        0.2995    0.6864    0.2996    0.6864   0.0874  0.9899   0.003026  1.769484  </t>
  </si>
  <si>
    <t xml:space="preserve"> Mg       2.90      4.81      2.90      4.81     1.077   1.0118   0.02865   0.93050  </t>
  </si>
  <si>
    <t xml:space="preserve"> Ca       7.57     10.60      7.57     10.60     1.707   0.9993   0.07578   1.13256  </t>
  </si>
  <si>
    <t xml:space="preserve"> Ti       2.32      3.87      2.32      3.87     0.437   1.0006   0.02316   0.94732  </t>
  </si>
  <si>
    <t xml:space="preserve"> O       42.51       -       42.51       -      24.000      -         -        </t>
  </si>
  <si>
    <t>Total:   99.99     99.99    100.00    100.00    16.165</t>
  </si>
  <si>
    <t xml:space="preserve">Unknown Specimen No. 18 </t>
  </si>
  <si>
    <t xml:space="preserve"> UNK No.      :   18            Comment : 1982-CS2-L5B_1                           </t>
  </si>
  <si>
    <t xml:space="preserve"> Stage        :    X=   25.1060  Y=   89.9915  Z=   11.2520 </t>
  </si>
  <si>
    <t xml:space="preserve"> Dated on Dec 20 17:17 2016 </t>
  </si>
  <si>
    <t xml:space="preserve"> 1 Na   129.476    472.6    0.0   23.1    1.49      182 </t>
  </si>
  <si>
    <t xml:space="preserve"> 2 S    171.948      1.2    5.3    5.3   54.34 ?    113 </t>
  </si>
  <si>
    <t xml:space="preserve"> 3 Fe   134.739    178.8    2.3    2.6    1.70      362 </t>
  </si>
  <si>
    <t xml:space="preserve"> 4 Si    77.822   3238.1   30.6   19.7    0.40      226 </t>
  </si>
  <si>
    <t xml:space="preserve"> 5 Cl   151.478     20.5    9.0    7.8    5.43       46 </t>
  </si>
  <si>
    <t xml:space="preserve"> 6 F    199.140      3.2    2.9    3.4   17.53      357 </t>
  </si>
  <si>
    <t xml:space="preserve"> 7 K    119.485    487.9   35.5   22.2    0.88       63 </t>
  </si>
  <si>
    <t xml:space="preserve"> 8 Mn   146.243      3.1    2.1    1.2   14.67      259 </t>
  </si>
  <si>
    <t xml:space="preserve"> 9 Al    90.995   1034.0   17.4    8.9    0.70      165 </t>
  </si>
  <si>
    <t xml:space="preserve">10 P    197.118     24.7    3.6    2.9    5.05      159 </t>
  </si>
  <si>
    <t xml:space="preserve">11 Mg   107.534    483.5   34.3    0.0    1.05      161 </t>
  </si>
  <si>
    <t xml:space="preserve">12 Ca   107.121   1952.1   31.4   34.6    0.51       87 </t>
  </si>
  <si>
    <t xml:space="preserve">13 Ti    88.305    646.2    0.0   47.3    0.91      128 </t>
  </si>
  <si>
    <t xml:space="preserve"> Na      0.4024    0.0038    0.4802    0.9919     0.9878     2.1172     0.9892</t>
  </si>
  <si>
    <t xml:space="preserve"> S       0.7684    0.0035    0.8205    0.9612     1.0247     1.2332     0.9902</t>
  </si>
  <si>
    <t xml:space="preserve"> Fe      0.9813    0.0000    0.9973    0.8096     1.0561     1.1726     0.9985</t>
  </si>
  <si>
    <t xml:space="preserve"> Si      0.7029    0.0012    0.7713    0.9863     1.0102     1.2996     1.0125</t>
  </si>
  <si>
    <t xml:space="preserve"> Cl      0.8311    0.0065    0.8807    0.9121     1.0312     1.1995     0.9859</t>
  </si>
  <si>
    <t xml:space="preserve"> F       0.1920    0.0015    0.2521    1.0174     0.9754     3.9919     1.0060</t>
  </si>
  <si>
    <t xml:space="preserve"> K       0.9094    0.0155    0.9482    0.9030     1.0421     1.1036     0.9974</t>
  </si>
  <si>
    <t xml:space="preserve"> Mn      0.9758    0.0000    0.9945    0.7980     1.0566     1.1927     1.0402</t>
  </si>
  <si>
    <t xml:space="preserve"> Al      0.6461    0.0096    0.7247    0.9676     1.0026     1.4088     1.0068</t>
  </si>
  <si>
    <t xml:space="preserve"> P       0.6853    0.0019    0.7426    0.9452     1.0176     1.3974     0.9913</t>
  </si>
  <si>
    <t xml:space="preserve"> Mg      0.5310    0.0069    0.6086    1.0067     0.9951     1.6288     1.0169</t>
  </si>
  <si>
    <t xml:space="preserve"> Ca      0.9286    0.0068    0.9618    0.9173     1.0464     1.0758     1.0009</t>
  </si>
  <si>
    <t xml:space="preserve"> Ti      0.9501    0.0109    0.9776    0.8275     1.0529     1.1615     0.9999</t>
  </si>
  <si>
    <t xml:space="preserve"> Na       4.18      5.63      4.15      5.59     1.635   0.9892   0.04225   2.13152  </t>
  </si>
  <si>
    <t xml:space="preserve"> S        0.0089    0.0222    0.0088    0.0220   0.0025  0.9902   0.000090  0.016655 ?</t>
  </si>
  <si>
    <t xml:space="preserve"> Fe      10.11     13.01     10.04     12.92     1.629   0.9985   0.10130   0.97376  </t>
  </si>
  <si>
    <t xml:space="preserve"> Si      21.57     46.14     21.41     45.80     6.907   1.0125   0.21311   0.88958  </t>
  </si>
  <si>
    <t xml:space="preserve"> Cl       0.1262    0.1262    0.1253    0.1253   0.0320  0.9859   0.001280  0.088227  </t>
  </si>
  <si>
    <t xml:space="preserve"> F        0.2576    0.2576    0.2558    0.2558   0.1220  1.0060   0.002561  0.538063  </t>
  </si>
  <si>
    <t xml:space="preserve"> K        1.81      2.19      1.80      2.17     0.417   0.9974   0.01819   2.65918  </t>
  </si>
  <si>
    <t xml:space="preserve"> Mn       0.1997    0.2578    0.1982    0.2559   0.0327  1.0402   0.001919  0.005699  </t>
  </si>
  <si>
    <t xml:space="preserve"> Al       7.87     14.88      7.82     14.77     2.626   1.0068   0.07823   1.17621  </t>
  </si>
  <si>
    <t xml:space="preserve"> P        0.3039    0.6965    0.3017    0.6914   0.0883  0.9913   0.003066  1.793040  </t>
  </si>
  <si>
    <t xml:space="preserve"> Mg       2.59      4.30      2.57      4.26     0.959   1.0169   0.02548   0.82759  </t>
  </si>
  <si>
    <t xml:space="preserve"> Ca       6.71      9.39      6.66      9.33     1.507   1.0009   0.06708   1.00259  </t>
  </si>
  <si>
    <t xml:space="preserve"> Ti       2.30      3.84      2.28      3.81     0.432   0.9999   0.02301   0.94120  </t>
  </si>
  <si>
    <t xml:space="preserve"> O       42.68       -       42.37       -      24.000      -         -        </t>
  </si>
  <si>
    <t>Total:  100.73    100.73    100.00    100.00    16.390</t>
  </si>
  <si>
    <t xml:space="preserve">Unknown Specimen No. 19 </t>
  </si>
  <si>
    <t xml:space="preserve"> UNK No.      :   19            Comment : 1982-CS2-L5B_2                           </t>
  </si>
  <si>
    <t xml:space="preserve"> Stage        :    X=   24.8040  Y=   90.4215  Z=   11.2585 </t>
  </si>
  <si>
    <t xml:space="preserve"> Dated on Dec 20 17:20 2016 </t>
  </si>
  <si>
    <t xml:space="preserve"> 1 Na   129.476    358.1    0.0   20.1    1.72      170 </t>
  </si>
  <si>
    <t xml:space="preserve"> 2 S    171.948      2.4    6.0    4.5   27.17      111 </t>
  </si>
  <si>
    <t xml:space="preserve"> 3 Fe   134.739    194.2    3.8    2.8    1.63      405 </t>
  </si>
  <si>
    <t xml:space="preserve"> 4 Si    77.822   3238.8   28.2   20.3    0.40      221 </t>
  </si>
  <si>
    <t xml:space="preserve"> 5 Cl   151.478     23.7    8.5    7.7    4.87       45 </t>
  </si>
  <si>
    <t xml:space="preserve"> 6 F    199.140      2.0    3.5    3.7   27.91      381 </t>
  </si>
  <si>
    <t xml:space="preserve"> 7 K    119.485    413.9   32.7   22.6    0.96       61 </t>
  </si>
  <si>
    <t xml:space="preserve"> 8 Mn   146.243      2.6    2.5    2.5   19.37      323 </t>
  </si>
  <si>
    <t xml:space="preserve"> 9 Al    90.995   1028.2   15.6   10.5    0.71      164 </t>
  </si>
  <si>
    <t xml:space="preserve">10 P    197.118     27.5    3.9    1.9    4.65      145 </t>
  </si>
  <si>
    <t xml:space="preserve">11 Mg   107.534    491.4   37.4    0.0    1.05      168 </t>
  </si>
  <si>
    <t xml:space="preserve">12 Ca   107.121   2069.8   35.5   35.8    0.50       90 </t>
  </si>
  <si>
    <t xml:space="preserve">13 Ti    88.305    660.4    0.0   47.2    0.90      128 </t>
  </si>
  <si>
    <t xml:space="preserve"> Na      0.3959    0.0037    0.4726    0.9936     0.9869     2.1499     1.0045</t>
  </si>
  <si>
    <t xml:space="preserve"> S       0.7683    0.0035    0.8203    0.9628     1.0238     1.2324     0.9896</t>
  </si>
  <si>
    <t xml:space="preserve"> Fe      0.9812    0.0000    0.9972    0.8109     1.0556     1.1715     0.9975</t>
  </si>
  <si>
    <t xml:space="preserve"> Si      0.7028    0.0013    0.7712    0.9880     1.0093     1.2988     1.0118</t>
  </si>
  <si>
    <t xml:space="preserve"> Cl      0.8310    0.0066    0.8805    0.9136     1.0303     1.1987     0.9852</t>
  </si>
  <si>
    <t xml:space="preserve"> F       0.1914    0.0014    0.2512    1.0192     0.9745     4.0014     1.0084</t>
  </si>
  <si>
    <t xml:space="preserve"> K       0.9092    0.0164    0.9481    0.9045     1.0413     1.1019     0.9959</t>
  </si>
  <si>
    <t xml:space="preserve"> Mn      0.9756    0.0000    0.9943    0.7992     1.0561     1.1916     1.0392</t>
  </si>
  <si>
    <t xml:space="preserve"> Al      0.6456    0.0096    0.7241    0.9693     1.0017     1.4088     1.0068</t>
  </si>
  <si>
    <t xml:space="preserve"> P       0.6853    0.0019    0.7426    0.9469     1.0167     1.3962     0.9905</t>
  </si>
  <si>
    <t xml:space="preserve"> Mg      0.5307    0.0069    0.6084    1.0085     0.9941     1.6282     1.0165</t>
  </si>
  <si>
    <t xml:space="preserve"> Ca      0.9291    0.0071    0.9624    0.9188     1.0457     1.0738     0.9990</t>
  </si>
  <si>
    <t xml:space="preserve"> Ti      0.9498    0.0117    0.9773    0.8288     1.0522     1.1598     0.9985</t>
  </si>
  <si>
    <t xml:space="preserve"> Na       3.21      4.33      3.19      4.30     1.256   1.0045   0.03201   1.61502  </t>
  </si>
  <si>
    <t xml:space="preserve"> S        0.0183    0.0457    0.0182    0.0453   0.0051  0.9896   0.000185  0.034357  </t>
  </si>
  <si>
    <t xml:space="preserve"> Fe      10.97     14.12     10.89     14.01     1.765   0.9975   0.11001   1.05752  </t>
  </si>
  <si>
    <t xml:space="preserve"> Si      21.56     46.12     21.39     45.76     6.894   1.0118   0.21315   0.88977  </t>
  </si>
  <si>
    <t xml:space="preserve"> Cl       0.1455    0.1455    0.1444    0.1444   0.0369  0.9852   0.001477  0.101786  </t>
  </si>
  <si>
    <t xml:space="preserve"> F        0.1595    0.1595    0.1583    0.1583   0.0754  1.0084   0.001582  0.332282  </t>
  </si>
  <si>
    <t xml:space="preserve"> K        1.54      1.85      1.52      1.84     0.353   0.9959   0.01543   2.25603  </t>
  </si>
  <si>
    <t xml:space="preserve"> Mn       0.1662    0.2145    0.1649    0.2129   0.0272  1.0392   0.001599  0.004747  </t>
  </si>
  <si>
    <t xml:space="preserve"> Al       7.83     14.80      7.77     14.68     2.607   1.0068   0.07779   1.16964  </t>
  </si>
  <si>
    <t xml:space="preserve"> P        0.3376    0.7736    0.3350    0.7677   0.0979  0.9905   0.003408  1.993266  </t>
  </si>
  <si>
    <t xml:space="preserve"> Mg       2.63      4.36      2.61      4.33     0.972   1.0165   0.02589   0.84096  </t>
  </si>
  <si>
    <t xml:space="preserve"> Ca       7.11      9.94      7.05      9.87     1.592   0.9990   0.07113   1.06303  </t>
  </si>
  <si>
    <t xml:space="preserve"> Ti       2.35      3.92      2.33      3.89     0.440   0.9985   0.02352   0.96184  </t>
  </si>
  <si>
    <t xml:space="preserve"> O       42.75       -       42.42       -      24.000      -         -        </t>
  </si>
  <si>
    <t>Total:  100.77    100.77    100.00    100.00    16.122</t>
  </si>
  <si>
    <t xml:space="preserve">Unknown Specimen No. 20 </t>
  </si>
  <si>
    <t xml:space="preserve"> UNK No.      :   20            Comment : 1982-CS2-L5B_3                           </t>
  </si>
  <si>
    <t xml:space="preserve"> Stage        :    X=   25.6965  Y=   90.9585  Z=   11.2475 </t>
  </si>
  <si>
    <t xml:space="preserve"> Dated on Dec 20 17:24 2016 </t>
  </si>
  <si>
    <t xml:space="preserve"> 1 Na   129.476    375.1    0.0   22.3    1.68      179 </t>
  </si>
  <si>
    <t xml:space="preserve"> 2 S    171.948      2.0    5.3    4.9   31.85      110 </t>
  </si>
  <si>
    <t xml:space="preserve"> 3 Fe   134.739    188.2    2.1    2.7    1.65      362 </t>
  </si>
  <si>
    <t xml:space="preserve"> 4 Si    77.822   3226.7   31.5   23.1    0.40      234 </t>
  </si>
  <si>
    <t xml:space="preserve"> 5 Cl   151.478     21.0   10.4    8.3    5.46       48 </t>
  </si>
  <si>
    <t xml:space="preserve"> 6 F    199.140      2.3    4.6    3.0   25.53      405 </t>
  </si>
  <si>
    <t xml:space="preserve"> 7 K    119.485    491.0   38.7   23.1    0.88       65 </t>
  </si>
  <si>
    <t xml:space="preserve"> 8 Mn   146.243      2.6    2.1    1.7   17.60      281 </t>
  </si>
  <si>
    <t xml:space="preserve"> 9 Al    90.995   1028.9   15.4    9.5    0.71      160 </t>
  </si>
  <si>
    <t xml:space="preserve">10 P    197.118     27.4    2.9    2.4    4.66      144 </t>
  </si>
  <si>
    <t xml:space="preserve">11 Mg   107.534    514.0   33.7    0.0    1.02      159 </t>
  </si>
  <si>
    <t xml:space="preserve">12 Ca   107.121   2041.3   35.4   35.0    0.50       90 </t>
  </si>
  <si>
    <t xml:space="preserve">13 Ti    88.305    636.4    0.0   51.2    0.92      134 </t>
  </si>
  <si>
    <t xml:space="preserve"> Na      0.3982    0.0038    0.4752    0.9931     0.9872     2.1384     0.9991</t>
  </si>
  <si>
    <t xml:space="preserve"> S       0.7686    0.0036    0.8206    0.9623     1.0240     1.2322     0.9895</t>
  </si>
  <si>
    <t xml:space="preserve"> Fe      0.9812    0.0000    0.9972    0.8105     1.0558     1.1720     0.9979</t>
  </si>
  <si>
    <t xml:space="preserve"> Si      0.7029    0.0013    0.7714    0.9874     1.0095     1.2989     1.0119</t>
  </si>
  <si>
    <t xml:space="preserve"> Cl      0.8312    0.0067    0.8807    0.9132     1.0305     1.1986     0.9851</t>
  </si>
  <si>
    <t xml:space="preserve"> F       0.1914    0.0014    0.2513    1.0187     0.9748     4.0025     1.0086</t>
  </si>
  <si>
    <t xml:space="preserve"> K       0.9094    0.0161    0.9482    0.9040     1.0415     1.1024     0.9963</t>
  </si>
  <si>
    <t xml:space="preserve"> Mn      0.9756    0.0000    0.9943    0.7988     1.0562     1.1921     1.0397</t>
  </si>
  <si>
    <t xml:space="preserve"> Al      0.6459    0.0096    0.7245    0.9687     1.0019     1.4086     1.0066</t>
  </si>
  <si>
    <t xml:space="preserve"> P       0.6857    0.0020    0.7429    0.9463     1.0170     1.3959     0.9903</t>
  </si>
  <si>
    <t xml:space="preserve"> Mg      0.5320    0.0069    0.6098    1.0079     0.9944     1.6248     1.0144</t>
  </si>
  <si>
    <t xml:space="preserve"> Ca      0.9285    0.0069    0.9618    0.9183     1.0459     1.0751     1.0002</t>
  </si>
  <si>
    <t xml:space="preserve"> Ti      0.9496    0.0113    0.9770    0.8284     1.0524     1.1609     0.9994</t>
  </si>
  <si>
    <t xml:space="preserve"> Na       3.35      4.52      3.33      4.49     1.312   0.9991   0.03353   1.69177  </t>
  </si>
  <si>
    <t xml:space="preserve"> S        0.0153    0.0382    0.0152    0.0379   0.0043  0.9895   0.000154  0.028702  </t>
  </si>
  <si>
    <t xml:space="preserve"> Fe      10.64     13.69     10.57     13.60     1.715   0.9979   0.10663   1.02495  </t>
  </si>
  <si>
    <t xml:space="preserve"> Si      21.48     45.95     21.34     45.66     6.884   1.0119   0.21236   0.88647  </t>
  </si>
  <si>
    <t xml:space="preserve"> Cl       0.1293    0.1293    0.1285    0.1285   0.0328  0.9851   0.001313  0.090493  </t>
  </si>
  <si>
    <t xml:space="preserve"> F        0.1878    0.1878    0.1866    0.1866   0.0890  1.0086   0.001862  0.391182  </t>
  </si>
  <si>
    <t xml:space="preserve"> K        1.82      2.20      1.81      2.18     0.420   0.9963   0.01831   2.67654  </t>
  </si>
  <si>
    <t xml:space="preserve"> Mn       0.1673    0.2160    0.1662    0.2146   0.0274  1.0397   0.001609  0.004778  </t>
  </si>
  <si>
    <t xml:space="preserve"> Al       7.83     14.80      7.78     14.71     2.614   1.0066   0.07785   1.17046  </t>
  </si>
  <si>
    <t xml:space="preserve"> P        0.3365    0.7710    0.3343    0.7661   0.0978  0.9903   0.003398  1.986924  </t>
  </si>
  <si>
    <t xml:space="preserve"> Mg       2.75      4.56      2.73      4.53     1.017   1.0144   0.02709   0.87968  </t>
  </si>
  <si>
    <t xml:space="preserve"> Ca       7.02      9.82      6.97      9.75     1.576   1.0002   0.07015   1.04840  </t>
  </si>
  <si>
    <t xml:space="preserve"> Ti       2.26      3.78      2.25      3.75     0.426   0.9994   0.02266   0.92691  </t>
  </si>
  <si>
    <t xml:space="preserve"> O       42.65       -       42.38       -      24.000      -         -        </t>
  </si>
  <si>
    <t>Total:  100.65    100.65    100.00    100.00    16.215</t>
  </si>
  <si>
    <t xml:space="preserve">Unknown Specimen No. 21 </t>
  </si>
  <si>
    <t xml:space="preserve"> UNK No.      :   21            Comment : 1982-CS2-L5B_4                           </t>
  </si>
  <si>
    <t xml:space="preserve"> Stage        :    X=   24.6690  Y=   91.6265  Z=   11.2615 </t>
  </si>
  <si>
    <t xml:space="preserve"> Dated on Dec 20 17:27 2016 </t>
  </si>
  <si>
    <t xml:space="preserve"> 1 Na   129.476    423.9    0.0   20.0    1.57      169 </t>
  </si>
  <si>
    <t xml:space="preserve"> 2 S    171.948      2.2    5.7    4.5   29.28      109 </t>
  </si>
  <si>
    <t xml:space="preserve"> 3 Fe   134.739    212.1    3.3    2.4    1.56      376 </t>
  </si>
  <si>
    <t xml:space="preserve"> 4 Si    77.822   3228.2   35.6   17.4    0.40      234 </t>
  </si>
  <si>
    <t xml:space="preserve"> 5 Cl   151.478     26.3    7.7    7.5    4.46       44 </t>
  </si>
  <si>
    <t xml:space="preserve"> 6 F    199.140      2.3    3.7    3.3   24.68      381 </t>
  </si>
  <si>
    <t xml:space="preserve"> 7 K    119.485    498.3   35.3   24.3    0.87       64 </t>
  </si>
  <si>
    <t xml:space="preserve"> 8 Mn   146.243      3.4    1.9    1.9   14.37      280 </t>
  </si>
  <si>
    <t xml:space="preserve"> 9 Al    90.995    998.6   16.2    9.6    0.72      163 </t>
  </si>
  <si>
    <t xml:space="preserve">10 P    197.118     25.4    2.4    2.5    4.86      140 </t>
  </si>
  <si>
    <t xml:space="preserve">11 Mg   107.534    463.0   34.9    0.0    1.08      162 </t>
  </si>
  <si>
    <t xml:space="preserve">12 Ca   107.121   1836.7   34.3   29.7    0.53       85 </t>
  </si>
  <si>
    <t xml:space="preserve">13 Ti    88.305    665.5    0.0   46.3    0.90      127 </t>
  </si>
  <si>
    <t xml:space="preserve"> Na      0.3920    0.0036    0.4679    0.9954     0.9864     2.1689     1.0134</t>
  </si>
  <si>
    <t xml:space="preserve"> S       0.7678    0.0034    0.8198    0.9645     1.0233     1.2317     0.9891</t>
  </si>
  <si>
    <t xml:space="preserve"> Fe      0.9815    0.0000    0.9975    0.8123     1.0554     1.1695     0.9958</t>
  </si>
  <si>
    <t xml:space="preserve"> Si      0.7003    0.0012    0.7685    0.9897     1.0088     1.3017     1.0141</t>
  </si>
  <si>
    <t xml:space="preserve"> Cl      0.8306    0.0063    0.8801    0.9152     1.0298     1.1980     0.9846</t>
  </si>
  <si>
    <t xml:space="preserve"> F       0.1937    0.0015    0.2544    1.0210     0.9741     3.9467     0.9946</t>
  </si>
  <si>
    <t xml:space="preserve"> K       0.9089    0.0151    0.9478    0.9061     1.0408     1.1022     0.9961</t>
  </si>
  <si>
    <t xml:space="preserve"> Mn      0.9760    0.0000    0.9947    0.8006     1.0558     1.1895     1.0374</t>
  </si>
  <si>
    <t xml:space="preserve"> Al      0.6405    0.0094    0.7184    0.9710     1.0011     1.4186     1.0137</t>
  </si>
  <si>
    <t xml:space="preserve"> P       0.6846    0.0019    0.7418    0.9485     1.0162     1.3960     0.9903</t>
  </si>
  <si>
    <t xml:space="preserve"> Mg      0.5236    0.0067    0.6002    1.0102     0.9936     1.6489     1.0294</t>
  </si>
  <si>
    <t xml:space="preserve"> Ca      0.9282    0.0075    0.9614    0.9204     1.0452     1.0731     0.9983</t>
  </si>
  <si>
    <t xml:space="preserve"> Ti      0.9506    0.0128    0.9781    0.8302     1.0518     1.1559     0.9951</t>
  </si>
  <si>
    <t xml:space="preserve"> Na       3.84      5.18      3.78      5.09     1.502   1.0134   0.03790   1.91208  </t>
  </si>
  <si>
    <t xml:space="preserve"> S        0.0166    0.0415    0.0164    0.0409   0.0047  0.9891   0.000168  0.031243  </t>
  </si>
  <si>
    <t xml:space="preserve"> Fe      11.96     15.38     11.77     15.14     1.925   0.9958   0.12012   1.15467  </t>
  </si>
  <si>
    <t xml:space="preserve"> Si      21.52     46.05     21.19     45.32     6.890   1.0141   0.21246   0.88687  </t>
  </si>
  <si>
    <t xml:space="preserve"> Cl       0.1619    0.1619    0.1594    0.1594   0.0411  0.9846   0.001644  0.113332  </t>
  </si>
  <si>
    <t xml:space="preserve"> F        0.1813    0.1813    0.1785    0.1785   0.0858  0.9946   0.001823  0.382952  </t>
  </si>
  <si>
    <t xml:space="preserve"> K        1.85      2.23      1.82      2.19     0.426   0.9961   0.01858   2.71608  </t>
  </si>
  <si>
    <t xml:space="preserve"> Mn       0.2165    0.2796    0.2131    0.2752   0.0354  1.0374   0.002087  0.006197  </t>
  </si>
  <si>
    <t xml:space="preserve"> Al       7.66     14.47      7.54     14.24     2.552   1.0137   0.07555   1.13594  </t>
  </si>
  <si>
    <t xml:space="preserve"> P        0.3122    0.7155    0.3073    0.7043   0.0907  0.9903   0.003153  1.843776  </t>
  </si>
  <si>
    <t xml:space="preserve"> Mg       2.51      4.16      2.47      4.10     0.929   1.0294   0.02440   0.79247  </t>
  </si>
  <si>
    <t xml:space="preserve"> Ca       6.30      8.82      6.20      8.68     1.414   0.9983   0.06312   0.94331  </t>
  </si>
  <si>
    <t xml:space="preserve"> Ti       2.36      3.93      2.32      3.87     0.443   0.9951   0.02370   0.96920  </t>
  </si>
  <si>
    <t xml:space="preserve"> O       42.71       -       42.04       -      24.000      -         -        </t>
  </si>
  <si>
    <t>Total:  101.59    101.59    100.00    100.00    16.337</t>
  </si>
  <si>
    <t xml:space="preserve">Unknown Specimen No. 22 </t>
  </si>
  <si>
    <t xml:space="preserve"> UNK No.      :   22            Comment : 1982-CS2-L5B_5                           </t>
  </si>
  <si>
    <t xml:space="preserve"> Stage        :    X=   24.8295  Y=   92.1605  Z=   11.2615 </t>
  </si>
  <si>
    <t xml:space="preserve"> Dated on Dec 20 17:31 2016 </t>
  </si>
  <si>
    <t xml:space="preserve">Curr.(A) : 1.005E-08 </t>
  </si>
  <si>
    <t xml:space="preserve"> 1 Na   129.476    393.2    0.0   19.3    1.63      166 </t>
  </si>
  <si>
    <t xml:space="preserve"> 2 S    171.948      2.8    6.3    3.7   23.06      107 </t>
  </si>
  <si>
    <t xml:space="preserve"> 3 Fe   134.739    198.5    3.1    2.9    1.61      394 </t>
  </si>
  <si>
    <t xml:space="preserve"> 4 Si    77.822   3205.0   31.2   19.6    0.40      227 </t>
  </si>
  <si>
    <t xml:space="preserve"> 5 Cl   151.478     20.7   10.7    8.1    5.53       48 </t>
  </si>
  <si>
    <t xml:space="preserve"> 6 F    199.140      1.9    3.9    3.1   29.26      382 </t>
  </si>
  <si>
    <t xml:space="preserve"> 7 K    119.485    435.3   36.5   22.9    0.94       64 </t>
  </si>
  <si>
    <t xml:space="preserve"> 8 Mn   146.243      3.5    2.1    1.5   13.96      274 </t>
  </si>
  <si>
    <t xml:space="preserve"> 9 Al    90.995   1007.8   16.6   10.4    0.71      166 </t>
  </si>
  <si>
    <t xml:space="preserve">10 P    197.118     26.4    3.5    2.7    4.83      154 </t>
  </si>
  <si>
    <t xml:space="preserve">11 Mg   107.534    517.0   35.7    0.0    1.02      164 </t>
  </si>
  <si>
    <t xml:space="preserve">12 Ca   107.121   2054.7   34.1   36.7    0.50       90 </t>
  </si>
  <si>
    <t xml:space="preserve">13 Ti    88.305    646.5    0.0   43.4    0.91      123 </t>
  </si>
  <si>
    <t xml:space="preserve"> Na      0.3952    0.0037    0.4716    0.9942     0.9868     2.1533     1.0061</t>
  </si>
  <si>
    <t xml:space="preserve"> S       0.7685    0.0035    0.8205    0.9633     1.0236     1.2316     0.9889</t>
  </si>
  <si>
    <t xml:space="preserve"> Fe      0.9813    0.0000    0.9973    0.8113     1.0555     1.1709     0.9970</t>
  </si>
  <si>
    <t xml:space="preserve"> Si      0.7014    0.0013    0.7696    0.9885     1.0091     1.3009     1.0135</t>
  </si>
  <si>
    <t xml:space="preserve"> Cl      0.8311    0.0066    0.8806    0.9141     1.0301     1.1980     0.9846</t>
  </si>
  <si>
    <t xml:space="preserve"> F       0.1921    0.0015    0.2522    1.0198     0.9744     3.9848     1.0042</t>
  </si>
  <si>
    <t xml:space="preserve"> K       0.9093    0.0163    0.9482    0.9050     1.0411     1.1014     0.9954</t>
  </si>
  <si>
    <t xml:space="preserve"> Mn      0.9757    0.0000    0.9944    0.7996     1.0560     1.1910     1.0387</t>
  </si>
  <si>
    <t xml:space="preserve"> Al      0.6426    0.0095    0.7207    0.9698     1.0015     1.4152     1.0113</t>
  </si>
  <si>
    <t xml:space="preserve"> P       0.6855    0.0019    0.7428    0.9474     1.0165     1.3952     0.9898</t>
  </si>
  <si>
    <t xml:space="preserve"> Mg      0.5282    0.0068    0.6054    1.0090     0.9940     1.6358     1.0212</t>
  </si>
  <si>
    <t xml:space="preserve"> Ca      0.9290    0.0072    0.9623    0.9193     1.0455     1.0735     0.9986</t>
  </si>
  <si>
    <t xml:space="preserve"> Ti      0.9499    0.0120    0.9773    0.8292     1.0521     1.1589     0.9977</t>
  </si>
  <si>
    <t xml:space="preserve"> Na       3.53      4.76      3.50      4.72     1.384   1.0061   0.03512   1.77171  </t>
  </si>
  <si>
    <t xml:space="preserve"> S        0.0211    0.0527    0.0209    0.0522   0.0059  0.9889   0.000213  0.039652  </t>
  </si>
  <si>
    <t xml:space="preserve"> Fe      11.20     14.40     11.09     14.27     1.806   0.9970   0.11232   1.07966  </t>
  </si>
  <si>
    <t xml:space="preserve"> Si      21.34     45.66     21.14     45.22     6.846   1.0135   0.21072   0.87962  </t>
  </si>
  <si>
    <t xml:space="preserve"> Cl       0.1272    0.1272    0.1260    0.1260   0.0323  0.9846   0.001292  0.089032  </t>
  </si>
  <si>
    <t xml:space="preserve"> F        0.1519    0.1519    0.1504    0.1504   0.0720  1.0042   0.001513  0.317763  </t>
  </si>
  <si>
    <t xml:space="preserve"> K        1.61      1.94      1.60      1.93     0.372   0.9954   0.01621   2.37059  </t>
  </si>
  <si>
    <t xml:space="preserve"> Mn       0.2212    0.2856    0.2191    0.2829   0.0363  1.0387   0.002130  0.006323  </t>
  </si>
  <si>
    <t xml:space="preserve"> Al       7.70     14.55      7.63     14.41     2.572   1.0113   0.07617   1.14530  </t>
  </si>
  <si>
    <t xml:space="preserve"> P        0.3236    0.7415    0.3204    0.7343   0.0941  0.9898   0.003269  1.911634  </t>
  </si>
  <si>
    <t xml:space="preserve"> Mg       2.78      4.61      2.75      4.56     1.030   1.0212   0.02722   0.88395  </t>
  </si>
  <si>
    <t xml:space="preserve"> Ca       7.04      9.86      6.98      9.76     1.583   0.9986   0.07054   1.05424  </t>
  </si>
  <si>
    <t xml:space="preserve"> Ti       2.29      3.83      2.27      3.79     0.432   0.9977   0.02300   0.94062  </t>
  </si>
  <si>
    <t xml:space="preserve"> O       42.62       -       42.21       -      24.000      -         -        </t>
  </si>
  <si>
    <t>Total:  100.97    100.97    100.00    100.00    16.266</t>
  </si>
  <si>
    <t xml:space="preserve">Unknown Specimen No. 23 </t>
  </si>
  <si>
    <t xml:space="preserve"> UNK No.      :   23            Comment : 1982-CS2-L5B_6                           </t>
  </si>
  <si>
    <t xml:space="preserve"> Stage        :    X=   23.7880  Y=   92.1365  Z=   11.2770 </t>
  </si>
  <si>
    <t xml:space="preserve"> Dated on Dec 20 17:34 2016 </t>
  </si>
  <si>
    <t xml:space="preserve"> 1 Na   129.476    424.8    0.0   21.2    1.57      174 </t>
  </si>
  <si>
    <t xml:space="preserve"> 2 S    171.948      1.6    5.7    5.0   39.32 ?    113 </t>
  </si>
  <si>
    <t xml:space="preserve"> 3 Fe   134.739    186.3    2.2    4.0    1.67      423 </t>
  </si>
  <si>
    <t xml:space="preserve"> 4 Si    77.822   3281.7   36.6   16.0    0.39      234 </t>
  </si>
  <si>
    <t xml:space="preserve"> 5 Cl   151.478     22.2    7.9    8.2    5.09       45 </t>
  </si>
  <si>
    <t xml:space="preserve"> 6 F    199.140      2.5    3.9    2.9   23.25      380 </t>
  </si>
  <si>
    <t xml:space="preserve"> 7 K    119.485    461.5   37.4   22.3    0.91       64 </t>
  </si>
  <si>
    <t xml:space="preserve"> 8 Mn   146.243      2.8    2.4    1.7   16.73      288 </t>
  </si>
  <si>
    <t xml:space="preserve"> 9 Al    90.995   1069.3   17.6    8.6    0.69      165 </t>
  </si>
  <si>
    <t xml:space="preserve">10 P    197.118     26.1    2.7    2.9    4.84      150 </t>
  </si>
  <si>
    <t xml:space="preserve">11 Mg   107.534    471.9   39.3    0.0    1.07      172 </t>
  </si>
  <si>
    <t xml:space="preserve">12 Ca   107.121   1948.4   33.5   35.7    0.52       89 </t>
  </si>
  <si>
    <t xml:space="preserve">13 Ti    88.305    630.0    0.0   47.6    0.92      129 </t>
  </si>
  <si>
    <t xml:space="preserve"> Na      0.4004    0.0038    0.4779    0.9922     0.9876     2.1273     0.9939</t>
  </si>
  <si>
    <t xml:space="preserve"> S       0.7678    0.0034    0.8197    0.9615     1.0245     1.2342     0.9910</t>
  </si>
  <si>
    <t xml:space="preserve"> Fe      0.9814    0.0000    0.9974    0.8099     1.0560     1.1723     0.9982</t>
  </si>
  <si>
    <t xml:space="preserve"> Si      0.7026    0.0012    0.7710    0.9866     1.0100     1.3000     1.0128</t>
  </si>
  <si>
    <t xml:space="preserve"> Cl      0.8306    0.0064    0.8801    0.9124     1.0310     1.2003     0.9865</t>
  </si>
  <si>
    <t xml:space="preserve"> F       0.1921    0.0015    0.2522    1.0178     0.9752     3.9889     1.0052</t>
  </si>
  <si>
    <t xml:space="preserve"> K       0.9090    0.0154    0.9479    0.9033     1.0419     1.1040     0.9978</t>
  </si>
  <si>
    <t xml:space="preserve"> Mn      0.9759    0.0000    0.9946    0.7982     1.0565     1.1923     1.0399</t>
  </si>
  <si>
    <t xml:space="preserve"> Al      0.6473    0.0097    0.7260    0.9679     1.0024     1.4061     1.0048</t>
  </si>
  <si>
    <t xml:space="preserve"> P       0.6846    0.0019    0.7418    0.9455     1.0174     1.3988     0.9923</t>
  </si>
  <si>
    <t xml:space="preserve"> Mg      0.5317    0.0070    0.6095    1.0070     0.9949     1.6261     1.0152</t>
  </si>
  <si>
    <t xml:space="preserve"> Ca      0.9286    0.0068    0.9618    0.9176     1.0463     1.0756     1.0007</t>
  </si>
  <si>
    <t xml:space="preserve"> Ti      0.9502    0.0113    0.9777    0.8277     1.0527     1.1607     0.9992</t>
  </si>
  <si>
    <t xml:space="preserve"> Na       3.77      5.09      3.72      5.01     1.461   0.9939   0.03798   1.91615  </t>
  </si>
  <si>
    <t xml:space="preserve"> S        0.0125    0.0311    0.0123    0.0307   0.0035  0.9910   0.000126  0.023392  </t>
  </si>
  <si>
    <t xml:space="preserve"> Fe      10.53     13.55     10.38     13.36     1.679   0.9982   0.10554   1.01456  </t>
  </si>
  <si>
    <t xml:space="preserve"> Si      21.85     46.75     21.54     46.08     6.927   1.0128   0.21598   0.90158  </t>
  </si>
  <si>
    <t xml:space="preserve"> Cl       0.1367    0.1367    0.1347    0.1347   0.0343  0.9865   0.001385  0.095475  </t>
  </si>
  <si>
    <t xml:space="preserve"> F        0.1962    0.1962    0.1934    0.1934   0.0920  1.0052   0.001952  0.410100  </t>
  </si>
  <si>
    <t xml:space="preserve"> K        1.72      2.07      1.69      2.04     0.391   0.9978   0.01721   2.51555  </t>
  </si>
  <si>
    <t xml:space="preserve"> Mn       0.1817    0.2347    0.1791    0.2313   0.0295  1.0399   0.001748  0.005189  </t>
  </si>
  <si>
    <t xml:space="preserve"> Al       8.13     15.36      8.01     15.14     2.682   1.0048   0.08091   1.21644  </t>
  </si>
  <si>
    <t xml:space="preserve"> P        0.3213    0.7363    0.3167    0.7258   0.0924  0.9923   0.003238  1.893606  </t>
  </si>
  <si>
    <t xml:space="preserve"> Mg       2.52      4.19      2.49      4.13     0.925   1.0152   0.02487   0.80764  </t>
  </si>
  <si>
    <t xml:space="preserve"> Ca       6.70      9.37      6.60      9.24     1.488   1.0007   0.06696   1.00070  </t>
  </si>
  <si>
    <t xml:space="preserve"> Ti       2.24      3.74      2.21      3.69     0.417   0.9992   0.02243   0.91750  </t>
  </si>
  <si>
    <t xml:space="preserve"> O       43.13       -       42.51       -      24.000      -         -        </t>
  </si>
  <si>
    <t>Total:  101.44    101.44    100.00    100.00    16.222</t>
  </si>
  <si>
    <t xml:space="preserve">Unknown Specimen No. 24 </t>
  </si>
  <si>
    <t xml:space="preserve"> UNK No.      :   24            Comment : 1982-CS2-L5B_7                           </t>
  </si>
  <si>
    <t xml:space="preserve"> Stage        :    X=   25.5760  Y=   91.7775  Z=   11.2515 </t>
  </si>
  <si>
    <t xml:space="preserve"> Dated on Dec 20 17:37 2016 </t>
  </si>
  <si>
    <t xml:space="preserve"> 1 Na   129.476    426.8    0.0   21.2    1.57      174 </t>
  </si>
  <si>
    <t xml:space="preserve"> 2 S    171.948      1.3    6.3    4.9   48.32 ?    114 </t>
  </si>
  <si>
    <t xml:space="preserve"> 3 Fe   134.739    169.6    2.3    3.9    1.75      421 </t>
  </si>
  <si>
    <t xml:space="preserve"> 4 Si    77.822   3234.7   32.4   21.5    0.40      233 </t>
  </si>
  <si>
    <t xml:space="preserve"> 5 Cl   151.478     18.6    8.8    6.3    5.67       43 </t>
  </si>
  <si>
    <t xml:space="preserve"> 6 F    199.140      2.3    3.6    2.7   24.00      366 </t>
  </si>
  <si>
    <t xml:space="preserve"> 7 K    119.485    461.5   35.5   23.1    0.90       63 </t>
  </si>
  <si>
    <t xml:space="preserve"> 8 Mn   146.243      2.6    2.0    1.5   17.02      267 </t>
  </si>
  <si>
    <t xml:space="preserve"> 9 Al    90.995   1043.1   15.5    9.2    0.70      159 </t>
  </si>
  <si>
    <t xml:space="preserve">10 P    197.118     26.1    2.7    2.9    4.85      150 </t>
  </si>
  <si>
    <t xml:space="preserve">11 Mg   107.534    515.6   34.4    0.0    1.02      161 </t>
  </si>
  <si>
    <t xml:space="preserve">12 Ca   107.121   2149.4   34.2   36.0    0.49       90 </t>
  </si>
  <si>
    <t xml:space="preserve">13 Ti    88.305    651.6    0.0   45.0    0.91      125 </t>
  </si>
  <si>
    <t xml:space="preserve"> Na      0.4042    0.0038    0.4824    0.9912     0.9879     2.1086     0.9852</t>
  </si>
  <si>
    <t xml:space="preserve"> S       0.7692    0.0036    0.8212    0.9606     1.0248     1.2325     0.9897</t>
  </si>
  <si>
    <t xml:space="preserve"> Fe      0.9810    0.0000    0.9970    0.8091     1.0562     1.1737     0.9994</t>
  </si>
  <si>
    <t xml:space="preserve"> Si      0.7043    0.0013    0.7729    0.9856     1.0103     1.2976     1.0109</t>
  </si>
  <si>
    <t xml:space="preserve"> Cl      0.8317    0.0068    0.8812    0.9115     1.0313     1.1990     0.9855</t>
  </si>
  <si>
    <t xml:space="preserve"> F       0.1902    0.0014    0.2497    1.0167     0.9755     4.0325     1.0162</t>
  </si>
  <si>
    <t xml:space="preserve"> K       0.9097    0.0166    0.9486    0.9024     1.0422     1.1026     0.9965</t>
  </si>
  <si>
    <t xml:space="preserve"> Mn      0.9754    0.0000    0.9941    0.7974     1.0566     1.1939     1.0412</t>
  </si>
  <si>
    <t xml:space="preserve"> Al      0.6486    0.0097    0.7274    0.9670     1.0027     1.4042     1.0035</t>
  </si>
  <si>
    <t xml:space="preserve"> P       0.6863    0.0020    0.7436    0.9446     1.0177     1.3960     0.9904</t>
  </si>
  <si>
    <t xml:space="preserve"> Mg      0.5351    0.0070    0.6134    1.0061     0.9952     1.6170     1.0095</t>
  </si>
  <si>
    <t xml:space="preserve"> Ca      0.9291    0.0066    0.9623    0.9167     1.0465     1.0761     1.0011</t>
  </si>
  <si>
    <t xml:space="preserve"> Ti      0.9493    0.0102    0.9767    0.8269     1.0530     1.1640     1.0020</t>
  </si>
  <si>
    <t xml:space="preserve"> Na       3.76      5.06      3.74      5.04     1.469   0.9852   0.03812   1.92326  </t>
  </si>
  <si>
    <t xml:space="preserve"> S        0.0101    0.0252    0.0101    0.0251   0.0028  0.9897   0.000102  0.018958 ?</t>
  </si>
  <si>
    <t xml:space="preserve"> Fe       9.59     12.34      9.55     12.29     1.544   0.9994   0.09598   0.92259  </t>
  </si>
  <si>
    <t xml:space="preserve"> Si      21.49     45.98     21.40     45.79     6.880   1.0109   0.21267   0.88776  </t>
  </si>
  <si>
    <t xml:space="preserve"> Cl       0.1146    0.1146    0.1141    0.1141   0.0291  0.9855   0.001163  0.080140  </t>
  </si>
  <si>
    <t xml:space="preserve"> F        0.1854    0.1854    0.1846    0.1846   0.0877  1.0162   0.001824  0.383246  </t>
  </si>
  <si>
    <t xml:space="preserve"> K        1.71      2.06      1.71      2.05     0.394   0.9965   0.01719   2.51279  </t>
  </si>
  <si>
    <t xml:space="preserve"> Mn       0.1682    0.2172    0.1675    0.2163   0.0275  1.0412   0.001615  0.004796  </t>
  </si>
  <si>
    <t xml:space="preserve"> Al       7.91     14.95      7.88     14.89     2.636   1.0035   0.07884   1.18545  </t>
  </si>
  <si>
    <t xml:space="preserve"> P        0.3198    0.7327    0.3184    0.7297   0.0928  0.9904   0.003229  1.888102  </t>
  </si>
  <si>
    <t xml:space="preserve"> Mg       2.74      4.54      2.73      4.52     1.013   1.0095   0.02714   0.88155  </t>
  </si>
  <si>
    <t xml:space="preserve"> Ca       7.39     10.34      7.36     10.29     1.657   1.0011   0.07379   1.10284  </t>
  </si>
  <si>
    <t xml:space="preserve"> Ti       2.32      3.87      2.31      3.86     0.436   1.0020   0.02318   0.94813  </t>
  </si>
  <si>
    <t xml:space="preserve"> O       42.71       -       42.53       -      24.000      -         -        </t>
  </si>
  <si>
    <t>Total:  100.42    100.42    100.00    100.00    16.269</t>
  </si>
  <si>
    <t xml:space="preserve">Unknown Specimen No. 25 </t>
  </si>
  <si>
    <t xml:space="preserve"> UNK No.      :   25            Comment : 1982-CS2-L5B_8                           </t>
  </si>
  <si>
    <t xml:space="preserve"> Stage        :    X=   25.8550  Y=   91.5430  Z=   11.2460 </t>
  </si>
  <si>
    <t xml:space="preserve"> Dated on Dec 20 17:41 2016 </t>
  </si>
  <si>
    <t xml:space="preserve"> 1 Na   129.476    372.6    0.0   20.2    1.68      170 </t>
  </si>
  <si>
    <t xml:space="preserve"> 2 S    171.948      1.7    5.2    4.9   37.28 ?    110 </t>
  </si>
  <si>
    <t xml:space="preserve"> 3 Fe   134.739    190.5    3.0    2.8    1.65      387 </t>
  </si>
  <si>
    <t xml:space="preserve"> 4 Si    77.822   3219.7   34.6   18.7    0.40      234 </t>
  </si>
  <si>
    <t xml:space="preserve"> 5 Cl   151.478     19.8    8.9    8.1    5.60       46 </t>
  </si>
  <si>
    <t xml:space="preserve"> 6 F    199.140      2.0    3.5    3.4   28.28      378 </t>
  </si>
  <si>
    <t xml:space="preserve"> 7 K    119.485    446.0   31.5   21.3    0.92       60 </t>
  </si>
  <si>
    <t xml:space="preserve"> 8 Mn   146.243      3.8    2.1    1.5   13.12      274 </t>
  </si>
  <si>
    <t xml:space="preserve"> 9 Al    90.995   1049.1   14.1    8.4    0.70      152 </t>
  </si>
  <si>
    <t xml:space="preserve">10 P    197.118     27.3    3.5    3.1    4.78      161 </t>
  </si>
  <si>
    <t xml:space="preserve">11 Mg   107.534    520.1   33.8    0.0    1.01      160 </t>
  </si>
  <si>
    <t xml:space="preserve">12 Ca   107.121   2093.1   31.1   38.7    0.50       90 </t>
  </si>
  <si>
    <t xml:space="preserve">13 Ti    88.305    631.5    0.0   50.4    0.92      132 </t>
  </si>
  <si>
    <t xml:space="preserve"> Na      0.3975    0.0038    0.4744    0.9933     0.9871     2.1417     1.0007</t>
  </si>
  <si>
    <t xml:space="preserve"> S       0.7685    0.0036    0.8205    0.9625     1.0239     1.2322     0.9895</t>
  </si>
  <si>
    <t xml:space="preserve"> Fe      0.9812    0.0000    0.9972    0.8106     1.0557     1.1718     0.9977</t>
  </si>
  <si>
    <t xml:space="preserve"> Si      0.7019    0.0013    0.7702    0.9876     1.0095     1.3006     1.0133</t>
  </si>
  <si>
    <t xml:space="preserve"> Cl      0.8312    0.0066    0.8807    0.9133     1.0304     1.1986     0.9851</t>
  </si>
  <si>
    <t xml:space="preserve"> F       0.1913    0.0014    0.2511    1.0189     0.9747     4.0040     1.0090</t>
  </si>
  <si>
    <t xml:space="preserve"> K       0.9094    0.0163    0.9482    0.9042     1.0414     1.1019     0.9959</t>
  </si>
  <si>
    <t xml:space="preserve"> Mn      0.9756    0.0000    0.9943    0.7990     1.0562     1.1919     1.0395</t>
  </si>
  <si>
    <t xml:space="preserve"> Al      0.6455    0.0095    0.7239    0.9689     1.0018     1.4096     1.0073</t>
  </si>
  <si>
    <t xml:space="preserve"> P       0.6856    0.0019    0.7428    0.9465     1.0169     1.3959     0.9903</t>
  </si>
  <si>
    <t xml:space="preserve"> Mg      0.5316    0.0069    0.6094    1.0081     0.9943     1.6260     1.0151</t>
  </si>
  <si>
    <t xml:space="preserve"> Ca      0.9290    0.0069    0.9622    0.9185     1.0458     1.0744     0.9995</t>
  </si>
  <si>
    <t xml:space="preserve"> Ti      0.9496    0.0115    0.9771    0.8285     1.0523     1.1605     0.9990</t>
  </si>
  <si>
    <t xml:space="preserve"> Na       3.33      4.49      3.29      4.44     1.299   1.0007   0.03327   1.67881  </t>
  </si>
  <si>
    <t xml:space="preserve"> S        0.0129    0.0322    0.0128    0.0319   0.0036  0.9895   0.000130  0.024215  </t>
  </si>
  <si>
    <t xml:space="preserve"> Fe      10.75     13.83     10.64     13.69     1.727   0.9977   0.10779   1.03612  </t>
  </si>
  <si>
    <t xml:space="preserve"> Si      21.44     45.86     21.21     45.38     6.844   1.0133   0.21169   0.88366  </t>
  </si>
  <si>
    <t xml:space="preserve"> Cl       0.1214    0.1214    0.1201    0.1201   0.0307  0.9851   0.001232  0.084939  </t>
  </si>
  <si>
    <t xml:space="preserve"> F        0.1563    0.1563    0.1547    0.1547   0.0738  1.0090   0.001549  0.325421  </t>
  </si>
  <si>
    <t xml:space="preserve"> K        1.65      1.99      1.64      1.97     0.379   0.9959   0.01661   2.42836  </t>
  </si>
  <si>
    <t xml:space="preserve"> Mn       0.2405    0.3105    0.2380    0.3073   0.0393  1.0395   0.002313  0.006869  </t>
  </si>
  <si>
    <t xml:space="preserve"> Al       7.99     15.09      7.90     14.93     2.655   1.0073   0.07930   1.19225  </t>
  </si>
  <si>
    <t xml:space="preserve"> P        0.3341    0.7657    0.3307    0.7578   0.0968  0.9903   0.003374  1.973181  </t>
  </si>
  <si>
    <t xml:space="preserve"> Mg       2.78      4.61      2.75      4.56     1.025   1.0151   0.02738   0.88933  </t>
  </si>
  <si>
    <t xml:space="preserve"> Ca       7.18     10.05      7.11      9.95     1.607   0.9995   0.07186   1.07393  </t>
  </si>
  <si>
    <t xml:space="preserve"> Ti       2.24      3.74      2.22      3.70     0.420   0.9990   0.02247   0.91885  </t>
  </si>
  <si>
    <t xml:space="preserve"> O       42.82       -       42.37       -      24.000      -         -        </t>
  </si>
  <si>
    <t>Total:  101.05    101.05    100.00    100.00    16.200</t>
  </si>
  <si>
    <t xml:space="preserve">Unknown Specimen No. 26 </t>
  </si>
  <si>
    <t xml:space="preserve"> UNK No.      :   26            Comment : 1982-CS2-L5B_9                           </t>
  </si>
  <si>
    <t xml:space="preserve"> Stage        :    X=   26.2575  Y=   91.8190  Z=   11.2425 </t>
  </si>
  <si>
    <t xml:space="preserve"> Dated on Dec 20 17:44 2016 </t>
  </si>
  <si>
    <t xml:space="preserve"> 1 Na   129.476    389.9    0.0   19.0    1.64      165 </t>
  </si>
  <si>
    <t xml:space="preserve"> 2 S    171.948      2.0    5.8    4.1   30.78      107 </t>
  </si>
  <si>
    <t xml:space="preserve"> 3 Fe   134.739    193.5    2.9    3.2    1.63      403 </t>
  </si>
  <si>
    <t xml:space="preserve"> 4 Si    77.822   3188.6   29.1   21.5    0.40      225 </t>
  </si>
  <si>
    <t xml:space="preserve"> 5 Cl   151.478     19.5    9.5    8.1    5.70       47 </t>
  </si>
  <si>
    <t xml:space="preserve"> 6 F    199.140      3.2    4.1    3.1   18.71      391 </t>
  </si>
  <si>
    <t xml:space="preserve"> 7 K    119.485    439.1   35.4   22.0    0.93       63 </t>
  </si>
  <si>
    <t xml:space="preserve"> 8 Mn   146.243      2.8    2.2    1.7   16.74      282 </t>
  </si>
  <si>
    <t xml:space="preserve"> 9 Al    90.995   1003.5   17.9    8.9    0.72      167 </t>
  </si>
  <si>
    <t xml:space="preserve">10 P    197.118     26.0    3.1    3.3    4.91      160 </t>
  </si>
  <si>
    <t xml:space="preserve">11 Mg   107.534    521.7   34.3    0.0    1.01      161 </t>
  </si>
  <si>
    <t xml:space="preserve">12 Ca   107.121   2023.3   30.8   36.7    0.51       88 </t>
  </si>
  <si>
    <t xml:space="preserve">13 Ti    88.305    643.7    0.0   46.3    0.91      127 </t>
  </si>
  <si>
    <t xml:space="preserve"> Na      0.3963    0.0037    0.4730    0.9936     0.9870     2.1476     1.0034</t>
  </si>
  <si>
    <t xml:space="preserve"> S       0.7685    0.0035    0.8205    0.9629     1.0238     1.2319     0.9892</t>
  </si>
  <si>
    <t xml:space="preserve"> Fe      0.9813    0.0000    0.9973    0.8109     1.0557     1.1713     0.9974</t>
  </si>
  <si>
    <t xml:space="preserve"> Si      0.7017    0.0012    0.7701    0.9880     1.0094     1.3005     1.0132</t>
  </si>
  <si>
    <t xml:space="preserve"> Cl      0.8312    0.0066    0.8807    0.9137     1.0303     1.1983     0.9849</t>
  </si>
  <si>
    <t xml:space="preserve"> F       0.1922    0.0015    0.2523    1.0193     0.9746     3.9837     1.0039</t>
  </si>
  <si>
    <t xml:space="preserve"> K       0.9094    0.0161    0.9482    0.9045     1.0413     1.1018     0.9958</t>
  </si>
  <si>
    <t xml:space="preserve"> Mn      0.9757    0.0000    0.9944    0.7992     1.0561     1.1914     1.0391</t>
  </si>
  <si>
    <t xml:space="preserve"> Al      0.6433    0.0095    0.7215    0.9693     1.0017     1.4140     1.0105</t>
  </si>
  <si>
    <t xml:space="preserve"> P       0.6855    0.0019    0.7428    0.9469     1.0168     1.3957     0.9901</t>
  </si>
  <si>
    <t xml:space="preserve"> Mg      0.5293    0.0068    0.6068    1.0085     0.9942     1.6326     1.0192</t>
  </si>
  <si>
    <t xml:space="preserve"> Ca      0.9290    0.0071    0.9623    0.9189     1.0457     1.0739     0.9991</t>
  </si>
  <si>
    <t xml:space="preserve"> Ti      0.9499    0.0117    0.9774    0.8288     1.0523     1.1595     0.9982</t>
  </si>
  <si>
    <t xml:space="preserve"> Na       3.49      4.71      3.49      4.70     1.379   1.0034   0.03482   1.75682  </t>
  </si>
  <si>
    <t xml:space="preserve"> S        0.0154    0.0384    0.0154    0.0384   0.0044  0.9892   0.000156  0.028927  </t>
  </si>
  <si>
    <t xml:space="preserve"> Fe      10.92     14.05     10.90     14.03     1.775   0.9974   0.10952   1.05279  </t>
  </si>
  <si>
    <t xml:space="preserve"> Si      21.24     45.43     21.20     45.35     6.861   1.0132   0.20964   0.87511  </t>
  </si>
  <si>
    <t xml:space="preserve"> Cl       0.1196    0.1196    0.1194    0.1194   0.0306  0.9849   0.001215  0.083713  </t>
  </si>
  <si>
    <t xml:space="preserve"> F        0.2583    0.2583    0.2578    0.2578   0.1234  1.0039   0.002573  0.540531  </t>
  </si>
  <si>
    <t xml:space="preserve"> K        1.63      1.96      1.63      1.96     0.378   0.9958   0.01636   2.39122  </t>
  </si>
  <si>
    <t xml:space="preserve"> Mn       0.1785    0.2305    0.1782    0.2300   0.0295  1.0391   0.001718  0.005100  </t>
  </si>
  <si>
    <t xml:space="preserve"> Al       7.66     14.48      7.65     14.46     2.578   1.0105   0.07585   1.14045  </t>
  </si>
  <si>
    <t xml:space="preserve"> P        0.3191    0.7312    0.3185    0.7298   0.0935  0.9901   0.003222  1.884481  </t>
  </si>
  <si>
    <t xml:space="preserve"> Mg       2.80      4.64      2.79      4.63     1.045   1.0192   0.02746   0.89199  </t>
  </si>
  <si>
    <t xml:space="preserve"> Ca       6.94      9.71      6.93      9.69     1.571   0.9991   0.06946   1.03812  </t>
  </si>
  <si>
    <t xml:space="preserve"> Ti       2.29      3.81      2.28      3.81     0.433   0.9982   0.02290   0.93654  </t>
  </si>
  <si>
    <t xml:space="preserve"> O       42.32       -       42.24       -      24.000      -         -        </t>
  </si>
  <si>
    <t>Total:  100.18    100.18    100.00    100.00    16.301</t>
  </si>
  <si>
    <t xml:space="preserve">Unknown Specimen No. 27 </t>
  </si>
  <si>
    <t xml:space="preserve"> UNK No.      :   27            Comment : UnknA-C21_1                              </t>
  </si>
  <si>
    <t xml:space="preserve"> Stage        :    X=    9.4430  Y=   65.5020  Z=   11.5040 </t>
  </si>
  <si>
    <t xml:space="preserve"> Dated on Dec 20 17:48 2016 </t>
  </si>
  <si>
    <t xml:space="preserve"> 1 Na   129.476    401.5    0.0   24.9    1.63      189 </t>
  </si>
  <si>
    <t xml:space="preserve"> 2 S    171.948      4.3    6.1    4.3   16.09      110 </t>
  </si>
  <si>
    <t xml:space="preserve"> 3 Fe   134.739    186.1    2.7    2.6    1.66      371 </t>
  </si>
  <si>
    <t xml:space="preserve"> 4 Si    77.822   3151.7   33.8   20.1    0.40      234 </t>
  </si>
  <si>
    <t xml:space="preserve"> 5 Cl   151.478     11.1    8.2    6.6    8.38       43 </t>
  </si>
  <si>
    <t xml:space="preserve"> 6 F    199.140      1.0    3.3    2.8   48.32 ?    358 </t>
  </si>
  <si>
    <t xml:space="preserve"> 7 K    119.485    476.5   39.9   20.5    0.89       65 </t>
  </si>
  <si>
    <t xml:space="preserve"> 8 Mn   146.243      2.9    2.3    1.2   15.57      266 </t>
  </si>
  <si>
    <t xml:space="preserve"> 9 Al    90.995   1077.0   16.1    9.3    0.69      162 </t>
  </si>
  <si>
    <t xml:space="preserve">10 P    197.118     37.9    2.8    3.0    3.91      153 </t>
  </si>
  <si>
    <t xml:space="preserve">11 Mg   107.534    512.5   35.5    0.0    1.02      163 </t>
  </si>
  <si>
    <t xml:space="preserve">12 Ca   107.121   2199.5   32.2   37.8    0.48       90 </t>
  </si>
  <si>
    <t xml:space="preserve">13 Ti    88.305    639.6    0.0   46.2    0.92      127 </t>
  </si>
  <si>
    <t xml:space="preserve"> Na      0.3991    0.0038    0.4763    0.9932     0.9871     2.1334     0.9968</t>
  </si>
  <si>
    <t xml:space="preserve"> S       0.7693    0.0037    0.8213    0.9624     1.0240     1.2310     0.9884</t>
  </si>
  <si>
    <t xml:space="preserve"> Fe      0.9810    0.0000    0.9970    0.8106     1.0557     1.1721     0.9980</t>
  </si>
  <si>
    <t xml:space="preserve"> Si      0.7011    0.0014    0.7694    0.9875     1.0095     1.3020     1.0144</t>
  </si>
  <si>
    <t xml:space="preserve"> Cl      0.8317    0.0069    0.8812    0.9132     1.0305     1.1976     0.9842</t>
  </si>
  <si>
    <t xml:space="preserve"> F       0.1907    0.0014    0.2503    1.0188     0.9747     4.0169     1.0123</t>
  </si>
  <si>
    <t xml:space="preserve"> K       0.9098    0.0169    0.9487    0.9041     1.0415     1.1009     0.9950</t>
  </si>
  <si>
    <t xml:space="preserve"> Mn      0.9754    0.0000    0.9940    0.7989     1.0562     1.1923     1.0398</t>
  </si>
  <si>
    <t xml:space="preserve"> Al      0.6458    0.0094    0.7243    0.9688     1.0019     1.4091     1.0070</t>
  </si>
  <si>
    <t xml:space="preserve"> P       0.6872    0.0020    0.7446    0.9464     1.0169     1.3927     0.9880</t>
  </si>
  <si>
    <t xml:space="preserve"> Mg      0.5316    0.0069    0.6094    1.0080     0.9943     1.6259     1.0150</t>
  </si>
  <si>
    <t xml:space="preserve"> Ca      0.9290    0.0068    0.9623    0.9184     1.0459     1.0746     0.9997</t>
  </si>
  <si>
    <t xml:space="preserve"> Ti      0.9491    0.0110    0.9765    0.8285     1.0524     1.1617     1.0001</t>
  </si>
  <si>
    <t xml:space="preserve"> Na       3.57      4.82      3.53      4.75     1.392   0.9968   0.03586   1.80916  </t>
  </si>
  <si>
    <t xml:space="preserve"> S        0.0327    0.0817    0.0323    0.0806   0.0091  0.9884   0.000331  0.061487  </t>
  </si>
  <si>
    <t xml:space="preserve"> Fe      10.51     13.52     10.37     13.34     1.685   0.9980   0.10529   1.01208  </t>
  </si>
  <si>
    <t xml:space="preserve"> Si      21.00     44.93     20.73     44.35     6.698   1.0144   0.20722   0.86499  </t>
  </si>
  <si>
    <t xml:space="preserve"> Cl       0.0678    0.0678    0.0670    0.0670   0.0171  0.9842   0.000689  0.047496  </t>
  </si>
  <si>
    <t xml:space="preserve"> F        0.0834    0.0834    0.0823    0.0823   0.0393  1.0123   0.000824  0.173006  </t>
  </si>
  <si>
    <t xml:space="preserve"> K        1.77      2.13      1.74      2.10     0.405   0.9950   0.01775   2.59472  </t>
  </si>
  <si>
    <t xml:space="preserve"> Mn       0.1874    0.2420    0.1850    0.2389   0.0306  1.0398   0.001803  0.005352  </t>
  </si>
  <si>
    <t xml:space="preserve"> Al       8.19     15.48      8.09     15.28     2.721   1.0070   0.08140   1.22393  </t>
  </si>
  <si>
    <t xml:space="preserve"> P        0.4633    1.0618    0.4574    1.0481   0.1340  0.9880   0.004690  2.742584  </t>
  </si>
  <si>
    <t xml:space="preserve"> Mg       2.74      4.54      2.70      4.48     1.009   1.0150   0.02698   0.87633  </t>
  </si>
  <si>
    <t xml:space="preserve"> Ca       7.55     10.56      7.45     10.42     1.687   0.9997   0.07551   1.12851  </t>
  </si>
  <si>
    <t xml:space="preserve"> Ti       2.28      3.80      2.25      3.75     0.426   1.0001   0.02275   0.93064  </t>
  </si>
  <si>
    <t xml:space="preserve"> O       42.87       -       42.32       -      24.000      -         -        </t>
  </si>
  <si>
    <t>Total:  101.31    101.31    100.00    100.00    16.252</t>
  </si>
  <si>
    <t xml:space="preserve">Unknown Specimen No. 28 </t>
  </si>
  <si>
    <t xml:space="preserve"> UNK No.      :   28            Comment : UnknA-C21_2                              </t>
  </si>
  <si>
    <t xml:space="preserve"> Stage        :    X=    9.2735  Y=   65.0675  Z=   11.5040 </t>
  </si>
  <si>
    <t xml:space="preserve"> Dated on Dec 20 17:51 2016 </t>
  </si>
  <si>
    <t xml:space="preserve"> 1 Na   129.476    404.4    0.0   20.5    1.61      171 </t>
  </si>
  <si>
    <t xml:space="preserve"> 2 S    171.948      7.0    5.5    5.1   10.97      112 </t>
  </si>
  <si>
    <t xml:space="preserve"> 3 Fe   134.739    173.6    2.3    2.6    1.72      362 </t>
  </si>
  <si>
    <t xml:space="preserve"> 4 Si    77.822   3127.3   28.7   20.3    0.40      222 </t>
  </si>
  <si>
    <t xml:space="preserve"> 5 Cl   151.478     22.1    7.7    8.6    5.13       45 </t>
  </si>
  <si>
    <t xml:space="preserve"> 6 F    199.140      2.0    3.7    3.3   27.95      381 </t>
  </si>
  <si>
    <t xml:space="preserve"> 7 K    119.485    491.7   33.9   24.1    0.87       63 </t>
  </si>
  <si>
    <t xml:space="preserve"> 8 Mn   146.243      2.8    2.4    1.7   16.85      291 </t>
  </si>
  <si>
    <t xml:space="preserve"> 9 Al    90.995   1070.8   14.2    9.4    0.69      155 </t>
  </si>
  <si>
    <t xml:space="preserve">10 P    197.118     35.8    3.2    2.9    4.04      155 </t>
  </si>
  <si>
    <t xml:space="preserve">11 Mg   107.534    499.8   35.2    0.0    1.03      163 </t>
  </si>
  <si>
    <t xml:space="preserve">12 Ca   107.121   2188.9   32.4   31.7    0.48       85 </t>
  </si>
  <si>
    <t xml:space="preserve">13 Ti    88.305    639.3    0.0   46.5    0.92      127 </t>
  </si>
  <si>
    <t xml:space="preserve"> Na      0.4020    0.0038    0.4798    0.9923     0.9875     2.1188     0.9900</t>
  </si>
  <si>
    <t xml:space="preserve"> S       0.7697    0.0038    0.8218    0.9615     1.0244     1.2308     0.9883</t>
  </si>
  <si>
    <t xml:space="preserve"> Fe      0.9809    0.0000    0.9969    0.8099     1.0559     1.1730     0.9988</t>
  </si>
  <si>
    <t xml:space="preserve"> Si      0.7025    0.0014    0.7709    0.9866     1.0099     1.3000     1.0128</t>
  </si>
  <si>
    <t xml:space="preserve"> Cl      0.8320    0.0070    0.8815    0.9124     1.0309     1.1977     0.9844</t>
  </si>
  <si>
    <t xml:space="preserve"> F       0.1900    0.0014    0.2494    1.0178     0.9751     4.0338     1.0165</t>
  </si>
  <si>
    <t xml:space="preserve"> K       0.9098    0.0169    0.9487    0.9033     1.0418     1.1015     0.9955</t>
  </si>
  <si>
    <t xml:space="preserve"> Mn      0.9752    0.0000    0.9939    0.7982     1.0564     1.1932     1.0406</t>
  </si>
  <si>
    <t xml:space="preserve"> Al      0.6481    0.0095    0.7269    0.9680     1.0023     1.4047     1.0038</t>
  </si>
  <si>
    <t xml:space="preserve"> P       0.6876    0.0021    0.7451    0.9456     1.0173     1.3923     0.9878</t>
  </si>
  <si>
    <t xml:space="preserve"> Mg      0.5341    0.0070    0.6122    1.0071     0.9947     1.6192     1.0109</t>
  </si>
  <si>
    <t xml:space="preserve"> Ca      0.9288    0.0066    0.9621    0.9176     1.0462     1.0756     1.0007</t>
  </si>
  <si>
    <t xml:space="preserve"> Ti      0.9489    0.0104    0.9763    0.8277     1.0527     1.1635     1.0016</t>
  </si>
  <si>
    <t xml:space="preserve"> Na       3.58      4.82      3.58      4.82     1.410   0.9900   0.03612   1.82222  </t>
  </si>
  <si>
    <t xml:space="preserve"> S        0.0533    0.1331    0.0533    0.1332   0.0151  0.9883   0.000539  0.100247  </t>
  </si>
  <si>
    <t xml:space="preserve"> Fe       9.81     12.62      9.82     12.63     1.593   0.9988   0.09823   0.94422  </t>
  </si>
  <si>
    <t xml:space="preserve"> Si      20.83     44.55     20.84     44.58     6.722   1.0128   0.20562   0.85830  </t>
  </si>
  <si>
    <t xml:space="preserve"> Cl       0.1357    0.1357    0.1358    0.1358   0.0347  0.9844   0.001379  0.095025  </t>
  </si>
  <si>
    <t xml:space="preserve"> F        0.1609    0.1609    0.1610    0.1610   0.0768  1.0165   0.001583  0.332523  </t>
  </si>
  <si>
    <t xml:space="preserve"> K        1.82      2.20      1.82      2.20     0.423   0.9955   0.01831   2.67744  </t>
  </si>
  <si>
    <t xml:space="preserve"> Mn       0.1814    0.2343    0.1816    0.2344   0.0299  1.0406   0.001744  0.005177  </t>
  </si>
  <si>
    <t xml:space="preserve"> Al       8.12     15.35      8.13     15.36     2.730   1.0038   0.08094   1.21690  </t>
  </si>
  <si>
    <t xml:space="preserve"> P        0.4383    1.0045    0.4386    1.0051   0.1283  0.9878   0.004438  2.595054  </t>
  </si>
  <si>
    <t xml:space="preserve"> Mg       2.66      4.41      2.66      4.41     0.992   1.0109   0.02631   0.85459  </t>
  </si>
  <si>
    <t xml:space="preserve"> Ca       7.52     10.52      7.52     10.53     1.701   1.0007   0.07515   1.12309  </t>
  </si>
  <si>
    <t xml:space="preserve"> Ti       2.28      3.80      2.28      3.80     0.431   1.0016   0.02274   0.93013  </t>
  </si>
  <si>
    <t xml:space="preserve"> O       42.35       -       42.38       -      24.000      -         -        </t>
  </si>
  <si>
    <t>Total:   99.94     99.94    100.00    100.00    16.287</t>
  </si>
  <si>
    <t xml:space="preserve">Unknown Specimen No. 29 </t>
  </si>
  <si>
    <t xml:space="preserve"> UNK No.      :   29            Comment : UnknA-C21_3                              </t>
  </si>
  <si>
    <t xml:space="preserve"> Stage        :    X=   10.2170  Y=   64.6170  Z=   11.5010 </t>
  </si>
  <si>
    <t xml:space="preserve"> Dated on Dec 20 17:55 2016 </t>
  </si>
  <si>
    <t xml:space="preserve"> 1 Na   129.476    408.5    0.0   20.2    1.60      170 </t>
  </si>
  <si>
    <t xml:space="preserve"> 2 S    171.948      5.8    6.4    4.7   12.84      114 </t>
  </si>
  <si>
    <t xml:space="preserve"> 3 Fe   134.739    168.1    3.6    2.2    1.75      373 </t>
  </si>
  <si>
    <t xml:space="preserve"> 4 Si    77.822   3156.5   31.0   20.4    0.40      228 </t>
  </si>
  <si>
    <t xml:space="preserve"> 5 Cl   151.478     19.7    7.7    8.3    5.55       45 </t>
  </si>
  <si>
    <t xml:space="preserve"> 6 F    199.140      1.4    3.9    3.1   39.00 ?    384 </t>
  </si>
  <si>
    <t xml:space="preserve"> 7 K    119.485    485.4   37.8   20.0    0.88       63 </t>
  </si>
  <si>
    <t xml:space="preserve"> 8 Mn   146.243      2.7    2.0    1.4   16.72      264 </t>
  </si>
  <si>
    <t xml:space="preserve"> 9 Al    90.995   1074.3   14.2    9.2    0.69      155 </t>
  </si>
  <si>
    <t xml:space="preserve">10 P    197.118     34.7    2.7    2.8    4.09      148 </t>
  </si>
  <si>
    <t xml:space="preserve">11 Mg   107.534    474.8   38.7    0.0    1.07      171 </t>
  </si>
  <si>
    <t xml:space="preserve">12 Ca   107.121   2178.5   32.7   39.5    0.49       91 </t>
  </si>
  <si>
    <t xml:space="preserve">13 Ti    88.305    622.7    0.0   46.1    0.93      127 </t>
  </si>
  <si>
    <t xml:space="preserve"> Na      0.4039    0.0038    0.4820    0.9915     0.9878     2.1101     0.9859</t>
  </si>
  <si>
    <t xml:space="preserve"> S       0.7694    0.0037    0.8215    0.9609     1.0246     1.2319     0.9892</t>
  </si>
  <si>
    <t xml:space="preserve"> Fe      0.9809    0.0000    0.9969    0.8093     1.0561     1.1736     0.9993</t>
  </si>
  <si>
    <t xml:space="preserve"> Si      0.7037    0.0014    0.7723    0.9859     1.0102     1.2984     1.0115</t>
  </si>
  <si>
    <t xml:space="preserve"> Cl      0.8318    0.0069    0.8813    0.9118     1.0311     1.1986     0.9851</t>
  </si>
  <si>
    <t xml:space="preserve"> F       0.1897    0.0014    0.2490    1.0171     0.9753     4.0423     1.0187</t>
  </si>
  <si>
    <t xml:space="preserve"> K       0.9097    0.0168    0.9486    0.9027     1.0420     1.1022     0.9962</t>
  </si>
  <si>
    <t xml:space="preserve"> Mn      0.9753    0.0000    0.9939    0.7977     1.0566     1.1938     1.0412</t>
  </si>
  <si>
    <t xml:space="preserve"> Al      0.6502    0.0096    0.7292    0.9672     1.0026     1.4007     1.0010</t>
  </si>
  <si>
    <t xml:space="preserve"> P       0.6872    0.0021    0.7446    0.9449     1.0176     1.3939     0.9889</t>
  </si>
  <si>
    <t xml:space="preserve"> Mg      0.5355    0.0071    0.6139    1.0063     0.9950     1.6153     1.0085</t>
  </si>
  <si>
    <t xml:space="preserve"> Ca      0.9288    0.0064    0.9621    0.9170     1.0464     1.0764     1.0013</t>
  </si>
  <si>
    <t xml:space="preserve"> Ti      0.9489    0.0101    0.9763    0.8272     1.0529     1.1644     1.0024</t>
  </si>
  <si>
    <t xml:space="preserve"> Na       3.60      4.85      3.62      4.88     1.421   0.9859   0.03648   1.84072  </t>
  </si>
  <si>
    <t xml:space="preserve"> S        0.0441    0.1102    0.0444    0.1108   0.0125  0.9892   0.000446  0.082902  </t>
  </si>
  <si>
    <t xml:space="preserve"> Fe       9.51     12.23      9.56     12.30     1.545   0.9993   0.09511   0.91427  </t>
  </si>
  <si>
    <t xml:space="preserve"> Si      21.00     44.92     21.12     45.18     6.787   1.0115   0.20753   0.86632  </t>
  </si>
  <si>
    <t xml:space="preserve"> Cl       0.1207    0.1207    0.1214    0.1214   0.0309  0.9851   0.001226  0.084468  </t>
  </si>
  <si>
    <t xml:space="preserve"> F        0.1130    0.1130    0.1136    0.1136   0.0540  1.0187   0.001109  0.233040  </t>
  </si>
  <si>
    <t xml:space="preserve"> K        1.80      2.17      1.81      2.18     0.418   0.9962   0.01808   2.64344  </t>
  </si>
  <si>
    <t xml:space="preserve"> Mn       0.1706    0.2203    0.1716    0.2215   0.0282  1.0412   0.001639  0.004865  </t>
  </si>
  <si>
    <t xml:space="preserve"> Al       8.13     15.36      8.18     15.45     2.736   1.0010   0.08120   1.22093  </t>
  </si>
  <si>
    <t xml:space="preserve"> P        0.4254    0.9747    0.4278    0.9803   0.1247  0.9889   0.004301  2.515405  </t>
  </si>
  <si>
    <t xml:space="preserve"> Mg       2.52      4.18      2.54      4.20     0.942   1.0085   0.02500   0.81188  </t>
  </si>
  <si>
    <t xml:space="preserve"> Ca       7.49     10.48      7.53     10.54     1.696   1.0013   0.07479   1.11774  </t>
  </si>
  <si>
    <t xml:space="preserve"> Ti       2.22      3.70      2.23      3.73     0.421   1.0024   0.02215   0.90602  </t>
  </si>
  <si>
    <t xml:space="preserve"> O       42.30       -       42.54       -      24.000      -         -        </t>
  </si>
  <si>
    <t>Total:   99.43     99.43    100.00    100.00    16.216</t>
  </si>
  <si>
    <t xml:space="preserve">Unknown Specimen No. 30 </t>
  </si>
  <si>
    <t xml:space="preserve"> UNK No.      :   30            Comment : UnknA-C21_4                              </t>
  </si>
  <si>
    <t xml:space="preserve"> Stage        :    X=   11.4790  Y=   64.6410  Z=   11.4965 </t>
  </si>
  <si>
    <t xml:space="preserve"> Dated on Dec 20 17:58 2016 </t>
  </si>
  <si>
    <t xml:space="preserve">Curr.(A) : 1.006E-08 </t>
  </si>
  <si>
    <t xml:space="preserve"> 1 Na   129.476    411.2    0.0   19.0    1.60      165 </t>
  </si>
  <si>
    <t xml:space="preserve"> 2 S    171.948      5.3    5.5    5.7   14.10      116 </t>
  </si>
  <si>
    <t xml:space="preserve"> 3 Fe   134.739    173.2    3.2    2.5    1.73      378 </t>
  </si>
  <si>
    <t xml:space="preserve"> 4 Si    77.822   3152.4   30.2   21.6    0.40      228 </t>
  </si>
  <si>
    <t xml:space="preserve"> 5 Cl   151.478     22.6    8.6    9.5    5.16       48 </t>
  </si>
  <si>
    <t xml:space="preserve"> 6 F    199.140      2.4    3.5    3.3   23.69      376 </t>
  </si>
  <si>
    <t xml:space="preserve"> 7 K    119.485    501.0   38.1   21.5    0.87       64 </t>
  </si>
  <si>
    <t xml:space="preserve"> 8 Mn   146.243      3.0    2.7    1.7   16.42      299 </t>
  </si>
  <si>
    <t xml:space="preserve"> 9 Al    90.995   1017.0   13.7    8.4    0.71      150 </t>
  </si>
  <si>
    <t xml:space="preserve">10 P    197.118     34.8    3.1    2.9    4.11      154 </t>
  </si>
  <si>
    <t xml:space="preserve">11 Mg   107.534    511.7   33.0    0.0    1.02      157 </t>
  </si>
  <si>
    <t xml:space="preserve">12 Ca   107.121   2190.2   33.6   36.9    0.49       90 </t>
  </si>
  <si>
    <t xml:space="preserve">13 Ti    88.305    638.8    0.0   47.4    0.92      128 </t>
  </si>
  <si>
    <t xml:space="preserve"> Na      0.4018    0.0038    0.4796    0.9923     0.9875     2.1200     0.9905</t>
  </si>
  <si>
    <t xml:space="preserve"> S       0.7698    0.0038    0.8219    0.9616     1.0243     1.2305     0.9881</t>
  </si>
  <si>
    <t xml:space="preserve"> Si      0.7039    0.0014    0.7725    0.9867     1.0098     1.2974     1.0108</t>
  </si>
  <si>
    <t xml:space="preserve"> Cl      0.8321    0.0070    0.8817    0.9125     1.0308     1.1975     0.9841</t>
  </si>
  <si>
    <t xml:space="preserve"> F       0.1900    0.0014    0.2494    1.0179     0.9750     4.0340     1.0166</t>
  </si>
  <si>
    <t xml:space="preserve"> K       0.9099    0.0169    0.9488    0.9034     1.0418     1.1014     0.9954</t>
  </si>
  <si>
    <t xml:space="preserve"> Mn      0.9752    0.0000    0.9939    0.7982     1.0564     1.1932     1.0407</t>
  </si>
  <si>
    <t xml:space="preserve"> Al      0.6471    0.0096    0.7258    0.9680     1.0022     1.4067     1.0053</t>
  </si>
  <si>
    <t xml:space="preserve"> P       0.6877    0.0021    0.7452    0.9456     1.0173     1.3922     0.9876</t>
  </si>
  <si>
    <t xml:space="preserve"> Mg      0.5334    0.0069    0.6115    1.0071     0.9947     1.6212     1.0121</t>
  </si>
  <si>
    <t xml:space="preserve"> Ca      0.9288    0.0066    0.9620    0.9177     1.0461     1.0757     1.0007</t>
  </si>
  <si>
    <t xml:space="preserve"> Ti      0.9488    0.0104    0.9762    0.8278     1.0526     1.1635     1.0016</t>
  </si>
  <si>
    <t xml:space="preserve"> Na       3.63      4.90      3.65      4.92     1.441   0.9905   0.03669   1.85105  </t>
  </si>
  <si>
    <t xml:space="preserve"> S        0.0402    0.1004    0.0404    0.1008   0.0114  0.9881   0.000407  0.075614  </t>
  </si>
  <si>
    <t xml:space="preserve"> Fe       9.78     12.58      9.82     12.64     1.596   0.9988   0.09792   0.94124  </t>
  </si>
  <si>
    <t xml:space="preserve"> Si      20.93     44.78     21.03     44.98     6.791   1.0108   0.20706   0.86434  </t>
  </si>
  <si>
    <t xml:space="preserve"> Cl       0.1388    0.1388    0.1394    0.1394   0.0357  0.9841   0.001411  0.097210  </t>
  </si>
  <si>
    <t xml:space="preserve"> F        0.1916    0.1916    0.1925    0.1925   0.0919  1.0166   0.001885  0.396016  </t>
  </si>
  <si>
    <t xml:space="preserve"> K        1.86      2.24      1.86      2.25     0.433   0.9954   0.01864   2.72565  </t>
  </si>
  <si>
    <t xml:space="preserve"> Mn       0.1908    0.2464    0.1916    0.2474   0.0316  1.0407   0.001834  0.005444  </t>
  </si>
  <si>
    <t xml:space="preserve"> Al       7.72     14.59      7.75     14.65     2.608   1.0053   0.07679   1.15461  </t>
  </si>
  <si>
    <t xml:space="preserve"> P        0.4249    0.9736    0.4267    0.9778   0.1250  0.9876   0.004302  2.515617  </t>
  </si>
  <si>
    <t xml:space="preserve"> Mg       2.72      4.52      2.74      4.54     1.021   1.0121   0.02691   0.87408  </t>
  </si>
  <si>
    <t xml:space="preserve"> Ca       7.52     10.52      7.55     10.56     1.709   1.0007   0.07511   1.12261  </t>
  </si>
  <si>
    <t xml:space="preserve"> Ti       2.27      3.79      2.28      3.81     0.433   1.0016   0.02270   0.92848  </t>
  </si>
  <si>
    <t xml:space="preserve"> O       42.14       -       42.32       -      24.000      -         -        </t>
  </si>
  <si>
    <t>Total:   99.57     99.57    100.00    100.00    16.326</t>
  </si>
  <si>
    <t xml:space="preserve">Unknown Specimen No. 31 </t>
  </si>
  <si>
    <t xml:space="preserve"> UNK No.      :   31            Comment : UnknA-C21_5                              </t>
  </si>
  <si>
    <t xml:space="preserve"> Stage        :    X=   11.5960  Y=   65.4790  Z=   11.4965 </t>
  </si>
  <si>
    <t xml:space="preserve"> Dated on Dec 20 18:02 2016 </t>
  </si>
  <si>
    <t xml:space="preserve"> 1 Na   129.476    399.7    0.0   20.5    1.62      171 </t>
  </si>
  <si>
    <t xml:space="preserve"> 2 S    171.948      5.3    5.7    5.0   13.86      113 </t>
  </si>
  <si>
    <t xml:space="preserve"> 3 Fe   134.739    168.1    2.0    2.8    1.75      364 </t>
  </si>
  <si>
    <t xml:space="preserve"> 4 Si    77.822   3157.5   33.3   19.0    0.40      231 </t>
  </si>
  <si>
    <t xml:space="preserve"> 5 Cl   151.478     23.0    9.9    7.0    5.00       46 </t>
  </si>
  <si>
    <t xml:space="preserve"> 6 F    199.140      1.7    4.1    3.0   33.62 ?    389 </t>
  </si>
  <si>
    <t xml:space="preserve"> 7 K    119.485    478.7   37.2   21.8    0.89       64 </t>
  </si>
  <si>
    <t xml:space="preserve"> 8 Mn   146.243      2.9    2.1    1.4   15.72      266 </t>
  </si>
  <si>
    <t xml:space="preserve"> 9 Al    90.995   1032.3   14.4    8.9    0.70      154 </t>
  </si>
  <si>
    <t xml:space="preserve">10 P    197.118     37.2    3.0    2.8    3.95      151 </t>
  </si>
  <si>
    <t xml:space="preserve">11 Mg   107.534    498.6   39.9    0.0    1.04      173 </t>
  </si>
  <si>
    <t xml:space="preserve">12 Ca   107.121   2175.1   33.6   36.7    0.49       90 </t>
  </si>
  <si>
    <t xml:space="preserve">13 Ti    88.305    639.6    0.0   49.8    0.92      131 </t>
  </si>
  <si>
    <t xml:space="preserve"> Na      0.4032    0.0038    0.4813    0.9917     0.9877     2.1132     0.9874</t>
  </si>
  <si>
    <t xml:space="preserve"> S       0.7695    0.0037    0.8216    0.9610     1.0245     1.2316     0.9889</t>
  </si>
  <si>
    <t xml:space="preserve"> Fe      0.9809    0.0000    0.9969    0.8095     1.0560     1.1735     0.9992</t>
  </si>
  <si>
    <t xml:space="preserve"> Si      0.7046    0.0014    0.7732    0.9861     1.0101     1.2967     1.0102</t>
  </si>
  <si>
    <t xml:space="preserve"> Cl      0.8319    0.0070    0.8814    0.9119     1.0310     1.1984     0.9849</t>
  </si>
  <si>
    <t xml:space="preserve"> F       0.1895    0.0014    0.2488    1.0172     0.9752     4.0458     1.0196</t>
  </si>
  <si>
    <t xml:space="preserve"> K       0.9097    0.0169    0.9486    0.9028     1.0420     1.1020     0.9960</t>
  </si>
  <si>
    <t xml:space="preserve"> Mn      0.9752    0.0000    0.9939    0.7978     1.0565     1.1938     1.0411</t>
  </si>
  <si>
    <t xml:space="preserve"> Al      0.6491    0.0097    0.7280    0.9674     1.0025     1.4028     1.0025</t>
  </si>
  <si>
    <t xml:space="preserve"> P       0.6875    0.0021    0.7449    0.9450     1.0175     1.3932     0.9884</t>
  </si>
  <si>
    <t xml:space="preserve"> Mg      0.5353    0.0070    0.6137    1.0065     0.9949     1.6160     1.0088</t>
  </si>
  <si>
    <t xml:space="preserve"> Ca      0.9289    0.0066    0.9621    0.9171     1.0463     1.0761     1.0011</t>
  </si>
  <si>
    <t xml:space="preserve"> Ti      0.9489    0.0102    0.9763    0.8273     1.0528     1.1642     1.0022</t>
  </si>
  <si>
    <t xml:space="preserve"> Na       3.52      4.75      3.56      4.79     1.398   0.9874   0.03566   1.79924  </t>
  </si>
  <si>
    <t xml:space="preserve"> S        0.0401    0.1001    0.0405    0.1011   0.0114  0.9889   0.000405  0.075363  </t>
  </si>
  <si>
    <t xml:space="preserve"> Fe       9.50     12.22      9.59     12.34     1.551   0.9992   0.09503   0.91346  </t>
  </si>
  <si>
    <t xml:space="preserve"> Si      20.96     44.85     21.17     45.29     6.809   1.0102   0.20739   0.86572  </t>
  </si>
  <si>
    <t xml:space="preserve"> Cl       0.1411    0.1411    0.1425    0.1425   0.0363  0.9849   0.001433  0.098734  </t>
  </si>
  <si>
    <t xml:space="preserve"> F        0.1347    0.1347    0.1361    0.1361   0.0647  1.0196   0.001321  0.277592  </t>
  </si>
  <si>
    <t xml:space="preserve"> K        1.77      2.14      1.79      2.16     0.414   0.9960   0.01781   2.60430  </t>
  </si>
  <si>
    <t xml:space="preserve"> Mn       0.1856    0.2396    0.1874    0.2420   0.0308  1.0411   0.001782  0.005292  </t>
  </si>
  <si>
    <t xml:space="preserve"> Al       7.82     14.77      7.89     14.92     2.643   1.0025   0.07795   1.17201  </t>
  </si>
  <si>
    <t xml:space="preserve"> P        0.4545    1.0415    0.4591    1.0520   0.1339  0.9884   0.004599  2.689223  </t>
  </si>
  <si>
    <t xml:space="preserve"> Mg       2.65      4.39      2.67      4.43     0.993   1.0088   0.02622   0.85161  </t>
  </si>
  <si>
    <t xml:space="preserve"> Ca       7.47     10.45      7.54     10.55     1.700   1.0011   0.07460   1.11490  </t>
  </si>
  <si>
    <t xml:space="preserve"> Ti       2.28      3.80      2.30      3.84     0.434   1.0022   0.02273   0.92972  </t>
  </si>
  <si>
    <t xml:space="preserve"> O       42.09       -       42.51       -      24.000      -         -        </t>
  </si>
  <si>
    <t>Total:   99.01     99.01    100.00    100.00    16.219</t>
  </si>
  <si>
    <t xml:space="preserve">Unknown Specimen No. 32 </t>
  </si>
  <si>
    <t xml:space="preserve"> UNK No.      :   32            Comment : UnknA-C21_6                              </t>
  </si>
  <si>
    <t xml:space="preserve"> Stage        :    X=   10.7770  Y=   65.5930  Z=   11.5015 </t>
  </si>
  <si>
    <t xml:space="preserve"> Dated on Dec 20 18:05 2016 </t>
  </si>
  <si>
    <t xml:space="preserve"> 1 Na   129.476    397.2    0.0   23.0    1.63      181 </t>
  </si>
  <si>
    <t xml:space="preserve"> 2 S    171.948    116.0    5.1    5.9    1.78      116 </t>
  </si>
  <si>
    <t xml:space="preserve"> 3 Fe   134.739    189.7    2.4    3.4    1.65      401 </t>
  </si>
  <si>
    <t xml:space="preserve"> 4 Si    77.822   3099.2   31.0   20.7    0.41      228 </t>
  </si>
  <si>
    <t xml:space="preserve"> 5 Cl   151.478     21.1    9.1    8.4    5.38       47 </t>
  </si>
  <si>
    <t xml:space="preserve"> 6 F    199.140      2.6    2.9    3.6   21.07      361 </t>
  </si>
  <si>
    <t xml:space="preserve"> 7 K    119.485    478.1   36.3   24.9    0.89       64 </t>
  </si>
  <si>
    <t xml:space="preserve"> 8 Mn   146.243      2.6    2.9    1.8   18.51      307 </t>
  </si>
  <si>
    <t xml:space="preserve"> 9 Al    90.995   1066.6   15.0   10.3    0.69      161 </t>
  </si>
  <si>
    <t xml:space="preserve">10 P    197.118     34.0    2.5    2.5    4.12      141 </t>
  </si>
  <si>
    <t xml:space="preserve">11 Mg   107.534    500.7   38.6    0.0    1.04      170 </t>
  </si>
  <si>
    <t xml:space="preserve">12 Ca   107.121   2126.0   33.3   36.7    0.49       90 </t>
  </si>
  <si>
    <t xml:space="preserve">13 Ti    88.305    637.2    0.0   44.2    0.92      124 </t>
  </si>
  <si>
    <t xml:space="preserve"> Na      0.3980    0.0037    0.4750    0.9930     0.9872     2.1397     0.9997</t>
  </si>
  <si>
    <t xml:space="preserve"> S       0.7719    0.0036    0.8242    0.9623     1.0240     1.2269     0.9852</t>
  </si>
  <si>
    <t xml:space="preserve"> Fe      0.9811    0.0000    0.9971    0.8105     1.0558     1.1721     0.9980</t>
  </si>
  <si>
    <t xml:space="preserve"> Si      0.7020    0.0016    0.7703    0.9874     1.0096     1.3002     1.0130</t>
  </si>
  <si>
    <t xml:space="preserve"> Cl      0.8306    0.0067    0.8800    0.9131     1.0305     1.1995     0.9859</t>
  </si>
  <si>
    <t xml:space="preserve"> F       0.1906    0.0014    0.2502    1.0186     0.9748     4.0193     1.0129</t>
  </si>
  <si>
    <t xml:space="preserve"> K       0.9090    0.0162    0.9479    0.9040     1.0415     1.1026     0.9965</t>
  </si>
  <si>
    <t xml:space="preserve"> Mn      0.9755    0.0000    0.9942    0.7988     1.0562     1.1922     1.0398</t>
  </si>
  <si>
    <t xml:space="preserve"> Al      0.6458    0.0093    0.7243    0.9687     1.0019     1.4093     1.0072</t>
  </si>
  <si>
    <t xml:space="preserve"> P       0.6902    0.0025    0.7479    0.9463     1.0170     1.3860     0.9832</t>
  </si>
  <si>
    <t xml:space="preserve"> Mg      0.5310    0.0068    0.6087    1.0079     0.9944     1.6282     1.0165</t>
  </si>
  <si>
    <t xml:space="preserve"> Ca      0.9285    0.0068    0.9617    0.9183     1.0459     1.0754     1.0004</t>
  </si>
  <si>
    <t xml:space="preserve"> Ti      0.9493    0.0111    0.9767    0.8284     1.0524     1.1615     0.9999</t>
  </si>
  <si>
    <t xml:space="preserve"> Na       3.54      4.77      3.47      4.67     1.362   0.9997   0.03544   1.78798  </t>
  </si>
  <si>
    <t xml:space="preserve"> S        0.8798    2.1971    0.8612    2.1505   0.2427  0.9852   0.008931  1.660073  </t>
  </si>
  <si>
    <t xml:space="preserve"> Fe      10.70     13.77     10.47     13.47     1.694   0.9980   0.10725   1.03097  </t>
  </si>
  <si>
    <t xml:space="preserve"> Si      20.59     44.06     20.16     43.12     6.484   1.0130   0.20357   0.84975  </t>
  </si>
  <si>
    <t xml:space="preserve"> Cl       0.1293    0.1293    0.1266    0.1266   0.0323  0.9859   0.001312  0.090422  </t>
  </si>
  <si>
    <t xml:space="preserve"> F        0.2099    0.2099    0.2055    0.2055   0.0977  1.0129   0.002073  0.435466  </t>
  </si>
  <si>
    <t xml:space="preserve"> K        1.77      2.14      1.74      2.09     0.401   0.9965   0.01779   2.60073  </t>
  </si>
  <si>
    <t xml:space="preserve"> Mn       0.1679    0.2167    0.1643    0.2121   0.0270  1.0398   0.001614  0.004793  </t>
  </si>
  <si>
    <t xml:space="preserve"> Al       8.11     15.32      7.94     14.99     2.658   1.0072   0.08054   1.21091  </t>
  </si>
  <si>
    <t xml:space="preserve"> P        0.4129    0.9462    0.4041    0.9261   0.1179  0.9832   0.004200  2.455868  </t>
  </si>
  <si>
    <t xml:space="preserve"> Mg       2.68      4.44      2.62      4.34     0.974   1.0165   0.02633   0.85520  </t>
  </si>
  <si>
    <t xml:space="preserve"> Ca       7.29     10.20      7.14      9.99     1.609   1.0004   0.07291   1.08972  </t>
  </si>
  <si>
    <t xml:space="preserve"> Ti       2.26      3.78      2.22      3.70     0.418   0.9999   0.02264   0.92615  </t>
  </si>
  <si>
    <t xml:space="preserve"> O       43.42       -       42.50       -      24.000      -         -        </t>
  </si>
  <si>
    <t>Total:  102.17    102.17    100.00    100.00    16.118</t>
  </si>
  <si>
    <t xml:space="preserve">Unknown Specimen No. 33 </t>
  </si>
  <si>
    <t xml:space="preserve"> UNK No.      :   33            Comment : UnknA-C21_7                              </t>
  </si>
  <si>
    <t xml:space="preserve"> Stage        :    X=   10.3415  Y=   66.1445  Z=   11.5015 </t>
  </si>
  <si>
    <t xml:space="preserve"> Dated on Dec 20 18:09 2016 </t>
  </si>
  <si>
    <t xml:space="preserve"> 1 Na   129.476    410.4    0.0   21.3    1.60      175 </t>
  </si>
  <si>
    <t xml:space="preserve"> 2 S    171.948      6.7    6.4    5.5   11.65      118 </t>
  </si>
  <si>
    <t xml:space="preserve"> 3 Fe   134.739    175.3    2.4    2.8    1.72      374 </t>
  </si>
  <si>
    <t xml:space="preserve"> 4 Si    77.822   3075.6   30.3   21.5    0.41      228 </t>
  </si>
  <si>
    <t xml:space="preserve"> 5 Cl   151.478     20.7    9.6    7.3    5.40       46 </t>
  </si>
  <si>
    <t xml:space="preserve"> 6 F    199.140      2.6    3.3    3.1   20.99      362 </t>
  </si>
  <si>
    <t xml:space="preserve"> 7 K    119.485    497.2   37.5   23.7    0.87       65 </t>
  </si>
  <si>
    <t xml:space="preserve"> 8 Mn   146.243      2.8    2.1    1.9   16.81      289 </t>
  </si>
  <si>
    <t xml:space="preserve"> 9 Al    90.995   1069.1   14.9    9.1    0.69      157 </t>
  </si>
  <si>
    <t xml:space="preserve">10 P    197.118     34.6    3.6    4.2    4.23      178 </t>
  </si>
  <si>
    <t xml:space="preserve">11 Mg   107.534    508.4   34.8    0.0    1.03      162 </t>
  </si>
  <si>
    <t xml:space="preserve">12 Ca   107.121   2165.5   35.9   39.6    0.49       93 </t>
  </si>
  <si>
    <t xml:space="preserve">13 Ti    88.305    638.8    0.0   52.0    0.92      134 </t>
  </si>
  <si>
    <t xml:space="preserve"> Na      0.4013    0.0038    0.4789    0.9926     0.9874     2.1223     0.9916</t>
  </si>
  <si>
    <t xml:space="preserve"> S       0.7699    0.0038    0.8220    0.9619     1.0243     1.2302     0.9878</t>
  </si>
  <si>
    <t xml:space="preserve"> Fe      0.9809    0.0000    0.9969    0.8102     1.0559     1.1726     0.9985</t>
  </si>
  <si>
    <t xml:space="preserve"> Si      0.7013    0.0014    0.7696    0.9870     1.0098     1.3019     1.0143</t>
  </si>
  <si>
    <t xml:space="preserve"> Cl      0.8321    0.0070    0.8817    0.9128     1.0308     1.1972     0.9839</t>
  </si>
  <si>
    <t xml:space="preserve"> F       0.1904    0.0014    0.2500    1.0182     0.9750     4.0231     1.0138</t>
  </si>
  <si>
    <t xml:space="preserve"> K       0.9099    0.0168    0.9488    0.9036     1.0417     1.1011     0.9952</t>
  </si>
  <si>
    <t xml:space="preserve"> Mn      0.9753    0.0000    0.9939    0.7985     1.0563     1.1928     1.0403</t>
  </si>
  <si>
    <t xml:space="preserve"> Al      0.6467    0.0094    0.7254    0.9683     1.0022     1.4075     1.0058</t>
  </si>
  <si>
    <t xml:space="preserve"> P       0.6878    0.0021    0.7452    0.9459     1.0172     1.3917     0.9873</t>
  </si>
  <si>
    <t xml:space="preserve"> Mg      0.5329    0.0069    0.6109    1.0075     0.9946     1.6224     1.0129</t>
  </si>
  <si>
    <t xml:space="preserve"> Ca      0.9288    0.0067    0.9621    0.9180     1.0461     1.0753     1.0003</t>
  </si>
  <si>
    <t xml:space="preserve"> Ti      0.9490    0.0106    0.9764    0.8280     1.0526     1.1629     1.0011</t>
  </si>
  <si>
    <t xml:space="preserve"> Na       3.63      4.90      3.65      4.93     1.444   0.9916   0.03665   1.84929  </t>
  </si>
  <si>
    <t xml:space="preserve"> S        0.0514    0.1283    0.0517    0.1290   0.0146  0.9878   0.000520  0.096696  </t>
  </si>
  <si>
    <t xml:space="preserve"> Fe       9.90     12.74      9.96     12.81     1.620   0.9985   0.09918   0.95338  </t>
  </si>
  <si>
    <t xml:space="preserve"> Si      20.52     43.89     20.62     44.12     6.673   1.0143   0.20221   0.84410  </t>
  </si>
  <si>
    <t xml:space="preserve"> Cl       0.1269    0.1269    0.1275    0.1275   0.0327  0.9839   0.001289  0.088856  </t>
  </si>
  <si>
    <t xml:space="preserve"> F        0.2127    0.2127    0.2138    0.2138   0.1023  1.0138   0.002098  0.440785  </t>
  </si>
  <si>
    <t xml:space="preserve"> K        1.84      2.22      1.85      2.23     0.431   0.9952   0.01852   2.70744  </t>
  </si>
  <si>
    <t xml:space="preserve"> Mn       0.1813    0.2341    0.1823    0.2354   0.0302  1.0403   0.001743  0.005175  </t>
  </si>
  <si>
    <t xml:space="preserve"> Al       8.13     15.36      8.17     15.44     2.752   1.0058   0.08080   1.21491  </t>
  </si>
  <si>
    <t xml:space="preserve"> P        0.4233    0.9700    0.4255    0.9751   0.1249  0.9873   0.004287  2.507260  </t>
  </si>
  <si>
    <t xml:space="preserve"> Mg       2.71      4.50      2.73      4.52     1.019   1.0129   0.02676   0.86922  </t>
  </si>
  <si>
    <t xml:space="preserve"> Ca       7.44     10.41      7.48     10.46     1.695   1.0003   0.07434   1.11106  </t>
  </si>
  <si>
    <t xml:space="preserve"> Ti       2.27      3.79      2.29      3.81     0.434   1.0011   0.02272   0.92941  </t>
  </si>
  <si>
    <t xml:space="preserve"> O       42.03       -       42.25       -      24.000      -         -        </t>
  </si>
  <si>
    <t>Total:   99.48     99.48    100.00    100.00    16.373</t>
  </si>
  <si>
    <t xml:space="preserve">Unknown Specimen No. 34 </t>
  </si>
  <si>
    <t xml:space="preserve"> UNK No.      :   34            Comment : UnknA-C21_8                              </t>
  </si>
  <si>
    <t xml:space="preserve"> Stage        :    X=   10.3230  Y=   66.8225  Z=   11.5015 </t>
  </si>
  <si>
    <t xml:space="preserve"> Dated on Dec 20 18:12 2016 </t>
  </si>
  <si>
    <t xml:space="preserve"> 1 Na   129.476    411.0    0.0   18.2    1.59      161 </t>
  </si>
  <si>
    <t xml:space="preserve"> 2 S    171.948      6.7    5.3    4.5   11.10      108 </t>
  </si>
  <si>
    <t xml:space="preserve"> 3 Fe   134.739    176.5    3.2    3.3    1.72      413 </t>
  </si>
  <si>
    <t xml:space="preserve"> 4 Si    77.822   3153.3   33.0   19.2    0.40      230 </t>
  </si>
  <si>
    <t xml:space="preserve"> 5 Cl   151.478     23.1    8.3    8.1    4.97       45 </t>
  </si>
  <si>
    <t xml:space="preserve"> 6 F    199.140      1.7    4.3    2.8   33.23      389 </t>
  </si>
  <si>
    <t xml:space="preserve"> 7 K    119.485    496.1   35.8   23.4    0.87       63 </t>
  </si>
  <si>
    <t xml:space="preserve"> 8 Mn   146.243      3.0    1.8    1.8   15.67      274 </t>
  </si>
  <si>
    <t xml:space="preserve"> 9 Al    90.995   1075.9   15.4   10.3    0.69      162 </t>
  </si>
  <si>
    <t xml:space="preserve">10 P    197.118     34.9    4.2    2.5    4.11      158 </t>
  </si>
  <si>
    <t xml:space="preserve">11 Mg   107.534    503.2   37.5    0.0    1.03      168 </t>
  </si>
  <si>
    <t xml:space="preserve">12 Ca   107.121   2177.4   33.3   37.4    0.49       90 </t>
  </si>
  <si>
    <t xml:space="preserve">13 Ti    88.305    635.6    0.0   54.5    0.92      138 </t>
  </si>
  <si>
    <t xml:space="preserve"> Na      0.4017    0.0038    0.4795    0.9923     0.9875     2.1202     0.9906</t>
  </si>
  <si>
    <t xml:space="preserve"> S       0.7695    0.0037    0.8216    0.9616     1.0243     1.2310     0.9885</t>
  </si>
  <si>
    <t xml:space="preserve"> Fe      0.9810    0.0000    0.9970    0.8100     1.0559     1.1728     0.9986</t>
  </si>
  <si>
    <t xml:space="preserve"> Si      0.7023    0.0014    0.7707    0.9867     1.0099     1.3004     1.0131</t>
  </si>
  <si>
    <t xml:space="preserve"> Cl      0.8318    0.0069    0.8814    0.9125     1.0308     1.1979     0.9845</t>
  </si>
  <si>
    <t xml:space="preserve"> F       0.1902    0.0014    0.2498    1.0179     0.9751     4.0280     1.0151</t>
  </si>
  <si>
    <t xml:space="preserve"> K       0.9097    0.0167    0.9486    0.9034     1.0418     1.1017     0.9957</t>
  </si>
  <si>
    <t xml:space="preserve"> Mn      0.9753    0.0000    0.9940    0.7983     1.0564     1.1930     1.0405</t>
  </si>
  <si>
    <t xml:space="preserve"> Al      0.6477    0.0095    0.7264    0.9680     1.0023     1.4055     1.0044</t>
  </si>
  <si>
    <t xml:space="preserve"> P       0.6874    0.0021    0.7448    0.9457     1.0173     1.3929     0.9881</t>
  </si>
  <si>
    <t xml:space="preserve"> Mg      0.5336    0.0070    0.6117    1.0072     0.9947     1.6206     1.0117</t>
  </si>
  <si>
    <t xml:space="preserve"> Ca      0.9287    0.0066    0.9620    0.9177     1.0461     1.0756     1.0007</t>
  </si>
  <si>
    <t xml:space="preserve"> Ti      0.9490    0.0105    0.9764    0.8278     1.0526     1.1631     1.0013</t>
  </si>
  <si>
    <t xml:space="preserve"> Na       3.63      4.90      3.61      4.87     1.425   0.9906   0.03667   1.85014  </t>
  </si>
  <si>
    <t xml:space="preserve"> S        0.0507    0.1267    0.0505    0.1260   0.0143  0.9885   0.000513  0.095397  </t>
  </si>
  <si>
    <t xml:space="preserve"> Fe       9.96     12.82      9.91     12.75     1.608   0.9986   0.09976   0.95897  </t>
  </si>
  <si>
    <t xml:space="preserve"> Si      20.98     44.87     20.87     44.64     6.734   1.0131   0.20712   0.86459  </t>
  </si>
  <si>
    <t xml:space="preserve"> Cl       0.1415    0.1415    0.1408    0.1408   0.0360  0.9845   0.001438  0.099078  </t>
  </si>
  <si>
    <t xml:space="preserve"> F        0.1362    0.1362    0.1355    0.1355   0.0647  1.0151   0.001342  0.281965  </t>
  </si>
  <si>
    <t xml:space="preserve"> K        1.84      2.21      1.83      2.20     0.424   0.9957   0.01846   2.69890  </t>
  </si>
  <si>
    <t xml:space="preserve"> Mn       0.1912    0.2469    0.1903    0.2457   0.0314  1.0405   0.001838  0.005457  </t>
  </si>
  <si>
    <t xml:space="preserve"> Al       8.16     15.42      8.12     15.34     2.727   1.0044   0.08124   1.22154  </t>
  </si>
  <si>
    <t xml:space="preserve"> P        0.4261    0.9765    0.4240    0.9716   0.1241  0.9881   0.004313  2.521946  </t>
  </si>
  <si>
    <t xml:space="preserve"> Mg       2.68      4.44      2.66      4.42     0.993   1.0117   0.02647   0.85955  </t>
  </si>
  <si>
    <t xml:space="preserve"> Ca       7.47     10.46      7.43     10.40     1.681   1.0007   0.07468   1.11607  </t>
  </si>
  <si>
    <t xml:space="preserve"> Ti       2.26      3.77      2.25      3.75     0.426   1.0013   0.02259   0.92384  </t>
  </si>
  <si>
    <t xml:space="preserve"> O       42.59       -       42.37       -      24.000      -         -        </t>
  </si>
  <si>
    <t>Total:  100.51    100.51    100.00    100.00    16.288</t>
  </si>
  <si>
    <t xml:space="preserve">Unknown Specimen No. 35 </t>
  </si>
  <si>
    <t xml:space="preserve"> UNK No.      :   35            Comment : UnknA-C21_9                              </t>
  </si>
  <si>
    <t xml:space="preserve"> Stage        :    X=    9.8800  Y=   67.1415  Z=   11.5015 </t>
  </si>
  <si>
    <t xml:space="preserve"> Dated on Dec 20 18:16 2016 </t>
  </si>
  <si>
    <t xml:space="preserve"> 1 Na   129.476    406.9    0.0   19.9    1.61      169 </t>
  </si>
  <si>
    <t xml:space="preserve"> 2 S    171.948      7.0    5.1    5.4   10.93      112 </t>
  </si>
  <si>
    <t xml:space="preserve"> 3 Fe   134.739    164.6    3.6    2.8    1.78      400 </t>
  </si>
  <si>
    <t xml:space="preserve"> 4 Si    77.822   3184.4   30.0   22.0    0.40      228 </t>
  </si>
  <si>
    <t xml:space="preserve"> 5 Cl   151.478     21.6    8.7    8.2    5.24       46 </t>
  </si>
  <si>
    <t xml:space="preserve"> 6 F    199.140      3.5    3.5    2.1   16.48      350 </t>
  </si>
  <si>
    <t xml:space="preserve"> 7 K    119.485    485.0   37.3   23.3    0.88       64 </t>
  </si>
  <si>
    <t xml:space="preserve"> 8 Mn   146.243      2.6    1.7    1.8   17.30      272 </t>
  </si>
  <si>
    <t xml:space="preserve"> 9 Al    90.995   1089.7   14.2    8.3    0.68      152 </t>
  </si>
  <si>
    <t xml:space="preserve">10 P    197.118     34.5    4.2    2.7    4.15      161 </t>
  </si>
  <si>
    <t xml:space="preserve">11 Mg   107.534    489.2   37.4    0.0    1.05      168 </t>
  </si>
  <si>
    <t xml:space="preserve">12 Ca   107.121   2180.6   33.3   39.0    0.49       91 </t>
  </si>
  <si>
    <t xml:space="preserve">13 Ti    88.305    632.9    0.0   45.1    0.92      125 </t>
  </si>
  <si>
    <t xml:space="preserve"> Na      0.4052    0.0038    0.4836    0.9909     0.9881     2.1039     0.9830</t>
  </si>
  <si>
    <t xml:space="preserve"> S       0.7695    0.0037    0.8216    0.9603     1.0249     1.2321     0.9893</t>
  </si>
  <si>
    <t xml:space="preserve"> Fe      0.9810    0.0000    0.9969    0.8089     1.0562     1.1740     0.9997</t>
  </si>
  <si>
    <t xml:space="preserve"> Si      0.7041    0.0014    0.7726    0.9854     1.0105     1.2981     1.0113</t>
  </si>
  <si>
    <t xml:space="preserve"> Cl      0.8318    0.0069    0.8813    0.9113     1.0314     1.1990     0.9854</t>
  </si>
  <si>
    <t xml:space="preserve"> F       0.1897    0.0014    0.2490    1.0164     0.9756     4.0436     1.0190</t>
  </si>
  <si>
    <t xml:space="preserve"> K       0.9097    0.0167    0.9486    0.9022     1.0423     1.1027     0.9966</t>
  </si>
  <si>
    <t xml:space="preserve"> Mn      0.9753    0.0000    0.9940    0.7972     1.0567     1.1942     1.0415</t>
  </si>
  <si>
    <t xml:space="preserve"> Al      0.6510    0.0097    0.7302    0.9667     1.0029     1.3992     0.9999</t>
  </si>
  <si>
    <t xml:space="preserve"> P       0.6873    0.0021    0.7447    0.9443     1.0179     1.3942     0.9891</t>
  </si>
  <si>
    <t xml:space="preserve"> Mg      0.5370    0.0071    0.6156    1.0058     0.9953     1.6113     1.0059</t>
  </si>
  <si>
    <t xml:space="preserve"> Ca      0.9288    0.0064    0.9621    0.9165     1.0466     1.0767     1.0017</t>
  </si>
  <si>
    <t xml:space="preserve"> Ti      0.9490    0.0099    0.9764    0.8267     1.0531     1.1650     1.0029</t>
  </si>
  <si>
    <t xml:space="preserve"> Na       3.57      4.81      3.57      4.81     1.400   0.9830   0.03630   1.83167  </t>
  </si>
  <si>
    <t xml:space="preserve"> S        0.0536    0.1339    0.0536    0.1339   0.0151  0.9893   0.000542  0.100732  </t>
  </si>
  <si>
    <t xml:space="preserve"> Fe       9.30     11.97      9.30     11.97     1.503   0.9997   0.09306   0.89458  </t>
  </si>
  <si>
    <t xml:space="preserve"> Si      21.15     45.25     21.15     45.25     6.793   1.0113   0.20916   0.87311  </t>
  </si>
  <si>
    <t xml:space="preserve"> Cl       0.1325    0.1325    0.1325    0.1325   0.0337  0.9854   0.001345  0.092675  </t>
  </si>
  <si>
    <t xml:space="preserve"> F        0.2803    0.2803    0.2803    0.2803   0.1331  1.0190   0.002751  0.577865  </t>
  </si>
  <si>
    <t xml:space="preserve"> K        1.80      2.17      1.80      2.17     0.415   0.9966   0.01805   2.63857  </t>
  </si>
  <si>
    <t xml:space="preserve"> Mn       0.1678    0.2166    0.1678    0.2166   0.0275  1.0415   0.001611  0.004783  </t>
  </si>
  <si>
    <t xml:space="preserve"> Al       8.23     15.55      8.23     15.55     2.751   0.9999   0.08229   1.23720  </t>
  </si>
  <si>
    <t xml:space="preserve"> P        0.4226    0.9683    0.4225    0.9682   0.1231  0.9891   0.004272  2.498437  </t>
  </si>
  <si>
    <t xml:space="preserve"> Mg       2.59      4.29      2.59      4.29     0.960   1.0059   0.02573   0.83561  </t>
  </si>
  <si>
    <t xml:space="preserve"> Ca       7.49     10.48      7.49     10.48     1.686   1.0017   0.07479   1.11770  </t>
  </si>
  <si>
    <t xml:space="preserve"> Ti       2.26      3.76      2.26      3.76     0.425   1.0029   0.02249   0.91989  </t>
  </si>
  <si>
    <t xml:space="preserve"> O       42.57       -       42.56       -      24.000      -         -        </t>
  </si>
  <si>
    <t>Total:  100.01    100.01    100.00    100.00    16.266</t>
  </si>
  <si>
    <t xml:space="preserve">Unknown Specimen No. 36 </t>
  </si>
  <si>
    <t xml:space="preserve"> UNK No.      :   36            Comment : UnknA-C22-PS1-L2_1                       </t>
  </si>
  <si>
    <t xml:space="preserve"> Stage        :    X=   15.5515  Y=   64.6030  Z=   11.4755 </t>
  </si>
  <si>
    <t xml:space="preserve"> Dated on Dec 20 18:19 2016 </t>
  </si>
  <si>
    <t xml:space="preserve"> 1 Na   129.476    337.7    0.0   20.6    1.77      172 </t>
  </si>
  <si>
    <t xml:space="preserve"> 2 S    171.948      1.5    6.1    5.3   42.77 ?    116 </t>
  </si>
  <si>
    <t xml:space="preserve"> 3 Fe   134.739    166.1    2.8    3.5    1.77      413 </t>
  </si>
  <si>
    <t xml:space="preserve"> 4 Si    77.822   3217.3   32.6   17.7    0.40      227 </t>
  </si>
  <si>
    <t xml:space="preserve"> 5 Cl   151.478     13.2    9.4    7.8    7.63       46 </t>
  </si>
  <si>
    <t xml:space="preserve"> 6 F    199.140      1.9    3.7    3.4   29.22      382 </t>
  </si>
  <si>
    <t xml:space="preserve"> 7 K    119.485    286.2   28.5   22.5    1.17       59 </t>
  </si>
  <si>
    <t xml:space="preserve"> 8 Mn   146.243      2.3    2.5    2.0   20.59      303 </t>
  </si>
  <si>
    <t xml:space="preserve"> 9 Al    90.995   1027.1   14.7   10.8    0.71      161 </t>
  </si>
  <si>
    <t xml:space="preserve">10 P    197.118     19.4    4.5    2.9    5.94      167 </t>
  </si>
  <si>
    <t xml:space="preserve">11 Mg   107.534    645.8   43.0    0.0    0.91      180 </t>
  </si>
  <si>
    <t xml:space="preserve">12 Ca   107.121   2471.5   32.7   39.8    0.46       92 </t>
  </si>
  <si>
    <t xml:space="preserve">13 Ti    88.305    604.7    0.0   45.5    0.94      126 </t>
  </si>
  <si>
    <t xml:space="preserve"> Na      0.4043    0.0040    0.4825    0.9906     0.9879     2.1095     0.9856</t>
  </si>
  <si>
    <t xml:space="preserve"> S       0.7697    0.0037    0.8218    0.9600     1.0247     1.2324     0.9896</t>
  </si>
  <si>
    <t xml:space="preserve"> Fe      0.9809    0.0000    0.9969    0.8086     1.0561     1.1747     1.0002</t>
  </si>
  <si>
    <t xml:space="preserve"> Si      0.7044    0.0013    0.7730    0.9850     1.0103     1.2983     1.0114</t>
  </si>
  <si>
    <t xml:space="preserve"> Cl      0.8321    0.0069    0.8816    0.9109     1.0312     1.1991     0.9855</t>
  </si>
  <si>
    <t xml:space="preserve"> F       0.1890    0.0014    0.2482    1.0161     0.9754     4.0597     1.0231</t>
  </si>
  <si>
    <t xml:space="preserve"> K       0.9100    0.0186    0.9489    0.9018     1.0421     1.1009     0.9949</t>
  </si>
  <si>
    <t xml:space="preserve"> Mn      0.9752    0.0000    0.9939    0.7969     1.0566     1.1949     1.0421</t>
  </si>
  <si>
    <t xml:space="preserve"> Al      0.6481    0.0097    0.7269    0.9663     1.0027     1.4062     1.0049</t>
  </si>
  <si>
    <t xml:space="preserve"> P       0.6865    0.0020    0.7438    0.9440     1.0177     1.3965     0.9907</t>
  </si>
  <si>
    <t xml:space="preserve"> Mg      0.5399    0.0070    0.6189    1.0054     0.9951     1.6038     1.0013</t>
  </si>
  <si>
    <t xml:space="preserve"> Ca      0.9309    0.0063    0.9642    0.9161     1.0465     1.0749     1.0000</t>
  </si>
  <si>
    <t xml:space="preserve"> Ti      0.9485    0.0099    0.9759    0.8264     1.0529     1.1661     1.0038</t>
  </si>
  <si>
    <t xml:space="preserve"> Na       2.97      4.00      2.97      4.01     1.163   0.9856   0.03013   1.52035  </t>
  </si>
  <si>
    <t xml:space="preserve"> S        0.0117    0.0293    0.0117    0.0293   0.0033  0.9896   0.000118  0.022006  </t>
  </si>
  <si>
    <t xml:space="preserve"> Fe       9.39     12.08      9.40     12.09     1.514   1.0002   0.09391   0.90268  </t>
  </si>
  <si>
    <t xml:space="preserve"> Si      21.38     45.73     21.39     45.77     6.850   1.0114   0.21132   0.88212  </t>
  </si>
  <si>
    <t xml:space="preserve"> Cl       0.0808    0.0808    0.0808    0.0808   0.0205  0.9855   0.000819  0.056471  </t>
  </si>
  <si>
    <t xml:space="preserve"> F        0.1543    0.1543    0.1545    0.1545   0.0731  1.0231   0.001509  0.316939  </t>
  </si>
  <si>
    <t xml:space="preserve"> K        1.06      1.28      1.06      1.28     0.244   0.9949   0.01065   1.55688  </t>
  </si>
  <si>
    <t xml:space="preserve"> Mn       0.1466    0.1893    0.1468    0.1895   0.0240  1.0421   0.001407  0.004178  </t>
  </si>
  <si>
    <t xml:space="preserve"> Al       7.79     14.73      7.80     14.74     2.601   1.0049   0.07756   1.16612  </t>
  </si>
  <si>
    <t xml:space="preserve"> P        0.2371    0.5434    0.2373    0.5439   0.0689  0.9907   0.002394  1.399767  </t>
  </si>
  <si>
    <t xml:space="preserve"> Mg       3.40      5.64      3.40      5.64     1.259   1.0013   0.03396   1.10305  </t>
  </si>
  <si>
    <t xml:space="preserve"> Ca       8.48     11.86      8.48     11.87     1.904   1.0000   0.08476   1.26683  </t>
  </si>
  <si>
    <t xml:space="preserve"> Ti       2.16      3.60      2.16      3.60     0.405   1.0038   0.02149   0.87899  </t>
  </si>
  <si>
    <t xml:space="preserve"> O       42.65       -       42.69       -      24.000      -         -        </t>
  </si>
  <si>
    <t>Total:   99.91     99.91    100.00    100.00    16.131</t>
  </si>
  <si>
    <t xml:space="preserve">Unknown Specimen No. 37 </t>
  </si>
  <si>
    <t xml:space="preserve"> UNK No.      :   37            Comment : UnknA-C22-PS1-L2_2                       </t>
  </si>
  <si>
    <t xml:space="preserve"> Stage        :    X=   15.9360  Y=   64.9965  Z=   11.4745 </t>
  </si>
  <si>
    <t xml:space="preserve"> Dated on Dec 20 18:23 2016 </t>
  </si>
  <si>
    <t xml:space="preserve"> 1 Na   129.476    340.0    0.0   20.8    1.77      172 </t>
  </si>
  <si>
    <t xml:space="preserve"> 2 S    171.948      2.5    6.8    4.5   26.29      114 </t>
  </si>
  <si>
    <t xml:space="preserve"> 3 Fe   134.739    167.2    2.3    1.4    1.75      297 </t>
  </si>
  <si>
    <t xml:space="preserve"> 4 Si    77.822   3246.4   31.1   17.6    0.40      223 </t>
  </si>
  <si>
    <t xml:space="preserve"> 5 Cl   151.478     12.5    8.6    8.7    7.99       47 </t>
  </si>
  <si>
    <t xml:space="preserve"> 6 F    199.140      1.9    3.7    1.9   27.16      352 </t>
  </si>
  <si>
    <t xml:space="preserve"> 7 K    119.485    288.8   31.2   20.8    1.17       59 </t>
  </si>
  <si>
    <t xml:space="preserve"> 8 Mn   146.243      2.3    1.6    1.9   18.87      270 </t>
  </si>
  <si>
    <t xml:space="preserve"> 9 Al    90.995   1019.9   14.2   10.1    0.71      157 </t>
  </si>
  <si>
    <t xml:space="preserve">10 P    197.118     20.6    4.3    2.8    5.67      163 </t>
  </si>
  <si>
    <t xml:space="preserve">11 Mg   107.534    632.1   41.4    0.0    0.92      176 </t>
  </si>
  <si>
    <t xml:space="preserve">12 Ca   107.121   2428.6   33.3   38.8    0.46       91 </t>
  </si>
  <si>
    <t xml:space="preserve">13 Ti    88.305    609.4    0.0   44.2    0.94      124 </t>
  </si>
  <si>
    <t xml:space="preserve"> Na      0.4041    0.0039    0.4823    0.9906     0.9879     2.1105     0.9861</t>
  </si>
  <si>
    <t xml:space="preserve"> S       0.7694    0.0036    0.8215    0.9599     1.0248     1.2329     0.9900</t>
  </si>
  <si>
    <t xml:space="preserve"> Fe      0.9809    0.0000    0.9969    0.8086     1.0562     1.1746     1.0002</t>
  </si>
  <si>
    <t xml:space="preserve"> Si      0.7050    0.0013    0.7737    0.9850     1.0103     1.2972     1.0106</t>
  </si>
  <si>
    <t xml:space="preserve"> Cl      0.8318    0.0069    0.8814    0.9109     1.0313     1.1996     0.9859</t>
  </si>
  <si>
    <t xml:space="preserve"> F       0.1891    0.0014    0.2483    1.0161     0.9755     4.0572     1.0224</t>
  </si>
  <si>
    <t xml:space="preserve"> K       0.9099    0.0183    0.9488    0.9018     1.0422     1.1013     0.9954</t>
  </si>
  <si>
    <t xml:space="preserve"> Mn      0.9753    0.0000    0.9939    0.7969     1.0566     1.1949     1.0421</t>
  </si>
  <si>
    <t xml:space="preserve"> Al      0.6483    0.0098    0.7272    0.9663     1.0027     1.4056     1.0045</t>
  </si>
  <si>
    <t xml:space="preserve"> P       0.6862    0.0020    0.7436    0.9440     1.0177     1.3971     0.9911</t>
  </si>
  <si>
    <t xml:space="preserve"> Mg      0.5396    0.0070    0.6185    1.0054     0.9952     1.6047     1.0018</t>
  </si>
  <si>
    <t xml:space="preserve"> Ca      0.9308    0.0064    0.9641    0.9161     1.0465     1.0750     1.0001</t>
  </si>
  <si>
    <t xml:space="preserve"> Ti      0.9487    0.0100    0.9761    0.8264     1.0530     1.1657     1.0035</t>
  </si>
  <si>
    <t xml:space="preserve"> Na       2.99      4.03      2.99      4.03     1.168   0.9861   0.03034   1.53072  </t>
  </si>
  <si>
    <t xml:space="preserve"> S        0.0194    0.0483    0.0193    0.0483   0.0054  0.9900   0.000195  0.036338  </t>
  </si>
  <si>
    <t xml:space="preserve"> Fe       9.45     12.16      9.45     12.15     1.520   1.0002   0.09452   0.90854  </t>
  </si>
  <si>
    <t xml:space="preserve"> Si      21.55     46.10     21.54     46.07     6.888   1.0106   0.21323   0.89010  </t>
  </si>
  <si>
    <t xml:space="preserve"> Cl       0.0768    0.0768    0.0767    0.0767   0.0194  0.9859   0.000779  0.053660  </t>
  </si>
  <si>
    <t xml:space="preserve"> F        0.1577    0.1577    0.1577    0.1577   0.0745  1.0224   0.001543  0.324130  </t>
  </si>
  <si>
    <t xml:space="preserve"> K        1.07      1.29      1.07      1.29     0.246   0.9954   0.01075   1.57125  </t>
  </si>
  <si>
    <t xml:space="preserve"> Mn       0.1500    0.1937    0.1499    0.1936   0.0245  1.0421   0.001439  0.004274  </t>
  </si>
  <si>
    <t xml:space="preserve"> Al       7.74     14.62      7.73     14.61     2.574   1.0045   0.07701   1.15786  </t>
  </si>
  <si>
    <t xml:space="preserve"> P        0.2530    0.5798    0.2529    0.5795   0.0734  0.9911   0.002553  1.492900  </t>
  </si>
  <si>
    <t xml:space="preserve"> Mg       3.33      5.52      3.33      5.52     1.230   1.0018   0.03325   1.07978  </t>
  </si>
  <si>
    <t xml:space="preserve"> Ca       8.33     11.65      8.33     11.65     1.866   1.0001   0.08329   1.24481  </t>
  </si>
  <si>
    <t xml:space="preserve"> Ti       2.17      3.63      2.17      3.62     0.407   1.0035   0.02166   0.88575  </t>
  </si>
  <si>
    <t xml:space="preserve"> O       42.77       -       42.74       -      24.000      -         -        </t>
  </si>
  <si>
    <t>Total:  100.06    100.06    100.00    100.00    16.097</t>
  </si>
  <si>
    <t xml:space="preserve">Unknown Specimen No. 38 </t>
  </si>
  <si>
    <t xml:space="preserve"> UNK No.      :   38            Comment : UnknA-C22-PS1-L2_3                       </t>
  </si>
  <si>
    <t xml:space="preserve"> Stage        :    X=   15.2080  Y=   65.0475  Z=   11.4775 </t>
  </si>
  <si>
    <t xml:space="preserve"> Dated on Dec 20 18:26 2016 </t>
  </si>
  <si>
    <t xml:space="preserve"> 1 Na   129.476    361.1    0.0   20.9    1.71      173 </t>
  </si>
  <si>
    <t xml:space="preserve"> 2 S    171.948      1.7    6.9    5.8   41.43 ?    122 </t>
  </si>
  <si>
    <t xml:space="preserve"> 3 Fe   134.739    167.9    2.6    2.8    1.76      378 </t>
  </si>
  <si>
    <t xml:space="preserve"> 4 Si    77.822   3188.4   30.1   17.3    0.40      220 </t>
  </si>
  <si>
    <t xml:space="preserve"> 5 Cl   151.478     10.3    7.7    8.5    9.11       45 </t>
  </si>
  <si>
    <t xml:space="preserve"> 6 F    199.140      1.1    3.1    3.1   43.81 ?    356 </t>
  </si>
  <si>
    <t xml:space="preserve"> 7 K    119.485    296.2   30.7   21.5    1.15       59 </t>
  </si>
  <si>
    <t xml:space="preserve"> 8 Mn   146.243      2.5    2.1    1.5   17.65      271 </t>
  </si>
  <si>
    <t xml:space="preserve"> 9 Al    90.995   1012.3   14.7    8.5    0.71      154 </t>
  </si>
  <si>
    <t xml:space="preserve">10 P    197.118     18.7    2.5    2.2    5.79      136 </t>
  </si>
  <si>
    <t xml:space="preserve">11 Mg   107.534    633.3   35.7    0.0    0.91      164 </t>
  </si>
  <si>
    <t xml:space="preserve">12 Ca   107.121   2443.4   32.1   36.8    0.46       89 </t>
  </si>
  <si>
    <t xml:space="preserve">13 Ti    88.305    591.5    0.0   47.4    0.96      128 </t>
  </si>
  <si>
    <t xml:space="preserve"> Na      0.4038    0.0039    0.4819    0.9909     0.9878     2.1115     0.9866</t>
  </si>
  <si>
    <t xml:space="preserve"> S       0.7697    0.0037    0.8218    0.9603     1.0246     1.2322     0.9894</t>
  </si>
  <si>
    <t xml:space="preserve"> Fe      0.9809    0.0000    0.9969    0.8088     1.0561     1.1743     0.9999</t>
  </si>
  <si>
    <t xml:space="preserve"> Si      0.7039    0.0013    0.7724    0.9853     1.0102     1.2990     1.0120</t>
  </si>
  <si>
    <t xml:space="preserve"> Cl      0.8321    0.0069    0.8816    0.9112     1.0311     1.1989     0.9853</t>
  </si>
  <si>
    <t xml:space="preserve"> F       0.1894    0.0014    0.2487    1.0164     0.9753     4.0508     1.0208</t>
  </si>
  <si>
    <t xml:space="preserve"> K       0.9100    0.0185    0.9490    0.9021     1.0420     1.1007     0.9948</t>
  </si>
  <si>
    <t xml:space="preserve"> Mn      0.9752    0.0000    0.9939    0.7972     1.0566     1.1946     1.0418</t>
  </si>
  <si>
    <t xml:space="preserve"> Al      0.6469    0.0096    0.7255    0.9667     1.0026     1.4087     1.0067</t>
  </si>
  <si>
    <t xml:space="preserve"> P       0.6865    0.0020    0.7438    0.9443     1.0176     1.3963     0.9906</t>
  </si>
  <si>
    <t xml:space="preserve"> Mg      0.5381    0.0070    0.6168    1.0057     0.9950     1.6090     1.0045</t>
  </si>
  <si>
    <t xml:space="preserve"> Ca      0.9308    0.0064    0.9642    0.9164     1.0464     1.0747     0.9998</t>
  </si>
  <si>
    <t xml:space="preserve"> Ti      0.9486    0.0101    0.9760    0.8267     1.0529     1.1655     1.0033</t>
  </si>
  <si>
    <t xml:space="preserve"> Na       3.18      4.28      3.20      4.31     1.253   0.9866   0.03221   1.62532  </t>
  </si>
  <si>
    <t xml:space="preserve"> S        0.0127    0.0317    0.0128    0.0319   0.0036  0.9894   0.000128  0.023849  </t>
  </si>
  <si>
    <t xml:space="preserve"> Fe       9.49     12.21      9.55     12.29     1.541   0.9999   0.09494   0.91266  </t>
  </si>
  <si>
    <t xml:space="preserve"> Si      21.20     45.35     21.32     45.61     6.841   1.0120   0.20942   0.87418  </t>
  </si>
  <si>
    <t xml:space="preserve"> Cl       0.0635    0.0635    0.0639    0.0639   0.0162  0.9853   0.000645  0.044418  </t>
  </si>
  <si>
    <t xml:space="preserve"> F        0.0924    0.0924    0.0929    0.0929   0.0441  1.0208   0.000905  0.190135  </t>
  </si>
  <si>
    <t xml:space="preserve"> K        1.10      1.32      1.10      1.33     0.254   0.9948   0.01102   1.61141  </t>
  </si>
  <si>
    <t xml:space="preserve"> Mn       0.1623    0.2096    0.1633    0.2108   0.0268  1.0418   0.001558  0.004626  </t>
  </si>
  <si>
    <t xml:space="preserve"> Al       7.70     14.54      7.74     14.63     2.585   1.0067   0.07644   1.14928  </t>
  </si>
  <si>
    <t xml:space="preserve"> P        0.2290    0.5247    0.2303    0.5277   0.0670  0.9906   0.002312  1.351773  </t>
  </si>
  <si>
    <t xml:space="preserve"> Mg       3.35      5.55      3.37      5.58     1.247   1.0045   0.03331   1.08173  </t>
  </si>
  <si>
    <t xml:space="preserve"> Ca       8.38     11.72      8.43     11.79     1.895   0.9998   0.08380   1.25242  </t>
  </si>
  <si>
    <t xml:space="preserve"> Ti       2.11      3.52      2.12      3.54     0.399   1.0033   0.02102   0.85985  </t>
  </si>
  <si>
    <t xml:space="preserve"> O       42.37       -       42.61       -      24.000      -         -        </t>
  </si>
  <si>
    <t>Total:   99.43     99.43    100.00    100.00    16.173</t>
  </si>
  <si>
    <t xml:space="preserve">Unknown Specimen No. 39 </t>
  </si>
  <si>
    <t xml:space="preserve"> UNK No.      :   39            Comment : UnknA-C22-PS1-L2_4                       </t>
  </si>
  <si>
    <t xml:space="preserve"> Stage        :    X=   13.9905  Y=   65.5060  Z=   11.4850 </t>
  </si>
  <si>
    <t xml:space="preserve"> Dated on Dec 20 18:29 2016 </t>
  </si>
  <si>
    <t xml:space="preserve"> 1 Na   129.476    338.5    0.0   18.9    1.77      164 </t>
  </si>
  <si>
    <t xml:space="preserve"> 2 S    171.948      2.5    5.8    4.5   26.05      110 </t>
  </si>
  <si>
    <t xml:space="preserve"> 3 Fe   134.739    164.9    2.3    3.2    1.77      390 </t>
  </si>
  <si>
    <t xml:space="preserve"> 4 Si    77.822   3225.6   29.3   17.0    0.40      217 </t>
  </si>
  <si>
    <t xml:space="preserve"> 5 Cl   151.478     12.3    9.0    8.5    8.12       47 </t>
  </si>
  <si>
    <t xml:space="preserve"> 6 F    199.140      1.9    2.5    2.9   26.08      329 </t>
  </si>
  <si>
    <t xml:space="preserve"> 7 K    119.485    277.6   30.6   20.9    1.20       59 </t>
  </si>
  <si>
    <t xml:space="preserve"> 8 Mn   146.243      2.0    2.1    1.8   22.60      285 </t>
  </si>
  <si>
    <t xml:space="preserve"> 9 Al    90.995   1038.3   15.3   11.7    0.70      166 </t>
  </si>
  <si>
    <t xml:space="preserve">10 P    197.118     19.5    2.3    3.2    5.79      151 </t>
  </si>
  <si>
    <t xml:space="preserve">11 Mg   107.534    632.2   41.4    0.0    0.92      176 </t>
  </si>
  <si>
    <t xml:space="preserve">12 Ca   107.121   2437.1   36.1   36.5    0.46       91 </t>
  </si>
  <si>
    <t xml:space="preserve">13 Ti    88.305    600.9    0.0   47.5    0.95      128 </t>
  </si>
  <si>
    <t xml:space="preserve"> Na      0.4049    0.0040    0.4832    0.9903     0.9881     2.1066     0.9843</t>
  </si>
  <si>
    <t xml:space="preserve"> S       0.7694    0.0036    0.8215    0.9597     1.0249     1.2331     0.9902</t>
  </si>
  <si>
    <t xml:space="preserve"> Fe      0.9809    0.0000    0.9969    0.8084     1.0562     1.1749     1.0004</t>
  </si>
  <si>
    <t xml:space="preserve"> Si      0.7046    0.0013    0.7732    0.9847     1.0104     1.2983     1.0114</t>
  </si>
  <si>
    <t xml:space="preserve"> Cl      0.8318    0.0069    0.8814    0.9107     1.0314     1.1998     0.9860</t>
  </si>
  <si>
    <t xml:space="preserve"> F       0.1892    0.0014    0.2483    1.0158     0.9756     4.0578     1.0226</t>
  </si>
  <si>
    <t xml:space="preserve"> K       0.9099    0.0184    0.9488    0.9016     1.0423     1.1014     0.9955</t>
  </si>
  <si>
    <t xml:space="preserve"> Mn      0.9753    0.0000    0.9939    0.7967     1.0567     1.1951     1.0423</t>
  </si>
  <si>
    <t xml:space="preserve"> Al      0.6490    0.0097    0.7279    0.9660     1.0028     1.4045     1.0037</t>
  </si>
  <si>
    <t xml:space="preserve"> P       0.6862    0.0020    0.7435    0.9437     1.0179     1.3974     0.9914</t>
  </si>
  <si>
    <t xml:space="preserve"> Mg      0.5404    0.0071    0.6195    1.0051     0.9953     1.6024     1.0004</t>
  </si>
  <si>
    <t xml:space="preserve"> Ca      0.9309    0.0063    0.9642    0.9159     1.0466     1.0752     1.0002</t>
  </si>
  <si>
    <t xml:space="preserve"> Ti      0.9487    0.0098    0.9761    0.8262     1.0530     1.1662     1.0039</t>
  </si>
  <si>
    <t xml:space="preserve"> Na       2.97      4.01      2.98      4.02     1.164   0.9843   0.03020   1.52395  </t>
  </si>
  <si>
    <t xml:space="preserve"> S        0.0189    0.0473    0.0190    0.0474   0.0053  0.9902   0.000191  0.035552  </t>
  </si>
  <si>
    <t xml:space="preserve"> Fe       9.33     12.00      9.35     12.03     1.503   1.0004   0.09324   0.89624  </t>
  </si>
  <si>
    <t xml:space="preserve"> Si      21.43     45.85     21.49     45.97     6.867   1.0114   0.21187   0.88440  </t>
  </si>
  <si>
    <t xml:space="preserve"> Cl       0.0755    0.0755    0.0757    0.0757   0.0192  0.9860   0.000765  0.052740  </t>
  </si>
  <si>
    <t xml:space="preserve"> F        0.1532    0.1532    0.1536    0.1536   0.0726  1.0226   0.001498  0.314733  </t>
  </si>
  <si>
    <t xml:space="preserve"> K        1.03      1.24      1.03      1.24     0.237   0.9955   0.01033   1.51019  </t>
  </si>
  <si>
    <t xml:space="preserve"> Mn       0.1248    0.1612    0.1252    0.1616   0.0204  1.0423   0.001198  0.003556  </t>
  </si>
  <si>
    <t xml:space="preserve"> Al       7.87     14.87      7.89     14.91     2.625   1.0037   0.07840   1.17876  </t>
  </si>
  <si>
    <t xml:space="preserve"> P        0.2390    0.5477    0.2396    0.5491   0.0695  0.9914   0.002411  1.409714  </t>
  </si>
  <si>
    <t xml:space="preserve"> Mg       3.33      5.52      3.34      5.53     1.232   1.0004   0.03325   1.07986  </t>
  </si>
  <si>
    <t xml:space="preserve"> Ca       8.36     11.70      8.38     11.73     1.877   1.0002   0.08358   1.24920  </t>
  </si>
  <si>
    <t xml:space="preserve"> Ti       2.14      3.58      2.15      3.59     0.403   1.0039   0.02136   0.87346  </t>
  </si>
  <si>
    <t xml:space="preserve"> O       42.67       -       42.78       -      24.000      -         -        </t>
  </si>
  <si>
    <t>Total:   99.74     99.74    100.00    100.00    16.095</t>
  </si>
  <si>
    <t xml:space="preserve">Unknown Specimen No. 40 </t>
  </si>
  <si>
    <t xml:space="preserve"> UNK No.      :   40            Comment : UnknA-C22-PS1-L2_5                       </t>
  </si>
  <si>
    <t xml:space="preserve"> Stage        :    X=   13.5940  Y=   64.9440  Z=   11.4875 </t>
  </si>
  <si>
    <t xml:space="preserve"> Dated on Dec 20 18:33 2016 </t>
  </si>
  <si>
    <t xml:space="preserve"> 1 Na   129.476    345.4    0.0   19.2    1.75      166 </t>
  </si>
  <si>
    <t xml:space="preserve"> 2 S    171.948      3.3    5.9    4.7   20.43      111 </t>
  </si>
  <si>
    <t xml:space="preserve"> 3 Fe   134.739    162.2    3.2    3.6    1.80      426 </t>
  </si>
  <si>
    <t xml:space="preserve"> 4 Si    77.822   3292.1   31.9   18.8    0.39      227 </t>
  </si>
  <si>
    <t xml:space="preserve"> 5 Cl   151.478     11.9    9.6    8.7    8.41       48 </t>
  </si>
  <si>
    <t xml:space="preserve"> 6 F    199.140      1.0    3.7    2.8   50.74 ?    372 </t>
  </si>
  <si>
    <t xml:space="preserve"> 7 K    119.485    272.1   30.7   20.7    1.21       59 </t>
  </si>
  <si>
    <t xml:space="preserve"> 8 Mn   146.243      2.3    2.1    1.8   19.57      283 </t>
  </si>
  <si>
    <t xml:space="preserve"> 9 Al    90.995   1040.6   14.6   12.4    0.70      165 </t>
  </si>
  <si>
    <t xml:space="preserve">10 P    197.118     18.0    2.2    3.0    6.04      146 </t>
  </si>
  <si>
    <t xml:space="preserve">11 Mg   107.534    646.0   43.0    0.0    0.91      180 </t>
  </si>
  <si>
    <t xml:space="preserve">12 Ca   107.121   2454.2   31.2   37.8    0.46       89 </t>
  </si>
  <si>
    <t xml:space="preserve">13 Ti    88.305    589.9    0.0   44.1    0.95      124 </t>
  </si>
  <si>
    <t xml:space="preserve"> Na      0.4066    0.0040    0.4853    0.9896     0.9883     2.0987     0.9806</t>
  </si>
  <si>
    <t xml:space="preserve"> S       0.7692    0.0036    0.8213    0.9590     1.0251     1.2340     0.9909</t>
  </si>
  <si>
    <t xml:space="preserve"> Fe      0.9810    0.0000    0.9970    0.8079     1.0563     1.1754     1.0008</t>
  </si>
  <si>
    <t xml:space="preserve"> Si      0.7056    0.0012    0.7743    0.9841     1.0107     1.2970     1.0104</t>
  </si>
  <si>
    <t xml:space="preserve"> Cl      0.8317    0.0068    0.8812    0.9101     1.0316     1.2006     0.9867</t>
  </si>
  <si>
    <t xml:space="preserve"> F       0.1889    0.0014    0.2480    1.0151     0.9758     4.0654     1.0245</t>
  </si>
  <si>
    <t xml:space="preserve"> K       0.9098    0.0183    0.9487    0.9010     1.0425     1.1021     0.9961</t>
  </si>
  <si>
    <t xml:space="preserve"> Mn      0.9753    0.0000    0.9940    0.7962     1.0568     1.1956     1.0427</t>
  </si>
  <si>
    <t xml:space="preserve"> Al      0.6499    0.0099    0.7289    0.9654     1.0031     1.4029     1.0026</t>
  </si>
  <si>
    <t xml:space="preserve"> P       0.6858    0.0020    0.7431    0.9431     1.0181     1.3988     0.9924</t>
  </si>
  <si>
    <t xml:space="preserve"> Mg      0.5418    0.0071    0.6211    1.0044     0.9955     1.5988     0.9981</t>
  </si>
  <si>
    <t xml:space="preserve"> Ca      0.9309    0.0062    0.9642    0.9153     1.0468     1.0758     1.0008</t>
  </si>
  <si>
    <t xml:space="preserve"> Ti      0.9487    0.0096    0.9761    0.8256     1.0532     1.1669     1.0045</t>
  </si>
  <si>
    <t xml:space="preserve"> Na       3.02      4.07      3.01      4.05     1.170   0.9806   0.03082   1.55504  </t>
  </si>
  <si>
    <t xml:space="preserve"> S        0.0252    0.0630    0.0251    0.0627   0.0070  0.9909   0.000255  0.047316  </t>
  </si>
  <si>
    <t xml:space="preserve"> Fe       9.17     11.80      9.13     11.74     1.462   1.0008   0.09167   0.88122  </t>
  </si>
  <si>
    <t xml:space="preserve"> Si      21.84     46.72     21.73     46.47     6.921   1.0104   0.21624   0.90264  </t>
  </si>
  <si>
    <t xml:space="preserve"> Cl       0.0733    0.0733    0.0729    0.0729   0.0184  0.9867   0.000743  0.051218  </t>
  </si>
  <si>
    <t xml:space="preserve"> F        0.0831    0.0831    0.0827    0.0827   0.0389  1.0245   0.000811  0.170398  </t>
  </si>
  <si>
    <t xml:space="preserve"> K        1.01      1.21      1.00      1.21     0.230   0.9961   0.01012   1.48010  </t>
  </si>
  <si>
    <t xml:space="preserve"> Mn       0.1480    0.1911    0.1472    0.1901   0.0240  1.0427   0.001419  0.004214  </t>
  </si>
  <si>
    <t xml:space="preserve"> Al       7.88     14.88      7.83     14.80     2.598   1.0026   0.07857   1.18139  </t>
  </si>
  <si>
    <t xml:space="preserve"> P        0.2210    0.5063    0.2198    0.5036   0.0635  0.9924   0.002226  1.302042  </t>
  </si>
  <si>
    <t xml:space="preserve"> Mg       3.39      5.62      3.37      5.59     1.242   0.9981   0.03398   1.10347  </t>
  </si>
  <si>
    <t xml:space="preserve"> Ca       8.42     11.79      8.38     11.72     1.871   1.0008   0.08417   1.25796  </t>
  </si>
  <si>
    <t xml:space="preserve"> Ti       2.11      3.51      2.09      3.49     0.391   1.0045   0.02097   0.85751  </t>
  </si>
  <si>
    <t xml:space="preserve"> O       43.14       -       42.91       -      24.000      -         -        </t>
  </si>
  <si>
    <t>Total:  100.54    100.54    100.00    100.00    16.036</t>
  </si>
  <si>
    <t xml:space="preserve">Unknown Specimen No. 41 </t>
  </si>
  <si>
    <t xml:space="preserve"> UNK No.      :   41            Comment : UnknA-C22-PS1-L2_6                       </t>
  </si>
  <si>
    <t xml:space="preserve"> Stage        :    X=   13.0415  Y=   65.5825  Z=   11.4890 </t>
  </si>
  <si>
    <t xml:space="preserve"> Dated on Dec 20 18:36 2016 </t>
  </si>
  <si>
    <t xml:space="preserve"> 1 Na   129.476    347.1    0.0   18.4    1.74      162 </t>
  </si>
  <si>
    <t xml:space="preserve"> 2 S    171.948      2.9    6.0    5.1   23.60      114 </t>
  </si>
  <si>
    <t xml:space="preserve"> 3 Fe   134.739    168.2    3.3    2.9    1.76      398 </t>
  </si>
  <si>
    <t xml:space="preserve"> 4 Si    77.822   3274.8   29.4   20.3    0.39      223 </t>
  </si>
  <si>
    <t xml:space="preserve"> 5 Cl   151.478     11.7    7.8    8.0    8.21       45 </t>
  </si>
  <si>
    <t xml:space="preserve"> 6 F    199.140      1.4    3.1    3.3   37.58 ?    359 </t>
  </si>
  <si>
    <t xml:space="preserve"> 7 K    119.485    284.4   29.6   23.0    1.18       60 </t>
  </si>
  <si>
    <t xml:space="preserve"> 8 Mn   146.243      1.9    2.1    2.1   23.87      296 </t>
  </si>
  <si>
    <t xml:space="preserve"> 9 Al    90.995   1024.6   17.5   12.0    0.71      173 </t>
  </si>
  <si>
    <t xml:space="preserve">10 P    197.118     18.6    3.7    3.3    6.10      166 </t>
  </si>
  <si>
    <t xml:space="preserve">11 Mg   107.534    643.0   41.5    0.0    0.91      177 </t>
  </si>
  <si>
    <t xml:space="preserve">12 Ca   107.121   2475.8   31.2   38.0    0.46       89 </t>
  </si>
  <si>
    <t xml:space="preserve">13 Ti    88.305    611.8    0.0   46.9    0.94      128 </t>
  </si>
  <si>
    <t xml:space="preserve"> Na      0.4044    0.0040    0.4827    0.9905     0.9879     2.1090     0.9854</t>
  </si>
  <si>
    <t xml:space="preserve"> S       0.7695    0.0037    0.8216    0.9599     1.0248     1.2328     0.9899</t>
  </si>
  <si>
    <t xml:space="preserve"> Fe      0.9809    0.0000    0.9969    0.8085     1.0562     1.1747     1.0003</t>
  </si>
  <si>
    <t xml:space="preserve"> Si      0.7051    0.0013    0.7737    0.9849     1.0103     1.2972     1.0106</t>
  </si>
  <si>
    <t xml:space="preserve"> Cl      0.8319    0.0069    0.8815    0.9108     1.0313     1.1995     0.9858</t>
  </si>
  <si>
    <t xml:space="preserve"> F       0.1891    0.0014    0.2483    1.0160     0.9755     4.0584     1.0227</t>
  </si>
  <si>
    <t xml:space="preserve"> K       0.9099    0.0185    0.9488    0.9017     1.0422     1.1012     0.9952</t>
  </si>
  <si>
    <t xml:space="preserve"> Mn      0.9752    0.0000    0.9939    0.7968     1.0566     1.1950     1.0422</t>
  </si>
  <si>
    <t xml:space="preserve"> Al      0.6482    0.0098    0.7270    0.9662     1.0027     1.4060     1.0047</t>
  </si>
  <si>
    <t xml:space="preserve"> P       0.6862    0.0020    0.7435    0.9439     1.0177     1.3972     0.9912</t>
  </si>
  <si>
    <t xml:space="preserve"> Mg      0.5397    0.0070    0.6186    1.0053     0.9952     1.6046     1.0017</t>
  </si>
  <si>
    <t xml:space="preserve"> Ca      0.9309    0.0063    0.9642    0.9160     1.0465     1.0750     1.0001</t>
  </si>
  <si>
    <t xml:space="preserve"> Ti      0.9486    0.0099    0.9760    0.8263     1.0530     1.1660     1.0038</t>
  </si>
  <si>
    <t xml:space="preserve"> Na       3.05      4.11      3.03      4.08     1.182   0.9854   0.03097   1.56269  </t>
  </si>
  <si>
    <t xml:space="preserve"> S        0.0220    0.0549    0.0218    0.0544   0.0061  0.9899   0.000222  0.041247  </t>
  </si>
  <si>
    <t xml:space="preserve"> Fe       9.51     12.23      9.43     12.13     1.517   1.0003   0.09509   0.91405  </t>
  </si>
  <si>
    <t xml:space="preserve"> Si      21.73     46.48     21.55     46.10     6.890   1.0106   0.21510   0.89789  </t>
  </si>
  <si>
    <t xml:space="preserve"> Cl       0.0716    0.0716    0.0710    0.0710   0.0180  0.9858   0.000727  0.050072  </t>
  </si>
  <si>
    <t xml:space="preserve"> F        0.1101    0.1101    0.1092    0.1092   0.0516  1.0227   0.001076  0.226126  </t>
  </si>
  <si>
    <t xml:space="preserve"> K        1.05      1.27      1.04      1.26     0.240   0.9952   0.01058   1.54707  </t>
  </si>
  <si>
    <t xml:space="preserve"> Mn       0.1211    0.1563    0.1201    0.1550   0.0196  1.0422   0.001162  0.003449  </t>
  </si>
  <si>
    <t xml:space="preserve"> Al       7.77     14.69      7.71     14.56     2.566   1.0047   0.07737   1.16326  </t>
  </si>
  <si>
    <t xml:space="preserve"> P        0.2274    0.5212    0.2256    0.5169   0.0654  0.9912   0.002295  1.341899  </t>
  </si>
  <si>
    <t xml:space="preserve"> Mg       3.39      5.62      3.36      5.57     1.241   1.0017   0.03382   1.09825  </t>
  </si>
  <si>
    <t xml:space="preserve"> Ca       8.49     11.88      8.42     11.78     1.887   1.0001   0.08491   1.26900  </t>
  </si>
  <si>
    <t xml:space="preserve"> Ti       2.18      3.64      2.16      3.61     0.406   1.0038   0.02174   0.88932  </t>
  </si>
  <si>
    <t xml:space="preserve"> O       43.11       -       42.75       -      24.000      -         -        </t>
  </si>
  <si>
    <t>Total:  100.83    100.83    100.00    100.00    16.091</t>
  </si>
  <si>
    <t xml:space="preserve">Unknown Specimen No. 42 </t>
  </si>
  <si>
    <t xml:space="preserve"> UNK No.      :   42            Comment : UnknA-C22-PS1-L2_7                       </t>
  </si>
  <si>
    <t xml:space="preserve"> Stage        :    X=   14.1765  Y=   66.9295  Z=   11.4855 </t>
  </si>
  <si>
    <t xml:space="preserve"> Dated on Dec 20 18:40 2016 </t>
  </si>
  <si>
    <t xml:space="preserve"> 1 Na   129.476    335.3    0.0   19.0    1.78      165 </t>
  </si>
  <si>
    <t xml:space="preserve"> 2 S    171.948      2.4    5.6    4.5   27.20      109 </t>
  </si>
  <si>
    <t xml:space="preserve"> 3 Fe   134.739    168.7    3.2    2.7    1.75      387 </t>
  </si>
  <si>
    <t xml:space="preserve"> 4 Si    77.822   3269.9   28.0   19.2    0.39      218 </t>
  </si>
  <si>
    <t xml:space="preserve"> 5 Cl   151.478     15.5    7.9    8.1    6.63       45 </t>
  </si>
  <si>
    <t xml:space="preserve"> 6 F    199.140      1.6    3.3    2.9   32.90      361 </t>
  </si>
  <si>
    <t xml:space="preserve"> 7 K    119.485    275.8   30.8   24.9    1.21       61 </t>
  </si>
  <si>
    <t xml:space="preserve"> 8 Mn   146.243      2.9    1.7    1.5   15.57      260 </t>
  </si>
  <si>
    <t xml:space="preserve"> 9 Al    90.995   1038.6   15.2   11.5    0.70      165 </t>
  </si>
  <si>
    <t xml:space="preserve">10 P    197.118     18.9    3.0    2.3    5.81      143 </t>
  </si>
  <si>
    <t xml:space="preserve">11 Mg   107.534    635.1   39.1    0.0    0.91      171 </t>
  </si>
  <si>
    <t xml:space="preserve">12 Ca   107.121   2455.2   32.8   35.1    0.46       88 </t>
  </si>
  <si>
    <t xml:space="preserve">13 Ti    88.305    596.4    0.0   46.6    0.95      127 </t>
  </si>
  <si>
    <t xml:space="preserve"> Na      0.4040    0.0040    0.4822    0.9906     0.9879     2.1110     0.9863</t>
  </si>
  <si>
    <t xml:space="preserve"> S       0.7693    0.0036    0.8214    0.9599     1.0248     1.2331     0.9902</t>
  </si>
  <si>
    <t xml:space="preserve"> Fe      0.9810    0.0000    0.9970    0.8086     1.0561     1.1746     1.0002</t>
  </si>
  <si>
    <t xml:space="preserve"> Si      0.7047    0.0012    0.7733    0.9850     1.0103     1.2978     1.0111</t>
  </si>
  <si>
    <t xml:space="preserve"> Cl      0.8318    0.0068    0.8813    0.9109     1.0312     1.1998     0.9860</t>
  </si>
  <si>
    <t xml:space="preserve"> F       0.1891    0.0014    0.2483    1.0161     0.9754     4.0577     1.0226</t>
  </si>
  <si>
    <t xml:space="preserve"> K       0.9098    0.0183    0.9487    0.9018     1.0421     1.1014     0.9954</t>
  </si>
  <si>
    <t xml:space="preserve"> Mn      0.9753    0.0000    0.9940    0.7969     1.0566     1.1948     1.0420</t>
  </si>
  <si>
    <t xml:space="preserve"> Al      0.6486    0.0098    0.7275    0.9663     1.0027     1.4050     1.0041</t>
  </si>
  <si>
    <t xml:space="preserve"> P       0.6860    0.0020    0.7433    0.9440     1.0177     1.3976     0.9915</t>
  </si>
  <si>
    <t xml:space="preserve"> Mg      0.5399    0.0071    0.6188    1.0054     0.9951     1.6038     1.0013</t>
  </si>
  <si>
    <t xml:space="preserve"> Ca      0.9309    0.0063    0.9642    0.9161     1.0465     1.0750     1.0001</t>
  </si>
  <si>
    <t xml:space="preserve"> Ti      0.9487    0.0100    0.9761    0.8264     1.0529     1.1657     1.0035</t>
  </si>
  <si>
    <t xml:space="preserve"> Na       2.95      3.98      2.93      3.95     1.145   0.9863   0.02992   1.50954  </t>
  </si>
  <si>
    <t xml:space="preserve"> S        0.0180    0.0449    0.0179    0.0446   0.0050  0.9902   0.000182  0.033786  </t>
  </si>
  <si>
    <t xml:space="preserve"> Fe       9.54     12.27      9.47     12.18     1.523   1.0002   0.09535   0.91659  </t>
  </si>
  <si>
    <t xml:space="preserve"> Si      21.71     46.43     21.56     46.11     6.891   1.0111   0.21478   0.89654  </t>
  </si>
  <si>
    <t xml:space="preserve"> Cl       0.0950    0.0950    0.0943    0.0943   0.0239  0.9860   0.000963  0.066380  </t>
  </si>
  <si>
    <t xml:space="preserve"> F        0.1287    0.1287    0.1278    0.1278   0.0604  1.0226   0.001258  0.264386  </t>
  </si>
  <si>
    <t xml:space="preserve"> K        1.02      1.23      1.01      1.22     0.233   0.9954   0.01026   1.50016  </t>
  </si>
  <si>
    <t xml:space="preserve"> Mn       0.1860    0.2401    0.1847    0.2385   0.0302  1.0420   0.001785  0.005299  </t>
  </si>
  <si>
    <t xml:space="preserve"> Al       7.87     14.88      7.82     14.77     2.602   1.0041   0.07842   1.17910  </t>
  </si>
  <si>
    <t xml:space="preserve"> P        0.2317    0.5309    0.2300    0.5272   0.0667  0.9915   0.002336  1.366312  </t>
  </si>
  <si>
    <t xml:space="preserve"> Mg       3.34      5.55      3.32      5.51     1.227   1.0013   0.03340   1.08491  </t>
  </si>
  <si>
    <t xml:space="preserve"> Ca       8.42     11.78      8.36     11.70     1.873   1.0001   0.08420   1.25847  </t>
  </si>
  <si>
    <t xml:space="preserve"> Ti       2.13      3.55      2.11      3.52     0.396   1.0035   0.02120   0.86691  </t>
  </si>
  <si>
    <t xml:space="preserve"> O       43.06       -       42.76       -      24.000      -         -        </t>
  </si>
  <si>
    <t>Total:  100.70    100.70    100.00    100.00    16.075</t>
  </si>
  <si>
    <t xml:space="preserve">Unknown Specimen No. 43 </t>
  </si>
  <si>
    <t xml:space="preserve"> UNK No.      :   43            Comment : UnknA-C22-PS1-L2_8                       </t>
  </si>
  <si>
    <t xml:space="preserve"> Stage        :    X=   14.4965  Y=   66.5395  Z=   11.4855 </t>
  </si>
  <si>
    <t xml:space="preserve"> Dated on Dec 20 18:43 2016 </t>
  </si>
  <si>
    <t xml:space="preserve"> 1 Na   129.476    329.2    0.0   19.3    1.79      166 </t>
  </si>
  <si>
    <t xml:space="preserve"> 2 S    171.948      2.0    5.8    4.8   32.46      112 </t>
  </si>
  <si>
    <t xml:space="preserve"> 3 Fe   134.739    169.2    3.1    2.8    1.75      389 </t>
  </si>
  <si>
    <t xml:space="preserve"> 4 Si    77.822   3307.2   32.9   18.7    0.39      229 </t>
  </si>
  <si>
    <t xml:space="preserve"> 5 Cl   151.478     13.3    9.0    7.3    7.46       45 </t>
  </si>
  <si>
    <t xml:space="preserve"> 6 F    199.140      1.8    3.3    2.9   28.66      359 </t>
  </si>
  <si>
    <t xml:space="preserve"> 7 K    119.485    267.2   29.3   21.0    1.22       58 </t>
  </si>
  <si>
    <t xml:space="preserve"> 8 Mn   146.243      2.4    2.2    1.7   18.93      282 </t>
  </si>
  <si>
    <t xml:space="preserve"> 9 Al    90.995   1025.7   14.6   11.1    0.71      162 </t>
  </si>
  <si>
    <t xml:space="preserve">10 P    197.118     18.5    2.7    3.0    5.99      151 </t>
  </si>
  <si>
    <t xml:space="preserve">11 Mg   107.534    632.6   39.8    0.0    0.92      173 </t>
  </si>
  <si>
    <t xml:space="preserve">12 Ca   107.121   2496.1   32.8   39.5    0.45       91 </t>
  </si>
  <si>
    <t xml:space="preserve">13 Ti    88.305    605.4    0.0   47.0    0.94      128 </t>
  </si>
  <si>
    <t xml:space="preserve"> Na      0.4037    0.0040    0.4819    0.9905     0.9879     2.1123     0.9870</t>
  </si>
  <si>
    <t xml:space="preserve"> S       0.7694    0.0037    0.8215    0.9599     1.0247     1.2331     0.9902</t>
  </si>
  <si>
    <t xml:space="preserve"> Fe      0.9809    0.0000    0.9969    0.8085     1.0561     1.1747     1.0003</t>
  </si>
  <si>
    <t xml:space="preserve"> Si      0.7057    0.0013    0.7744    0.9849     1.0103     1.2961     1.0098</t>
  </si>
  <si>
    <t xml:space="preserve"> Cl      0.8318    0.0069    0.8814    0.9109     1.0312     1.1997     0.9860</t>
  </si>
  <si>
    <t xml:space="preserve"> F       0.1889    0.0014    0.2481    1.0160     0.9754     4.0621     1.0237</t>
  </si>
  <si>
    <t xml:space="preserve"> K       0.9099    0.0185    0.9488    0.9018     1.0421     1.1012     0.9952</t>
  </si>
  <si>
    <t xml:space="preserve"> Mn      0.9753    0.0000    0.9939    0.7969     1.0566     1.1950     1.0422</t>
  </si>
  <si>
    <t xml:space="preserve"> Al      0.6489    0.0098    0.7278    0.9663     1.0027     1.4043     1.0036</t>
  </si>
  <si>
    <t xml:space="preserve"> P       0.6860    0.0020    0.7433    0.9439     1.0177     1.3977     0.9915</t>
  </si>
  <si>
    <t xml:space="preserve"> Mg      0.5400    0.0071    0.6190    1.0053     0.9951     1.6034     1.0010</t>
  </si>
  <si>
    <t xml:space="preserve"> Ca      0.9310    0.0063    0.9643    0.9161     1.0465     1.0749     1.0000</t>
  </si>
  <si>
    <t xml:space="preserve"> Ti      0.9486    0.0100    0.9760    0.8263     1.0529     1.1660     1.0037</t>
  </si>
  <si>
    <t xml:space="preserve"> Na       2.90      3.91      2.87      3.87     1.120   0.9870   0.02937   1.48206  </t>
  </si>
  <si>
    <t xml:space="preserve"> S        0.0152    0.0379    0.0150    0.0375   0.0042  0.9902   0.000153  0.028455  </t>
  </si>
  <si>
    <t xml:space="preserve"> Fe       9.57     12.31      9.47     12.18     1.521   1.0003   0.09567   0.91966  </t>
  </si>
  <si>
    <t xml:space="preserve"> Si      21.92     46.89     21.69     46.39     6.929   1.0098   0.21723   0.90677  </t>
  </si>
  <si>
    <t xml:space="preserve"> Cl       0.0816    0.0816    0.0808    0.0808   0.0204  0.9860   0.000828  0.057053  </t>
  </si>
  <si>
    <t xml:space="preserve"> F        0.1498    0.1498    0.1482    0.1482   0.0700  1.0237   0.001463  0.307408  </t>
  </si>
  <si>
    <t xml:space="preserve"> K        0.9893    1.1918    0.9789    1.1792   0.2247  0.9952   0.009941  1.453362  </t>
  </si>
  <si>
    <t xml:space="preserve"> Mn       0.1533    0.1979    0.1517    0.1958   0.0248  1.0422   0.001471  0.004367  </t>
  </si>
  <si>
    <t xml:space="preserve"> Al       7.77     14.68      7.69     14.53     2.557   1.0036   0.07745   1.16448  </t>
  </si>
  <si>
    <t xml:space="preserve"> P        0.2264    0.5189    0.2241    0.5134   0.0649  0.9915   0.002284  1.335570  </t>
  </si>
  <si>
    <t xml:space="preserve"> Mg       3.33      5.52      3.29      5.46     1.216   1.0010   0.03327   1.08054  </t>
  </si>
  <si>
    <t xml:space="preserve"> Ca       8.56     11.98      8.47     11.85     1.896   1.0000   0.08561   1.27942  </t>
  </si>
  <si>
    <t xml:space="preserve"> Ti       2.16      3.60      2.14      3.56     0.400   1.0037   0.02151   0.87993  </t>
  </si>
  <si>
    <t xml:space="preserve"> O       43.25       -       42.79       -      24.000      -         -        </t>
  </si>
  <si>
    <t>Total:  101.07    101.07    100.00    100.00    16.049</t>
  </si>
  <si>
    <t xml:space="preserve">Unknown Specimen No. 44 </t>
  </si>
  <si>
    <t xml:space="preserve"> UNK No.      :   44            Comment : UnknA-C22-PS1-L2_9                       </t>
  </si>
  <si>
    <t xml:space="preserve"> Stage        :    X=   14.9590  Y=   67.0540  Z=   11.4815 </t>
  </si>
  <si>
    <t xml:space="preserve"> Dated on Dec 20 18:47 2016 </t>
  </si>
  <si>
    <t xml:space="preserve"> 1 Na   129.476    345.1    0.0   19.0    1.75      165 </t>
  </si>
  <si>
    <t xml:space="preserve"> 2 S    171.948      1.5    6.5    5.2   42.71 ?    117 </t>
  </si>
  <si>
    <t xml:space="preserve"> 3 Fe   134.739    165.8    2.0    2.7    1.76      359 </t>
  </si>
  <si>
    <t xml:space="preserve"> 4 Si    77.822   3279.8   32.2   19.9    0.39      230 </t>
  </si>
  <si>
    <t xml:space="preserve"> 5 Cl   151.478     14.1    7.9    7.1    6.97       43 </t>
  </si>
  <si>
    <t xml:space="preserve"> 6 F    199.140      1.6    2.9    2.5   31.47      335 </t>
  </si>
  <si>
    <t xml:space="preserve"> 7 K    119.485    280.1   28.5   21.1    1.19       58 </t>
  </si>
  <si>
    <t xml:space="preserve"> 8 Mn   146.243      2.1    2.3    1.4   20.78      275 </t>
  </si>
  <si>
    <t xml:space="preserve"> 9 Al    90.995   1025.3   14.9    9.7    0.71      159 </t>
  </si>
  <si>
    <t xml:space="preserve">10 P    197.118     19.8    2.2    2.5    5.63      138 </t>
  </si>
  <si>
    <t xml:space="preserve">11 Mg   107.534    649.6   39.7    0.0    0.90      173 </t>
  </si>
  <si>
    <t xml:space="preserve">12 Ca   107.121   2451.4   32.9   37.4    0.46       90 </t>
  </si>
  <si>
    <t xml:space="preserve">13 Ti    88.305    597.7    0.0   45.1    0.95      125 </t>
  </si>
  <si>
    <t xml:space="preserve"> Na      0.4053    0.0040    0.4837    0.9901     0.9881     2.1048     0.9834</t>
  </si>
  <si>
    <t xml:space="preserve"> S       0.7693    0.0036    0.8214    0.9595     1.0249     1.2335     0.9904</t>
  </si>
  <si>
    <t xml:space="preserve"> Fe      0.9810    0.0000    0.9969    0.8082     1.0562     1.1750     1.0005</t>
  </si>
  <si>
    <t xml:space="preserve"> Si      0.7053    0.0013    0.7740    0.9845     1.0105     1.2970     1.0105</t>
  </si>
  <si>
    <t xml:space="preserve"> Cl      0.8318    0.0068    0.8813    0.9105     1.0314     1.2000     0.9863</t>
  </si>
  <si>
    <t xml:space="preserve"> F       0.1892    0.0014    0.2484    1.0156     0.9756     4.0582     1.0227</t>
  </si>
  <si>
    <t xml:space="preserve"> K       0.9098    0.0183    0.9487    0.9014     1.0423     1.1017     0.9957</t>
  </si>
  <si>
    <t xml:space="preserve"> Mn      0.9753    0.0000    0.9940    0.7966     1.0567     1.1952     1.0424</t>
  </si>
  <si>
    <t xml:space="preserve"> Al      0.6487    0.0098    0.7276    0.9659     1.0029     1.4051     1.0041</t>
  </si>
  <si>
    <t xml:space="preserve"> P       0.6860    0.0020    0.7433    0.9436     1.0179     1.3979     0.9917</t>
  </si>
  <si>
    <t xml:space="preserve"> Mg      0.5406    0.0071    0.6197    1.0049     0.9953     1.6021     1.0002</t>
  </si>
  <si>
    <t xml:space="preserve"> Ca      0.9309    0.0063    0.9642    0.9157     1.0466     1.0754     1.0004</t>
  </si>
  <si>
    <t xml:space="preserve"> Ti      0.9487    0.0098    0.9761    0.8260     1.0531     1.1663     1.0040</t>
  </si>
  <si>
    <t xml:space="preserve"> Na       3.03      4.08      3.01      4.06     1.175   0.9834   0.03079   1.55369  </t>
  </si>
  <si>
    <t xml:space="preserve"> S        0.0118    0.0294    0.0117    0.0293   0.0033  0.9904   0.000119  0.022114  </t>
  </si>
  <si>
    <t xml:space="preserve"> Fe       9.37     12.06      9.32     11.99     1.497   1.0005   0.09371   0.90077  </t>
  </si>
  <si>
    <t xml:space="preserve"> Si      21.76     46.55     21.63     46.28     6.909   1.0105   0.21542   0.89925  </t>
  </si>
  <si>
    <t xml:space="preserve"> Cl       0.0868    0.0868    0.0863    0.0863   0.0218  0.9863   0.000880  0.060649  </t>
  </si>
  <si>
    <t xml:space="preserve"> F        0.1266    0.1266    0.1258    0.1258   0.0594  1.0227   0.001238  0.260029  </t>
  </si>
  <si>
    <t xml:space="preserve"> K        1.04      1.25      1.03      1.24     0.237   0.9957   0.01042   1.52392  </t>
  </si>
  <si>
    <t xml:space="preserve"> Mn       0.1337    0.1726    0.1329    0.1716   0.0217  1.0424   0.001283  0.003808  </t>
  </si>
  <si>
    <t xml:space="preserve"> Al       7.77     14.69      7.73     14.60     2.569   1.0041   0.07742   1.16406  </t>
  </si>
  <si>
    <t xml:space="preserve"> P        0.2424    0.5556    0.2410    0.5523   0.0698  0.9917   0.002445  1.429606  </t>
  </si>
  <si>
    <t xml:space="preserve"> Mg       3.42      5.67      3.40      5.63     1.253   1.0002   0.03416   1.10954  </t>
  </si>
  <si>
    <t xml:space="preserve"> Ca       8.41     11.77      8.36     11.70     1.872   1.0004   0.08407   1.25650  </t>
  </si>
  <si>
    <t xml:space="preserve"> Ti       2.13      3.56      2.12      3.54     0.397   1.0040   0.02124   0.86879  </t>
  </si>
  <si>
    <t xml:space="preserve"> O       43.06       -       42.80       -      24.000      -         -        </t>
  </si>
  <si>
    <t>Total:  100.59    100.59    100.00    100.00    16.085</t>
  </si>
  <si>
    <t xml:space="preserve">Unknown Specimen No. 45 </t>
  </si>
  <si>
    <t xml:space="preserve"> UNK No.      :   45            Comment : UnknA-C22-PS1-L3_1                       </t>
  </si>
  <si>
    <t xml:space="preserve"> Stage        :    X=   18.7920  Y=   64.5185  Z=   11.4640 </t>
  </si>
  <si>
    <t xml:space="preserve"> Dated on Dec 20 18:50 2016 </t>
  </si>
  <si>
    <t xml:space="preserve">Curr.(A) : 1.007E-08 </t>
  </si>
  <si>
    <t xml:space="preserve"> 1 Na   129.476    334.2    0.0   18.1    1.78      161 </t>
  </si>
  <si>
    <t xml:space="preserve"> 2 S    171.948      2.2    5.6    4.7   28.79      110 </t>
  </si>
  <si>
    <t xml:space="preserve"> 3 Fe   134.739    177.7    3.2    2.3    1.70      368 </t>
  </si>
  <si>
    <t xml:space="preserve"> 4 Si    77.822   3336.6   31.8   18.4    0.39      226 </t>
  </si>
  <si>
    <t xml:space="preserve"> 5 Cl   151.478     12.1    9.1    8.3    8.21       47 </t>
  </si>
  <si>
    <t xml:space="preserve"> 6 F    199.140      0.8    3.4    2.7   63.22 ?    357 </t>
  </si>
  <si>
    <t xml:space="preserve"> 7 K    119.485    243.6   29.5   23.1    1.29       59 </t>
  </si>
  <si>
    <t xml:space="preserve"> 8 Mn   146.243      3.2    1.9    1.5   14.56      261 </t>
  </si>
  <si>
    <t xml:space="preserve"> 9 Al    90.995   1066.1   14.4    9.4    0.69      156 </t>
  </si>
  <si>
    <t xml:space="preserve">10 P    197.118     18.6    3.1    3.2    6.03      158 </t>
  </si>
  <si>
    <t xml:space="preserve">11 Mg   107.534    622.0   45.3    0.0    0.93      184 </t>
  </si>
  <si>
    <t xml:space="preserve">12 Ca   107.121   2296.3   34.2   37.7    0.47       91 </t>
  </si>
  <si>
    <t xml:space="preserve">13 Ti    88.305    587.3    0.0   47.3    0.96      128 </t>
  </si>
  <si>
    <t xml:space="preserve"> Na      0.4027    0.0040    0.4806    0.9906     0.9880     2.1176     0.9894</t>
  </si>
  <si>
    <t xml:space="preserve"> S       0.7679    0.0034    0.8199    0.9600     1.0248     1.2356     0.9922</t>
  </si>
  <si>
    <t xml:space="preserve"> Fe      0.9813    0.0000    0.9973    0.8086     1.0562     1.1741     0.9997</t>
  </si>
  <si>
    <t xml:space="preserve"> Si      0.7037    0.0012    0.7723    0.9850     1.0104     1.2996     1.0125</t>
  </si>
  <si>
    <t xml:space="preserve"> Cl      0.8307    0.0064    0.8801    0.9109     1.0313     1.2018     0.9877</t>
  </si>
  <si>
    <t xml:space="preserve"> F       0.1903    0.0014    0.2499    1.0161     0.9755     4.0319     1.0161</t>
  </si>
  <si>
    <t xml:space="preserve"> K       0.9092    0.0173    0.9481    0.9019     1.0422     1.1031     0.9970</t>
  </si>
  <si>
    <t xml:space="preserve"> Mn      0.9758    0.0000    0.9945    0.7969     1.0567     1.1941     1.0414</t>
  </si>
  <si>
    <t xml:space="preserve"> Al      0.6484    0.0098    0.7272    0.9663     1.0027     1.4054     1.0044</t>
  </si>
  <si>
    <t xml:space="preserve"> P       0.6842    0.0018    0.7413    0.9440     1.0178     1.4014     0.9942</t>
  </si>
  <si>
    <t xml:space="preserve"> Mg      0.5388    0.0071    0.6176    1.0054     0.9952     1.6067     1.0031</t>
  </si>
  <si>
    <t xml:space="preserve"> Ca      0.9308    0.0065    0.9641    0.9162     1.0465     1.0749     1.0000</t>
  </si>
  <si>
    <t xml:space="preserve"> Ti      0.9496    0.0107    0.9771    0.8264     1.0530     1.1637     1.0018</t>
  </si>
  <si>
    <t xml:space="preserve"> Na       2.95      3.97      2.90      3.91     1.130   0.9894   0.02979   1.50309  </t>
  </si>
  <si>
    <t xml:space="preserve"> S        0.0171    0.0428    0.0169    0.0421   0.0047  0.9922   0.000173  0.032071  </t>
  </si>
  <si>
    <t xml:space="preserve"> Fe      10.03     12.91      9.89     12.72     1.583   0.9997   0.10038   0.96493  </t>
  </si>
  <si>
    <t xml:space="preserve"> Si      22.15     47.37     21.82     46.68     6.949   1.0125   0.21894   0.91392  </t>
  </si>
  <si>
    <t xml:space="preserve"> Cl       0.0741    0.0741    0.0730    0.0730   0.0184  0.9877   0.000750  0.051722  </t>
  </si>
  <si>
    <t xml:space="preserve"> F        0.0627    0.0627    0.0618    0.0618   0.0291  1.0161   0.000618  0.129739  </t>
  </si>
  <si>
    <t xml:space="preserve"> K        0.9029    1.0877    0.8897    1.0717   0.2035  0.9970   0.009057  1.324098  </t>
  </si>
  <si>
    <t xml:space="preserve"> Mn       0.2034    0.2627    0.2005    0.2588   0.0326  1.0414   0.001953  0.005800  </t>
  </si>
  <si>
    <t xml:space="preserve"> Al       8.07     15.26      7.96     15.03     2.638   1.0044   0.08042   1.20918  </t>
  </si>
  <si>
    <t xml:space="preserve"> P        0.2284    0.5233    0.2250    0.5156   0.0650  0.9942   0.002297  1.343276  </t>
  </si>
  <si>
    <t xml:space="preserve"> Mg       3.28      5.43      3.23      5.36     1.188   1.0031   0.03268   1.06146  </t>
  </si>
  <si>
    <t xml:space="preserve"> Ca       7.87     11.01      7.75     10.85     1.730   1.0000   0.07868   1.17586  </t>
  </si>
  <si>
    <t xml:space="preserve"> Ti       2.09      3.48      2.06      3.43     0.384   1.0018   0.02085   0.85281  </t>
  </si>
  <si>
    <t xml:space="preserve"> O       43.57       -       42.93       -      24.000      -         -        </t>
  </si>
  <si>
    <t>Total:  101.49    101.49    100.00    100.00    15.955</t>
  </si>
  <si>
    <t xml:space="preserve">Unknown Specimen No. 46 </t>
  </si>
  <si>
    <t xml:space="preserve"> UNK No.      :   46            Comment : UnknA-C22-PS1-L3_2                       </t>
  </si>
  <si>
    <t xml:space="preserve"> Stage        :    X=   18.7840  Y=   64.9785  Z=   11.4645 </t>
  </si>
  <si>
    <t xml:space="preserve"> Dated on Dec 20 18:54 2016 </t>
  </si>
  <si>
    <t xml:space="preserve"> 1 Na   129.476    287.9    0.0   19.3    1.93      166 </t>
  </si>
  <si>
    <t xml:space="preserve"> 2 S    171.948      3.0    5.3    4.5   21.86      107 </t>
  </si>
  <si>
    <t xml:space="preserve"> 3 Fe   134.739    166.5    2.7    3.7    1.77      419 </t>
  </si>
  <si>
    <t xml:space="preserve"> 4 Si    77.822   3347.8   30.7   19.6    0.39      225 </t>
  </si>
  <si>
    <t xml:space="preserve"> 5 Cl   151.478     10.6    9.0    9.4    9.27       48 </t>
  </si>
  <si>
    <t xml:space="preserve"> 6 F    199.140      1.5    3.3    2.7   34.42 ?    356 </t>
  </si>
  <si>
    <t xml:space="preserve"> 7 K    119.485    206.2   28.1   21.6    1.42       58 </t>
  </si>
  <si>
    <t xml:space="preserve"> 8 Mn   146.243      1.5    1.8    2.7   30.04      309 </t>
  </si>
  <si>
    <t xml:space="preserve"> 9 Al    90.995   1069.5   17.5    9.2    0.69      166 </t>
  </si>
  <si>
    <t xml:space="preserve">10 P    197.118     19.2    3.0    3.2    5.90      157 </t>
  </si>
  <si>
    <t xml:space="preserve">11 Mg   107.534    644.9   41.7    0.0    0.91      177 </t>
  </si>
  <si>
    <t xml:space="preserve">12 Ca   107.121   2546.3   31.8   37.6    0.45       89 </t>
  </si>
  <si>
    <t xml:space="preserve">13 Ti    88.305    602.4    0.0   45.5    0.94      126 </t>
  </si>
  <si>
    <t xml:space="preserve"> Na      0.4049    0.0040    0.4833    0.9897     0.9882     2.1071     0.9845</t>
  </si>
  <si>
    <t xml:space="preserve"> S       0.7689    0.0036    0.8210    0.9591     1.0250     1.2346     0.9913</t>
  </si>
  <si>
    <t xml:space="preserve"> Fe      0.9810    0.0000    0.9969    0.8079     1.0563     1.1754     1.0009</t>
  </si>
  <si>
    <t xml:space="preserve"> Si      0.7061    0.0012    0.7748    0.9841     1.0106     1.2962     1.0098</t>
  </si>
  <si>
    <t xml:space="preserve"> Cl      0.8314    0.0068    0.8810    0.9101     1.0315     1.2010     0.9871</t>
  </si>
  <si>
    <t xml:space="preserve"> F       0.1885    0.0014    0.2475    1.0152     0.9757     4.0745     1.0268</t>
  </si>
  <si>
    <t xml:space="preserve"> K       0.9097    0.0187    0.9486    0.9010     1.0424     1.1018     0.9958</t>
  </si>
  <si>
    <t xml:space="preserve"> Mn      0.9753    0.0000    0.9940    0.7962     1.0568     1.1957     1.0428</t>
  </si>
  <si>
    <t xml:space="preserve"> Al      0.6515    0.0099    0.7307    0.9655     1.0029     1.3993     1.0000</t>
  </si>
  <si>
    <t xml:space="preserve"> P       0.6855    0.0020    0.7428    0.9432     1.0180     1.3995     0.9929</t>
  </si>
  <si>
    <t xml:space="preserve"> Mg      0.5435    0.0072    0.6230    1.0045     0.9954     1.5939     0.9950</t>
  </si>
  <si>
    <t xml:space="preserve"> Ca      0.9315    0.0062    0.9648    0.9153     1.0467     1.0751     1.0002</t>
  </si>
  <si>
    <t xml:space="preserve"> Ti      0.9487    0.0097    0.9761    0.8257     1.0531     1.1669     1.0046</t>
  </si>
  <si>
    <t xml:space="preserve"> Na       2.53      3.40      2.49      3.36     0.966   0.9845   0.02566   1.29472  </t>
  </si>
  <si>
    <t xml:space="preserve"> S        0.0227    0.0567    0.0224    0.0559   0.0062  0.9913   0.000229  0.042559  </t>
  </si>
  <si>
    <t xml:space="preserve"> Fe       9.41     12.10      9.28     11.94     1.482   1.0009   0.09401   0.90367  </t>
  </si>
  <si>
    <t xml:space="preserve"> Si      22.16     47.41     21.86     46.77     6.940   1.0098   0.21967   0.91699  </t>
  </si>
  <si>
    <t xml:space="preserve"> Cl       0.0653    0.0653    0.0644    0.0644   0.0162  0.9871   0.000661  0.045564  </t>
  </si>
  <si>
    <t xml:space="preserve"> F        0.1217    0.1217    0.1201    0.1201   0.0563  1.0268   0.001185  0.249004  </t>
  </si>
  <si>
    <t xml:space="preserve"> K        0.7632    0.9193    0.7529    0.9069   0.1717  0.9958   0.007664  1.120496  </t>
  </si>
  <si>
    <t xml:space="preserve"> Mn       0.0964    0.1245    0.0951    0.1228   0.0154  1.0428   0.000925  0.002746  </t>
  </si>
  <si>
    <t xml:space="preserve"> Al       8.07     15.24      7.96     15.03     2.629   1.0000   0.08068   1.21302  </t>
  </si>
  <si>
    <t xml:space="preserve"> P        0.2359    0.5405    0.2327    0.5332   0.0670  0.9929   0.002376  1.389344  </t>
  </si>
  <si>
    <t xml:space="preserve"> Mg       3.37      5.59      3.33      5.51     1.220   0.9950   0.03388   1.10050  </t>
  </si>
  <si>
    <t xml:space="preserve"> Ca       8.73     12.21      8.61     12.04     1.915   1.0002   0.08724   1.30388  </t>
  </si>
  <si>
    <t xml:space="preserve"> Ti       2.15      3.58      2.12      3.54     0.394   1.0046   0.02139   0.87469  </t>
  </si>
  <si>
    <t xml:space="preserve"> O       43.66       -       43.07       -      24.000      -         -        </t>
  </si>
  <si>
    <t>Total:  101.37    101.37    100.00    100.00    15.879</t>
  </si>
  <si>
    <t xml:space="preserve">Unknown Specimen No. 47 </t>
  </si>
  <si>
    <t xml:space="preserve"> UNK No.      :   47            Comment : UnknA-C22-PS1-L3_3                       </t>
  </si>
  <si>
    <t xml:space="preserve"> Stage        :    X=   19.1025  Y=   64.6690  Z=   11.4645 </t>
  </si>
  <si>
    <t xml:space="preserve"> Dated on Dec 20 18:57 2016 </t>
  </si>
  <si>
    <t xml:space="preserve"> 1 Na   129.476    295.8    0.0   20.0    1.90      169 </t>
  </si>
  <si>
    <t xml:space="preserve"> 2 S    171.948      1.9    6.3    5.4   34.61 ?    117 </t>
  </si>
  <si>
    <t xml:space="preserve"> 3 Fe   134.739    160.2    3.3    3.5    1.81      424 </t>
  </si>
  <si>
    <t xml:space="preserve"> 4 Si    77.822   3341.4   32.9   17.7    0.39      227 </t>
  </si>
  <si>
    <t xml:space="preserve"> 5 Cl   151.478     12.4    8.2    7.2    7.77       44 </t>
  </si>
  <si>
    <t xml:space="preserve"> 6 F    199.140      0.8    3.7    2.7   60.70 ?    369 </t>
  </si>
  <si>
    <t xml:space="preserve"> 7 K    119.485     74.2   25.1   21.9    2.72       56 </t>
  </si>
  <si>
    <t xml:space="preserve"> 8 Mn   146.243      2.6    1.7    1.8   17.60      270 </t>
  </si>
  <si>
    <t xml:space="preserve"> 9 Al    90.995   1089.5   14.4   10.4    0.69      159 </t>
  </si>
  <si>
    <t xml:space="preserve">10 P    197.118     16.2    3.3    3.5    6.67      165 </t>
  </si>
  <si>
    <t xml:space="preserve">11 Mg   107.534    648.6   41.1    0.0    0.91      176 </t>
  </si>
  <si>
    <t xml:space="preserve">12 Ca   107.121   2649.6   36.2   37.2    0.44       91 </t>
  </si>
  <si>
    <t xml:space="preserve">13 Ti    88.305    585.8    0.0   48.5    0.96      130 </t>
  </si>
  <si>
    <t xml:space="preserve"> Na      0.4068    0.0041    0.4856    0.9889     0.9885     2.0984     0.9804</t>
  </si>
  <si>
    <t xml:space="preserve"> S       0.7688    0.0035    0.8208    0.9583     1.0253     1.2356     0.9922</t>
  </si>
  <si>
    <t xml:space="preserve"> Fe      0.9810    0.0000    0.9970    0.8073     1.0564     1.1761     1.0014</t>
  </si>
  <si>
    <t xml:space="preserve"> Si      0.7058    0.0012    0.7745    0.9833     1.0109     1.2974     1.0108</t>
  </si>
  <si>
    <t xml:space="preserve"> Cl      0.8313    0.0066    0.8809    0.9094     1.0318     1.2020     0.9879</t>
  </si>
  <si>
    <t xml:space="preserve"> F       0.1880    0.0014    0.2469    1.0143     0.9759     4.0863     1.0298</t>
  </si>
  <si>
    <t xml:space="preserve"> K       0.9096    0.0195    0.9485    0.9003     1.0426     1.1017     0.9957</t>
  </si>
  <si>
    <t xml:space="preserve"> Mn      0.9754    0.0000    0.9940    0.7956     1.0569     1.1963     1.0433</t>
  </si>
  <si>
    <t xml:space="preserve"> Al      0.6525    0.0099    0.7318    0.9647     1.0033     1.3980     0.9991</t>
  </si>
  <si>
    <t xml:space="preserve"> P       0.6851    0.0019    0.7423    0.9424     1.0183     1.4012     0.9940</t>
  </si>
  <si>
    <t xml:space="preserve"> Mg      0.5448    0.0073    0.6245    1.0037     0.9957     1.5906     0.9930</t>
  </si>
  <si>
    <t xml:space="preserve"> Ca      0.9326    0.0061    0.9660    0.9146     1.0469     1.0745     0.9996</t>
  </si>
  <si>
    <t xml:space="preserve"> Ti      0.9487    0.0095    0.9761    0.8250     1.0533     1.1678     1.0053</t>
  </si>
  <si>
    <t xml:space="preserve"> Na       2.59      3.49      2.56      3.45     0.989   0.9804   0.02639   1.33160  </t>
  </si>
  <si>
    <t xml:space="preserve"> S        0.0148    0.0371    0.0147    0.0367   0.0041  0.9922   0.000150  0.027808  </t>
  </si>
  <si>
    <t xml:space="preserve"> Fe       9.07     11.67      8.97     11.54     1.427   1.0014   0.09059   0.87080  </t>
  </si>
  <si>
    <t xml:space="preserve"> Si      22.17     47.42     21.93     46.91     6.935   1.0108   0.21947   0.91614  </t>
  </si>
  <si>
    <t xml:space="preserve"> Cl       0.0761    0.0761    0.0753    0.0753   0.0189  0.9879   0.000770  0.053097  </t>
  </si>
  <si>
    <t xml:space="preserve"> F        0.0686    0.0686    0.0679    0.0679   0.0317  1.0298   0.000666  0.140010  </t>
  </si>
  <si>
    <t xml:space="preserve"> K        0.2749    0.3311    0.2719    0.3275   0.0618  0.9957   0.002760  0.403581  </t>
  </si>
  <si>
    <t xml:space="preserve"> Mn       0.1635    0.2111    0.1617    0.2088   0.0262  1.0433   0.001567  0.004653  </t>
  </si>
  <si>
    <t xml:space="preserve"> Al       8.22     15.53      8.13     15.36     2.676   0.9991   0.08227   1.23695  </t>
  </si>
  <si>
    <t xml:space="preserve"> P        0.1989    0.4557    0.1967    0.4508   0.0564  0.9940   0.002001  1.170029  </t>
  </si>
  <si>
    <t xml:space="preserve"> Mg       3.39      5.62      3.35      5.55     1.224   0.9930   0.03411   1.10783  </t>
  </si>
  <si>
    <t xml:space="preserve"> Ca       9.08     12.71      8.98     12.57     1.991   0.9996   0.09087   1.35810  </t>
  </si>
  <si>
    <t xml:space="preserve"> Ti       2.09      3.49      2.07      3.45     0.384   1.0053   0.02082   0.85155  </t>
  </si>
  <si>
    <t xml:space="preserve"> O       43.70       -       43.22       -      24.000      -         -        </t>
  </si>
  <si>
    <t>Total:  101.10    101.10    100.00    100.00    15.826</t>
  </si>
  <si>
    <t xml:space="preserve">Unknown Specimen No. 48 </t>
  </si>
  <si>
    <t xml:space="preserve"> UNK No.      :   48            Comment : UnknA-C22-PS1-L3_4                       </t>
  </si>
  <si>
    <t xml:space="preserve"> Stage        :    X=   19.5485  Y=   65.5010  Z=   11.4660 </t>
  </si>
  <si>
    <t xml:space="preserve"> Dated on Dec 20 19:01 2016 </t>
  </si>
  <si>
    <t xml:space="preserve"> 1 Na   129.476    275.0    0.0   18.0    1.97      160 </t>
  </si>
  <si>
    <t xml:space="preserve"> 2 S    171.948      3.6    5.4    4.9   18.99      110 </t>
  </si>
  <si>
    <t xml:space="preserve"> 3 Fe   134.739    164.8    2.8    2.8    1.77      382 </t>
  </si>
  <si>
    <t xml:space="preserve"> 4 Si    77.822   3339.2   27.0   18.9    0.39      214 </t>
  </si>
  <si>
    <t xml:space="preserve"> 5 Cl   151.478     14.3    7.9    6.5    6.81       42 </t>
  </si>
  <si>
    <t xml:space="preserve"> 6 F    199.140      1.5    3.3    3.5   35.03 ?    372 </t>
  </si>
  <si>
    <t xml:space="preserve"> 7 K    119.485    268.9   30.3   21.2    1.22       59 </t>
  </si>
  <si>
    <t xml:space="preserve"> 8 Mn   146.243      2.5    2.4    1.6   18.54      285 </t>
  </si>
  <si>
    <t xml:space="preserve"> 9 Al    90.995   1069.5   13.4   11.3    0.69      158 </t>
  </si>
  <si>
    <t xml:space="preserve">10 P    197.118     17.6    2.5    2.2    6.01      135 </t>
  </si>
  <si>
    <t xml:space="preserve">11 Mg   107.534    668.0   40.4    0.0    0.89      174 </t>
  </si>
  <si>
    <t xml:space="preserve">12 Ca   107.121   2590.8   33.8   37.2    0.45       90 </t>
  </si>
  <si>
    <t xml:space="preserve">13 Ti    88.305    587.2    0.0   47.7    0.96      129 </t>
  </si>
  <si>
    <t xml:space="preserve"> Na      0.4050    0.0040    0.4834    0.9899     0.9880     2.1064     0.9842</t>
  </si>
  <si>
    <t xml:space="preserve"> S       0.7695    0.0037    0.8216    0.9593     1.0249     1.2334     0.9904</t>
  </si>
  <si>
    <t xml:space="preserve"> Fe      0.9808    0.0000    0.9968    0.8080     1.0562     1.1755     1.0009</t>
  </si>
  <si>
    <t xml:space="preserve"> Si      0.7062    0.0013    0.7749    0.9843     1.0104     1.2958     1.0095</t>
  </si>
  <si>
    <t xml:space="preserve"> Cl      0.8319    0.0070    0.8814    0.9103     1.0314     1.2001     0.9863</t>
  </si>
  <si>
    <t xml:space="preserve"> F       0.1880    0.0013    0.2468    1.0154     0.9756     4.0851     1.0295</t>
  </si>
  <si>
    <t xml:space="preserve"> K       0.9099    0.0189    0.9488    0.9012     1.0423     1.1013     0.9954</t>
  </si>
  <si>
    <t xml:space="preserve"> Mn      0.9751    0.0000    0.9938    0.7964     1.0567     1.1957     1.0428</t>
  </si>
  <si>
    <t xml:space="preserve"> Al      0.6515    0.0099    0.7307    0.9657     1.0028     1.3993     1.0000</t>
  </si>
  <si>
    <t xml:space="preserve"> P       0.6861    0.0020    0.7434    0.9434     1.0179     1.3981     0.9918</t>
  </si>
  <si>
    <t xml:space="preserve"> Mg      0.5443    0.0072    0.6240    1.0047     0.9953     1.5913     0.9935</t>
  </si>
  <si>
    <t xml:space="preserve"> Ca      0.9310    0.0061    0.9643    0.9155     1.0466     1.0757     1.0007</t>
  </si>
  <si>
    <t xml:space="preserve"> Ti      0.9482    0.0096    0.9756    0.8258     1.0530     1.1675     1.0050</t>
  </si>
  <si>
    <t xml:space="preserve"> Na       2.41      3.25      2.37      3.20     0.923   0.9842   0.02451   1.23667  </t>
  </si>
  <si>
    <t xml:space="preserve"> S        0.0273    0.0681    0.0268    0.0670   0.0075  0.9904   0.000275  0.051199  </t>
  </si>
  <si>
    <t xml:space="preserve"> Fe       9.31     11.98      9.16     11.79     1.466   1.0009   0.09306   0.89457  </t>
  </si>
  <si>
    <t xml:space="preserve"> Si      22.10     47.27     21.75     46.52     6.918   1.0095   0.21911   0.91462  </t>
  </si>
  <si>
    <t xml:space="preserve"> Cl       0.0881    0.0881    0.0867    0.0867   0.0219  0.9863   0.000893  0.061545  </t>
  </si>
  <si>
    <t xml:space="preserve"> F        0.1237    0.1237    0.1217    0.1217   0.0573  1.0295   0.001201  0.252397  </t>
  </si>
  <si>
    <t xml:space="preserve"> K        0.9948    1.1984    0.9790    1.1793   0.2238  0.9954   0.009995  1.461213  </t>
  </si>
  <si>
    <t xml:space="preserve"> Mn       0.1586    0.2048    0.1561    0.2015   0.0254  1.0428   0.001521  0.004515  </t>
  </si>
  <si>
    <t xml:space="preserve"> Al       8.06     15.24      7.94     14.99     2.629   1.0000   0.08067   1.21296  </t>
  </si>
  <si>
    <t xml:space="preserve"> P        0.2156    0.4940    0.2121    0.4861   0.0612  0.9918   0.002173  1.270940  </t>
  </si>
  <si>
    <t xml:space="preserve"> Mg       3.49      5.78      3.43      5.69     1.261   0.9935   0.03509   1.13980  </t>
  </si>
  <si>
    <t xml:space="preserve"> Ca       8.88     12.43      8.74     12.23     1.949   1.0007   0.08877   1.32667  </t>
  </si>
  <si>
    <t xml:space="preserve"> Ti       2.10      3.50      2.06      3.44     0.385   1.0050   0.02085   0.85274  </t>
  </si>
  <si>
    <t xml:space="preserve"> O       43.66       -       42.97       -      24.000      -         -        </t>
  </si>
  <si>
    <t>Total:  101.62    101.62    100.00    100.00    15.928</t>
  </si>
  <si>
    <t xml:space="preserve">Unknown Specimen No. 49 </t>
  </si>
  <si>
    <t xml:space="preserve"> UNK No.      :   49            Comment : UnknA-C22-PS1-L3_5                       </t>
  </si>
  <si>
    <t xml:space="preserve"> Stage        :    X=   19.3190  Y=   66.0355  Z=   11.4665 </t>
  </si>
  <si>
    <t xml:space="preserve"> Dated on Dec 20 19:04 2016 </t>
  </si>
  <si>
    <t xml:space="preserve"> 1 Na   129.476     35.1    0.0   13.6    6.29      139 </t>
  </si>
  <si>
    <t xml:space="preserve"> 2 S    171.948      1.7    4.9    4.1   35.09 ?    103 </t>
  </si>
  <si>
    <t xml:space="preserve"> 3 Fe   134.739    100.8    3.4    2.8    2.30      395 </t>
  </si>
  <si>
    <t xml:space="preserve"> 4 Si    77.822   3479.5   32.0   17.4    0.38      224 </t>
  </si>
  <si>
    <t xml:space="preserve"> 5 Cl   151.478      0.4    8.3    8.2  203.39 ?     45 </t>
  </si>
  <si>
    <t xml:space="preserve"> 6 F    199.140      0.6    3.3    2.0   76.98 ?    340 </t>
  </si>
  <si>
    <t xml:space="preserve"> 7 K    119.485      0.2   22.9   23.6  500.99 ?     55 </t>
  </si>
  <si>
    <t xml:space="preserve"> 8 Mn   146.243      1.9    1.5    1.7   22.42      262 </t>
  </si>
  <si>
    <t xml:space="preserve"> 9 Al    90.995    440.6   15.1    8.0    1.09      154 </t>
  </si>
  <si>
    <t xml:space="preserve">10 P    197.118      0.1    2.9    4.3  844.59 ?    173 </t>
  </si>
  <si>
    <t xml:space="preserve">11 Mg   107.534   1666.6   68.9    0.0    0.56      227 </t>
  </si>
  <si>
    <t xml:space="preserve">12 Ca   107.121   4851.8   37.3   46.4    0.32       98 </t>
  </si>
  <si>
    <t xml:space="preserve">13 Ti    88.305    385.9    0.0   47.8    1.21      129 </t>
  </si>
  <si>
    <t xml:space="preserve"> Na      0.4185    0.0047    0.4995    0.9853     0.9881     2.0467     0.9563</t>
  </si>
  <si>
    <t xml:space="preserve"> S       0.7799    0.0056    0.8327    0.9548     1.0249     1.2204     0.9800</t>
  </si>
  <si>
    <t xml:space="preserve"> Fe      0.9783    0.0000    0.9942    0.8042     1.0562     1.1841     1.0083</t>
  </si>
  <si>
    <t xml:space="preserve"> Si      0.7258    0.0018    0.7965    0.9797     1.0105     1.2659     0.9863</t>
  </si>
  <si>
    <t xml:space="preserve"> F       0.1774    0.0011    0.2329    1.0106     0.9756     4.3500     1.0962</t>
  </si>
  <si>
    <t xml:space="preserve"> Mn      0.9718    0.0000    0.9904    0.7926     1.0567     1.2055     1.0514</t>
  </si>
  <si>
    <t xml:space="preserve"> Al      0.6415    0.0106    0.7195    0.9611     1.0029     1.4268     1.0196</t>
  </si>
  <si>
    <t xml:space="preserve"> Mg      0.5705    0.0063    0.6540    1.0000     0.9953     1.5268     0.9532</t>
  </si>
  <si>
    <t xml:space="preserve"> Ca      0.9370    0.0037    0.9706    0.9112     1.0466     1.0764     1.0013</t>
  </si>
  <si>
    <t xml:space="preserve"> Ti      0.9395    0.0052    0.9667    0.8219     1.0531     1.1890     1.0236</t>
  </si>
  <si>
    <t xml:space="preserve"> Na       0.2992    0.4033    0.2933    0.3954   0.1149  0.9563   0.003129  0.157860  </t>
  </si>
  <si>
    <t xml:space="preserve"> S        0.0128    0.0320    0.0125    0.0313   0.0035  0.9800   0.000131  0.024275  </t>
  </si>
  <si>
    <t xml:space="preserve"> Fe       5.74      7.38      5.63      7.24     0.907   1.0083   0.05694   0.54731  </t>
  </si>
  <si>
    <t xml:space="preserve"> Si      22.49     48.11     22.05     47.17     7.067   0.9863   0.22831   0.95305  </t>
  </si>
  <si>
    <t xml:space="preserve"> Cl       0.0022    0.0022    0.0022    0.0022   0.0006  0.9781   0.000023  0.001581 ?</t>
  </si>
  <si>
    <t xml:space="preserve"> F        0.0528    0.0528    0.0518    0.0518   0.0245  1.0962   0.000482  0.101197  </t>
  </si>
  <si>
    <t xml:space="preserve"> K        0.0009    0.0011    0.0009    0.0011   0.0002  0.9819   0.000009  0.001358 ?</t>
  </si>
  <si>
    <t xml:space="preserve"> Mn       0.1193    0.1541    0.1170    0.1511   0.0192  1.0514   0.001135  0.003370  </t>
  </si>
  <si>
    <t xml:space="preserve"> Al       3.39      6.40      3.32      6.28     1.108   1.0196   0.03324   0.49971  </t>
  </si>
  <si>
    <t xml:space="preserve"> P        0.0009    0.0021    0.0009    0.0020   0.0003  0.9792   0.000009  0.005420 ?</t>
  </si>
  <si>
    <t xml:space="preserve"> Mg       8.34     13.83      8.18     13.56     3.028   0.9532   0.08756   2.84383  </t>
  </si>
  <si>
    <t xml:space="preserve"> Ca      16.64     23.28     16.31     22.83     3.664   1.0013   0.16623   2.48440  </t>
  </si>
  <si>
    <t xml:space="preserve"> Ti       1.40      2.34      1.37      2.29     0.258   1.0236   0.01370   0.56030  </t>
  </si>
  <si>
    <t xml:space="preserve"> O       43.51       -       42.66       -      24.000      -         -        </t>
  </si>
  <si>
    <t>Total:  102.00    102.00    100.00    100.00    16.196</t>
  </si>
  <si>
    <t xml:space="preserve">Unknown Specimen No. 50 </t>
  </si>
  <si>
    <t xml:space="preserve"> UNK No.      :   50            Comment : UnknA-C22-PS1-L3_6                       </t>
  </si>
  <si>
    <t xml:space="preserve"> Stage        :    X=   20.0500  Y=   66.1935  Z=   11.4665 </t>
  </si>
  <si>
    <t xml:space="preserve"> Dated on Dec 20 19:08 2016 </t>
  </si>
  <si>
    <t xml:space="preserve"> 1 Na   129.476    255.9    0.0   18.3    2.05      162 </t>
  </si>
  <si>
    <t xml:space="preserve"> 2 S    171.948      1.2    6.4    6.0   56.19 ?    121 </t>
  </si>
  <si>
    <t xml:space="preserve"> 3 Fe   134.739    164.5    2.7    3.0    1.78      389 </t>
  </si>
  <si>
    <t xml:space="preserve"> 4 Si    77.822   3386.5   31.8   16.3    0.39      222 </t>
  </si>
  <si>
    <t xml:space="preserve"> 5 Cl   151.478     11.3   10.2    8.0    8.77       48 </t>
  </si>
  <si>
    <t xml:space="preserve"> 6 F    199.140      0.9    3.7    3.3   56.54 ?    380 </t>
  </si>
  <si>
    <t xml:space="preserve"> 7 K    119.485    261.6   31.5   21.3    1.24       60 </t>
  </si>
  <si>
    <t xml:space="preserve"> 8 Mn   146.243      2.4    1.9    1.5   18.05      264 </t>
  </si>
  <si>
    <t xml:space="preserve"> 9 Al    90.995   1085.2   17.4   11.0    0.69      170 </t>
  </si>
  <si>
    <t xml:space="preserve">10 P    197.118     18.7    2.1    2.7    5.84      140 </t>
  </si>
  <si>
    <t xml:space="preserve">11 Mg   107.534    664.3   41.4    0.0    0.89      176 </t>
  </si>
  <si>
    <t xml:space="preserve">12 Ca   107.121   2644.7   32.7   38.6    0.44       91 </t>
  </si>
  <si>
    <t xml:space="preserve">13 Ti    88.305    587.6    0.0   47.5    0.96      128 </t>
  </si>
  <si>
    <t xml:space="preserve"> Na      0.4052    0.0041    0.4837    0.9897     0.9881     2.1058     0.9839</t>
  </si>
  <si>
    <t xml:space="preserve"> S       0.7693    0.0037    0.8214    0.9591     1.0249     1.2339     0.9908</t>
  </si>
  <si>
    <t xml:space="preserve"> Fe      0.9808    0.0000    0.9968    0.8079     1.0562     1.1757     1.0011</t>
  </si>
  <si>
    <t xml:space="preserve"> Si      0.7069    0.0013    0.7757    0.9841     1.0105     1.2947     1.0087</t>
  </si>
  <si>
    <t xml:space="preserve"> Cl      0.8318    0.0070    0.8814    0.9101     1.0314     1.2003     0.9865</t>
  </si>
  <si>
    <t xml:space="preserve"> F       0.1875    0.0013    0.2462    1.0152     0.9756     4.0964     1.0323</t>
  </si>
  <si>
    <t xml:space="preserve"> K       0.9099    0.0191    0.9488    0.9010     1.0423     1.1013     0.9953</t>
  </si>
  <si>
    <t xml:space="preserve"> Mn      0.9751    0.0000    0.9937    0.7962     1.0567     1.1960     1.0431</t>
  </si>
  <si>
    <t xml:space="preserve"> Al      0.6529    0.0100    0.7323    0.9655     1.0028     1.3965     0.9980</t>
  </si>
  <si>
    <t xml:space="preserve"> P       0.6860    0.0020    0.7433    0.9432     1.0179     1.3986     0.9922</t>
  </si>
  <si>
    <t xml:space="preserve"> Mg      0.5456    0.0073    0.6254    1.0045     0.9953     1.5877     0.9912</t>
  </si>
  <si>
    <t xml:space="preserve"> Ca      0.9311    0.0061    0.9644    0.9153     1.0466     1.0758     1.0008</t>
  </si>
  <si>
    <t xml:space="preserve"> Ti      0.9481    0.0095    0.9754    0.8257     1.0530     1.1680     1.0055</t>
  </si>
  <si>
    <t xml:space="preserve"> Na       2.24      3.02      2.19      2.96     0.851   0.9839   0.02281   1.15072  </t>
  </si>
  <si>
    <t xml:space="preserve"> S        0.0092    0.0229    0.0090    0.0224   0.0025  0.9908   0.000092  0.017191 ?</t>
  </si>
  <si>
    <t xml:space="preserve"> Fe       9.30     11.96      9.09     11.70     1.451   1.0011   0.09292   0.89320  </t>
  </si>
  <si>
    <t xml:space="preserve"> Si      22.38     47.88     21.88     46.81     6.945   1.0087   0.22222   0.92760  </t>
  </si>
  <si>
    <t xml:space="preserve"> Cl       0.0692    0.0692    0.0677    0.0677   0.0170  0.9865   0.000701  0.048341  </t>
  </si>
  <si>
    <t xml:space="preserve"> F        0.0759    0.0759    0.0742    0.0742   0.0348  1.0323   0.000735  0.154380  </t>
  </si>
  <si>
    <t xml:space="preserve"> K        0.9677    1.1657    0.9462    1.1398   0.2157  0.9953   0.009723  1.421481  </t>
  </si>
  <si>
    <t xml:space="preserve"> Mn       0.1551    0.2003    0.1517    0.1959   0.0246  1.0431   0.001487  0.004416  </t>
  </si>
  <si>
    <t xml:space="preserve"> Al       8.17     15.43      7.98     15.09     2.638   0.9980   0.08186   1.23084  </t>
  </si>
  <si>
    <t xml:space="preserve"> P        0.2296    0.5261    0.2245    0.5144   0.0646  0.9922   0.002314  1.353140  </t>
  </si>
  <si>
    <t xml:space="preserve"> Mg       3.46      5.74      3.38      5.61     1.240   0.9912   0.03491   1.13365  </t>
  </si>
  <si>
    <t xml:space="preserve"> Ca       9.07     12.69      8.87     12.40     1.972   1.0008   0.09061   1.35425  </t>
  </si>
  <si>
    <t xml:space="preserve"> Ti       2.10      3.50      2.05      3.42     0.382   1.0055   0.02086   0.85332  </t>
  </si>
  <si>
    <t xml:space="preserve"> O       44.06       -       43.08       -      24.000      -         -        </t>
  </si>
  <si>
    <t>Total:  102.28    102.28    100.00    100.00    15.837</t>
  </si>
  <si>
    <t xml:space="preserve">Unknown Specimen No. 51 </t>
  </si>
  <si>
    <t xml:space="preserve"> UNK No.      :   51            Comment : UnknA-C22-PS1-L3_7                       </t>
  </si>
  <si>
    <t xml:space="preserve"> Stage        :    X=   21.1185  Y=   65.9955  Z=   11.4625 </t>
  </si>
  <si>
    <t xml:space="preserve"> Dated on Dec 20 19:11 2016 </t>
  </si>
  <si>
    <t xml:space="preserve"> 1 Na   129.476    313.2    0.0   17.7    1.84      159 </t>
  </si>
  <si>
    <t xml:space="preserve"> 2 S    171.948      2.8    6.3    5.4   24.42      117 </t>
  </si>
  <si>
    <t xml:space="preserve"> 3 Fe   134.739    165.5    2.7    2.9    1.77      384 </t>
  </si>
  <si>
    <t xml:space="preserve"> 4 Si    77.822   3355.5   29.1   17.3    0.39      217 </t>
  </si>
  <si>
    <t xml:space="preserve"> 5 Cl   151.478     13.0    8.5    8.1    7.61       46 </t>
  </si>
  <si>
    <t xml:space="preserve"> 6 F    199.140      1.1    4.2    2.9   49.03 ?    388 </t>
  </si>
  <si>
    <t xml:space="preserve"> 7 K    119.485    203.4   28.9   21.3    1.44       58 </t>
  </si>
  <si>
    <t xml:space="preserve"> 8 Mn   146.243      2.3    2.3    1.9   19.89      292 </t>
  </si>
  <si>
    <t xml:space="preserve"> 9 Al    90.995   1072.7   18.2    9.9    0.69      170 </t>
  </si>
  <si>
    <t xml:space="preserve">10 P    197.118     17.2    2.9    2.6    6.19      147 </t>
  </si>
  <si>
    <t xml:space="preserve">11 Mg   107.534    641.1   41.5    0.0    0.91      176 </t>
  </si>
  <si>
    <t xml:space="preserve">12 Ca   107.121   2473.0   33.9   36.6    0.46       90 </t>
  </si>
  <si>
    <t xml:space="preserve">13 Ti    88.305    588.9    0.0   47.1    0.96      128 </t>
  </si>
  <si>
    <t xml:space="preserve"> Na      0.4059    0.0040    0.4844    0.9894     0.9883     2.1025     0.9824</t>
  </si>
  <si>
    <t xml:space="preserve"> S       0.7686    0.0035    0.8206    0.9589     1.0252     1.2354     0.9920</t>
  </si>
  <si>
    <t xml:space="preserve"> Fe      0.9811    0.0000    0.9971    0.8077     1.0564     1.1755     1.0009</t>
  </si>
  <si>
    <t xml:space="preserve"> Si      0.7057    0.0012    0.7744    0.9839     1.0107     1.2970     1.0105</t>
  </si>
  <si>
    <t xml:space="preserve"> Cl      0.8312    0.0066    0.8807    0.9099     1.0316     1.2018     0.9877</t>
  </si>
  <si>
    <t xml:space="preserve"> F       0.1889    0.0014    0.2480    1.0149     0.9758     4.0658     1.0246</t>
  </si>
  <si>
    <t xml:space="preserve"> K       0.9095    0.0183    0.9484    0.9008     1.0425     1.1026     0.9966</t>
  </si>
  <si>
    <t xml:space="preserve"> Mn      0.9755    0.0000    0.9941    0.7960     1.0569     1.1956     1.0427</t>
  </si>
  <si>
    <t xml:space="preserve"> Al      0.6513    0.0099    0.7304    0.9652     1.0031     1.4001     1.0005</t>
  </si>
  <si>
    <t xml:space="preserve"> P       0.6849    0.0019    0.7421    0.9429     1.0181     1.4009     0.9938</t>
  </si>
  <si>
    <t xml:space="preserve"> Mg      0.5430    0.0072    0.6225    1.0042     0.9956     1.5954     0.9960</t>
  </si>
  <si>
    <t xml:space="preserve"> Ca      0.9313    0.0062    0.9647    0.9151     1.0468     1.0754     1.0005</t>
  </si>
  <si>
    <t xml:space="preserve"> Ti      0.9490    0.0098    0.9764    0.8255     1.0532     1.1666     1.0043</t>
  </si>
  <si>
    <t xml:space="preserve"> Na       2.74      3.70      2.71      3.65     1.049   0.9824   0.02792   1.40857  </t>
  </si>
  <si>
    <t xml:space="preserve"> S        0.0217    0.0542    0.0214    0.0535   0.0060  0.9920   0.000219  0.040651  </t>
  </si>
  <si>
    <t xml:space="preserve"> Fe       9.35     12.03      9.23     11.88     1.473   1.0009   0.09347   0.89845  </t>
  </si>
  <si>
    <t xml:space="preserve"> Si      22.23     47.55     21.94     46.94     6.961   1.0105   0.22018   0.91911  </t>
  </si>
  <si>
    <t xml:space="preserve"> Cl       0.0802    0.0802    0.0792    0.0792   0.0199  0.9877   0.000812  0.055962  </t>
  </si>
  <si>
    <t xml:space="preserve"> F        0.0900    0.0900    0.0888    0.0888   0.0416  1.0246   0.000878  0.184444  </t>
  </si>
  <si>
    <t xml:space="preserve"> K        0.7536    0.9078    0.7439    0.8961   0.1695  0.9966   0.007562  1.105606  </t>
  </si>
  <si>
    <t xml:space="preserve"> Mn       0.1484    0.1917    0.1465    0.1892   0.0238  1.0427   0.001424  0.004227  </t>
  </si>
  <si>
    <t xml:space="preserve"> Al       8.09     15.29      7.99     15.10     2.639   1.0005   0.08092   1.21666  </t>
  </si>
  <si>
    <t xml:space="preserve"> P        0.2117    0.4851    0.2090    0.4788   0.0601  0.9938   0.002130  1.245648  </t>
  </si>
  <si>
    <t xml:space="preserve"> Mg       3.35      5.56      3.31      5.49     1.214   0.9960   0.03368   1.09392  </t>
  </si>
  <si>
    <t xml:space="preserve"> Ca       8.48     11.86      8.37     11.71     1.860   1.0005   0.08473   1.26632  </t>
  </si>
  <si>
    <t xml:space="preserve"> Ti       2.10      3.50      2.07      3.46     0.386   1.0043   0.02091   0.85514  </t>
  </si>
  <si>
    <t xml:space="preserve"> O       43.66       -       43.09       -      24.000      -         -        </t>
  </si>
  <si>
    <t>Total:  101.31    101.31    100.00    100.00    15.903</t>
  </si>
  <si>
    <t xml:space="preserve">Unknown Specimen No. 52 </t>
  </si>
  <si>
    <t xml:space="preserve"> UNK No.      :   52            Comment : UnknA-C22-PS1-L3_8                       </t>
  </si>
  <si>
    <t xml:space="preserve"> Stage        :    X=   21.4720  Y=   65.7015  Z=   11.4635 </t>
  </si>
  <si>
    <t xml:space="preserve"> Dated on Dec 20 19:15 2016 </t>
  </si>
  <si>
    <t xml:space="preserve"> 1 Na   129.476    317.7    0.0   19.9    1.83      168 </t>
  </si>
  <si>
    <t xml:space="preserve"> 2 S    171.948      2.0    5.3    5.7   32.71      115 </t>
  </si>
  <si>
    <t xml:space="preserve"> 3 Fe   134.739    155.9    2.9    3.2    1.83      402 </t>
  </si>
  <si>
    <t xml:space="preserve"> 4 Si    77.822   3395.9   31.0   16.2    0.39      220 </t>
  </si>
  <si>
    <t xml:space="preserve"> 5 Cl   151.478     10.7    7.9    9.5    9.08       47 </t>
  </si>
  <si>
    <t xml:space="preserve"> 6 F    199.140      1.3    2.6    4.1   38.48 ?    361 </t>
  </si>
  <si>
    <t xml:space="preserve"> 7 K    119.485    164.3   25.8   19.7    1.62       55 </t>
  </si>
  <si>
    <t xml:space="preserve"> 8 Mn   146.243      1.8    2.0    2.3   25.37      299 </t>
  </si>
  <si>
    <t xml:space="preserve"> 9 Al    90.995   1087.9   13.8    8.9    0.69      152 </t>
  </si>
  <si>
    <t xml:space="preserve">10 P    197.118     17.8    3.8    2.2    6.08      149 </t>
  </si>
  <si>
    <t xml:space="preserve">11 Mg   107.534    653.0   41.8    0.0    0.90      177 </t>
  </si>
  <si>
    <t xml:space="preserve">12 Ca   107.121   2560.2   34.1   37.6    0.45       91 </t>
  </si>
  <si>
    <t xml:space="preserve">13 Ti    88.305    597.6    0.0   42.8    0.95      122 </t>
  </si>
  <si>
    <t xml:space="preserve"> Na      0.4092    0.0041    0.4884    0.9882     0.9888     2.0870     0.9751</t>
  </si>
  <si>
    <t xml:space="preserve"> S       0.7687    0.0035    0.8207    0.9577     1.0256     1.2361     0.9926</t>
  </si>
  <si>
    <t xml:space="preserve"> Fe      0.9810    0.0000    0.9970    0.8068     1.0566     1.1766     1.0019</t>
  </si>
  <si>
    <t xml:space="preserve"> Si      0.7070    0.0012    0.7758    0.9827     1.0112     1.2956     1.0094</t>
  </si>
  <si>
    <t xml:space="preserve"> Cl      0.8313    0.0066    0.8808    0.9088     1.0321     1.2025     0.9883</t>
  </si>
  <si>
    <t xml:space="preserve"> F       0.1881    0.0013    0.2470    1.0136     0.9762     4.0858     1.0296</t>
  </si>
  <si>
    <t xml:space="preserve"> K       0.9096    0.0187    0.9485    0.8998     1.0429     1.1029     0.9968</t>
  </si>
  <si>
    <t xml:space="preserve"> Mn      0.9754    0.0000    0.9940    0.7951     1.0571     1.1968     1.0438</t>
  </si>
  <si>
    <t xml:space="preserve"> Al      0.6535    0.0101    0.7330    0.9640     1.0036     1.3961     0.9977</t>
  </si>
  <si>
    <t xml:space="preserve"> P       0.6851    0.0019    0.7423    0.9418     1.0186     1.4016     0.9943</t>
  </si>
  <si>
    <t xml:space="preserve"> Mg      0.5461    0.0073    0.6260    1.0030     0.9960     1.5875     0.9911</t>
  </si>
  <si>
    <t xml:space="preserve"> Ca      0.9318    0.0060    0.9651    0.9140     1.0472     1.0760     1.0010</t>
  </si>
  <si>
    <t xml:space="preserve"> Ti      0.9488    0.0091    0.9762    0.8245     1.0536     1.1685     1.0059</t>
  </si>
  <si>
    <t xml:space="preserve"> Na       2.76      3.72      2.72      3.66     1.048   0.9751   0.02832   1.42883  </t>
  </si>
  <si>
    <t xml:space="preserve"> S        0.0155    0.0387    0.0153    0.0381   0.0042  0.9926   0.000156  0.029041  </t>
  </si>
  <si>
    <t xml:space="preserve"> Fe       8.82     11.34      8.67     11.16     1.378   1.0019   0.08803   0.84622  </t>
  </si>
  <si>
    <t xml:space="preserve"> Si      22.47     48.06     22.10     47.27     6.981   1.0094   0.22283   0.93015  </t>
  </si>
  <si>
    <t xml:space="preserve"> Cl       0.0657    0.0657    0.0646    0.0646   0.0162  0.9883   0.000665  0.045828  </t>
  </si>
  <si>
    <t xml:space="preserve"> F        0.1074    0.1074    0.1056    0.1056   0.0493  1.0296   0.001043  0.219107  </t>
  </si>
  <si>
    <t xml:space="preserve"> K        0.6088    0.7333    0.5988    0.7213   0.1359  0.9968   0.006107  0.892852  </t>
  </si>
  <si>
    <t xml:space="preserve"> Mn       0.1139    0.1470    0.1120    0.1446   0.0181  1.0438   0.001091  0.003239  </t>
  </si>
  <si>
    <t xml:space="preserve"> Al       8.18     15.46      8.05     15.21     2.648   0.9977   0.08206   1.23386  </t>
  </si>
  <si>
    <t xml:space="preserve"> P        0.2187    0.5012    0.2151    0.4930   0.0616  0.9943   0.002200  1.286296  </t>
  </si>
  <si>
    <t xml:space="preserve"> Mg       3.40      5.64      3.34      5.55     1.221   0.9911   0.03431   1.11434  </t>
  </si>
  <si>
    <t xml:space="preserve"> Ca       8.78     12.28      8.64     12.08     1.912   1.0010   0.08772   1.31096  </t>
  </si>
  <si>
    <t xml:space="preserve"> Ti       2.13      3.56      2.10      3.50     0.389   1.0059   0.02122   0.86786  </t>
  </si>
  <si>
    <t xml:space="preserve"> O       43.99       -       43.27       -      24.000      -         -        </t>
  </si>
  <si>
    <t>Total:  101.67    101.67    100.00    100.00    15.862</t>
  </si>
  <si>
    <t xml:space="preserve">Unknown Specimen No. 53 </t>
  </si>
  <si>
    <t xml:space="preserve"> UNK No.      :   53            Comment : UnknA-C22-PS1-L3_9                       </t>
  </si>
  <si>
    <t xml:space="preserve"> Stage        :    X=   21.2760  Y=   65.0955  Z=   11.4635 </t>
  </si>
  <si>
    <t xml:space="preserve"> Dated on Dec 20 19:18 2016 </t>
  </si>
  <si>
    <t xml:space="preserve"> 1 Na   129.476    332.8    0.0   21.4    1.79      175 </t>
  </si>
  <si>
    <t xml:space="preserve"> 2 S    171.948      3.1    6.3    4.7   21.72      113 </t>
  </si>
  <si>
    <t xml:space="preserve"> 3 Fe   134.739    146.4    1.8    2.9    1.88      364 </t>
  </si>
  <si>
    <t xml:space="preserve"> 4 Si    77.822   3400.9   29.0   20.1    0.39      222 </t>
  </si>
  <si>
    <t xml:space="preserve"> 5 Cl   151.478     12.6    7.3    6.9    7.52       42 </t>
  </si>
  <si>
    <t xml:space="preserve"> 6 F    199.140      0.5    4.1    2.9  107.96 ?    386 </t>
  </si>
  <si>
    <t xml:space="preserve"> 7 K    119.485    288.7   35.1   21.1    1.18       62 </t>
  </si>
  <si>
    <t xml:space="preserve"> 8 Mn   146.243      2.0    2.1    2.2   23.05      299 </t>
  </si>
  <si>
    <t xml:space="preserve"> 9 Al    90.995   1105.7   15.2    9.1    0.68      158 </t>
  </si>
  <si>
    <t xml:space="preserve">10 P    197.118     21.3    2.2    2.5    5.39      138 </t>
  </si>
  <si>
    <t xml:space="preserve">11 Mg   107.534    639.3   41.6    0.0    0.91      177 </t>
  </si>
  <si>
    <t xml:space="preserve">12 Ca   107.121   2419.1   34.6   33.9    0.46       88 </t>
  </si>
  <si>
    <t xml:space="preserve">13 Ti    88.305    609.2    0.0   49.5    0.94      131 </t>
  </si>
  <si>
    <t xml:space="preserve"> Na      0.4125    0.0041    0.4924    0.9874     0.9892     2.0708     0.9675</t>
  </si>
  <si>
    <t xml:space="preserve"> S       0.7686    0.0035    0.8207    0.9570     1.0260     1.2367     0.9930</t>
  </si>
  <si>
    <t xml:space="preserve"> Fe      0.9810    0.0000    0.9970    0.8062     1.0568     1.1773     1.0024</t>
  </si>
  <si>
    <t xml:space="preserve"> Si      0.7079    0.0012    0.7769    0.9819     1.0116     1.2943     1.0084</t>
  </si>
  <si>
    <t xml:space="preserve"> Cl      0.8312    0.0067    0.8807    0.9081     1.0324     1.2030     0.9887</t>
  </si>
  <si>
    <t xml:space="preserve"> F       0.1876    0.0013    0.2463    1.0128     0.9766     4.0988     1.0329</t>
  </si>
  <si>
    <t xml:space="preserve"> K       0.9095    0.0177    0.9484    0.8991     1.0432     1.1045     0.9983</t>
  </si>
  <si>
    <t xml:space="preserve"> Mn      0.9753    0.0000    0.9940    0.7946     1.0573     1.1975     1.0444</t>
  </si>
  <si>
    <t xml:space="preserve"> Al      0.6559    0.0102    0.7357    0.9633     1.0040     1.3914     0.9943</t>
  </si>
  <si>
    <t xml:space="preserve"> P       0.6852    0.0019    0.7425    0.9411     1.0190     1.4018     0.9945</t>
  </si>
  <si>
    <t xml:space="preserve"> Mg      0.5484    0.0074    0.6287    1.0022     0.9964     1.5811     0.9871</t>
  </si>
  <si>
    <t xml:space="preserve"> Ca      0.9306    0.0059    0.9639    0.9133     1.0475     1.0780     1.0029</t>
  </si>
  <si>
    <t xml:space="preserve"> Ti      0.9488    0.0086    0.9762    0.8239     1.0539     1.1696     1.0069</t>
  </si>
  <si>
    <t xml:space="preserve"> Na       2.87      3.87      2.83      3.82     1.091   0.9675   0.02967   1.49679  </t>
  </si>
  <si>
    <t xml:space="preserve"> S        0.0240    0.0599    0.0237    0.0592   0.0065  0.9930   0.000242  0.044911  </t>
  </si>
  <si>
    <t xml:space="preserve"> Fe       8.29     10.66      8.18     10.52     1.296   1.0024   0.08267   0.79469  </t>
  </si>
  <si>
    <t xml:space="preserve"> Si      22.48     48.10     22.20     47.49     6.994   1.0084   0.22316   0.93154  </t>
  </si>
  <si>
    <t xml:space="preserve"> Cl       0.0774    0.0774    0.0764    0.0764   0.0191  0.9887   0.000783  0.053963  </t>
  </si>
  <si>
    <t xml:space="preserve"> F        0.0395    0.0395    0.0390    0.0390   0.0182  1.0329   0.000382  0.080298  </t>
  </si>
  <si>
    <t xml:space="preserve"> K        1.07      1.29      1.06      1.27     0.239   0.9983   0.01073   1.56870  </t>
  </si>
  <si>
    <t xml:space="preserve"> Mn       0.1273    0.1643    0.1256    0.1622   0.0202  1.0444   0.001219  0.003618  </t>
  </si>
  <si>
    <t xml:space="preserve"> Al       8.29     15.67      8.19     15.47     2.685   0.9943   0.08341   1.25410  </t>
  </si>
  <si>
    <t xml:space="preserve"> P        0.2613    0.5988    0.2580    0.5912   0.0737  0.9945   0.002628  1.536582  </t>
  </si>
  <si>
    <t xml:space="preserve"> Mg       3.31      5.50      3.27      5.43     1.191   0.9871   0.03359   1.09084  </t>
  </si>
  <si>
    <t xml:space="preserve"> Ca       8.31     11.63      8.21     11.48     1.812   1.0029   0.08288   1.23873  </t>
  </si>
  <si>
    <t xml:space="preserve"> Ti       2.18      3.63      2.15      3.59     0.397   1.0069   0.02163   0.88459  </t>
  </si>
  <si>
    <t xml:space="preserve"> O       43.95       -       43.39       -      24.000      -         -        </t>
  </si>
  <si>
    <t>Total:  101.28    101.28    100.00    100.00    15.845</t>
  </si>
  <si>
    <t xml:space="preserve">Unknown Specimen No. 54 </t>
  </si>
  <si>
    <t xml:space="preserve"> UNK No.      :   54            Comment : VGA99_                                   </t>
  </si>
  <si>
    <t xml:space="preserve"> Stage        :    X=   42.5180  Y=   29.7050  Z=   11.4010 </t>
  </si>
  <si>
    <t xml:space="preserve"> Dated on Dec 20 19:22 2016 </t>
  </si>
  <si>
    <t xml:space="preserve"> 1 Na   129.476    233.2    0.0   16.2    2.14      152 </t>
  </si>
  <si>
    <t xml:space="preserve"> 2 S    171.948      2.4    5.4    4.6   26.36      108 </t>
  </si>
  <si>
    <t xml:space="preserve"> 3 Fe   134.739    187.9    1.7    3.8    1.66      403 </t>
  </si>
  <si>
    <t xml:space="preserve"> 4 Si    77.822   3669.5   27.2   17.7    0.37      213 </t>
  </si>
  <si>
    <t xml:space="preserve"> 5 Cl   151.478      3.3   10.5    7.7   25.83       48 </t>
  </si>
  <si>
    <t xml:space="preserve"> 6 F    199.140      0.6    3.6    3.3   89.62 ?    378 </t>
  </si>
  <si>
    <t xml:space="preserve"> 7 K    119.485    182.4   27.1   22.3    1.53       57 </t>
  </si>
  <si>
    <t xml:space="preserve"> 8 Mn   146.243      2.5    2.1    1.7   18.16      280 </t>
  </si>
  <si>
    <t xml:space="preserve"> 9 Al    90.995    872.9   13.4   10.3    0.77      155 </t>
  </si>
  <si>
    <t xml:space="preserve">10 P    197.118     15.0    3.0    2.4    6.72      144 </t>
  </si>
  <si>
    <t xml:space="preserve">11 Mg   107.534    602.1   38.0    0.0    0.94      169 </t>
  </si>
  <si>
    <t xml:space="preserve">12 Ca   107.121   1957.5   33.1   32.6    0.51       86 </t>
  </si>
  <si>
    <t xml:space="preserve">13 Ti    88.305    689.1    0.0   48.9    0.88      130 </t>
  </si>
  <si>
    <t xml:space="preserve"> Na      0.3980    0.0040    0.4750    0.9904     0.9879     2.1431     1.0013</t>
  </si>
  <si>
    <t xml:space="preserve"> S       0.7652    0.0030    0.8170    0.9598     1.0247     1.2408     0.9963</t>
  </si>
  <si>
    <t xml:space="preserve"> Fe      0.9817    0.0000    0.9976    0.8085     1.0561     1.1740     0.9996</t>
  </si>
  <si>
    <t xml:space="preserve"> Si      0.7126    0.0010    0.7820    0.9848     1.0102     1.2840     1.0003</t>
  </si>
  <si>
    <t xml:space="preserve"> Cl      0.8286    0.0057    0.8780    0.9108     1.0312     1.2059     0.9911</t>
  </si>
  <si>
    <t xml:space="preserve"> F       0.1901    0.0014    0.2496    1.0159     0.9754     4.0370     1.0174</t>
  </si>
  <si>
    <t xml:space="preserve"> K       0.9082    0.0158    0.9470    0.9017     1.0421     1.1063     0.9999</t>
  </si>
  <si>
    <t xml:space="preserve"> Mn      0.9762    0.0000    0.9949    0.7968     1.0566     1.1939     1.0413</t>
  </si>
  <si>
    <t xml:space="preserve"> Al      0.6495    0.0109    0.7284    0.9662     1.0026     1.4019     1.0019</t>
  </si>
  <si>
    <t xml:space="preserve"> P       0.6807    0.0016    0.7375    0.9438     1.0177     1.4093     0.9998</t>
  </si>
  <si>
    <t xml:space="preserve"> Mg      0.5396    0.0072    0.6185    1.0052     0.9951     1.6048     1.0019</t>
  </si>
  <si>
    <t xml:space="preserve"> Ca      0.9305    0.0073    0.9638    0.9160     1.0464     1.0746     0.9997</t>
  </si>
  <si>
    <t xml:space="preserve"> Ti      0.9513    0.0115    0.9788    0.8263     1.0529     1.1610     0.9995</t>
  </si>
  <si>
    <t xml:space="preserve"> Na       2.08      2.80      2.07      2.79     0.792   1.0013   0.02078   1.04857  </t>
  </si>
  <si>
    <t xml:space="preserve"> S        0.0187    0.0467    0.0186    0.0463   0.0051  0.9963   0.000188  0.034854  </t>
  </si>
  <si>
    <t xml:space="preserve"> Fe      10.61     13.65     10.54     13.55     1.661   0.9996   0.10613   1.02021  </t>
  </si>
  <si>
    <t xml:space="preserve"> Si      24.07     51.50     23.91     51.15     7.496   1.0003   0.24079   1.00512  </t>
  </si>
  <si>
    <t xml:space="preserve"> Cl       0.0201    0.0201    0.0200    0.0200   0.0050  0.9911   0.000203  0.013970  </t>
  </si>
  <si>
    <t xml:space="preserve"> F        0.0459    0.0459    0.0455    0.0455   0.0211  1.0174   0.000451  0.094688  </t>
  </si>
  <si>
    <t xml:space="preserve"> K        0.6780    0.8168    0.6734    0.8112   0.1517  0.9999   0.006781  0.991394  </t>
  </si>
  <si>
    <t xml:space="preserve"> Mn       0.1607    0.2075    0.1596    0.2061   0.0256  1.0413   0.001543  0.004582  </t>
  </si>
  <si>
    <t xml:space="preserve"> Al       6.60     12.46      6.55     12.38     2.138   1.0019   0.06585   0.99001  </t>
  </si>
  <si>
    <t xml:space="preserve"> P        0.1856    0.4254    0.1844    0.4225   0.0524  0.9998   0.001857  1.085764  </t>
  </si>
  <si>
    <t xml:space="preserve"> Mg       3.17      5.25      3.15      5.22     1.140   1.0019   0.03163   1.02743  </t>
  </si>
  <si>
    <t xml:space="preserve"> Ca       6.70      9.38      6.66      9.32     1.463   0.9997   0.06707   1.00235  </t>
  </si>
  <si>
    <t xml:space="preserve"> Ti       2.45      4.08      2.43      4.05     0.446   0.9995   0.02447   1.00065  </t>
  </si>
  <si>
    <t xml:space="preserve"> O       43.90       -       43.60       -      24.000      -         -        </t>
  </si>
  <si>
    <t>Total:  100.69    100.69    100.00    100.00    15.397</t>
  </si>
  <si>
    <t xml:space="preserve">Unknown Specimen No. 55 </t>
  </si>
  <si>
    <t xml:space="preserve"> UNK No.      :   55            Comment : VGA99_                                   </t>
  </si>
  <si>
    <t xml:space="preserve"> Stage        :    X=   42.3735  Y=   29.7465  Z=   11.4010 </t>
  </si>
  <si>
    <t xml:space="preserve"> Dated on Dec 20 19:25 2016 </t>
  </si>
  <si>
    <t xml:space="preserve">Curr.(A) : 1.008E-08 </t>
  </si>
  <si>
    <t xml:space="preserve"> 1 Na   129.476    212.9    0.0   18.2    2.26      161 </t>
  </si>
  <si>
    <t xml:space="preserve"> 2 S    171.948      0.8    5.7    5.8   78.17 ?    117 </t>
  </si>
  <si>
    <t xml:space="preserve"> 3 Fe   134.739    185.2    2.5    2.4    1.67      356 </t>
  </si>
  <si>
    <t xml:space="preserve"> 4 Si    77.822   3666.2   30.7   19.6    0.37      225 </t>
  </si>
  <si>
    <t xml:space="preserve"> 5 Cl   151.478      2.9    8.1    8.3   27.44       45 </t>
  </si>
  <si>
    <t xml:space="preserve"> 6 F    199.140      0.9    3.7    3.1   56.31 ?    378 </t>
  </si>
  <si>
    <t xml:space="preserve"> 7 K    119.485    182.2   27.1   22.3    1.53       57 </t>
  </si>
  <si>
    <t xml:space="preserve"> 8 Mn   146.243      2.0    2.3    1.6   22.21      282 </t>
  </si>
  <si>
    <t xml:space="preserve"> 9 Al    90.995    878.7   18.6    8.7    0.77      168 </t>
  </si>
  <si>
    <t xml:space="preserve">10 P    197.118     13.6    2.9    2.2    7.09      140 </t>
  </si>
  <si>
    <t xml:space="preserve">11 Mg   107.534    596.0   39.5    0.0    0.95      172 </t>
  </si>
  <si>
    <t xml:space="preserve">12 Ca   107.121   1956.8   33.3   34.8    0.51       88 </t>
  </si>
  <si>
    <t xml:space="preserve">13 Ti    88.305    689.0    0.0   47.1    0.88      128 </t>
  </si>
  <si>
    <t xml:space="preserve"> Na      0.3984    0.0040    0.4755    0.9902     0.9879     2.1416     1.0006</t>
  </si>
  <si>
    <t xml:space="preserve"> S       0.7652    0.0030    0.8170    0.9596     1.0248     1.2411     0.9966</t>
  </si>
  <si>
    <t xml:space="preserve"> Fe      0.9816    0.0000    0.9976    0.8083     1.0561     1.1742     0.9999</t>
  </si>
  <si>
    <t xml:space="preserve"> Si      0.7131    0.0010    0.7826    0.9846     1.0103     1.2833     0.9997</t>
  </si>
  <si>
    <t xml:space="preserve"> Cl      0.8286    0.0057    0.8780    0.9106     1.0312     1.2061     0.9913</t>
  </si>
  <si>
    <t xml:space="preserve"> F       0.1899    0.0014    0.2493    1.0157     0.9755     4.0428     1.0188</t>
  </si>
  <si>
    <t xml:space="preserve"> K       0.9082    0.0158    0.9470    0.9015     1.0422     1.1065     1.0000</t>
  </si>
  <si>
    <t xml:space="preserve"> Mn      0.9761    0.0000    0.9948    0.7966     1.0566     1.1942     1.0415</t>
  </si>
  <si>
    <t xml:space="preserve"> Al      0.6508    0.0109    0.7299    0.9659     1.0027     1.3993     1.0000</t>
  </si>
  <si>
    <t xml:space="preserve"> P       0.6805    0.0016    0.7374    0.9436     1.0177     1.4099     1.0002</t>
  </si>
  <si>
    <t xml:space="preserve"> Mg      0.5410    0.0072    0.6201    1.0050     0.9951     1.6009     0.9994</t>
  </si>
  <si>
    <t xml:space="preserve"> Ca      0.9305    0.0072    0.9638    0.9158     1.0465     1.0749     0.9999</t>
  </si>
  <si>
    <t xml:space="preserve"> Ti      0.9512    0.0114    0.9787    0.8261     1.0529     1.1615     0.9999</t>
  </si>
  <si>
    <t xml:space="preserve"> Na       1.90      2.56      1.90      2.56     0.725   1.0006   0.01895   0.95629  </t>
  </si>
  <si>
    <t xml:space="preserve"> S        0.0063    0.0158    0.0063    0.0158   0.0017  0.9966   0.000064  0.011823 ?</t>
  </si>
  <si>
    <t xml:space="preserve"> Fe      10.45     13.44     10.45     13.44     1.645   0.9999   0.10449   1.00446  </t>
  </si>
  <si>
    <t xml:space="preserve"> Si      24.03     51.40     24.02     51.39     7.519   0.9997   0.24033   1.00319  </t>
  </si>
  <si>
    <t xml:space="preserve"> Cl       0.0181    0.0181    0.0181    0.0181   0.0045  0.9913   0.000182  0.012552  </t>
  </si>
  <si>
    <t xml:space="preserve"> F        0.0749    0.0749    0.0749    0.0749   0.0347  1.0188   0.000735  0.154448  </t>
  </si>
  <si>
    <t xml:space="preserve"> K        0.6766    0.8150    0.6765    0.8149   0.1521  1.0000   0.006766  0.989124  </t>
  </si>
  <si>
    <t xml:space="preserve"> Mn       0.1261    0.1629    0.1261    0.1629   0.0202  1.0415   0.001211  0.003596  </t>
  </si>
  <si>
    <t xml:space="preserve"> Al       6.62     12.51      6.62     12.51     2.158   1.0000   0.06622   0.99565  </t>
  </si>
  <si>
    <t xml:space="preserve"> P        0.1678    0.3845    0.1678    0.3844   0.0476  1.0002   0.001677  0.980911  </t>
  </si>
  <si>
    <t xml:space="preserve"> Mg       3.13      5.18      3.13      5.18     1.131   0.9994   0.03129   1.01609  </t>
  </si>
  <si>
    <t xml:space="preserve"> Ca       6.70      9.37      6.70      9.37     1.469   0.9999   0.06698   1.00102  </t>
  </si>
  <si>
    <t xml:space="preserve"> Ti       2.44      4.08      2.44      4.08     0.448   0.9999   0.02444   0.99958  </t>
  </si>
  <si>
    <t xml:space="preserve"> O       43.68       -       43.68       -      24.000      -         -        </t>
  </si>
  <si>
    <t>Total:  100.01    100.01    100.00    100.00    15.356</t>
  </si>
  <si>
    <t xml:space="preserve">Unknown Specimen No. 56 </t>
  </si>
  <si>
    <t xml:space="preserve"> UNK No.      :   56            Comment : VG-2_                                    </t>
  </si>
  <si>
    <t xml:space="preserve"> Stage        :    X=   60.2780  Y=   33.6935  Z=   11.3740 </t>
  </si>
  <si>
    <t xml:space="preserve"> Dated on Dec 20 19:29 2016 </t>
  </si>
  <si>
    <t xml:space="preserve"> 1 Na   129.476    238.6    0.0   19.7    2.13      167 </t>
  </si>
  <si>
    <t xml:space="preserve"> 2 S    171.948     18.9    6.1    5.1    5.30      115 </t>
  </si>
  <si>
    <t xml:space="preserve"> 3 Fe   134.739    162.4    3.7    3.2    1.79      418 </t>
  </si>
  <si>
    <t xml:space="preserve"> 4 Si    77.822   3630.7   30.4   16.3    0.37      218 </t>
  </si>
  <si>
    <t xml:space="preserve"> 5 Cl   151.478      5.6    7.8    8.7   15.45       46 </t>
  </si>
  <si>
    <t xml:space="preserve"> 6 F    199.140      0.2    2.7    2.8  240.25 ?    333 </t>
  </si>
  <si>
    <t xml:space="preserve"> 7 K    119.485     43.4   22.6   21.3    3.95       54 </t>
  </si>
  <si>
    <t xml:space="preserve"> 8 Mn   146.243      2.4    2.1    1.9   19.42      288 </t>
  </si>
  <si>
    <t xml:space="preserve"> 9 Al    90.995    979.9   16.2    8.2    0.72      158 </t>
  </si>
  <si>
    <t xml:space="preserve">10 P    197.118      6.0    3.1    2.8   12.83      152 </t>
  </si>
  <si>
    <t xml:space="preserve">11 Mg   107.534    831.3   43.2    0.0    0.80      180 </t>
  </si>
  <si>
    <t xml:space="preserve">12 Ca   107.121   2346.8   36.9   36.1    0.47       91 </t>
  </si>
  <si>
    <t xml:space="preserve">13 Ti    88.305    312.1    0.0   47.8    1.36      129 </t>
  </si>
  <si>
    <t xml:space="preserve"> Na      0.4110    0.0043    0.4905    0.9856     0.9896     2.0812     0.9724</t>
  </si>
  <si>
    <t xml:space="preserve"> S       0.7656    0.0030    0.8174    0.9552     1.0264     1.2441     0.9989</t>
  </si>
  <si>
    <t xml:space="preserve"> Fe      0.9821    0.0000    0.9981    0.8048     1.0570     1.1778     1.0029</t>
  </si>
  <si>
    <t xml:space="preserve"> Si      0.7105    0.0010    0.7797    0.9801     1.0120     1.2918     1.0064</t>
  </si>
  <si>
    <t xml:space="preserve"> Cl      0.8284    0.0057    0.8777    0.9065     1.0328     1.2101     0.9945</t>
  </si>
  <si>
    <t xml:space="preserve"> F       0.1910    0.0014    0.2508    1.0109     0.9769     4.0318     1.0160</t>
  </si>
  <si>
    <t xml:space="preserve"> K       0.9080    0.0168    0.9469    0.8975     1.0436     1.1090     1.0023</t>
  </si>
  <si>
    <t xml:space="preserve"> Mn      0.9768    0.0000    0.9955    0.7932     1.0576     1.1976     1.0444</t>
  </si>
  <si>
    <t xml:space="preserve"> Al      0.6525    0.0107    0.7318    0.9615     1.0044     1.4000     1.0005</t>
  </si>
  <si>
    <t xml:space="preserve"> P       0.6804    0.0017    0.7373    0.9393     1.0194     1.4141     1.0032</t>
  </si>
  <si>
    <t xml:space="preserve"> Mg      0.5520    0.0074    0.6328    1.0003     0.9968     1.5731     0.9821</t>
  </si>
  <si>
    <t xml:space="preserve"> Ca      0.9317    0.0050    0.9651    0.9117     1.0479     1.0792     1.0040</t>
  </si>
  <si>
    <t xml:space="preserve"> Ti      0.9498    0.0100    0.9773    0.8224     1.0541     1.1686     1.0060</t>
  </si>
  <si>
    <t xml:space="preserve"> Na       2.07      2.78      2.05      2.76     0.778   0.9724   0.02124   1.07181  </t>
  </si>
  <si>
    <t xml:space="preserve"> S        0.1450    0.3621    0.1436    0.3586   0.0392  0.9989   0.001452  0.269843  </t>
  </si>
  <si>
    <t xml:space="preserve"> Fe       9.19     11.82      9.10     11.70     1.424   1.0029   0.09161   0.88059  </t>
  </si>
  <si>
    <t xml:space="preserve"> Si      23.94     51.20     23.70     50.71     7.376   1.0064   0.23800   0.99348  </t>
  </si>
  <si>
    <t xml:space="preserve"> Cl       0.0345    0.0345    0.0341    0.0341   0.0084  0.9945   0.000346  0.023876  </t>
  </si>
  <si>
    <t xml:space="preserve"> F        0.0147    0.0147    0.0145    0.0145   0.0067  1.0160   0.000144  0.030327 ?</t>
  </si>
  <si>
    <t xml:space="preserve"> K        0.1615    0.1945    0.1599    0.1926   0.0357  1.0023   0.001611  0.235518  </t>
  </si>
  <si>
    <t xml:space="preserve"> Mn       0.1517    0.1959    0.1502    0.1940   0.0239  1.0444   0.001453  0.004313  </t>
  </si>
  <si>
    <t xml:space="preserve"> Al       7.39     13.96      7.31     13.82     2.370   1.0005   0.07385   1.11030  </t>
  </si>
  <si>
    <t xml:space="preserve"> P        0.0748    0.1713    0.0740    0.1697   0.0209  1.0032   0.000745  0.435860  </t>
  </si>
  <si>
    <t xml:space="preserve"> Mg       4.28      7.10      4.24      7.04     1.526   0.9821   0.04363   1.41712  </t>
  </si>
  <si>
    <t xml:space="preserve"> Ca       8.06     11.28      7.99     11.17     1.742   1.0040   0.08033   1.20054  </t>
  </si>
  <si>
    <t xml:space="preserve"> Ti       1.11      1.86      1.10      1.84     0.201   1.0060   0.01107   0.45274  </t>
  </si>
  <si>
    <t xml:space="preserve"> O       44.36       -       43.93       -      24.000      -         -        </t>
  </si>
  <si>
    <t>Total:  100.98    100.98    100.00    100.00    15.550</t>
  </si>
  <si>
    <t xml:space="preserve">Unknown Specimen No. 57 </t>
  </si>
  <si>
    <t xml:space="preserve"> UNK No.      :   57            Comment : VG-2_                                    </t>
  </si>
  <si>
    <t xml:space="preserve"> Stage        :    X=   60.0725  Y=   33.7340  Z=   11.3740 </t>
  </si>
  <si>
    <t xml:space="preserve"> Dated on Dec 20 19:32 2016 </t>
  </si>
  <si>
    <t xml:space="preserve"> 1 Na   129.476    239.5    0.0   16.1    2.11      151 </t>
  </si>
  <si>
    <t xml:space="preserve"> 2 S    171.948     19.4    5.8    5.1    5.18      113 </t>
  </si>
  <si>
    <t xml:space="preserve"> 3 Fe   134.739    160.6    2.9    3.2    1.80      402 </t>
  </si>
  <si>
    <t xml:space="preserve"> 4 Si    77.822   3649.7   32.3   18.7    0.37      227 </t>
  </si>
  <si>
    <t xml:space="preserve"> 5 Cl   151.478      4.9    7.8    7.9   16.95       44 </t>
  </si>
  <si>
    <t xml:space="preserve"> 6 F    199.140      0.3    3.9    2.3  158.15 ?    364 </t>
  </si>
  <si>
    <t xml:space="preserve"> 7 K    119.485     42.5   23.9   21.5    4.05       55 </t>
  </si>
  <si>
    <t xml:space="preserve"> 8 Mn   146.243      3.1    1.3    1.9   14.92      264 </t>
  </si>
  <si>
    <t xml:space="preserve"> 9 Al    90.995    988.4   16.2    9.1    0.72      161 </t>
  </si>
  <si>
    <t xml:space="preserve">10 P    197.118      7.4    2.7    2.7   10.83      146 </t>
  </si>
  <si>
    <t xml:space="preserve">11 Mg   107.534    844.7   38.3    0.0    0.79      169 </t>
  </si>
  <si>
    <t xml:space="preserve">12 Ca   107.121   2363.3   33.6   34.9    0.47       88 </t>
  </si>
  <si>
    <t xml:space="preserve">13 Ti    88.305    313.4    0.0   42.0    1.35      121 </t>
  </si>
  <si>
    <t xml:space="preserve"> Na      0.4117    0.0044    0.4913    0.9854     0.9897     2.0780     0.9709</t>
  </si>
  <si>
    <t xml:space="preserve"> S       0.7656    0.0030    0.8175    0.9550     1.0265     1.2442     0.9990</t>
  </si>
  <si>
    <t xml:space="preserve"> Fe      0.9821    0.0000    0.9981    0.8046     1.0570     1.1780     1.0030</t>
  </si>
  <si>
    <t xml:space="preserve"> Si      0.7106    0.0010    0.7798    0.9799     1.0121     1.2918     1.0064</t>
  </si>
  <si>
    <t xml:space="preserve"> Cl      0.8284    0.0057    0.8777    0.9063     1.0329     1.2102     0.9947</t>
  </si>
  <si>
    <t xml:space="preserve"> F       0.1908    0.0014    0.2505    1.0107     0.9770     4.0378     1.0176</t>
  </si>
  <si>
    <t xml:space="preserve"> K       0.9080    0.0168    0.9469    0.8973     1.0437     1.1091     1.0024</t>
  </si>
  <si>
    <t xml:space="preserve"> Mn      0.9768    0.0000    0.9955    0.7930     1.0576     1.1978     1.0446</t>
  </si>
  <si>
    <t xml:space="preserve"> Al      0.6528    0.0107    0.7321    0.9613     1.0045     1.3996     1.0002</t>
  </si>
  <si>
    <t xml:space="preserve"> P       0.6806    0.0017    0.7374    0.9391     1.0195     1.4140     1.0032</t>
  </si>
  <si>
    <t xml:space="preserve"> Mg      0.5527    0.0074    0.6336    1.0001     0.9969     1.5714     0.9810</t>
  </si>
  <si>
    <t xml:space="preserve"> Ca      0.9317    0.0050    0.9651    0.9115     1.0479     1.0794     1.0041</t>
  </si>
  <si>
    <t xml:space="preserve"> Ti      0.9498    0.0099    0.9773    0.8223     1.0542     1.1689     1.0063</t>
  </si>
  <si>
    <t xml:space="preserve"> Na       2.07      2.79      2.04      2.75     0.775   0.9709   0.02132   1.07585  </t>
  </si>
  <si>
    <t xml:space="preserve"> S        0.1487    0.3713    0.1465    0.3657   0.0399  0.9990   0.001488  0.276644  </t>
  </si>
  <si>
    <t xml:space="preserve"> Fe       9.09     11.69      8.95     11.51     1.400   1.0030   0.09060   0.87088  </t>
  </si>
  <si>
    <t xml:space="preserve"> Si      24.05     51.45     23.69     50.68     7.367   1.0064   0.23924   0.99869  </t>
  </si>
  <si>
    <t xml:space="preserve"> Cl       0.0303    0.0303    0.0298    0.0298   0.0073  0.9947   0.000304  0.020983  </t>
  </si>
  <si>
    <t xml:space="preserve"> F        0.0249    0.0249    0.0246    0.0246   0.0113  1.0176   0.000245  0.051483 ?</t>
  </si>
  <si>
    <t xml:space="preserve"> K        0.1583    0.1907    0.1560    0.1879   0.0348  1.0024   0.001580  0.230939  </t>
  </si>
  <si>
    <t xml:space="preserve"> Mn       0.1998    0.2580    0.1968    0.2542   0.0313  1.0446   0.001913  0.005680  </t>
  </si>
  <si>
    <t xml:space="preserve"> Al       7.45     14.07      7.34     13.86     2.375   1.0002   0.07449   1.11993  </t>
  </si>
  <si>
    <t xml:space="preserve"> P        0.0923    0.2114    0.0909    0.2082   0.0256  1.0032   0.000920  0.537832  </t>
  </si>
  <si>
    <t xml:space="preserve"> Mg       4.35      7.21      4.28      7.10     1.539   0.9810   0.04433   1.43990  </t>
  </si>
  <si>
    <t xml:space="preserve"> Ca       8.12     11.36      8.00     11.19     1.743   1.0041   0.08089   1.20895  </t>
  </si>
  <si>
    <t xml:space="preserve"> Ti       1.12      1.87      1.10      1.84     0.201   1.0063   0.01112   0.45462  </t>
  </si>
  <si>
    <t xml:space="preserve"> O       44.63       -       43.96       -      24.000      -         -        </t>
  </si>
  <si>
    <t>Total:  101.53    101.53    100.00    100.00    15.550</t>
  </si>
  <si>
    <t xml:space="preserve">Unknown Specimen No. 58 </t>
  </si>
  <si>
    <t xml:space="preserve"> UNK No.      :   58            Comment : KE3_                                     </t>
  </si>
  <si>
    <t xml:space="preserve"> Stage        :    X=   47.7580  Y=   23.3765  Z=   11.3985 </t>
  </si>
  <si>
    <t xml:space="preserve"> Dated on Dec 20 19:35 2016 </t>
  </si>
  <si>
    <t xml:space="preserve"> 1 Na   129.476    578.8    0.0   22.8    1.34      180 </t>
  </si>
  <si>
    <t xml:space="preserve"> 2 S    171.948      1.3    5.1    4.1   45.49 ?    103 </t>
  </si>
  <si>
    <t xml:space="preserve"> 3 Fe   134.739    101.6    2.2    2.5    2.27      354 </t>
  </si>
  <si>
    <t xml:space="preserve"> 4 Si    77.822   5318.6   41.7   25.3    0.31      260 </t>
  </si>
  <si>
    <t xml:space="preserve"> 5 Cl   151.478     62.2    7.6    6.8    2.57       42 </t>
  </si>
  <si>
    <t xml:space="preserve"> 6 F    199.140      6.5    3.8    2.0   10.19      356 </t>
  </si>
  <si>
    <t xml:space="preserve"> 7 K    119.485    930.1   47.5   20.7    0.62       69 </t>
  </si>
  <si>
    <t xml:space="preserve"> 8 Mn   146.243      2.5    2.5    1.9   19.34      302 </t>
  </si>
  <si>
    <t xml:space="preserve"> 9 Al    90.995    656.2   14.2    9.4    0.89      155 </t>
  </si>
  <si>
    <t xml:space="preserve">10 P    197.118      0.6    2.8    2.8   94.10 ?    149 </t>
  </si>
  <si>
    <t xml:space="preserve">11 Mg   107.534      4.4   22.3    0.0   25.99      129 </t>
  </si>
  <si>
    <t xml:space="preserve">12 Ca   107.121     88.1   28.7   29.9    3.08       82 </t>
  </si>
  <si>
    <t xml:space="preserve">13 Ti    88.305     55.1    0.0   40.7    3.97      119 </t>
  </si>
  <si>
    <t xml:space="preserve"> Na      0.4438    0.0045    0.5297    0.9729     0.9952     1.9410     0.9069</t>
  </si>
  <si>
    <t xml:space="preserve"> S       0.7538    0.0020    0.8048    0.9434     1.0320     1.2738     1.0228</t>
  </si>
  <si>
    <t xml:space="preserve"> Fe      0.9846    0.0000    1.0007    0.7955     1.0599     1.1853     1.0093</t>
  </si>
  <si>
    <t xml:space="preserve"> Si      0.7550    0.0007    0.8285    0.9678     1.0179     1.2244     0.9539</t>
  </si>
  <si>
    <t xml:space="preserve"> Cl      0.8200    0.0032    0.8688    0.8953     1.0383     1.2343     1.0144</t>
  </si>
  <si>
    <t xml:space="preserve"> F       0.1953    0.0014    0.2564    0.9978     0.9822     3.9737     1.0014</t>
  </si>
  <si>
    <t xml:space="preserve"> K       0.9023    0.0020    0.9409    0.8865     1.0486     1.1410     1.0312</t>
  </si>
  <si>
    <t xml:space="preserve"> Mn      0.9800    0.0000    0.9988    0.7839     1.0608     1.2041     1.0501</t>
  </si>
  <si>
    <t xml:space="preserve"> Al      0.6917    0.0171    0.7758    0.9493     1.0103     1.3214     0.9443</t>
  </si>
  <si>
    <t xml:space="preserve"> P       0.6657    0.0011    0.7213    0.9276     1.0252     1.4563     1.0331</t>
  </si>
  <si>
    <t xml:space="preserve"> Mg      0.5646    0.0096    0.6472    0.9876     1.0026     1.5455     0.9648</t>
  </si>
  <si>
    <t xml:space="preserve"> Ca      0.9190    0.0025    0.9519    0.9007     1.0526     1.1054     1.0283</t>
  </si>
  <si>
    <t xml:space="preserve"> Ti      0.9551    0.0073    0.9827    0.8126     1.0583     1.1748     1.0113</t>
  </si>
  <si>
    <t xml:space="preserve"> Na       4.67      6.30      4.68      6.30     1.683   0.9069   0.05154   2.60031  </t>
  </si>
  <si>
    <t xml:space="preserve"> S        0.0101    0.0253    0.0101    0.0253   0.0026  1.0228   0.000099  0.018399 ?</t>
  </si>
  <si>
    <t xml:space="preserve"> Fe       5.79      7.44      5.79      7.45     0.857   1.0093   0.05733   0.55108  </t>
  </si>
  <si>
    <t xml:space="preserve"> Si      33.26     71.15     33.27     71.17     9.799   0.9539   0.34865   1.45537  </t>
  </si>
  <si>
    <t xml:space="preserve"> Cl       0.3925    0.3925    0.3927    0.3927   0.0916  1.0144   0.003870  0.266688  </t>
  </si>
  <si>
    <t xml:space="preserve"> F        0.5142    0.5142    0.5144    0.5144   0.2240  1.0014   0.005135  1.078763  </t>
  </si>
  <si>
    <t xml:space="preserve"> K        3.56      4.29      3.56      4.29     0.754   1.0312   0.03454   5.04966  </t>
  </si>
  <si>
    <t xml:space="preserve"> Mn       0.1588    0.2050    0.1588    0.2051   0.0239  1.0501   0.001512  0.004489  </t>
  </si>
  <si>
    <t xml:space="preserve"> Al       4.67      8.82      4.67      8.83     1.433   0.9443   0.04945   0.74357  </t>
  </si>
  <si>
    <t xml:space="preserve"> P        0.0077    0.0175    0.0077    0.0175   0.0020  1.0331   0.000074  0.043315 ?</t>
  </si>
  <si>
    <t xml:space="preserve"> Mg       0.0225    0.0374    0.0225    0.0374   0.0077  0.9648   0.000234  0.007586  </t>
  </si>
  <si>
    <t xml:space="preserve"> Ca       0.3101    0.4340    0.3103    0.4341   0.0640  1.0283   0.003016  0.045077  </t>
  </si>
  <si>
    <t xml:space="preserve"> Ti       0.1977    0.3297    0.1978    0.3299   0.0342  1.0113   0.001955  0.079944  </t>
  </si>
  <si>
    <t xml:space="preserve"> O       46.40       -       46.42       -      24.000      -         -        </t>
  </si>
  <si>
    <t>Total:   99.96     99.96    100.00    100.00    14.976</t>
  </si>
  <si>
    <t xml:space="preserve">Unknown Specimen No. 59 </t>
  </si>
  <si>
    <t xml:space="preserve"> UNK No.      :   59            Comment : KE3_                                     </t>
  </si>
  <si>
    <t xml:space="preserve"> Stage        :    X=   47.7435  Y=   23.5635  Z=   11.3985 </t>
  </si>
  <si>
    <t xml:space="preserve"> Dated on Dec 20 19:39 2016 </t>
  </si>
  <si>
    <t xml:space="preserve"> 1 Na   129.476    576.4    0.0   23.2    1.34      182 </t>
  </si>
  <si>
    <t xml:space="preserve"> 2 S    171.948      1.7    5.1    5.5   38.02 ?    113 </t>
  </si>
  <si>
    <t xml:space="preserve"> 3 Fe   134.739    104.6    2.5    3.1    2.25      389 </t>
  </si>
  <si>
    <t xml:space="preserve"> 4 Si    77.822   5312.8   42.2   24.1    0.31      259 </t>
  </si>
  <si>
    <t xml:space="preserve"> 5 Cl   151.478     61.1    7.7    7.6    2.61       44 </t>
  </si>
  <si>
    <t xml:space="preserve"> 6 F    199.140      4.9    4.2    3.2   13.26      395 </t>
  </si>
  <si>
    <t xml:space="preserve"> 7 K    119.485    920.7   49.6   21.7    0.63       70 </t>
  </si>
  <si>
    <t xml:space="preserve"> 8 Mn   146.243      2.3    2.1    1.9   19.96      285 </t>
  </si>
  <si>
    <t xml:space="preserve"> 9 Al    90.995    654.2   13.5    8.6    0.89      150 </t>
  </si>
  <si>
    <t xml:space="preserve">10 P    197.118      0.7    2.6    2.3   77.16 ?    138 </t>
  </si>
  <si>
    <t xml:space="preserve">11 Mg   107.534      2.0   21.5    0.0   54.20 ?    127 </t>
  </si>
  <si>
    <t xml:space="preserve">12 Ca   107.121     81.2   29.9   29.8    3.28       82 </t>
  </si>
  <si>
    <t xml:space="preserve">13 Ti    88.305     55.2    0.0   42.2    4.00      121 </t>
  </si>
  <si>
    <t xml:space="preserve"> Na      0.4429    0.0045    0.5287    0.9732     0.9951     1.9445     0.9085</t>
  </si>
  <si>
    <t xml:space="preserve"> S       0.7536    0.0019    0.8046    0.9436     1.0319     1.2739     1.0229</t>
  </si>
  <si>
    <t xml:space="preserve"> Fe      0.9847    0.0000    1.0007    0.7956     1.0598     1.1851     1.0091</t>
  </si>
  <si>
    <t xml:space="preserve"> Si      0.7547    0.0007    0.8282    0.9680     1.0177     1.2248     0.9542</t>
  </si>
  <si>
    <t xml:space="preserve"> Cl      0.8198    0.0032    0.8687    0.8955     1.0381     1.2344     1.0145</t>
  </si>
  <si>
    <t xml:space="preserve"> F       0.1954    0.0014    0.2565    0.9981     0.9820     3.9720     1.0010</t>
  </si>
  <si>
    <t xml:space="preserve"> K       0.9023    0.0020    0.9408    0.8868     1.0484     1.1409     1.0311</t>
  </si>
  <si>
    <t xml:space="preserve"> Mn      0.9801    0.0000    0.9988    0.7841     1.0607     1.2038     1.0499</t>
  </si>
  <si>
    <t xml:space="preserve"> Al      0.6912    0.0170    0.7753    0.9496     1.0101     1.3222     0.9449</t>
  </si>
  <si>
    <t xml:space="preserve"> P       0.6655    0.0011    0.7211    0.9278     1.0250     1.4566     1.0333</t>
  </si>
  <si>
    <t xml:space="preserve"> Mg      0.5639    0.0096    0.6464    0.9879     1.0025     1.5472     0.9659</t>
  </si>
  <si>
    <t xml:space="preserve"> Ca      0.9190    0.0026    0.9519    0.9009     1.0525     1.1051     1.0281</t>
  </si>
  <si>
    <t xml:space="preserve"> Ti      0.9551    0.0075    0.9827    0.8128     1.0582     1.1743     1.0109</t>
  </si>
  <si>
    <t xml:space="preserve"> Na       4.67      6.29      4.67      6.29     1.679   0.9085   0.05138   2.59208  </t>
  </si>
  <si>
    <t xml:space="preserve"> S        0.0134    0.0334    0.0134    0.0334   0.0034  1.0229   0.000131  0.024279  </t>
  </si>
  <si>
    <t xml:space="preserve"> Fe       5.96      7.67      5.96      7.67     0.883   1.0091   0.05908   0.56790  </t>
  </si>
  <si>
    <t xml:space="preserve"> Si      33.27     71.16     33.28     71.19     9.795   0.9542   0.34861   1.45523  </t>
  </si>
  <si>
    <t xml:space="preserve"> Cl       0.3861    0.3861    0.3863    0.3863   0.0901  1.0145   0.003806  0.262289  </t>
  </si>
  <si>
    <t xml:space="preserve"> F        0.3925    0.3925    0.3927    0.3927   0.1709  1.0010   0.003921  0.823806  </t>
  </si>
  <si>
    <t xml:space="preserve"> K        3.53      4.25      3.53      4.25     0.747   1.0311   0.03422   5.00365  </t>
  </si>
  <si>
    <t xml:space="preserve"> Mn       0.1464    0.1891    0.1465    0.1892   0.0220  1.0499   0.001395  0.004141  </t>
  </si>
  <si>
    <t xml:space="preserve"> Al       4.66      8.81      4.67      8.81     1.430   0.9449   0.04935   0.74197  </t>
  </si>
  <si>
    <t xml:space="preserve"> P        0.0088    0.0201    0.0088    0.0201   0.0023  1.0333   0.000085  0.049681 ?</t>
  </si>
  <si>
    <t xml:space="preserve"> Mg       0.0102    0.0168    0.0102    0.0168   0.0035  0.9659   0.000105  0.003413 ?</t>
  </si>
  <si>
    <t xml:space="preserve"> Ca       0.2859    0.4000    0.2860    0.4002   0.0590  1.0281   0.002781  0.041564  </t>
  </si>
  <si>
    <t xml:space="preserve"> Ti       0.1981    0.3305    0.1982    0.3307   0.0342  1.0109   0.001960  0.080168  </t>
  </si>
  <si>
    <t xml:space="preserve"> O       46.43       -       46.45       -      24.000      -         -        </t>
  </si>
  <si>
    <t>Total:   99.95     99.95    100.00    100.00    14.919</t>
  </si>
  <si>
    <t xml:space="preserve">Unknown Specimen No. 60 </t>
  </si>
  <si>
    <t xml:space="preserve"> UNK No.      :   60            Comment : Scap                                     </t>
  </si>
  <si>
    <t xml:space="preserve"> Stage        :    X=   21.2415  Y=   23.6125  Z=   11.5290 </t>
  </si>
  <si>
    <t xml:space="preserve"> Dated on Dec 20 19:42 2016 </t>
  </si>
  <si>
    <t xml:space="preserve"> 1 Na   129.476    504.8    0.0   26.2    1.44      193 </t>
  </si>
  <si>
    <t xml:space="preserve"> 2 S    171.948     72.7    5.9    4.5    2.29      110 </t>
  </si>
  <si>
    <t xml:space="preserve"> 3 Fe   134.739      1.6    2.3    1.8   33.56 ?    320 </t>
  </si>
  <si>
    <t xml:space="preserve"> 4 Si    77.822   3625.7   28.9   20.2    0.37      221 </t>
  </si>
  <si>
    <t xml:space="preserve"> 5 Cl   151.478    231.0    8.3    7.1    1.24       44 </t>
  </si>
  <si>
    <t xml:space="preserve"> 6 F    199.140     -0.6    3.2    2.5  100.00 ?    346 </t>
  </si>
  <si>
    <t xml:space="preserve"> 7 K    119.485    195.2   23.9   19.3    1.45       54 </t>
  </si>
  <si>
    <t xml:space="preserve"> 8 Mn   146.243      0.2    1.9    1.9  184.79 ?    283 </t>
  </si>
  <si>
    <t xml:space="preserve"> 9 Al    90.995   1982.6   19.8   10.2    0.51      176 </t>
  </si>
  <si>
    <t xml:space="preserve">10 P    197.118     -0.4    3.0    2.6  100.00 ?    147 </t>
  </si>
  <si>
    <t xml:space="preserve">11 Mg   107.534      2.9   19.0    0.0   36.07 ?    119 </t>
  </si>
  <si>
    <t xml:space="preserve">12 Ca   107.121   2881.4   30.9   36.5    0.42       88 </t>
  </si>
  <si>
    <t xml:space="preserve">13 Ti    88.305     -2.3    0.0   41.8  100.00 ?    120 </t>
  </si>
  <si>
    <t xml:space="preserve"> Na      0.4763    0.0050    0.5685    0.9699     0.9963     1.8111     0.8462</t>
  </si>
  <si>
    <t xml:space="preserve"> S       0.7698    0.0044    0.8219    0.9405     1.0330     1.2469     1.0012</t>
  </si>
  <si>
    <t xml:space="preserve"> Fe      0.9811    0.0000    0.9971    0.7931     1.0604     1.1925     1.0154</t>
  </si>
  <si>
    <t xml:space="preserve"> Si      0.7193    0.0016    0.7893    0.9648     1.0189     1.2867     1.0025</t>
  </si>
  <si>
    <t xml:space="preserve"> Cl      0.8303    0.0063    0.8798    0.8925     1.0392     1.2177     1.0008</t>
  </si>
  <si>
    <t xml:space="preserve"> Mn      0.9755    0.0000    0.9942    0.7815     1.0613     1.2126     1.0576</t>
  </si>
  <si>
    <t xml:space="preserve"> Al      0.7195    0.0120    0.8070    0.9464     1.0113     1.2793     0.9142</t>
  </si>
  <si>
    <t xml:space="preserve"> Mg      0.5983    0.0108    0.6858    0.9845     1.0037     1.4598     0.9114</t>
  </si>
  <si>
    <t xml:space="preserve"> Ca      0.9285    0.0000    0.9618    0.8980     1.0534     1.0992     1.0225</t>
  </si>
  <si>
    <t xml:space="preserve"> Na       3.80      5.13      3.81      5.13     1.391   0.8462   0.04495   2.26791  </t>
  </si>
  <si>
    <t xml:space="preserve"> S        0.5594    1.3970    0.5600    1.3984   0.1467  1.0012   0.005587  1.038536  </t>
  </si>
  <si>
    <t xml:space="preserve"> Fe       0.0909    0.1170    0.0910    0.1171   0.0137  1.0154   0.000895  0.008607  </t>
  </si>
  <si>
    <t xml:space="preserve"> Si      23.83     50.97     23.85     51.02     7.132   1.0025   0.23767   0.99211  </t>
  </si>
  <si>
    <t xml:space="preserve"> Cl       1.44      1.44      1.44      1.44     0.341   1.0008   0.01437   0.99010  </t>
  </si>
  <si>
    <t xml:space="preserve"> K        0.7353    0.8858    0.7361    0.8867   0.1581  1.0146   0.007248  1.059619  </t>
  </si>
  <si>
    <t xml:space="preserve"> Mn       0.0129    0.0167    0.0129    0.0167   0.0020  1.0576   0.000122  0.000363 ?</t>
  </si>
  <si>
    <t xml:space="preserve"> Al      13.66     25.81     13.67     25.84     4.257   0.9142   0.14941   2.24646  </t>
  </si>
  <si>
    <t xml:space="preserve"> P        0.00      0.00      0.00      0.00     0.000   0.7094   0.00000   0.00000 ?</t>
  </si>
  <si>
    <t xml:space="preserve"> Mg       0.0139    0.0230    0.0139    0.0230   0.0048  0.9114   0.000152  0.004945  </t>
  </si>
  <si>
    <t xml:space="preserve"> Ca      10.08     14.11     10.10     14.13     2.116   1.0225   0.09863   1.47400  </t>
  </si>
  <si>
    <t xml:space="preserve"> Ti       0.00      0.00      0.00      0.00     0.000   0.8609  -0.00008  -0.00334 ?</t>
  </si>
  <si>
    <t xml:space="preserve"> O       45.67       -       45.72       -      24.000      -         -        </t>
  </si>
  <si>
    <t>Total:   99.90     99.90    100.00    100.00    15.562</t>
  </si>
  <si>
    <t xml:space="preserve">Unknown Specimen No. 61 </t>
  </si>
  <si>
    <t xml:space="preserve"> UNK No.      :   61            Comment : Scap                                     </t>
  </si>
  <si>
    <t xml:space="preserve"> Stage        :    X=   21.2335  Y=   23.6980  Z=   11.5315 </t>
  </si>
  <si>
    <t xml:space="preserve"> Dated on Dec 20 19:46 2016 </t>
  </si>
  <si>
    <t xml:space="preserve"> 1 Na   129.476    527.3    0.0   22.9    1.41      181 </t>
  </si>
  <si>
    <t xml:space="preserve"> 2 S    171.948     69.1    4.9    5.3    2.36      111 </t>
  </si>
  <si>
    <t xml:space="preserve"> 3 Fe   134.739      2.6    2.0    1.7   21.69      306 </t>
  </si>
  <si>
    <t xml:space="preserve"> 4 Si    77.822   3619.9   29.1   17.7    0.37      217 </t>
  </si>
  <si>
    <t xml:space="preserve"> 5 Cl   151.478    233.0   10.1    7.3    1.24       46 </t>
  </si>
  <si>
    <t xml:space="preserve"> 6 F    199.140      0.2    3.2    2.7  227.95 ?    349 </t>
  </si>
  <si>
    <t xml:space="preserve"> 7 K    119.485    189.6   24.3   20.9    1.48       55 </t>
  </si>
  <si>
    <t xml:space="preserve"> 8 Mn   146.243      0.5    2.2    1.5   76.34 ?    272 </t>
  </si>
  <si>
    <t xml:space="preserve"> 9 Al    90.995   1981.4   18.5   10.7    0.51      173 </t>
  </si>
  <si>
    <t xml:space="preserve">10 P    197.118      0.2    2.9    2.9  277.97 ?    151 </t>
  </si>
  <si>
    <t xml:space="preserve">11 Mg   107.534      1.8   20.3    0.0   59.97 ?    123 </t>
  </si>
  <si>
    <t xml:space="preserve">12 Ca   107.121   2877.4   32.5   37.4    0.42       89 </t>
  </si>
  <si>
    <t xml:space="preserve">13 Ti    88.305      0.4    0.0   39.0  350.90 ?    116 </t>
  </si>
  <si>
    <t xml:space="preserve"> Na      0.4761    0.0050    0.5683    0.9701     0.9962     1.8118     0.8465</t>
  </si>
  <si>
    <t xml:space="preserve"> S       0.7697    0.0044    0.8218    0.9406     1.0330     1.2468     1.0012</t>
  </si>
  <si>
    <t xml:space="preserve"> Fe      0.9812    0.0000    0.9972    0.7932     1.0604     1.1923     1.0152</t>
  </si>
  <si>
    <t xml:space="preserve"> Si      0.7187    0.0016    0.7887    0.9649     1.0189     1.2876     1.0032</t>
  </si>
  <si>
    <t xml:space="preserve"> Cl      0.8304    0.0063    0.8799    0.8927     1.0392     1.2175     1.0006</t>
  </si>
  <si>
    <t xml:space="preserve"> F       0.1816    0.0011    0.2384    0.9948     0.9831     4.2839     1.0796</t>
  </si>
  <si>
    <t xml:space="preserve"> K       0.9057    0.0169    0.9444    0.8840     1.0494     1.1224     1.0144</t>
  </si>
  <si>
    <t xml:space="preserve"> Mn      0.9756    0.0000    0.9942    0.7817     1.0613     1.2124     1.0574</t>
  </si>
  <si>
    <t xml:space="preserve"> Al      0.7185    0.0120    0.8058    0.9466     1.0113     1.2811     0.9155</t>
  </si>
  <si>
    <t xml:space="preserve"> Mg      0.5969    0.0108    0.6842    0.9847     1.0037     1.4631     0.9134</t>
  </si>
  <si>
    <t xml:space="preserve"> Ca      0.9286    0.0001    0.9618    0.8981     1.0534     1.0989     1.0223</t>
  </si>
  <si>
    <t xml:space="preserve"> Na       3.97      5.36      3.97      5.35     1.453   0.8465   0.04696   2.36909  </t>
  </si>
  <si>
    <t xml:space="preserve"> S        0.5320    1.3286    0.5315    1.3273   0.1395  1.0012   0.005314  0.987772  </t>
  </si>
  <si>
    <t xml:space="preserve"> Fe       0.1491    0.1918    0.1489    0.1916   0.0224  1.0152   0.001468  0.014113  </t>
  </si>
  <si>
    <t xml:space="preserve"> Si      23.80     50.92     23.78     50.87     7.123   1.0032   0.23730   0.99055  </t>
  </si>
  <si>
    <t xml:space="preserve"> Cl       1.45      1.45      1.45      1.45     0.344   1.0006   0.01449   0.99846  </t>
  </si>
  <si>
    <t xml:space="preserve"> F        0.0174    0.0174    0.0173    0.0173   0.0077  1.0796   0.000161  0.033773 ?</t>
  </si>
  <si>
    <t xml:space="preserve"> K        0.7143    0.8605    0.7136    0.8596   0.1536  1.0144   0.007042  1.029490  </t>
  </si>
  <si>
    <t xml:space="preserve"> Mn       0.0311    0.0401    0.0310    0.0401   0.0048  1.0574   0.000294  0.000872  </t>
  </si>
  <si>
    <t xml:space="preserve"> Al      13.67     25.83     13.66     25.80     4.259   0.9155   0.14931   2.24500  </t>
  </si>
  <si>
    <t xml:space="preserve"> P        0.0025    0.0057    0.0025    0.0057   0.0007  1.0038   0.000025  0.014438 ?</t>
  </si>
  <si>
    <t xml:space="preserve"> Mg       0.0084    0.0139    0.0084    0.0139   0.0029  0.9134   0.000092  0.002985 ?</t>
  </si>
  <si>
    <t xml:space="preserve"> Ca      10.07     14.09     10.06     14.07     2.112   1.0223   0.09849   1.47192  </t>
  </si>
  <si>
    <t xml:space="preserve"> Ti       0.0015    0.0024    0.0015    0.0024   0.0003  1.0317   0.000014  0.000580 ?</t>
  </si>
  <si>
    <t xml:space="preserve"> O       45.68       -       45.64       -      24.000      -         -        </t>
  </si>
  <si>
    <t>Total:  100.10    100.10    100.00    100.00    15.622</t>
  </si>
  <si>
    <t xml:space="preserve">Unknown Specimen No. 62 </t>
  </si>
  <si>
    <t xml:space="preserve"> UNK No.      :   62            Comment : UnknA-BatokeCS1-3_1                      </t>
  </si>
  <si>
    <t xml:space="preserve"> Stage        :    X=   43.4325  Y=   79.0760  Z=   11.3900 </t>
  </si>
  <si>
    <t xml:space="preserve"> Dated on Dec 20 19:49 2016 </t>
  </si>
  <si>
    <t xml:space="preserve"> 1 Na   129.476    432.1    0.0   24.6    1.56      187 </t>
  </si>
  <si>
    <t xml:space="preserve"> 2 S    171.948      1.0    5.8    5.1   63.53 ?    114 </t>
  </si>
  <si>
    <t xml:space="preserve"> 3 Fe   134.739    136.2    3.3    2.1    1.95      360 </t>
  </si>
  <si>
    <t xml:space="preserve"> 4 Si    77.822   3535.4   33.4   19.4    0.38      231 </t>
  </si>
  <si>
    <t xml:space="preserve"> 5 Cl   151.478     10.8    8.3    7.2    8.63       44 </t>
  </si>
  <si>
    <t xml:space="preserve"> 6 F    199.140      3.0    3.7    3.2   19.72      379 </t>
  </si>
  <si>
    <t xml:space="preserve"> 7 K    119.485    524.1   37.3   22.9    0.84       64 </t>
  </si>
  <si>
    <t xml:space="preserve"> 8 Mn   146.243      2.6    1.7    1.6   17.01      260 </t>
  </si>
  <si>
    <t xml:space="preserve"> 9 Al    90.995   1278.3   17.5   10.1    0.63      168 </t>
  </si>
  <si>
    <t xml:space="preserve">10 P    197.118     43.9    2.6    2.6    3.58      143 </t>
  </si>
  <si>
    <t xml:space="preserve">11 Mg   107.534    354.3   33.3    0.0    1.24      158 </t>
  </si>
  <si>
    <t xml:space="preserve">12 Ca   107.121   1720.0   28.4   34.8    0.55       85 </t>
  </si>
  <si>
    <t xml:space="preserve">13 Ti    88.305    503.7    0.0   49.2    1.04      130 </t>
  </si>
  <si>
    <t xml:space="preserve"> Na      0.4198    0.0041    0.5011    0.9848     0.9907     2.0371     0.9518</t>
  </si>
  <si>
    <t xml:space="preserve"> S       0.7649    0.0031    0.8167    0.9545     1.0275     1.2446     0.9994</t>
  </si>
  <si>
    <t xml:space="preserve"> Fe      0.9819    0.0000    0.9979    0.8043     1.0576     1.1780     1.0031</t>
  </si>
  <si>
    <t xml:space="preserve"> Si      0.7092    0.0012    0.7783    0.9794     1.0132     1.2933     1.0076</t>
  </si>
  <si>
    <t xml:space="preserve"> Cl      0.8285    0.0058    0.8778    0.9058     1.0339     1.2094     0.9939</t>
  </si>
  <si>
    <t xml:space="preserve"> F       0.1902    0.0014    0.2497    1.0101     0.9780     4.0487     1.0203</t>
  </si>
  <si>
    <t xml:space="preserve"> K       0.9080    0.0130    0.9468    0.8969     1.0446     1.1128     1.0058</t>
  </si>
  <si>
    <t xml:space="preserve"> Mn      0.9765    0.0000    0.9952    0.7927     1.0582     1.1978     1.0447</t>
  </si>
  <si>
    <t xml:space="preserve"> Al      0.6671    0.0107    0.7482    0.9608     1.0056     1.3688     0.9782</t>
  </si>
  <si>
    <t xml:space="preserve"> P       0.6821    0.0017    0.7391    0.9386     1.0205     1.4101     1.0003</t>
  </si>
  <si>
    <t xml:space="preserve"> Mg      0.5501    0.0081    0.6306    0.9996     0.9980     1.5769     0.9845</t>
  </si>
  <si>
    <t xml:space="preserve"> Ca      0.9272    0.0052    0.9604    0.9111     1.0488     1.0839     1.0084</t>
  </si>
  <si>
    <t xml:space="preserve"> Ti      0.9507    0.0085    0.9782    0.8219     1.0550     1.1691     1.0064</t>
  </si>
  <si>
    <t xml:space="preserve"> Na       3.66      4.94      3.62      4.88     1.378   0.9518   0.03848   1.94138  </t>
  </si>
  <si>
    <t xml:space="preserve"> S        0.0076    0.0190    0.0075    0.0188   0.0021  0.9994   0.000076  0.014174 ?</t>
  </si>
  <si>
    <t xml:space="preserve"> Fe       7.71      9.91      7.63      9.81     1.194   1.0031   0.07683   0.73856  </t>
  </si>
  <si>
    <t xml:space="preserve"> Si      23.33     49.92     23.09     49.40     7.188   1.0076   0.23175   0.96741  </t>
  </si>
  <si>
    <t xml:space="preserve"> Cl       0.0670    0.0670    0.0663    0.0663   0.0163  0.9939   0.000674  0.046429  </t>
  </si>
  <si>
    <t xml:space="preserve"> F        0.2399    0.2399    0.2374    0.2374   0.1093  1.0203   0.002351  0.494005  </t>
  </si>
  <si>
    <t xml:space="preserve"> K        1.96      2.36      1.94      2.33     0.433   1.0058   0.01946   2.84538  </t>
  </si>
  <si>
    <t xml:space="preserve"> Mn       0.1663    0.2147    0.1646    0.2125   0.0262  1.0447   0.001592  0.004727  </t>
  </si>
  <si>
    <t xml:space="preserve"> Al       9.42     17.80      9.32     17.62     3.021   0.9782   0.09634   1.44843  </t>
  </si>
  <si>
    <t xml:space="preserve"> P        0.5415    1.2409    0.5359    1.2281   0.1513  1.0003   0.005413  3.165770  </t>
  </si>
  <si>
    <t xml:space="preserve"> Mg       1.83      3.04      1.81      3.00     0.652   0.9845   0.01859   0.60392  </t>
  </si>
  <si>
    <t xml:space="preserve"> Ca       5.94      8.31      5.87      8.22     1.282   1.0084   0.05887   0.87985  </t>
  </si>
  <si>
    <t xml:space="preserve"> Ti       1.80      3.00      1.78      2.97     0.325   1.0064   0.01787   0.73075  </t>
  </si>
  <si>
    <t xml:space="preserve"> O       44.38       -       43.92       -      24.000      -         -        </t>
  </si>
  <si>
    <t>Total:  101.05    101.05    100.00    100.00    15.777</t>
  </si>
  <si>
    <t xml:space="preserve">Unknown Specimen No. 63 </t>
  </si>
  <si>
    <t xml:space="preserve"> UNK No.      :   63            Comment : UnknA-BatokeCS1-3_2                      </t>
  </si>
  <si>
    <t xml:space="preserve"> Stage        :    X=   43.8935  Y=   79.3265  Z=   11.3910 </t>
  </si>
  <si>
    <t xml:space="preserve"> Dated on Dec 20 19:53 2016 </t>
  </si>
  <si>
    <t xml:space="preserve"> 1 Na   129.476    598.6    0.0   26.7    1.32      195 </t>
  </si>
  <si>
    <t xml:space="preserve"> 2 S    171.948      0.8    4.9    5.6   74.22 ?    113 </t>
  </si>
  <si>
    <t xml:space="preserve"> 3 Fe   134.739    149.3    3.2    2.7    1.87      386 </t>
  </si>
  <si>
    <t xml:space="preserve"> 4 Si    77.822   3127.9   30.3   21.4    0.40      227 </t>
  </si>
  <si>
    <t xml:space="preserve"> 5 Cl   151.478     13.1    8.7    6.9    7.44       44 </t>
  </si>
  <si>
    <t xml:space="preserve"> 6 F    199.140      3.4    3.5    3.4   17.53      377 </t>
  </si>
  <si>
    <t xml:space="preserve"> 7 K    119.485    539.9   34.8   23.5    0.83       63 </t>
  </si>
  <si>
    <t xml:space="preserve"> 8 Mn   146.243      1.8    2.6    2.4   25.88      322 </t>
  </si>
  <si>
    <t xml:space="preserve"> 9 Al    90.995   1121.0   19.1    9.8    0.68      172 </t>
  </si>
  <si>
    <t xml:space="preserve">10 P    197.118     43.8    4.6    4.1    3.70      184 </t>
  </si>
  <si>
    <t xml:space="preserve">11 Mg   107.534    637.5   40.5    0.0    0.91      174 </t>
  </si>
  <si>
    <t xml:space="preserve">12 Ca   107.121   2092.4   31.2   36.4    0.50       88 </t>
  </si>
  <si>
    <t xml:space="preserve">13 Ti    88.305    541.9    0.0   50.1    1.00      132 </t>
  </si>
  <si>
    <t xml:space="preserve"> Na      0.4160    0.0040    0.4965    0.9881     0.9895     2.0516     0.9586</t>
  </si>
  <si>
    <t xml:space="preserve"> S       0.7694    0.0035    0.8214    0.9577     1.0263     1.2342     0.9910</t>
  </si>
  <si>
    <t xml:space="preserve"> Fe      0.9814    0.0000    0.9974    0.8069     1.0569     1.1757     1.0011</t>
  </si>
  <si>
    <t xml:space="preserve"> Si      0.7004    0.0013    0.7686    0.9826     1.0119     1.3067     1.0180</t>
  </si>
  <si>
    <t xml:space="preserve"> Cl      0.8319    0.0066    0.8814    0.9088     1.0327     1.2009     0.9869</t>
  </si>
  <si>
    <t xml:space="preserve"> F       0.1921    0.0014    0.2523    1.0136     0.9769     3.9977     1.0074</t>
  </si>
  <si>
    <t xml:space="preserve"> K       0.9099    0.0155    0.9488    0.8998     1.0435     1.1054     0.9990</t>
  </si>
  <si>
    <t xml:space="preserve"> Mn      0.9758    0.0000    0.9945    0.7952     1.0575     1.1957     1.0428</t>
  </si>
  <si>
    <t xml:space="preserve"> Al      0.6471    0.0093    0.7258    0.9640     1.0043     1.4100     1.0077</t>
  </si>
  <si>
    <t xml:space="preserve"> P       0.6875    0.0019    0.7450    0.9418     1.0193     1.3956     0.9901</t>
  </si>
  <si>
    <t xml:space="preserve"> Mg      0.5379    0.0070    0.6166    1.0029     0.9967     1.6111     1.0058</t>
  </si>
  <si>
    <t xml:space="preserve"> Ca      0.9285    0.0056    0.9618    0.9141     1.0478     1.0796     1.0043</t>
  </si>
  <si>
    <t xml:space="preserve"> Ti      0.9494    0.0089    0.9769    0.8246     1.0541     1.1674     1.0050</t>
  </si>
  <si>
    <t xml:space="preserve"> Na       5.11      6.89      5.03      6.79     1.982   0.9586   0.05336   2.69207  </t>
  </si>
  <si>
    <t xml:space="preserve"> S        0.0064    0.0160    0.0063    0.0158   0.0018  0.9910   0.000065  0.012039 ?</t>
  </si>
  <si>
    <t xml:space="preserve"> Fe       8.44     10.86      8.31     10.69     1.347   1.0011   0.08433   0.81059  </t>
  </si>
  <si>
    <t xml:space="preserve"> Si      20.87     44.65     20.56     43.97     6.623   1.0180   0.20524   0.85674  </t>
  </si>
  <si>
    <t xml:space="preserve"> Cl       0.0806    0.0806    0.0794    0.0794   0.0203  0.9869   0.000817  0.056305  </t>
  </si>
  <si>
    <t xml:space="preserve"> F        0.2702    0.2702    0.2661    0.2661   0.1268  1.0074   0.002682  0.563528  </t>
  </si>
  <si>
    <t xml:space="preserve"> K        2.00      2.42      1.97      2.38     0.457   0.9990   0.02007   2.93405  </t>
  </si>
  <si>
    <t xml:space="preserve"> Mn       0.1178    0.1521    0.1160    0.1498   0.0191  1.0428   0.001130  0.003354  </t>
  </si>
  <si>
    <t xml:space="preserve"> Al       8.52     16.09      8.39     15.85     2.814   1.0077   0.08457   1.27147  </t>
  </si>
  <si>
    <t xml:space="preserve"> P        0.5361    1.2284    0.5279    1.2097   0.1543  0.9901   0.005414  3.166276  </t>
  </si>
  <si>
    <t xml:space="preserve"> Mg       3.37      5.59      3.32      5.50     1.235   1.0058   0.03349   1.08785  </t>
  </si>
  <si>
    <t xml:space="preserve"> Ca       7.20     10.07      7.09      9.92     1.601   1.0043   0.07169   1.07146  </t>
  </si>
  <si>
    <t xml:space="preserve"> Ti       1.93      3.23      1.90      3.18     0.360   1.0050   0.01924   0.78695  </t>
  </si>
  <si>
    <t xml:space="preserve"> O       43.08       -       42.43       -      24.000      -         -        </t>
  </si>
  <si>
    <t>Total:  101.54    101.54    100.00    100.00    16.741</t>
  </si>
  <si>
    <t xml:space="preserve">Unknown Specimen No. 64 </t>
  </si>
  <si>
    <t xml:space="preserve"> UNK No.      :   64            Comment : UnknA-BatokeCS1-3_3                      </t>
  </si>
  <si>
    <t xml:space="preserve"> Stage        :    X=   44.6270  Y=   80.2290  Z=   11.3965 </t>
  </si>
  <si>
    <t xml:space="preserve"> Dated on Dec 20 19:56 2016 </t>
  </si>
  <si>
    <t xml:space="preserve"> 1 Na   129.476    439.5    0.0   22.3    1.55      178 </t>
  </si>
  <si>
    <t xml:space="preserve"> 2 S    171.948      1.8    4.8    5.1   34.44 ?    109 </t>
  </si>
  <si>
    <t xml:space="preserve"> 3 Fe   134.739    147.7    3.8    1.7    1.87      352 </t>
  </si>
  <si>
    <t xml:space="preserve"> 4 Si    77.822   3476.2   32.8   20.9    0.38      232 </t>
  </si>
  <si>
    <t xml:space="preserve"> 5 Cl   151.478      2.9   10.3    7.3   28.67       47 </t>
  </si>
  <si>
    <t xml:space="preserve"> 6 F    199.140      3.4    3.9    2.9   17.49      377 </t>
  </si>
  <si>
    <t xml:space="preserve"> 7 K    119.485    542.9   36.3   23.1    0.83       64 </t>
  </si>
  <si>
    <t xml:space="preserve"> 8 Mn   146.243      1.7    2.3    1.9   26.63      294 </t>
  </si>
  <si>
    <t xml:space="preserve"> 9 Al    90.995   1270.2   16.6   13.6    0.63      175 </t>
  </si>
  <si>
    <t xml:space="preserve">10 P    197.118     45.7    2.6    3.0    3.52      150 </t>
  </si>
  <si>
    <t xml:space="preserve">11 Mg   107.534    359.2   31.2    0.0    1.23      153 </t>
  </si>
  <si>
    <t xml:space="preserve">12 Ca   107.121   1705.5   32.2   35.6    0.55       88 </t>
  </si>
  <si>
    <t xml:space="preserve">13 Ti    88.305    503.3    0.0   45.6    1.04      126 </t>
  </si>
  <si>
    <t xml:space="preserve"> Na      0.4163    0.0041    0.4968    0.9860     0.9902     2.0530     0.9592</t>
  </si>
  <si>
    <t xml:space="preserve"> S       0.7651    0.0031    0.8168    0.9557     1.0270     1.2434     0.9984</t>
  </si>
  <si>
    <t xml:space="preserve"> Fe      0.9820    0.0000    0.9980    0.8053     1.0573     1.1769     1.0021</t>
  </si>
  <si>
    <t xml:space="preserve"> Si      0.7071    0.0012    0.7760    0.9806     1.0127     1.2962     1.0098</t>
  </si>
  <si>
    <t xml:space="preserve"> Cl      0.8286    0.0058    0.8779    0.9069     1.0335     1.2082     0.9930</t>
  </si>
  <si>
    <t xml:space="preserve"> F       0.1913    0.0014    0.2511    1.0114     0.9776     4.0218     1.0135</t>
  </si>
  <si>
    <t xml:space="preserve"> K       0.9082    0.0130    0.9470    0.8979     1.0442     1.1117     1.0047</t>
  </si>
  <si>
    <t xml:space="preserve"> Mn      0.9766    0.0000    0.9953    0.7936     1.0579     1.1967     1.0436</t>
  </si>
  <si>
    <t xml:space="preserve"> Al      0.6638    0.0104    0.7444    0.9620     1.0051     1.3750     0.9826</t>
  </si>
  <si>
    <t xml:space="preserve"> P       0.6824    0.0017    0.7394    0.9398     1.0201     1.4083     0.9991</t>
  </si>
  <si>
    <t xml:space="preserve"> Mg      0.5464    0.0079    0.6263    1.0008     0.9975     1.5868     0.9906</t>
  </si>
  <si>
    <t xml:space="preserve"> Ca      0.9272    0.0054    0.9604    0.9122     1.0484     1.0829     1.0074</t>
  </si>
  <si>
    <t xml:space="preserve"> Ti      0.9508    0.0090    0.9783    0.8229     1.0546     1.1673     1.0049</t>
  </si>
  <si>
    <t xml:space="preserve"> Na       3.75      5.06      3.71      5.00     1.418   0.9592   0.03914   1.97465  </t>
  </si>
  <si>
    <t xml:space="preserve"> S        0.0141    0.0352    0.0139    0.0348   0.0038  0.9984   0.000141  0.026246  </t>
  </si>
  <si>
    <t xml:space="preserve"> Fe       8.35     10.74      8.24     10.61     1.298   1.0021   0.08333   0.80099  </t>
  </si>
  <si>
    <t xml:space="preserve"> Si      22.99     49.18     22.71     48.57     7.107   1.0098   0.22787   0.95122  </t>
  </si>
  <si>
    <t xml:space="preserve"> Cl       0.0177    0.0177    0.0175    0.0175   0.0043  0.9930   0.000178  0.012269  </t>
  </si>
  <si>
    <t xml:space="preserve"> F        0.2739    0.2739    0.2705    0.2705   0.1252  1.0135   0.002703  0.567840  </t>
  </si>
  <si>
    <t xml:space="preserve"> K        2.03      2.44      2.00      2.41     0.450   1.0047   0.02016   2.94765  </t>
  </si>
  <si>
    <t xml:space="preserve"> Mn       0.1056    0.1363    0.1043    0.1346   0.0167  1.0436   0.001012  0.003004  </t>
  </si>
  <si>
    <t xml:space="preserve"> Al       9.40     17.77      9.29     17.54     3.026   0.9826   0.09572   1.43921  </t>
  </si>
  <si>
    <t xml:space="preserve"> P        0.5631    1.2903    0.5561    1.2742   0.1579  0.9991   0.005636  3.295788  </t>
  </si>
  <si>
    <t xml:space="preserve"> Mg       1.87      3.10      1.84      3.06     0.667   0.9906   0.01885   0.61228  </t>
  </si>
  <si>
    <t xml:space="preserve"> Ca       5.88      8.23      5.81      8.13     1.274   1.0074   0.05838   0.87248  </t>
  </si>
  <si>
    <t xml:space="preserve"> Ti       1.79      2.99      1.77      2.95     0.325   1.0049   0.01785   0.73009  </t>
  </si>
  <si>
    <t xml:space="preserve"> O       44.22       -       43.67       -      24.000      -         -        </t>
  </si>
  <si>
    <t>Total:  101.26    101.26    100.00    100.00    15.873</t>
  </si>
  <si>
    <t xml:space="preserve">Unknown Specimen No. 65 </t>
  </si>
  <si>
    <t xml:space="preserve"> UNK No.      :   65            Comment : UnknA-BatokeCS1-3_4                      </t>
  </si>
  <si>
    <t xml:space="preserve"> Stage        :    X=   43.8440  Y=   80.8640  Z=   11.3995 </t>
  </si>
  <si>
    <t xml:space="preserve"> Dated on Dec 20 20:00 2016 </t>
  </si>
  <si>
    <t xml:space="preserve"> 1 Na   129.476    761.7    0.0   27.3    1.17      198 </t>
  </si>
  <si>
    <t xml:space="preserve"> 2 S    171.948      2.3    3.9    3.9   25.14       97 </t>
  </si>
  <si>
    <t xml:space="preserve"> 3 Fe   134.739    130.0    2.6    2.0    2.00      339 </t>
  </si>
  <si>
    <t xml:space="preserve"> 4 Si    77.822   3189.1   31.7   19.6    0.40      228 </t>
  </si>
  <si>
    <t xml:space="preserve"> 5 Cl   151.478      4.9   10.5    8.3   18.07       48 </t>
  </si>
  <si>
    <t xml:space="preserve"> 6 F    199.140      1.3    3.9    3.4   40.72 ?    388 </t>
  </si>
  <si>
    <t xml:space="preserve"> 7 K    119.485    293.5   31.6   21.8    1.16       60 </t>
  </si>
  <si>
    <t xml:space="preserve"> 8 Mn   146.243      2.9    2.0    1.8   16.09      281 </t>
  </si>
  <si>
    <t xml:space="preserve"> 9 Al    90.995   1159.0   14.3    8.3    0.66      152 </t>
  </si>
  <si>
    <t xml:space="preserve">10 P    197.118     40.5    3.1    2.8    3.76      152 </t>
  </si>
  <si>
    <t xml:space="preserve">11 Mg   107.534    587.4   39.0    0.0    0.95      171 </t>
  </si>
  <si>
    <t xml:space="preserve">12 Ca   107.121   2246.4   28.5   35.4    0.48       86 </t>
  </si>
  <si>
    <t xml:space="preserve">13 Ti    88.305    555.2    0.0   49.2    0.99      131 </t>
  </si>
  <si>
    <t xml:space="preserve"> Na      0.4248    0.0040    0.5070    0.9854     0.9907     2.0125     0.9403</t>
  </si>
  <si>
    <t xml:space="preserve"> S       0.7689    0.0033    0.8210    0.9551     1.0275     1.2371     0.9933</t>
  </si>
  <si>
    <t xml:space="preserve"> Fe      0.9816    0.0000    0.9976    0.8048     1.0576     1.1778     1.0029</t>
  </si>
  <si>
    <t xml:space="preserve"> Si      0.7009    0.0012    0.7691    0.9800     1.0132     1.3079     1.0189</t>
  </si>
  <si>
    <t xml:space="preserve"> Cl      0.8315    0.0062    0.8811    0.9064     1.0339     1.2037     0.9893</t>
  </si>
  <si>
    <t xml:space="preserve"> F       0.1916    0.0015    0.2516    1.0107     0.9780     4.0149     1.0118</t>
  </si>
  <si>
    <t xml:space="preserve"> K       0.9099    0.0163    0.9488    0.8974     1.0446     1.1063     0.9999</t>
  </si>
  <si>
    <t xml:space="preserve"> Mn      0.9761    0.0000    0.9947    0.7932     1.0582     1.1977     1.0445</t>
  </si>
  <si>
    <t xml:space="preserve"> Al      0.6493    0.0094    0.7282    0.9614     1.0056     1.4074     1.0058</t>
  </si>
  <si>
    <t xml:space="preserve"> P       0.6868    0.0018    0.7442    0.9392     1.0205     1.3994     0.9928</t>
  </si>
  <si>
    <t xml:space="preserve"> Mg      0.5382    0.0071    0.6169    1.0002     0.9980     1.6126     1.0067</t>
  </si>
  <si>
    <t xml:space="preserve"> Ca      0.9308    0.0053    0.9641    0.9117     1.0488     1.0790     1.0038</t>
  </si>
  <si>
    <t xml:space="preserve"> Ti      0.9500    0.0079    0.9774    0.8224     1.0550     1.1700     1.0072</t>
  </si>
  <si>
    <t xml:space="preserve"> Na       6.38      8.61      6.23      8.40     2.432   0.9403   0.06796   3.42874  </t>
  </si>
  <si>
    <t xml:space="preserve"> S        0.0178    0.0445    0.0174    0.0434   0.0049  0.9933   0.000179  0.033312  </t>
  </si>
  <si>
    <t xml:space="preserve"> Fe       7.37      9.48      7.19      9.25     1.156   1.0029   0.07351   0.70658  </t>
  </si>
  <si>
    <t xml:space="preserve"> Si      21.31     45.59     20.80     44.49     6.645   1.0189   0.20947   0.87440  </t>
  </si>
  <si>
    <t xml:space="preserve"> Cl       0.0302    0.0302    0.0295    0.0295   0.0075  0.9893   0.000305  0.021044  </t>
  </si>
  <si>
    <t xml:space="preserve"> F        0.1079    0.1079    0.1053    0.1053   0.0497  1.0118   0.001066  0.223975  </t>
  </si>
  <si>
    <t xml:space="preserve"> K        1.09      1.32      1.07      1.28     0.245   0.9999   0.01092   1.59687  </t>
  </si>
  <si>
    <t xml:space="preserve"> Mn       0.1885    0.2434    0.1840    0.2376   0.0301  1.0445   0.001805  0.005359  </t>
  </si>
  <si>
    <t xml:space="preserve"> Al       8.80     16.62      8.58     16.22     2.856   1.0058   0.08752   1.31584  </t>
  </si>
  <si>
    <t xml:space="preserve"> P        0.4972    1.1394    0.4852    1.1119   0.1406  0.9928   0.005008  2.928835  </t>
  </si>
  <si>
    <t xml:space="preserve"> Mg       3.11      5.16      3.03      5.03     1.120   1.0067   0.03089   1.00340  </t>
  </si>
  <si>
    <t xml:space="preserve"> Ca       7.73     10.82      7.55     10.56     1.690   1.0038   0.07704   1.15146  </t>
  </si>
  <si>
    <t xml:space="preserve"> Ti       1.99      3.31      1.94      3.24     0.363   1.0072   0.01973   0.80709  </t>
  </si>
  <si>
    <t xml:space="preserve"> O       43.84       -       42.79       -      24.000      -         -        </t>
  </si>
  <si>
    <t>Total:  102.47    102.47    100.00    100.00    16.739</t>
  </si>
  <si>
    <t xml:space="preserve">Unknown Specimen No. 66 </t>
  </si>
  <si>
    <t xml:space="preserve"> UNK No.      :   66            Comment : UnknA-BatokeCS1-3_5                      </t>
  </si>
  <si>
    <t xml:space="preserve"> Stage        :    X=   42.9360  Y=   80.7245  Z=   11.3995 </t>
  </si>
  <si>
    <t xml:space="preserve"> Dated on Dec 20 20:03 2016 </t>
  </si>
  <si>
    <t xml:space="preserve"> 1 Na   129.476    448.4    0.0   22.9    1.53      181 </t>
  </si>
  <si>
    <t xml:space="preserve"> 2 S    171.948     -0.2    5.4    5.3  100.00 ?    113 </t>
  </si>
  <si>
    <t xml:space="preserve"> 3 Fe   134.739    138.9    2.6    2.1    1.93      344 </t>
  </si>
  <si>
    <t xml:space="preserve"> 4 Si    77.822   3415.3   30.5   20.4    0.39      226 </t>
  </si>
  <si>
    <t xml:space="preserve"> 5 Cl   151.478     10.8    8.7    7.1    8.69       44 </t>
  </si>
  <si>
    <t xml:space="preserve"> 6 F    199.140      2.1    4.0    3.7   28.12      398 </t>
  </si>
  <si>
    <t xml:space="preserve"> 7 K    119.485    443.0   33.6   18.5    0.92       60 </t>
  </si>
  <si>
    <t xml:space="preserve"> 8 Mn   146.243      2.0    1.3    2.4   22.26      282 </t>
  </si>
  <si>
    <t xml:space="preserve"> 9 Al    90.995   1259.1   17.1   10.6    0.64      168 </t>
  </si>
  <si>
    <t xml:space="preserve">10 P    197.118     45.3    3.3    3.2    3.56      160 </t>
  </si>
  <si>
    <t xml:space="preserve">11 Mg   107.534    397.4   35.3    0.0    1.17      163 </t>
  </si>
  <si>
    <t xml:space="preserve">12 Ca   107.121   1810.6   33.2   33.9    0.54       87 </t>
  </si>
  <si>
    <t xml:space="preserve">13 Ti    88.305    534.5    0.0   46.3    1.01      127 </t>
  </si>
  <si>
    <t xml:space="preserve"> Na      0.4185    0.0041    0.4995    0.9855     0.9904     2.0425     0.9543</t>
  </si>
  <si>
    <t xml:space="preserve"> Fe      0.9818    0.0000    0.9978    0.8049     1.0574     1.1775     1.0027</t>
  </si>
  <si>
    <t xml:space="preserve"> Si      0.7069    0.0012    0.7757    0.9800     1.0129     1.2971     1.0105</t>
  </si>
  <si>
    <t xml:space="preserve"> Cl      0.8289    0.0058    0.8783    0.9064     1.0337     1.2082     0.9929</t>
  </si>
  <si>
    <t xml:space="preserve"> F       0.1903    0.0014    0.2499    1.0108     0.9777     4.0433     1.0189</t>
  </si>
  <si>
    <t xml:space="preserve"> K       0.9083    0.0138    0.9471    0.8975     1.0444     1.1112     1.0042</t>
  </si>
  <si>
    <t xml:space="preserve"> Mn      0.9764    0.0000    0.9951    0.7932     1.0581     1.1974     1.0443</t>
  </si>
  <si>
    <t xml:space="preserve"> Al      0.6636    0.0104    0.7442    0.9614     1.0053     1.3760     0.9833</t>
  </si>
  <si>
    <t xml:space="preserve"> P       0.6829    0.0017    0.7400    0.9393     1.0203     1.4078     0.9987</t>
  </si>
  <si>
    <t xml:space="preserve"> Mg      0.5478    0.0079    0.6280    1.0003     0.9977     1.5832     0.9884</t>
  </si>
  <si>
    <t xml:space="preserve"> Ca      0.9282    0.0055    0.9614    0.9117     1.0486     1.0821     1.0067</t>
  </si>
  <si>
    <t xml:space="preserve"> Ti      0.9507    0.0086    0.9781    0.8225     1.0548     1.1685     1.0059</t>
  </si>
  <si>
    <t xml:space="preserve"> Na       3.81      5.14      3.80      5.12     1.451   0.9543   0.03997   2.01668  </t>
  </si>
  <si>
    <t xml:space="preserve"> S        0.00      0.00      0.00      0.00     0.000   0.8030   0.00000   0.00000 ?</t>
  </si>
  <si>
    <t xml:space="preserve"> Fe       7.87     10.12      7.84     10.08     1.232   1.0027   0.07845   0.75411  </t>
  </si>
  <si>
    <t xml:space="preserve"> Si      22.64     48.43     22.56     48.26     7.050   1.0105   0.22411   0.93549  </t>
  </si>
  <si>
    <t xml:space="preserve"> Cl       0.0668    0.0668    0.0666    0.0666   0.0165  0.9929   0.000673  0.046394  </t>
  </si>
  <si>
    <t xml:space="preserve"> F        0.1663    0.1663    0.1657    0.1657   0.0766  1.0189   0.001632  0.342954  </t>
  </si>
  <si>
    <t xml:space="preserve"> K        1.65      1.99      1.65      1.99     0.370   1.0042   0.01647   2.40760  </t>
  </si>
  <si>
    <t xml:space="preserve"> Mn       0.1275    0.1646    0.1270    0.1640   0.0203  1.0443   0.001221  0.003624  </t>
  </si>
  <si>
    <t xml:space="preserve"> Al       9.34     17.65      9.31     17.58     3.027   0.9833   0.09498   1.42802  </t>
  </si>
  <si>
    <t xml:space="preserve"> P        0.5593    1.2816    0.5573    1.2770   0.1579  0.9987   0.005600  3.274672  </t>
  </si>
  <si>
    <t xml:space="preserve"> Mg       2.06      3.42      2.06      3.41     0.742   0.9884   0.02088   0.67805  </t>
  </si>
  <si>
    <t xml:space="preserve"> Ca       6.25      8.74      6.22      8.71     1.363   1.0067   0.06204   0.92715  </t>
  </si>
  <si>
    <t xml:space="preserve"> Ti       1.91      3.18      1.90      3.17     0.349   1.0059   0.01898   0.77618  </t>
  </si>
  <si>
    <t xml:space="preserve"> O       43.90       -       43.75       -      24.000      -         -        </t>
  </si>
  <si>
    <t>Total:  100.36    100.36    100.00    100.00    15.855</t>
  </si>
  <si>
    <t xml:space="preserve">Unknown Specimen No. 67 </t>
  </si>
  <si>
    <t xml:space="preserve"> UNK No.      :   67            Comment : UnknA-BatokeCS1-3_6                      </t>
  </si>
  <si>
    <t xml:space="preserve"> Stage        :    X=   43.0500  Y=   80.2125  Z=   11.3950 </t>
  </si>
  <si>
    <t xml:space="preserve"> Dated on Dec 20 20:07 2016 </t>
  </si>
  <si>
    <t xml:space="preserve"> 1 Na   129.476    460.1    0.0   19.4    1.51      166 </t>
  </si>
  <si>
    <t xml:space="preserve"> 2 S    171.948      0.2    5.9    5.5  309.43 ?    117 </t>
  </si>
  <si>
    <t xml:space="preserve"> 3 Fe   134.739    148.0    3.1    2.4    1.87      370 </t>
  </si>
  <si>
    <t xml:space="preserve"> 4 Si    77.822   3386.4   36.7   23.1    0.39      245 </t>
  </si>
  <si>
    <t xml:space="preserve"> 5 Cl   151.478     36.1    6.9    6.9    3.57       42 </t>
  </si>
  <si>
    <t xml:space="preserve"> 6 F    199.140      3.5    3.9    3.5   17.47      392 </t>
  </si>
  <si>
    <t xml:space="preserve"> 7 K    119.485    598.9   39.9   25.0    0.79       66 </t>
  </si>
  <si>
    <t xml:space="preserve"> 8 Mn   146.243      2.1    2.6    1.9   22.45      304 </t>
  </si>
  <si>
    <t xml:space="preserve"> 9 Al    90.995   1202.2   16.0    8.6    0.65      159 </t>
  </si>
  <si>
    <t xml:space="preserve">10 P    197.118     43.4    2.6    3.1    3.62      152 </t>
  </si>
  <si>
    <t xml:space="preserve">11 Mg   107.534    473.9   35.6    0.0    1.07      163 </t>
  </si>
  <si>
    <t xml:space="preserve">12 Ca   107.121   1659.1   35.1   34.9    0.56       89 </t>
  </si>
  <si>
    <t xml:space="preserve">13 Ti    88.305    545.4    0.0   44.5    1.00      124 </t>
  </si>
  <si>
    <t xml:space="preserve"> Na      0.4160    0.0041    0.4965    0.9868     0.9900     2.0531     0.9593</t>
  </si>
  <si>
    <t xml:space="preserve"> Fe      0.9818    0.0000    0.9978    0.8059     1.0572     1.1763     1.0016</t>
  </si>
  <si>
    <t xml:space="preserve"> Si      0.7057    0.0013    0.7745    0.9814     1.0124     1.2979     1.0112</t>
  </si>
  <si>
    <t xml:space="preserve"> Cl      0.8295    0.0059    0.8789    0.9077     1.0332     1.2061     0.9913</t>
  </si>
  <si>
    <t xml:space="preserve"> F       0.1916    0.0014    0.2516    1.0122     0.9773     4.0122     1.0111</t>
  </si>
  <si>
    <t xml:space="preserve"> K       0.9082    0.0129    0.9470    0.8986     1.0440     1.1113     1.0043</t>
  </si>
  <si>
    <t xml:space="preserve"> Mn      0.9764    0.0000    0.9951    0.7942     1.0578     1.1961     1.0432</t>
  </si>
  <si>
    <t xml:space="preserve"> Al      0.6586    0.0102    0.7386    0.9627     1.0048     1.3854     0.9901</t>
  </si>
  <si>
    <t xml:space="preserve"> P       0.6836    0.0018    0.7407    0.9406     1.0198     1.4049     0.9967</t>
  </si>
  <si>
    <t xml:space="preserve"> Mg      0.5450    0.0076    0.6247    1.0016     0.9972     1.5905     0.9929</t>
  </si>
  <si>
    <t xml:space="preserve"> Ca      0.9266    0.0056    0.9598    0.9129     1.0482     1.0827     1.0072</t>
  </si>
  <si>
    <t xml:space="preserve"> Ti      0.9507    0.0091    0.9782    0.8235     1.0544     1.1667     1.0043</t>
  </si>
  <si>
    <t xml:space="preserve"> Na       3.93      5.30      3.89      5.25     1.502   0.9593   0.04096   2.06684  </t>
  </si>
  <si>
    <t xml:space="preserve"> S        0.0015    0.0039    0.0015    0.0038   0.0004  0.9962   0.000016  0.002888 ?</t>
  </si>
  <si>
    <t xml:space="preserve"> Fe       8.37     10.76      8.29     10.66     1.316   1.0016   0.08353   0.80292  </t>
  </si>
  <si>
    <t xml:space="preserve"> Si      22.43     47.99     22.23     47.55     7.019   1.0112   0.22199   0.92665  </t>
  </si>
  <si>
    <t xml:space="preserve"> Cl       0.2227    0.2227    0.2207    0.2207   0.0552  0.9913   0.002247  0.154849  </t>
  </si>
  <si>
    <t xml:space="preserve"> F        0.2817    0.2817    0.2791    0.2791   0.1303  1.0111   0.002786  0.585376  </t>
  </si>
  <si>
    <t xml:space="preserve"> K        2.23      2.69      2.21      2.67     0.502   1.0043   0.02224   3.25128  </t>
  </si>
  <si>
    <t xml:space="preserve"> Mn       0.1325    0.1710    0.1312    0.1695   0.0212  1.0432   0.001270  0.003770  </t>
  </si>
  <si>
    <t xml:space="preserve"> Al       8.97     16.94      8.89     16.79     2.921   0.9901   0.09060   1.36214  </t>
  </si>
  <si>
    <t xml:space="preserve"> P        0.5339    1.2234    0.5290    1.2122   0.1515  0.9967   0.005356  3.132381  </t>
  </si>
  <si>
    <t xml:space="preserve"> Mg       2.47      4.10      2.45      4.06     0.893   0.9929   0.02488   0.80793  </t>
  </si>
  <si>
    <t xml:space="preserve"> Ca       5.72      8.00      5.67      7.93     1.254   1.0072   0.05679   0.84870  </t>
  </si>
  <si>
    <t xml:space="preserve"> Ti       1.94      3.24      1.93      3.21     0.357   1.0043   0.01935   0.79124  </t>
  </si>
  <si>
    <t xml:space="preserve"> O       43.69       -       43.29       -      24.000      -         -        </t>
  </si>
  <si>
    <t>Total:  100.92    100.92    100.00    100.00    16.123</t>
  </si>
  <si>
    <t xml:space="preserve">Unknown Specimen No. 68 </t>
  </si>
  <si>
    <t xml:space="preserve"> UNK No.      :   68            Comment : UnknA-BatokeCS1-3_7                      </t>
  </si>
  <si>
    <t xml:space="preserve"> Stage        :    X=   45.4165  Y=   79.8920  Z=   11.3950 </t>
  </si>
  <si>
    <t xml:space="preserve"> Dated on Dec 20 20:10 2016 </t>
  </si>
  <si>
    <t xml:space="preserve"> 1 Na   129.476    505.7    0.0   23.0    1.44      181 </t>
  </si>
  <si>
    <t xml:space="preserve"> 2 S    171.948      0.8    5.5    4.3   75.64 ?    107 </t>
  </si>
  <si>
    <t xml:space="preserve"> 3 Fe   134.739    136.5    2.1    2.9    1.95      371 </t>
  </si>
  <si>
    <t xml:space="preserve"> 4 Si    77.822   3417.3   37.5   21.3    0.39      244 </t>
  </si>
  <si>
    <t xml:space="preserve"> 5 Cl   151.478      6.7   10.0    7.1   13.23       46 </t>
  </si>
  <si>
    <t xml:space="preserve"> 6 F    199.140      3.3    3.8    2.8   17.66      373 </t>
  </si>
  <si>
    <t xml:space="preserve"> 7 K    119.485    527.9   37.0   24.7    0.84       65 </t>
  </si>
  <si>
    <t xml:space="preserve"> 8 Mn   146.243      2.3    1.9    1.9   20.00      283 </t>
  </si>
  <si>
    <t xml:space="preserve"> 9 Al    90.995   1272.9   16.0    9.1    0.63      160 </t>
  </si>
  <si>
    <t xml:space="preserve">10 P    197.118     40.9    3.7    3.1    3.78      162 </t>
  </si>
  <si>
    <t xml:space="preserve">11 Mg   107.534    419.1   33.7    0.0    1.14      159 </t>
  </si>
  <si>
    <t xml:space="preserve">12 Ca   107.121   1805.1   33.5   33.2    0.54       87 </t>
  </si>
  <si>
    <t xml:space="preserve">13 Ti    88.305    506.4    0.0   44.8    1.04      124 </t>
  </si>
  <si>
    <t xml:space="preserve"> Na      0.4206    0.0041    0.5021    0.9852     0.9906     2.0325     0.9497</t>
  </si>
  <si>
    <t xml:space="preserve"> S       0.7660    0.0031    0.8179    0.9549     1.0274     1.2423     0.9975</t>
  </si>
  <si>
    <t xml:space="preserve"> Fe      0.9819    0.0000    0.9978    0.8047     1.0575     1.1777     1.0028</t>
  </si>
  <si>
    <t xml:space="preserve"> Si      0.7059    0.0012    0.7747    0.9798     1.0131     1.2989     1.0120</t>
  </si>
  <si>
    <t xml:space="preserve"> Cl      0.8294    0.0059    0.8788    0.9062     1.0338     1.2075     0.9924</t>
  </si>
  <si>
    <t xml:space="preserve"> F       0.1910    0.0014    0.2508    1.0105     0.9779     4.0301     1.0156</t>
  </si>
  <si>
    <t xml:space="preserve"> K       0.9086    0.0135    0.9474    0.8972     1.0445     1.1112     1.0043</t>
  </si>
  <si>
    <t xml:space="preserve"> Mn      0.9764    0.0000    0.9951    0.7930     1.0582     1.1975     1.0444</t>
  </si>
  <si>
    <t xml:space="preserve"> Al      0.6624    0.0102    0.7429    0.9612     1.0055     1.3788     0.9853</t>
  </si>
  <si>
    <t xml:space="preserve"> P       0.6833    0.0017    0.7404    0.9390     1.0205     1.4071     0.9982</t>
  </si>
  <si>
    <t xml:space="preserve"> Mg      0.5471    0.0078    0.6271    1.0000     0.9979     1.5855     0.9898</t>
  </si>
  <si>
    <t xml:space="preserve"> Ca      0.9276    0.0052    0.9609    0.9115     1.0487     1.0831     1.0076</t>
  </si>
  <si>
    <t xml:space="preserve"> Ti      0.9505    0.0084    0.9780    0.8223     1.0549     1.1691     1.0064</t>
  </si>
  <si>
    <t xml:space="preserve"> Na       4.27      5.76      4.22      5.68     1.618   0.9497   0.04503   2.27194  </t>
  </si>
  <si>
    <t xml:space="preserve"> S        0.0060    0.0149    0.0059    0.0147   0.0016  0.9975   0.000060  0.011119 ?</t>
  </si>
  <si>
    <t xml:space="preserve"> Fe       7.72      9.93      7.62      9.80     1.203   1.0028   0.07700   0.74020  </t>
  </si>
  <si>
    <t xml:space="preserve"> Si      22.65     48.45     22.34     47.79     7.015   1.0120   0.22401   0.93511  </t>
  </si>
  <si>
    <t xml:space="preserve"> Cl       0.0413    0.0413    0.0407    0.0407   0.0101  0.9924   0.000416  0.028679  </t>
  </si>
  <si>
    <t xml:space="preserve"> F        0.2692    0.2692    0.2656    0.2656   0.1233  1.0156   0.002651  0.556862  </t>
  </si>
  <si>
    <t xml:space="preserve"> K        1.97      2.37      1.94      2.34     0.438   1.0043   0.01960   2.86589  </t>
  </si>
  <si>
    <t xml:space="preserve"> Mn       0.1448    0.1869    0.1428    0.1844   0.0229  1.0444   0.001386  0.004116  </t>
  </si>
  <si>
    <t xml:space="preserve"> Al       9.45     17.85      9.32     17.61     3.047   0.9853   0.09593   1.44232  </t>
  </si>
  <si>
    <t xml:space="preserve"> P        0.5037    1.1543    0.4969    1.1387   0.1415  0.9982   0.005046  2.950998  </t>
  </si>
  <si>
    <t xml:space="preserve"> Mg       2.18      3.61      2.15      3.56     0.779   0.9898   0.02200   0.71449  </t>
  </si>
  <si>
    <t xml:space="preserve"> Ca       6.23      8.71      6.14      8.59     1.351   1.0076   0.06178   0.92340  </t>
  </si>
  <si>
    <t xml:space="preserve"> Ti       1.81      3.02      1.78      2.97     0.328   1.0064   0.01796   0.73467  </t>
  </si>
  <si>
    <t xml:space="preserve"> O       44.14       -       43.54       -      24.000      -         -        </t>
  </si>
  <si>
    <t>Total:  101.37    101.37    100.00    100.00    16.079</t>
  </si>
  <si>
    <t xml:space="preserve">Unknown Specimen No. 69 </t>
  </si>
  <si>
    <t xml:space="preserve"> UNK No.      :   69            Comment : UnknA-BatokeCS1-3_8                      </t>
  </si>
  <si>
    <t xml:space="preserve"> Stage        :    X=   46.1295  Y=   79.4300  Z=   11.3950 </t>
  </si>
  <si>
    <t xml:space="preserve"> Dated on Dec 20 20:14 2016 </t>
  </si>
  <si>
    <t xml:space="preserve">Curr.(A) : 1.009E-08 </t>
  </si>
  <si>
    <t xml:space="preserve"> 1 Na   129.476    452.1    0.0   18.9    1.52      164 </t>
  </si>
  <si>
    <t xml:space="preserve"> 2 S    171.948      1.2    4.9    4.1   47.29 ?    103 </t>
  </si>
  <si>
    <t xml:space="preserve"> 3 Fe   134.739    138.0    2.8    2.8    1.94      381 </t>
  </si>
  <si>
    <t xml:space="preserve"> 4 Si    77.822   3497.4   36.7   21.7    0.38      243 </t>
  </si>
  <si>
    <t xml:space="preserve"> 5 Cl   151.478      2.8    9.4    7.7   29.16       46 </t>
  </si>
  <si>
    <t xml:space="preserve"> 6 F    199.140      3.6    3.7    2.5   16.58      365 </t>
  </si>
  <si>
    <t xml:space="preserve"> 7 K    119.485    555.0   37.2   22.0    0.82       63 </t>
  </si>
  <si>
    <t xml:space="preserve"> 8 Mn   146.243      1.8    2.2    2.2   24.94      302 </t>
  </si>
  <si>
    <t xml:space="preserve"> 9 Al    90.995   1307.0   15.1    9.8    0.62      159 </t>
  </si>
  <si>
    <t xml:space="preserve">10 P    197.118     48.8    3.4    2.6    3.39      151 </t>
  </si>
  <si>
    <t xml:space="preserve">11 Mg   107.534    390.5   31.0    0.0    1.18      152 </t>
  </si>
  <si>
    <t xml:space="preserve">12 Ca   107.121   1692.5   31.4   36.3    0.55       88 </t>
  </si>
  <si>
    <t xml:space="preserve">13 Ti    88.305    520.9    0.0   43.9    1.02      123 </t>
  </si>
  <si>
    <t xml:space="preserve"> Na      0.4201    0.0041    0.5015    0.9849     0.9907     2.0353     0.9509</t>
  </si>
  <si>
    <t xml:space="preserve"> S       0.7650    0.0030    0.8168    0.9546     1.0276     1.2443     0.9991</t>
  </si>
  <si>
    <t xml:space="preserve"> Fe      0.9820    0.0000    0.9980    0.8044     1.0576     1.1778     1.0029</t>
  </si>
  <si>
    <t xml:space="preserve"> Si      0.7073    0.0012    0.7761    0.9794     1.0132     1.2968     1.0103</t>
  </si>
  <si>
    <t xml:space="preserve"> Cl      0.8286    0.0058    0.8779    0.9059     1.0340     1.2091     0.9937</t>
  </si>
  <si>
    <t xml:space="preserve"> F       0.1908    0.0014    0.2505    1.0102     0.9780     4.0357     1.0170</t>
  </si>
  <si>
    <t xml:space="preserve"> K       0.9082    0.0128    0.9470    0.8969     1.0446     1.1127     1.0056</t>
  </si>
  <si>
    <t xml:space="preserve"> Mn      0.9766    0.0000    0.9953    0.7928     1.0582     1.1976     1.0445</t>
  </si>
  <si>
    <t xml:space="preserve"> Al      0.6655    0.0105    0.7464    0.9608     1.0056     1.3723     0.9807</t>
  </si>
  <si>
    <t xml:space="preserve"> P       0.6826    0.0017    0.7396    0.9387     1.0206     1.4090     0.9996</t>
  </si>
  <si>
    <t xml:space="preserve"> Mg      0.5496    0.0080    0.6300    0.9996     0.9980     1.5784     0.9854</t>
  </si>
  <si>
    <t xml:space="preserve"> Ca      0.9271    0.0053    0.9603    0.9112     1.0488     1.0839     1.0083</t>
  </si>
  <si>
    <t xml:space="preserve"> Ti      0.9509    0.0084    0.9783    0.8220     1.0550     1.1688     1.0061</t>
  </si>
  <si>
    <t xml:space="preserve"> Na       3.82      5.15      3.76      5.06     1.431   0.9509   0.04022   2.02929  </t>
  </si>
  <si>
    <t xml:space="preserve"> S        0.0094    0.0236    0.0093    0.0232   0.0025  0.9991   0.000095  0.017576 ?</t>
  </si>
  <si>
    <t xml:space="preserve"> Fe       7.80     10.04      7.66      9.86     1.202   1.0029   0.07780   0.74781  </t>
  </si>
  <si>
    <t xml:space="preserve"> Si      23.11     49.44     22.70     48.56     7.081   1.0103   0.22903   0.95605  </t>
  </si>
  <si>
    <t xml:space="preserve"> Cl       0.0172    0.0172    0.0169    0.0169   0.0042  0.9937   0.000173  0.011926  </t>
  </si>
  <si>
    <t xml:space="preserve"> F        0.2861    0.2861    0.2810    0.2810   0.1296  1.0170   0.002813  0.591070  </t>
  </si>
  <si>
    <t xml:space="preserve"> K        2.07      2.49      2.03      2.45     0.456   1.0056   0.02059   3.01005  </t>
  </si>
  <si>
    <t xml:space="preserve"> Mn       0.1170    0.1510    0.1149    0.1483   0.0183  1.0445   0.001120  0.003325  </t>
  </si>
  <si>
    <t xml:space="preserve"> Al       9.64     18.22      9.47     17.90     3.076   0.9807   0.09840   1.47944  </t>
  </si>
  <si>
    <t xml:space="preserve"> P        0.6016    1.3786    0.5909    1.3541   0.1672  0.9996   0.006019  3.519701  </t>
  </si>
  <si>
    <t xml:space="preserve"> Mg       2.02      3.35      1.98      3.29     0.714   0.9854   0.02048   0.66511  </t>
  </si>
  <si>
    <t xml:space="preserve"> Ca       5.84      8.16      5.73      8.02     1.253   1.0083   0.05787   0.86496  </t>
  </si>
  <si>
    <t xml:space="preserve"> Ti       1.86      3.10      1.82      3.04     0.334   1.0061   0.01846   0.75498  </t>
  </si>
  <si>
    <t xml:space="preserve"> O       44.62       -       43.83       -      24.000      -         -        </t>
  </si>
  <si>
    <t>Total:  101.81    101.81    100.00    100.00    15.869</t>
  </si>
  <si>
    <t xml:space="preserve">Unknown Specimen No. 70 </t>
  </si>
  <si>
    <t xml:space="preserve"> UNK No.      :   70            Comment : UnknA-BatokeCS1-3_9                      </t>
  </si>
  <si>
    <t xml:space="preserve"> Stage        :    X=   45.6160  Y=   78.3620  Z=   11.3865 </t>
  </si>
  <si>
    <t xml:space="preserve"> Dated on Dec 20 20:17 2016 </t>
  </si>
  <si>
    <t xml:space="preserve"> 1 Na   129.476    544.6    0.0   23.7    1.38      184 </t>
  </si>
  <si>
    <t xml:space="preserve"> 2 S    171.948      1.3    5.5    4.7   46.04 ?    109 </t>
  </si>
  <si>
    <t xml:space="preserve"> 3 Fe   134.739    127.8    3.3    2.7    2.02      388 </t>
  </si>
  <si>
    <t xml:space="preserve"> 4 Si    77.822   3291.9   29.5   18.4    0.39      220 </t>
  </si>
  <si>
    <t xml:space="preserve"> 5 Cl   151.478    113.0    9.9    8.2    1.85       47 </t>
  </si>
  <si>
    <t xml:space="preserve"> 6 F    199.140      2.6    3.2    3.6   21.73      370 </t>
  </si>
  <si>
    <t xml:space="preserve"> 7 K    119.485    442.3   33.7   25.1    0.93       63 </t>
  </si>
  <si>
    <t xml:space="preserve"> 8 Mn   146.243      1.8    1.6    2.5   25.46      297 </t>
  </si>
  <si>
    <t xml:space="preserve"> 9 Al    90.995   1200.4   14.6    7.8    0.65      152 </t>
  </si>
  <si>
    <t xml:space="preserve">10 P    197.118     41.3    3.6    3.4    3.77      166 </t>
  </si>
  <si>
    <t xml:space="preserve">11 Mg   107.534    539.9   34.3    0.0    0.99      160 </t>
  </si>
  <si>
    <t xml:space="preserve">12 Ca   107.121   2152.4   37.0   36.8    0.49       91 </t>
  </si>
  <si>
    <t xml:space="preserve">13 Ti    88.305    496.2    0.0   47.4    1.05      128 </t>
  </si>
  <si>
    <t xml:space="preserve"> Na      0.4234    0.0041    0.5053    0.9857     0.9904     2.0191     0.9434</t>
  </si>
  <si>
    <t xml:space="preserve"> S       0.7689    0.0038    0.8210    0.9554     1.0272     1.2365     0.9929</t>
  </si>
  <si>
    <t xml:space="preserve"> Fe      0.9813    0.0000    0.9973    0.8050     1.0574     1.1780     1.0031</t>
  </si>
  <si>
    <t xml:space="preserve"> Si      0.7061    0.0014    0.7748    0.9802     1.0128     1.2982     1.0114</t>
  </si>
  <si>
    <t xml:space="preserve"> Cl      0.8316    0.0064    0.8811    0.9066     1.0336     1.2036     0.9892</t>
  </si>
  <si>
    <t xml:space="preserve"> F       0.1900    0.0014    0.2495    1.0110     0.9777     4.0493     1.0205</t>
  </si>
  <si>
    <t xml:space="preserve"> K       0.9082    0.0154    0.9470    0.8976     1.0443     1.1095     1.0027</t>
  </si>
  <si>
    <t xml:space="preserve"> Mn      0.9757    0.0000    0.9944    0.7933     1.0580     1.1981     1.0449</t>
  </si>
  <si>
    <t xml:space="preserve"> Al      0.6587    0.0100    0.7387    0.9616     1.0052     1.3866     0.9909</t>
  </si>
  <si>
    <t xml:space="preserve"> P       0.6869    0.0021    0.7443    0.9395     1.0202     1.3989     0.9924</t>
  </si>
  <si>
    <t xml:space="preserve"> Mg      0.5476    0.0075    0.6277    1.0004     0.9976     1.5842     0.9890</t>
  </si>
  <si>
    <t xml:space="preserve"> Ca      0.9281    0.0049    0.9614    0.9119     1.0485     1.0826     1.0071</t>
  </si>
  <si>
    <t xml:space="preserve"> Ti      0.9489    0.0076    0.9763    0.8226     1.0547     1.1717     1.0087</t>
  </si>
  <si>
    <t xml:space="preserve"> Na       4.57      6.16      4.52      6.09     1.756   0.9434   0.04849   2.44647  </t>
  </si>
  <si>
    <t xml:space="preserve"> S        0.0102    0.0256    0.0101    0.0253   0.0028  0.9929   0.000103  0.019188 ?</t>
  </si>
  <si>
    <t xml:space="preserve"> Fe       7.23      9.31      7.14      9.19     1.143   1.0031   0.07212   0.69324  </t>
  </si>
  <si>
    <t xml:space="preserve"> Si      21.81     46.65     21.54     46.07     6.852   1.0114   0.21579   0.90078  </t>
  </si>
  <si>
    <t xml:space="preserve"> Cl       0.6951    0.6951    0.6864    0.6864   0.1730  0.9892   0.007027  0.484271  </t>
  </si>
  <si>
    <t xml:space="preserve"> F        0.2085    0.2085    0.2059    0.2059   0.0968  1.0205   0.002043  0.429232  </t>
  </si>
  <si>
    <t xml:space="preserve"> K        1.65      1.98      1.63      1.96     0.372   1.0027   0.01642   2.40127  </t>
  </si>
  <si>
    <t xml:space="preserve"> Mn       0.1133    0.1463    0.1119    0.1445   0.0182  1.0449   0.001084  0.003220  </t>
  </si>
  <si>
    <t xml:space="preserve"> Al       8.96     16.93      8.85     16.72     2.931   0.9909   0.09046   1.36017  </t>
  </si>
  <si>
    <t xml:space="preserve"> P        0.5063    1.1602    0.5000    1.1458   0.1443  0.9924   0.005102  2.983484  </t>
  </si>
  <si>
    <t xml:space="preserve"> Mg       2.80      4.65      2.77      4.59     1.017   0.9890   0.02834   0.92040  </t>
  </si>
  <si>
    <t xml:space="preserve"> Ca       7.42     10.38      7.33     10.25     1.634   1.0071   0.07367   1.10105  </t>
  </si>
  <si>
    <t xml:space="preserve"> Ti       1.78      2.96      1.75      2.92     0.327   1.0087   0.01760   0.71979  </t>
  </si>
  <si>
    <t xml:space="preserve"> O       43.51       -       42.97       -      24.000      -         -        </t>
  </si>
  <si>
    <t>Total:  101.26    101.26    100.00    100.00    16.467</t>
  </si>
  <si>
    <t xml:space="preserve">Unknown Specimen No. 71 </t>
  </si>
  <si>
    <t xml:space="preserve"> UNK No.      :   71            Comment : UnknA-Flow1-1_1                          </t>
  </si>
  <si>
    <t xml:space="preserve"> Stage        :    X=   49.3770  Y=   82.5280  Z=   11.4150 </t>
  </si>
  <si>
    <t xml:space="preserve"> Dated on Dec 20 20:21 2016 </t>
  </si>
  <si>
    <t xml:space="preserve"> 1 Na   129.476    308.1    0.0   16.0    1.85      151 </t>
  </si>
  <si>
    <t xml:space="preserve"> 2 S    171.948      1.7    5.6    5.2   38.02 ?    113 </t>
  </si>
  <si>
    <t xml:space="preserve"> 3 Fe   134.739    181.6    2.3    2.7    1.68      366 </t>
  </si>
  <si>
    <t xml:space="preserve"> 4 Si    77.822   3208.6   35.3   19.8    0.40      236 </t>
  </si>
  <si>
    <t xml:space="preserve"> 5 Cl   151.478     24.1    9.3    8.9    4.93       48 </t>
  </si>
  <si>
    <t xml:space="preserve"> 6 F    199.140      1.4    3.6    3.1   37.73 ?    373 </t>
  </si>
  <si>
    <t xml:space="preserve"> 7 K    119.485    421.7   34.5   20.6    0.95       61 </t>
  </si>
  <si>
    <t xml:space="preserve"> 8 Mn   146.243      2.9    1.9    2.5   17.29      303 </t>
  </si>
  <si>
    <t xml:space="preserve"> 9 Al    90.995   1071.1   17.8    7.6    0.69      162 </t>
  </si>
  <si>
    <t xml:space="preserve">10 P    197.118     24.6    3.3    2.9    5.05      155 </t>
  </si>
  <si>
    <t xml:space="preserve">11 Mg   107.534    604.1   41.1    0.0    0.94      175 </t>
  </si>
  <si>
    <t xml:space="preserve">12 Ca   107.121   2469.5   32.9   39.3    0.46       91 </t>
  </si>
  <si>
    <t xml:space="preserve">13 Ti    88.305    566.4    0.0   47.2    0.98      128 </t>
  </si>
  <si>
    <t xml:space="preserve"> Na      0.3997    0.0039    0.4771    0.9925     0.9871     2.1311     0.9957</t>
  </si>
  <si>
    <t xml:space="preserve"> S       0.7699    0.0039    0.8220    0.9618     1.0239     1.2304     0.9880</t>
  </si>
  <si>
    <t xml:space="preserve"> Si      0.7029    0.0013    0.7713    0.9869     1.0095     1.2996     1.0125</t>
  </si>
  <si>
    <t xml:space="preserve"> Cl      0.8322    0.0072    0.8818    0.9127     1.0305     1.1972     0.9839</t>
  </si>
  <si>
    <t xml:space="preserve"> F       0.1894    0.0014    0.2487    1.0181     0.9747     4.0457     1.0195</t>
  </si>
  <si>
    <t xml:space="preserve"> K       0.9099    0.0182    0.9488    0.9035     1.0414     1.1000     0.9942</t>
  </si>
  <si>
    <t xml:space="preserve"> Al      0.6476    0.0095    0.7263    0.9682     1.0019     1.4059     1.0047</t>
  </si>
  <si>
    <t xml:space="preserve"> P       0.6871    0.0021    0.7445    0.9458     1.0169     1.3935     0.9886</t>
  </si>
  <si>
    <t xml:space="preserve"> Mg      0.5373    0.0070    0.6159    1.0074     0.9943     1.6098     1.0050</t>
  </si>
  <si>
    <t xml:space="preserve"> Ca      0.9296    0.0063    0.9629    0.9178     1.0458     1.0751     1.0001</t>
  </si>
  <si>
    <t xml:space="preserve"> Ti      0.9480    0.0106    0.9754    0.8279     1.0523     1.1644     1.0024</t>
  </si>
  <si>
    <t xml:space="preserve"> Na       2.73      3.68      2.70      3.64     1.063   0.9957   0.02744   1.38424  </t>
  </si>
  <si>
    <t xml:space="preserve"> S        0.0129    0.0323    0.0128    0.0319   0.0036  0.9880   0.000131  0.024317  </t>
  </si>
  <si>
    <t xml:space="preserve"> Fe      10.23     13.16     10.10     13.00     1.639   0.9989   0.10244   0.98472  </t>
  </si>
  <si>
    <t xml:space="preserve"> Si      21.28     45.52     21.02     44.96     6.776   1.0125   0.21033   0.87799  </t>
  </si>
  <si>
    <t xml:space="preserve"> Cl       0.1475    0.1475    0.1457    0.1457   0.0372  0.9839   0.001500  0.103343  </t>
  </si>
  <si>
    <t xml:space="preserve"> F        0.1139    0.1139    0.1125    0.1125   0.0536  1.0195   0.001117  0.234675  </t>
  </si>
  <si>
    <t xml:space="preserve"> K        1.56      1.88      1.54      1.85     0.356   0.9942   0.01566   2.28970  </t>
  </si>
  <si>
    <t xml:space="preserve"> Mn       0.1821    0.2351    0.1799    0.2322   0.0296  1.0408   0.001750  0.005195  </t>
  </si>
  <si>
    <t xml:space="preserve"> Al       8.11     15.32      8.01     15.13     2.688   1.0047   0.08072   1.21360  </t>
  </si>
  <si>
    <t xml:space="preserve"> P        0.2996    0.6866    0.2959    0.6782   0.0865  0.9886   0.003031  1.772389  </t>
  </si>
  <si>
    <t xml:space="preserve"> Mg       3.19      5.28      3.15      5.22     1.172   1.0050   0.03171   1.02975  </t>
  </si>
  <si>
    <t xml:space="preserve"> Ca       8.45     11.83      8.35     11.68     1.887   1.0001   0.08453   1.26329  </t>
  </si>
  <si>
    <t xml:space="preserve"> Ti       2.01      3.36      1.99      3.32     0.376   1.0024   0.02009   0.82168  </t>
  </si>
  <si>
    <t xml:space="preserve"> O       42.93       -       42.40       -      24.000      -         -        </t>
  </si>
  <si>
    <t>Total:  101.24    101.24    100.00    100.00    16.167</t>
  </si>
  <si>
    <t xml:space="preserve">Unknown Specimen No. 72 </t>
  </si>
  <si>
    <t xml:space="preserve"> UNK No.      :   72            Comment : UnknA-Flow1-1_2                          </t>
  </si>
  <si>
    <t xml:space="preserve"> Stage        :    X=   49.8750  Y=   82.6105  Z=   11.4155 </t>
  </si>
  <si>
    <t xml:space="preserve"> Dated on Dec 20 20:24 2016 </t>
  </si>
  <si>
    <t xml:space="preserve"> 1 Na   129.476    313.0    0.0   17.6    1.84      158 </t>
  </si>
  <si>
    <t xml:space="preserve"> 2 S    171.948      2.1    5.7    6.2   33.52 ?    120 </t>
  </si>
  <si>
    <t xml:space="preserve"> 3 Fe   134.739    184.7    2.9    3.8    1.68      427 </t>
  </si>
  <si>
    <t xml:space="preserve"> 4 Si    77.822   3224.6   34.5   20.2    0.40      235 </t>
  </si>
  <si>
    <t xml:space="preserve"> 5 Cl   151.478     26.9    9.9    7.3    4.50       46 </t>
  </si>
  <si>
    <t xml:space="preserve"> 6 F    199.140      1.4    3.9    3.7   38.78 ?    396 </t>
  </si>
  <si>
    <t xml:space="preserve"> 7 K    119.485    422.8   34.4   19.9    0.95       61 </t>
  </si>
  <si>
    <t xml:space="preserve"> 8 Mn   146.243      2.1    2.1    1.9   21.58      287 </t>
  </si>
  <si>
    <t xml:space="preserve"> 9 Al    90.995   1099.5   17.2    9.8    0.68      166 </t>
  </si>
  <si>
    <t xml:space="preserve">10 P    197.118     24.0    2.6    2.7    5.06      145 </t>
  </si>
  <si>
    <t xml:space="preserve">11 Mg   107.534    591.9   41.3    0.0    0.95      176 </t>
  </si>
  <si>
    <t xml:space="preserve">12 Ca   107.121   2485.3   35.5   34.8    0.45       89 </t>
  </si>
  <si>
    <t xml:space="preserve">13 Ti    88.305    570.1    0.0   47.3    0.97      128 </t>
  </si>
  <si>
    <t xml:space="preserve"> Na      0.3995    0.0039    0.4768    0.9926     0.9871     2.1321     0.9962</t>
  </si>
  <si>
    <t xml:space="preserve"> S       0.7699    0.0039    0.8220    0.9619     1.0239     1.2304     0.9880</t>
  </si>
  <si>
    <t xml:space="preserve"> Fe      0.9808    0.0000    0.9968    0.8101     1.0557     1.1730     0.9988</t>
  </si>
  <si>
    <t xml:space="preserve"> Si      0.7023    0.0013    0.7707    0.9870     1.0094     1.3006     1.0132</t>
  </si>
  <si>
    <t xml:space="preserve"> Cl      0.8322    0.0072    0.8818    0.9128     1.0304     1.1971     0.9839</t>
  </si>
  <si>
    <t xml:space="preserve"> F       0.1897    0.0014    0.2491    1.0182     0.9747     4.0397     1.0180</t>
  </si>
  <si>
    <t xml:space="preserve"> K       0.9099    0.0182    0.9488    0.9036     1.0414     1.1000     0.9942</t>
  </si>
  <si>
    <t xml:space="preserve"> Mn      0.9751    0.0000    0.9938    0.7984     1.0561     1.1933     1.0407</t>
  </si>
  <si>
    <t xml:space="preserve"> Al      0.6479    0.0095    0.7267    0.9683     1.0018     1.4052     1.0042</t>
  </si>
  <si>
    <t xml:space="preserve"> P       0.6871    0.0021    0.7444    0.9459     1.0169     1.3936     0.9886</t>
  </si>
  <si>
    <t xml:space="preserve"> Mg      0.5370    0.0070    0.6155    1.0075     0.9943     1.6106     1.0055</t>
  </si>
  <si>
    <t xml:space="preserve"> Ca      0.9296    0.0063    0.9629    0.9179     1.0458     1.0750     1.0001</t>
  </si>
  <si>
    <t xml:space="preserve"> Ti      0.9480    0.0106    0.9754    0.8280     1.0523     1.1642     1.0022</t>
  </si>
  <si>
    <t xml:space="preserve"> Na       2.78      3.74      2.72      3.66     1.071   0.9962   0.02787   1.40627  </t>
  </si>
  <si>
    <t xml:space="preserve"> S        0.0156    0.0391    0.0153    0.0382   0.0043  0.9880   0.000158  0.029421  </t>
  </si>
  <si>
    <t xml:space="preserve"> Fe      10.41     13.39     10.19     13.11     1.653   0.9988   0.10423   1.00189  </t>
  </si>
  <si>
    <t xml:space="preserve"> Si      21.39     45.76     20.95     44.81     6.757   1.0132   0.21138   0.88236  </t>
  </si>
  <si>
    <t xml:space="preserve"> Cl       0.1645    0.1645    0.1611    0.1611   0.0412  0.9839   0.001671  0.115196  </t>
  </si>
  <si>
    <t xml:space="preserve"> F        0.1163    0.1163    0.1139    0.1139   0.0543  1.0180   0.001143  0.240045  </t>
  </si>
  <si>
    <t xml:space="preserve"> K        1.56      1.88      1.53      1.84     0.354   0.9942   0.01570   2.29546  </t>
  </si>
  <si>
    <t xml:space="preserve"> Mn       0.1326    0.1713    0.1299    0.1677   0.0214  1.0407   0.001274  0.003784  </t>
  </si>
  <si>
    <t xml:space="preserve"> Al       8.32     15.71      8.15     15.39     2.735   1.0042   0.08286   1.24582  </t>
  </si>
  <si>
    <t xml:space="preserve"> P        0.2928    0.6709    0.2867    0.6571   0.0839  0.9886   0.002961  1.731781  </t>
  </si>
  <si>
    <t xml:space="preserve"> Mg       3.12      5.18      3.06      5.07     1.140   1.0055   0.03107   1.00909  </t>
  </si>
  <si>
    <t xml:space="preserve"> Ca       8.51     11.90      8.33     11.66     1.883   1.0001   0.08507   1.27137  </t>
  </si>
  <si>
    <t xml:space="preserve"> Ti       2.03      3.38      1.98      3.31     0.375   1.0022   0.02022   0.82705  </t>
  </si>
  <si>
    <t xml:space="preserve"> O       43.28       -       42.39       -      24.000      -         -        </t>
  </si>
  <si>
    <t>Total:  102.10    102.10    100.00    100.00    16.174</t>
  </si>
  <si>
    <t xml:space="preserve">Unknown Specimen No. 73 </t>
  </si>
  <si>
    <t xml:space="preserve"> UNK No.      :   73            Comment : UnknA-Flow1-1_3                          </t>
  </si>
  <si>
    <t xml:space="preserve"> Stage        :    X=   50.0545  Y=   82.1515  Z=   11.4155 </t>
  </si>
  <si>
    <t xml:space="preserve"> Dated on Dec 20 20:27 2016 </t>
  </si>
  <si>
    <t xml:space="preserve"> 1 Na   129.476    344.8    0.0   18.7    1.75      163 </t>
  </si>
  <si>
    <t xml:space="preserve"> 2 S    171.948      1.4    6.6    5.4   48.41 ?    119 </t>
  </si>
  <si>
    <t xml:space="preserve"> 3 Fe   134.739    183.0    2.1    2.6    1.68      356 </t>
  </si>
  <si>
    <t xml:space="preserve"> 4 Si    77.822   3192.0   31.9   18.0    0.40      225 </t>
  </si>
  <si>
    <t xml:space="preserve"> 5 Cl   151.478     26.0    8.9    9.1    4.66       48 </t>
  </si>
  <si>
    <t xml:space="preserve"> 6 F    199.140      0.7    4.1    2.4   76.88 ?    374 </t>
  </si>
  <si>
    <t xml:space="preserve"> 7 K    119.485    397.9   34.0   22.7    0.98       62 </t>
  </si>
  <si>
    <t xml:space="preserve"> 8 Mn   146.243      2.6    2.3    1.9   18.45      293 </t>
  </si>
  <si>
    <t xml:space="preserve"> 9 Al    90.995   1105.2   14.4    9.5    0.68      156 </t>
  </si>
  <si>
    <t xml:space="preserve">10 P    197.118     27.5    3.4    2.5    4.69      150 </t>
  </si>
  <si>
    <t xml:space="preserve">11 Mg   107.534    580.1   39.9    0.0    0.96      173 </t>
  </si>
  <si>
    <t xml:space="preserve">12 Ca   107.121   2498.5   35.6   41.6    0.45       94 </t>
  </si>
  <si>
    <t xml:space="preserve">13 Ti    88.305    549.5    0.0   48.4    0.99      129 </t>
  </si>
  <si>
    <t xml:space="preserve"> Na      0.4004    0.0039    0.4779    0.9925     0.9872     2.1275     0.9940</t>
  </si>
  <si>
    <t xml:space="preserve"> S       0.7698    0.0039    0.8219    0.9618     1.0240     1.2306     0.9881</t>
  </si>
  <si>
    <t xml:space="preserve"> Fe      0.9809    0.0000    0.9969    0.8100     1.0558     1.1730     0.9988</t>
  </si>
  <si>
    <t xml:space="preserve"> Si      0.7016    0.0013    0.7699    0.9869     1.0095     1.3019     1.0143</t>
  </si>
  <si>
    <t xml:space="preserve"> Cl      0.8322    0.0071    0.8818    0.9126     1.0305     1.1973     0.9840</t>
  </si>
  <si>
    <t xml:space="preserve"> F       0.1899    0.0014    0.2493    1.0181     0.9748     4.0362     1.0172</t>
  </si>
  <si>
    <t xml:space="preserve"> K       0.9099    0.0182    0.9488    0.9035     1.0415     1.1000     0.9942</t>
  </si>
  <si>
    <t xml:space="preserve"> Mn      0.9752    0.0000    0.9939    0.7983     1.0562     1.1933     1.0407</t>
  </si>
  <si>
    <t xml:space="preserve"> Al      0.6475    0.0094    0.7262    0.9682     1.0019     1.4062     1.0049</t>
  </si>
  <si>
    <t xml:space="preserve"> P       0.6872    0.0021    0.7446    0.9458     1.0170     1.3934     0.9885</t>
  </si>
  <si>
    <t xml:space="preserve"> Mg      0.5361    0.0070    0.6145    1.0073     0.9944     1.6133     1.0072</t>
  </si>
  <si>
    <t xml:space="preserve"> Ca      0.9298    0.0063    0.9631    0.9178     1.0459     1.0749     1.0000</t>
  </si>
  <si>
    <t xml:space="preserve"> Ti      0.9481    0.0106    0.9754    0.8279     1.0524     1.1643     1.0023</t>
  </si>
  <si>
    <t xml:space="preserve"> Na       3.05      4.11      3.00      4.04     1.181   0.9940   0.03071   1.54925  </t>
  </si>
  <si>
    <t xml:space="preserve"> S        0.0104    0.0260    0.0102    0.0256   0.0029  0.9881   0.000105  0.019607 ?</t>
  </si>
  <si>
    <t xml:space="preserve"> Fe      10.31     13.26     10.12     13.02     1.643   0.9988   0.10322   0.99223  </t>
  </si>
  <si>
    <t xml:space="preserve"> Si      21.20     45.35     20.82     44.54     6.718   1.0143   0.20924   0.87345  </t>
  </si>
  <si>
    <t xml:space="preserve"> Cl       0.1591    0.1591    0.1562    0.1562   0.0399  0.9840   0.001617  0.111406  </t>
  </si>
  <si>
    <t xml:space="preserve"> F        0.0538    0.0538    0.0528    0.0528   0.0252  1.0172   0.000529  0.111116  </t>
  </si>
  <si>
    <t xml:space="preserve"> K        1.47      1.77      1.44      1.74     0.334   0.9942   0.01477   2.16008  </t>
  </si>
  <si>
    <t xml:space="preserve"> Mn       0.1631    0.2106    0.1602    0.2068   0.0264  1.0407   0.001567  0.004653  </t>
  </si>
  <si>
    <t xml:space="preserve"> Al       8.37     15.81      8.22     15.52     2.760   1.0049   0.08329   1.25229  </t>
  </si>
  <si>
    <t xml:space="preserve"> P        0.3357    0.7694    0.3297    0.7556   0.0965  0.9885   0.003397  1.986258  </t>
  </si>
  <si>
    <t xml:space="preserve"> Mg       3.07      5.08      3.01      4.99     1.123   1.0072   0.03045   0.98895  </t>
  </si>
  <si>
    <t xml:space="preserve"> Ca       8.55     11.96      8.40     11.75     1.899   1.0000   0.08552   1.27813  </t>
  </si>
  <si>
    <t xml:space="preserve"> Ti       1.95      3.26      1.92      3.20     0.363   1.0023   0.01949   0.79720  </t>
  </si>
  <si>
    <t xml:space="preserve"> O       43.14       -       42.37       -      24.000      -         -        </t>
  </si>
  <si>
    <t>Total:  101.83    101.83    100.00    100.00    16.212</t>
  </si>
  <si>
    <t xml:space="preserve">Unknown Specimen No. 74 </t>
  </si>
  <si>
    <t xml:space="preserve"> UNK No.      :   74            Comment : UnknA-Flow1-1_4                          </t>
  </si>
  <si>
    <t xml:space="preserve"> Stage        :    X=   49.6515  Y=   83.6115  Z=   11.4225 </t>
  </si>
  <si>
    <t xml:space="preserve"> Dated on Dec 20 20:31 2016 </t>
  </si>
  <si>
    <t xml:space="preserve"> 1 Na   129.476    302.9    0.0   19.6    1.87      167 </t>
  </si>
  <si>
    <t xml:space="preserve"> 2 S    171.948      2.8    5.5    4.5   23.38      109 </t>
  </si>
  <si>
    <t xml:space="preserve"> 3 Fe   134.739    185.8    2.9    3.0    1.67      393 </t>
  </si>
  <si>
    <t xml:space="preserve"> 4 Si    77.822   3192.5   32.1   21.6    0.40      232 </t>
  </si>
  <si>
    <t xml:space="preserve"> 5 Cl   151.478     26.8    8.1    6.5    4.37       43 </t>
  </si>
  <si>
    <t xml:space="preserve"> 6 F    199.140      1.0    3.3    2.9   49.61 ?    359 </t>
  </si>
  <si>
    <t xml:space="preserve"> 7 K    119.485    395.7   34.1   22.7    0.98       62 </t>
  </si>
  <si>
    <t xml:space="preserve"> 8 Mn   146.243      2.1    2.3    1.7   21.07      286 </t>
  </si>
  <si>
    <t xml:space="preserve"> 9 Al    90.995   1069.0   15.8    9.3    0.69      160 </t>
  </si>
  <si>
    <t xml:space="preserve">10 P    197.118     27.1    3.1    2.9    4.76      153 </t>
  </si>
  <si>
    <t xml:space="preserve">11 Mg   107.534    586.3   38.0    0.0    0.95      169 </t>
  </si>
  <si>
    <t xml:space="preserve">12 Ca   107.121   2399.0   35.4   35.4    0.46       90 </t>
  </si>
  <si>
    <t xml:space="preserve">13 Ti    88.305    571.2    0.0   48.2    0.97      129 </t>
  </si>
  <si>
    <t xml:space="preserve"> Na      0.3985    0.0039    0.4756    0.9928     0.9870     2.1373     0.9986</t>
  </si>
  <si>
    <t xml:space="preserve"> S       0.7695    0.0038    0.8216    0.9621     1.0238     1.2310     0.9885</t>
  </si>
  <si>
    <t xml:space="preserve"> Fe      0.9809    0.0000    0.9969    0.8103     1.0557     1.1727     0.9985</t>
  </si>
  <si>
    <t xml:space="preserve"> Si      0.7024    0.0013    0.7708    0.9872     1.0094     1.3002     1.0130</t>
  </si>
  <si>
    <t xml:space="preserve"> Cl      0.8319    0.0070    0.8814    0.9129     1.0304     1.1977     0.9843</t>
  </si>
  <si>
    <t xml:space="preserve"> F       0.1900    0.0014    0.2494    1.0184     0.9746     4.0336     1.0165</t>
  </si>
  <si>
    <t xml:space="preserve"> K       0.9097    0.0179    0.9486    0.9038     1.0413     1.1004     0.9945</t>
  </si>
  <si>
    <t xml:space="preserve"> Mn      0.9752    0.0000    0.9939    0.7986     1.0561     1.1930     1.0404</t>
  </si>
  <si>
    <t xml:space="preserve"> Al      0.6472    0.0095    0.7259    0.9685     1.0018     1.4065     1.0051</t>
  </si>
  <si>
    <t xml:space="preserve"> P       0.6867    0.0021    0.7441    0.9461     1.0168     1.3941     0.9890</t>
  </si>
  <si>
    <t xml:space="preserve"> Mg      0.5363    0.0070    0.6147    1.0077     0.9942     1.6125     1.0067</t>
  </si>
  <si>
    <t xml:space="preserve"> Ca      0.9297    0.0065    0.9629    0.9181     1.0457     1.0747     0.9998</t>
  </si>
  <si>
    <t xml:space="preserve"> Ti      0.9484    0.0109    0.9758    0.8282     1.0523     1.1634     1.0015</t>
  </si>
  <si>
    <t xml:space="preserve"> Na       2.69      3.63      2.67      3.60     1.052   0.9986   0.02697   1.36087  </t>
  </si>
  <si>
    <t xml:space="preserve"> S        0.0212    0.0529    0.0210    0.0525   0.0059  0.9885   0.000214  0.039828  </t>
  </si>
  <si>
    <t xml:space="preserve"> Fe      10.46     13.46     10.39     13.37     1.683   0.9985   0.10481   1.00752  </t>
  </si>
  <si>
    <t xml:space="preserve"> Si      21.19     45.33     21.04     45.01     6.777   1.0130   0.20927   0.87358  </t>
  </si>
  <si>
    <t xml:space="preserve"> Cl       0.1643    0.1643    0.1632    0.1632   0.0416  0.9843   0.001670  0.115062  </t>
  </si>
  <si>
    <t xml:space="preserve"> F        0.0814    0.0814    0.0808    0.0808   0.0385  1.0165   0.000801  0.168246  </t>
  </si>
  <si>
    <t xml:space="preserve"> K        1.46      1.76      1.45      1.75     0.336   0.9945   0.01470   2.14844  </t>
  </si>
  <si>
    <t xml:space="preserve"> Mn       0.1358    0.1753    0.1348    0.1741   0.0222  1.0404   0.001305  0.003875  </t>
  </si>
  <si>
    <t xml:space="preserve"> Al       8.10     15.30      8.04     15.19     2.696   1.0051   0.08056   1.21127  </t>
  </si>
  <si>
    <t xml:space="preserve"> P        0.3306    0.7575    0.3282    0.7521   0.0959  0.9890   0.003342  1.954674  </t>
  </si>
  <si>
    <t xml:space="preserve"> Mg       3.10      5.14      3.08      5.10     1.145   1.0067   0.03077   0.99944  </t>
  </si>
  <si>
    <t xml:space="preserve"> Ca       8.21     11.49      8.15     11.40     1.840   0.9998   0.08211   1.22722  </t>
  </si>
  <si>
    <t xml:space="preserve"> Ti       2.03      3.38      2.01      3.36     0.381   1.0015   0.02026   0.82858  </t>
  </si>
  <si>
    <t xml:space="preserve"> O       42.74       -       42.44       -      24.000      -         -        </t>
  </si>
  <si>
    <t>Total:  100.72    100.72    100.00    100.00    16.113</t>
  </si>
  <si>
    <t xml:space="preserve">Unknown Specimen No. 75 </t>
  </si>
  <si>
    <t xml:space="preserve"> UNK No.      :   75            Comment : UnknA-Flow1-1_5                          </t>
  </si>
  <si>
    <t xml:space="preserve"> Stage        :    X=   49.8700  Y=   84.1125  Z=   11.4240 </t>
  </si>
  <si>
    <t xml:space="preserve"> Dated on Dec 20 20:34 2016 </t>
  </si>
  <si>
    <t xml:space="preserve"> 1 Na   129.476    302.8    0.0   17.7    1.87      159 </t>
  </si>
  <si>
    <t xml:space="preserve"> 2 S    171.948      2.4    5.5    5.4   27.81      114 </t>
  </si>
  <si>
    <t xml:space="preserve"> 3 Fe   134.739    179.8    2.9    2.3    1.69      360 </t>
  </si>
  <si>
    <t xml:space="preserve"> 4 Si    77.822   3203.1   32.7   19.6    0.40      230 </t>
  </si>
  <si>
    <t xml:space="preserve"> 5 Cl   151.478     24.2    9.2    8.2    4.86       47 </t>
  </si>
  <si>
    <t xml:space="preserve"> 6 F    199.140      1.0    3.6    2.8   52.60 ?    366 </t>
  </si>
  <si>
    <t xml:space="preserve"> 7 K    119.485    404.8   32.9   24.1    0.97       62 </t>
  </si>
  <si>
    <t xml:space="preserve"> 8 Mn   146.243      2.1    2.1    2.1   21.82      295 </t>
  </si>
  <si>
    <t xml:space="preserve"> 9 Al    90.995   1080.7   16.8   10.1    0.69      166 </t>
  </si>
  <si>
    <t xml:space="preserve">10 P    197.118     26.2    2.6    2.8    4.82      147 </t>
  </si>
  <si>
    <t xml:space="preserve">11 Mg   107.534    587.5   40.3    0.0    0.95      173 </t>
  </si>
  <si>
    <t xml:space="preserve">12 Ca   107.121   2429.2   34.6   35.3    0.46       89 </t>
  </si>
  <si>
    <t xml:space="preserve">13 Ti    88.305    563.4    0.0   47.4    0.98      128 </t>
  </si>
  <si>
    <t xml:space="preserve"> Na      0.4003    0.0039    0.4778    0.9922     0.9872     2.1283     0.9944</t>
  </si>
  <si>
    <t xml:space="preserve"> S       0.7696    0.0038    0.8217    0.9615     1.0241     1.2313     0.9887</t>
  </si>
  <si>
    <t xml:space="preserve"> Fe      0.9809    0.0000    0.9969    0.8098     1.0558     1.1733     0.9991</t>
  </si>
  <si>
    <t xml:space="preserve"> Si      0.7030    0.0013    0.7715    0.9866     1.0096     1.2995     1.0124</t>
  </si>
  <si>
    <t xml:space="preserve"> Cl      0.8320    0.0071    0.8815    0.9124     1.0306     1.1979     0.9845</t>
  </si>
  <si>
    <t xml:space="preserve"> F       0.1895    0.0014    0.2488    1.0178     0.9748     4.0452     1.0194</t>
  </si>
  <si>
    <t xml:space="preserve"> K       0.9098    0.0180    0.9487    0.9032     1.0415     1.1006     0.9947</t>
  </si>
  <si>
    <t xml:space="preserve"> Mn      0.9752    0.0000    0.9938    0.7981     1.0562     1.1936     1.0409</t>
  </si>
  <si>
    <t xml:space="preserve"> Al      0.6487    0.0096    0.7276    0.9679     1.0020     1.4037     1.0032</t>
  </si>
  <si>
    <t xml:space="preserve"> P       0.6868    0.0021    0.7442    0.9455     1.0170     1.3945     0.9893</t>
  </si>
  <si>
    <t xml:space="preserve"> Mg      0.5381    0.0070    0.6168    1.0070     0.9944     1.6077     1.0037</t>
  </si>
  <si>
    <t xml:space="preserve"> Ca      0.9297    0.0063    0.9629    0.9176     1.0459     1.0753     1.0004</t>
  </si>
  <si>
    <t xml:space="preserve"> Ti      0.9482    0.0105    0.9756    0.8277     1.0524     1.1645     1.0025</t>
  </si>
  <si>
    <t xml:space="preserve"> Na       2.68      3.61      2.66      3.59     1.046   0.9944   0.02694   1.35907  </t>
  </si>
  <si>
    <t xml:space="preserve"> S        0.0183    0.0456    0.0182    0.0454   0.0051  0.9887   0.000185  0.034329  </t>
  </si>
  <si>
    <t xml:space="preserve"> Fe      10.13     13.03     10.07     12.96     1.629   0.9991   0.10137   0.97439  </t>
  </si>
  <si>
    <t xml:space="preserve"> Si      21.23     45.41     21.12     45.17     6.789   1.0124   0.20976   0.87560  </t>
  </si>
  <si>
    <t xml:space="preserve"> Cl       0.1480    0.1480    0.1472    0.1472   0.0375  0.9845   0.001503  0.103604  </t>
  </si>
  <si>
    <t xml:space="preserve"> F        0.0784    0.0784    0.0779    0.0779   0.0370  1.0194   0.000769  0.161472  </t>
  </si>
  <si>
    <t xml:space="preserve"> K        1.49      1.80      1.49      1.79     0.343   0.9947   0.01502   2.19558  </t>
  </si>
  <si>
    <t xml:space="preserve"> Mn       0.1338    0.1728    0.1331    0.1719   0.0219  1.0409   0.001286  0.003817  </t>
  </si>
  <si>
    <t xml:space="preserve"> Al       8.16     15.42      8.12     15.34     2.717   1.0032   0.08136   1.22328  </t>
  </si>
  <si>
    <t xml:space="preserve"> P        0.3194    0.7318    0.3176    0.7279   0.0926  0.9893   0.003228  1.887828  </t>
  </si>
  <si>
    <t xml:space="preserve"> Mg       3.09      5.13      3.08      5.10     1.142   1.0037   0.03081   1.00050  </t>
  </si>
  <si>
    <t xml:space="preserve"> Ca       8.31     11.63      8.26     11.56     1.862   1.0004   0.08306   1.24144  </t>
  </si>
  <si>
    <t xml:space="preserve"> Ti       2.00      3.34      1.99      3.32     0.375   1.0025   0.01996   0.81651  </t>
  </si>
  <si>
    <t xml:space="preserve"> O       42.75       -       42.52       -      24.000      -         -        </t>
  </si>
  <si>
    <t>Total:  100.54    100.54    100.00    100.00    16.098</t>
  </si>
  <si>
    <t xml:space="preserve">Unknown Specimen No. 76 </t>
  </si>
  <si>
    <t xml:space="preserve"> UNK No.      :   76            Comment : UnknA-Flow1-1_6                          </t>
  </si>
  <si>
    <t xml:space="preserve"> Stage        :    X=   50.2635  Y=   83.7415  Z=   11.4240 </t>
  </si>
  <si>
    <t xml:space="preserve"> Dated on Dec 20 20:38 2016 </t>
  </si>
  <si>
    <t xml:space="preserve"> 1 Na   129.476    300.0    0.0   17.6    1.88      158 </t>
  </si>
  <si>
    <t xml:space="preserve"> 2 S    171.948      2.1    5.7    5.3   30.97      114 </t>
  </si>
  <si>
    <t xml:space="preserve"> 3 Fe   134.739    173.1    2.4    3.1    1.73      387 </t>
  </si>
  <si>
    <t xml:space="preserve"> 4 Si    77.822   3185.9   30.2   21.3    0.40      227 </t>
  </si>
  <si>
    <t xml:space="preserve"> 5 Cl   151.478     21.1    8.8    7.3    5.27       45 </t>
  </si>
  <si>
    <t xml:space="preserve"> 6 F    199.140      0.6    3.4    2.3   84.30 ?    348 </t>
  </si>
  <si>
    <t xml:space="preserve"> 7 K    119.485    394.4   32.9   22.3    0.98       61 </t>
  </si>
  <si>
    <t xml:space="preserve"> 8 Mn   146.243      2.7    2.6    2.0   17.97      307 </t>
  </si>
  <si>
    <t xml:space="preserve"> 9 Al    90.995   1078.4   16.4   10.2    0.69      165 </t>
  </si>
  <si>
    <t xml:space="preserve">10 P    197.118     29.0    3.5    3.1    4.61      160 </t>
  </si>
  <si>
    <t xml:space="preserve">11 Mg   107.534    583.8   40.8    0.0    0.96      175 </t>
  </si>
  <si>
    <t xml:space="preserve">12 Ca   107.121   2569.3   31.2   37.3    0.45       89 </t>
  </si>
  <si>
    <t xml:space="preserve">13 Ti    88.305    566.7    0.0   49.0    0.98      130 </t>
  </si>
  <si>
    <t xml:space="preserve"> Na      0.4015    0.0039    0.4792    0.9920     0.9873     2.1227     0.9918</t>
  </si>
  <si>
    <t xml:space="preserve"> S       0.7702    0.0039    0.8224    0.9613     1.0241     1.2304     0.9879</t>
  </si>
  <si>
    <t xml:space="preserve"> Fe      0.9807    0.0000    0.9966    0.8096     1.0558     1.1738     0.9995</t>
  </si>
  <si>
    <t xml:space="preserve"> Si      0.7040    0.0014    0.7725    0.9864     1.0096     1.2981     1.0113</t>
  </si>
  <si>
    <t xml:space="preserve"> Cl      0.8325    0.0074    0.8821    0.9122     1.0306     1.1971     0.9839</t>
  </si>
  <si>
    <t xml:space="preserve"> F       0.1883    0.0014    0.2472    1.0175     0.9748     4.0724     1.0263</t>
  </si>
  <si>
    <t xml:space="preserve"> K       0.9101    0.0189    0.9490    0.9030     1.0416     1.0995     0.9938</t>
  </si>
  <si>
    <t xml:space="preserve"> Mn      0.9749    0.0000    0.9936    0.7979     1.0563     1.1942     1.0415</t>
  </si>
  <si>
    <t xml:space="preserve"> Al      0.6498    0.0096    0.7288    0.9677     1.0020     1.4016     1.0016</t>
  </si>
  <si>
    <t xml:space="preserve"> P       0.6878    0.0022    0.7453    0.9453     1.0171     1.3926     0.9880</t>
  </si>
  <si>
    <t xml:space="preserve"> Mg      0.5393    0.0071    0.6182    1.0068     0.9945     1.6043     1.0016</t>
  </si>
  <si>
    <t xml:space="preserve"> Ca      0.9300    0.0062    0.9633    0.9173     1.0460     1.0752     1.0003</t>
  </si>
  <si>
    <t xml:space="preserve"> Ti      0.9476    0.0101    0.9750    0.8275     1.0525     1.1660     1.0037</t>
  </si>
  <si>
    <t xml:space="preserve"> Na       2.65      3.57      2.64      3.56     1.036   0.9918   0.02671   1.34783  </t>
  </si>
  <si>
    <t xml:space="preserve"> S        0.0163    0.0406    0.0162    0.0404   0.0046  0.9879   0.000165  0.030585  </t>
  </si>
  <si>
    <t xml:space="preserve"> Fe       9.76     12.55      9.72     12.50     1.571   0.9995   0.09764   0.93859  </t>
  </si>
  <si>
    <t xml:space="preserve"> Si      21.11     45.17     21.02     44.97     6.757   1.0113   0.20884   0.87178  </t>
  </si>
  <si>
    <t xml:space="preserve"> Cl       0.1292    0.1292    0.1286    0.1286   0.0328  0.9839   0.001313  0.090482  </t>
  </si>
  <si>
    <t xml:space="preserve"> F        0.0459    0.0459    0.0457    0.0457   0.0217  1.0263   0.000447  0.093913  </t>
  </si>
  <si>
    <t xml:space="preserve"> K        1.46      1.75      1.45      1.75     0.335   0.9938   0.01465   2.14133  </t>
  </si>
  <si>
    <t xml:space="preserve"> Mn       0.1744    0.2252    0.1736    0.2242   0.0285  1.0415   0.001675  0.004972  </t>
  </si>
  <si>
    <t xml:space="preserve"> Al       8.14     15.38      8.10     15.31     2.712   1.0016   0.08127   1.22185  </t>
  </si>
  <si>
    <t xml:space="preserve"> P        0.3531    0.8091    0.3516    0.8056   0.1025  0.9880   0.003574  2.090034  </t>
  </si>
  <si>
    <t xml:space="preserve"> Mg       3.07      5.09      3.06      5.07     1.135   1.0016   0.03064   0.99526  </t>
  </si>
  <si>
    <t xml:space="preserve"> Ca       8.80     12.31      8.76     12.25     1.973   1.0003   0.08794   1.31436  </t>
  </si>
  <si>
    <t xml:space="preserve"> Ti       2.02      3.37      2.01      3.35     0.379   1.0037   0.02010   0.82205  </t>
  </si>
  <si>
    <t xml:space="preserve"> O       42.72       -       42.53       -      24.000      -         -        </t>
  </si>
  <si>
    <t>Total:  100.44    100.44    100.00    100.00    16.086</t>
  </si>
  <si>
    <t xml:space="preserve">Unknown Specimen No. 77 </t>
  </si>
  <si>
    <t xml:space="preserve"> UNK No.      :   77            Comment : UnknA-Flow1-1_7                          </t>
  </si>
  <si>
    <t xml:space="preserve"> Stage        :    X=   52.0305  Y=   84.3200  Z=   11.4280 </t>
  </si>
  <si>
    <t xml:space="preserve"> Dated on Dec 20 20:41 2016 </t>
  </si>
  <si>
    <t xml:space="preserve"> 1 Na   129.476    292.1    0.0   17.6    1.91      158 </t>
  </si>
  <si>
    <t xml:space="preserve"> 2 S    171.948      1.7    4.5    6.7   39.64 ?    118 </t>
  </si>
  <si>
    <t xml:space="preserve"> 3 Fe   134.739    186.7    2.4    2.3    1.66      348 </t>
  </si>
  <si>
    <t xml:space="preserve"> 4 Si    77.822   3197.5   34.1   19.6    0.40      233 </t>
  </si>
  <si>
    <t xml:space="preserve"> 5 Cl   151.478     24.5    8.8    9.4    4.88       48 </t>
  </si>
  <si>
    <t xml:space="preserve"> 6 F    199.140      0.6    3.3    3.2   89.68 ?    365 </t>
  </si>
  <si>
    <t xml:space="preserve"> 7 K    119.485    374.9   35.1   22.6    1.02       62 </t>
  </si>
  <si>
    <t xml:space="preserve"> 8 Mn   146.243      2.9    2.3    2.1   17.07      301 </t>
  </si>
  <si>
    <t xml:space="preserve"> 9 Al    90.995   1081.3   15.8    9.9    0.69      162 </t>
  </si>
  <si>
    <t xml:space="preserve">10 P    197.118     25.6    3.1    3.3    4.96      160 </t>
  </si>
  <si>
    <t xml:space="preserve">11 Mg   107.534    601.6   40.3    0.0    0.94      173 </t>
  </si>
  <si>
    <t xml:space="preserve">12 Ca   107.121   2473.5   35.1   40.0    0.46       93 </t>
  </si>
  <si>
    <t xml:space="preserve">13 Ti    88.305    575.9    0.0   46.9    0.97      127 </t>
  </si>
  <si>
    <t xml:space="preserve"> Na      0.3981    0.0039    0.4751    0.9930     0.9869     2.1393     0.9996</t>
  </si>
  <si>
    <t xml:space="preserve"> S       0.7696    0.0038    0.8217    0.9622     1.0237     1.2307     0.9882</t>
  </si>
  <si>
    <t xml:space="preserve"> Fe      0.9809    0.0000    0.9968    0.8104     1.0556     1.1727     0.9985</t>
  </si>
  <si>
    <t xml:space="preserve"> Si      0.7020    0.0013    0.7704    0.9874     1.0093     1.3009     1.0135</t>
  </si>
  <si>
    <t xml:space="preserve"> Cl      0.8320    0.0071    0.8816    0.9131     1.0303     1.1973     0.9840</t>
  </si>
  <si>
    <t xml:space="preserve"> F       0.1896    0.0014    0.2489    1.0186     0.9745     4.0423     1.0187</t>
  </si>
  <si>
    <t xml:space="preserve"> K       0.9098    0.0183    0.9487    0.9039     1.0413     1.0998     0.9940</t>
  </si>
  <si>
    <t xml:space="preserve"> Mn      0.9752    0.0000    0.9938    0.7987     1.0560     1.1929     1.0404</t>
  </si>
  <si>
    <t xml:space="preserve"> Al      0.6470    0.0095    0.7257    0.9687     1.0017     1.4069     1.0054</t>
  </si>
  <si>
    <t xml:space="preserve"> P       0.6868    0.0021    0.7442    0.9463     1.0167     1.3938     0.9888</t>
  </si>
  <si>
    <t xml:space="preserve"> Mg      0.5365    0.0070    0.6150    1.0078     0.9941     1.6116     1.0061</t>
  </si>
  <si>
    <t xml:space="preserve"> Ca      0.9300    0.0065    0.9633    0.9182     1.0457     1.0742     0.9993</t>
  </si>
  <si>
    <t xml:space="preserve"> Ti      0.9482    0.0109    0.9756    0.8283     1.0522     1.1635     1.0016</t>
  </si>
  <si>
    <t xml:space="preserve"> Na       2.60      3.50      2.57      3.46     1.010   0.9996   0.02598   1.31101  </t>
  </si>
  <si>
    <t xml:space="preserve"> S        0.0129    0.0323    0.0128    0.0320   0.0036  0.9882   0.000131  0.024356  </t>
  </si>
  <si>
    <t xml:space="preserve"> Fe      10.50     13.51     10.38     13.35     1.682   0.9985   0.10521   1.01132  </t>
  </si>
  <si>
    <t xml:space="preserve"> Si      21.21     45.37     20.96     44.84     6.752   1.0135   0.20940   0.87409  </t>
  </si>
  <si>
    <t xml:space="preserve"> Cl       0.1497    0.1497    0.1479    0.1479   0.0378  0.9840   0.001521  0.104815  </t>
  </si>
  <si>
    <t xml:space="preserve"> F        0.0444    0.0444    0.0439    0.0439   0.0209  1.0187   0.000436  0.091501  </t>
  </si>
  <si>
    <t xml:space="preserve"> K        1.38      1.67      1.37      1.65     0.316   0.9940   0.01391   2.03354  </t>
  </si>
  <si>
    <t xml:space="preserve"> Mn       0.1833    0.2367    0.1812    0.2339   0.0298  1.0404   0.001762  0.005231  </t>
  </si>
  <si>
    <t xml:space="preserve"> Al       8.18     15.46      8.09     15.28     2.712   1.0054   0.08140   1.22394  </t>
  </si>
  <si>
    <t xml:space="preserve"> P        0.3125    0.7161    0.3089    0.7078   0.0902  0.9888   0.003160  1.848162  </t>
  </si>
  <si>
    <t xml:space="preserve"> Mg       3.17      5.26      3.14      5.20     1.167   1.0061   0.03154   1.02446  </t>
  </si>
  <si>
    <t xml:space="preserve"> Ca       8.45     11.83      8.35     11.69     1.886   0.9993   0.08458   1.26406  </t>
  </si>
  <si>
    <t xml:space="preserve"> Ti       2.04      3.41      2.02      3.37     0.382   1.0016   0.02041   0.83458  </t>
  </si>
  <si>
    <t xml:space="preserve"> O       42.94       -       42.44       -      24.000      -         -        </t>
  </si>
  <si>
    <t>Total:  101.18    101.18    100.00    100.00    16.090</t>
  </si>
  <si>
    <t xml:space="preserve">Unknown Specimen No. 78 </t>
  </si>
  <si>
    <t xml:space="preserve"> UNK No.      :   78            Comment : UnknA-Flow1-1_8                          </t>
  </si>
  <si>
    <t xml:space="preserve"> Stage        :    X=   52.3350  Y=   83.9540  Z=   11.4280 </t>
  </si>
  <si>
    <t xml:space="preserve"> Dated on Dec 20 20:45 2016 </t>
  </si>
  <si>
    <t xml:space="preserve"> 1 Na   129.476    302.7    0.0   17.2    1.87      156 </t>
  </si>
  <si>
    <t xml:space="preserve"> 2 S    171.948      1.5    5.5    4.9   43.39 ?    111 </t>
  </si>
  <si>
    <t xml:space="preserve"> 3 Fe   134.739    178.8    2.2    2.4    1.70      349 </t>
  </si>
  <si>
    <t xml:space="preserve"> 4 Si    77.822   3222.1   31.1   20.5    0.40      227 </t>
  </si>
  <si>
    <t xml:space="preserve"> 5 Cl   151.478     26.0    7.8    7.9    4.54       44 </t>
  </si>
  <si>
    <t xml:space="preserve"> 6 F    199.140      0.8    3.2    3.4   60.85 ?    365 </t>
  </si>
  <si>
    <t xml:space="preserve"> 7 K    119.485    379.1   32.3   21.3    1.00       60 </t>
  </si>
  <si>
    <t xml:space="preserve"> 8 Mn   146.243      2.6    1.9    2.3   18.70      300 </t>
  </si>
  <si>
    <t xml:space="preserve"> 9 Al    90.995   1092.9   17.2    8.6    0.68      163 </t>
  </si>
  <si>
    <t xml:space="preserve">10 P    197.118     23.9    3.2    3.4    5.19      162 </t>
  </si>
  <si>
    <t xml:space="preserve">11 Mg   107.534    606.0   41.5    0.0    0.94      176 </t>
  </si>
  <si>
    <t xml:space="preserve">12 Ca   107.121   2516.7   30.9   39.7    0.45       90 </t>
  </si>
  <si>
    <t xml:space="preserve">13 Ti    88.305    555.1    0.0   50.1    0.99      132 </t>
  </si>
  <si>
    <t xml:space="preserve"> Na      0.4009    0.0039    0.4785    0.9920     0.9873     2.1254     0.9931</t>
  </si>
  <si>
    <t xml:space="preserve"> S       0.7698    0.0039    0.8219    0.9613     1.0241     1.2311     0.9886</t>
  </si>
  <si>
    <t xml:space="preserve"> Fe      0.9808    0.0000    0.9968    0.8097     1.0558     1.1735     0.9993</t>
  </si>
  <si>
    <t xml:space="preserve"> Si      0.7030    0.0013    0.7714    0.9864     1.0097     1.2999     1.0127</t>
  </si>
  <si>
    <t xml:space="preserve"> Cl      0.8321    0.0072    0.8817    0.9122     1.0306     1.1978     0.9844</t>
  </si>
  <si>
    <t xml:space="preserve"> F       0.1892    0.0014    0.2484    1.0176     0.9749     4.0522     1.0212</t>
  </si>
  <si>
    <t xml:space="preserve"> K       0.9098    0.0184    0.9487    0.9031     1.0416     1.1003     0.9944</t>
  </si>
  <si>
    <t xml:space="preserve"> Mn      0.9751    0.0000    0.9938    0.7980     1.0563     1.1938     1.0412</t>
  </si>
  <si>
    <t xml:space="preserve"> Al      0.6488    0.0096    0.7277    0.9677     1.0020     1.4037     1.0031</t>
  </si>
  <si>
    <t xml:space="preserve"> P       0.6869    0.0021    0.7443    0.9453     1.0171     1.3945     0.9893</t>
  </si>
  <si>
    <t xml:space="preserve"> Mg      0.5388    0.0071    0.6176    1.0069     0.9945     1.6058     1.0025</t>
  </si>
  <si>
    <t xml:space="preserve"> Ca      0.9300    0.0062    0.9633    0.9174     1.0460     1.0752     1.0002</t>
  </si>
  <si>
    <t xml:space="preserve"> Ti      0.9480    0.0104    0.9754    0.8275     1.0525     1.1651     1.0030</t>
  </si>
  <si>
    <t xml:space="preserve"> Na       2.68      3.61      2.64      3.56     1.037   0.9931   0.02695   1.35997  </t>
  </si>
  <si>
    <t xml:space="preserve"> S        0.0110    0.0276    0.0109    0.0272   0.0031  0.9886   0.000112  0.020754 ?</t>
  </si>
  <si>
    <t xml:space="preserve"> Fe      10.08     12.97      9.94     12.79     1.608   0.9993   0.10088   0.96972  </t>
  </si>
  <si>
    <t xml:space="preserve"> Si      21.37     45.72     21.09     45.11     6.779   1.0127   0.21121   0.88168  </t>
  </si>
  <si>
    <t xml:space="preserve"> Cl       0.1589    0.1589    0.1568    0.1568   0.0399  0.9844   0.001615  0.111275  </t>
  </si>
  <si>
    <t xml:space="preserve"> F        0.0666    0.0666    0.0657    0.0657   0.0312  1.0212   0.000652  0.137023  </t>
  </si>
  <si>
    <t xml:space="preserve"> K        1.40      1.69      1.38      1.66     0.319   0.9944   0.01408   2.05839  </t>
  </si>
  <si>
    <t xml:space="preserve"> Mn       0.1639    0.2116    0.1617    0.2088   0.0266  1.0412   0.001574  0.004674  </t>
  </si>
  <si>
    <t xml:space="preserve"> Al       8.26     15.61      8.15     15.40     2.728   1.0031   0.08236   1.23832  </t>
  </si>
  <si>
    <t xml:space="preserve"> P        0.2922    0.6696    0.2883    0.6606   0.0841  0.9893   0.002954  1.727269  </t>
  </si>
  <si>
    <t xml:space="preserve"> Mg       3.19      5.29      3.15      5.22     1.168   1.0025   0.03181   1.03299  </t>
  </si>
  <si>
    <t xml:space="preserve"> Ca       8.62     12.05      8.50     11.89     1.915   1.0002   0.08614   1.28742  </t>
  </si>
  <si>
    <t xml:space="preserve"> Ti       1.97      3.29      1.95      3.25     0.367   1.0030   0.01969   0.80527  </t>
  </si>
  <si>
    <t xml:space="preserve"> O       43.10       -       42.52       -      24.000      -         -        </t>
  </si>
  <si>
    <t>Total:  101.35    101.35    100.00    100.00    16.107</t>
  </si>
  <si>
    <t xml:space="preserve">Unknown Specimen No. 79 </t>
  </si>
  <si>
    <t xml:space="preserve"> UNK No.      :   79            Comment : UnknA-Flow1-1_9                          </t>
  </si>
  <si>
    <t xml:space="preserve"> Stage        :    X=   51.8215  Y=   83.2855  Z=   11.4220 </t>
  </si>
  <si>
    <t xml:space="preserve"> Dated on Dec 20 20:48 2016 </t>
  </si>
  <si>
    <t xml:space="preserve"> 1 Na   129.476    294.1    0.0   19.0    1.90      164 </t>
  </si>
  <si>
    <t xml:space="preserve"> 2 S    171.948      1.7    6.5    5.6   38.87 ?    119 </t>
  </si>
  <si>
    <t xml:space="preserve"> 3 Fe   134.739    194.0    2.9    3.1    1.63      397 </t>
  </si>
  <si>
    <t xml:space="preserve"> 4 Si    77.822   3188.5   32.0   20.5    0.40      229 </t>
  </si>
  <si>
    <t xml:space="preserve"> 5 Cl   151.478     26.3    9.1    6.8    4.50       44 </t>
  </si>
  <si>
    <t xml:space="preserve"> 6 F    199.140      0.1    3.9    3.1  364.25 ?    381 </t>
  </si>
  <si>
    <t xml:space="preserve"> 7 K    119.485    385.1   34.6   24.2    1.00       63 </t>
  </si>
  <si>
    <t xml:space="preserve"> 8 Mn   146.243      3.2    2.3    1.5   14.97      279 </t>
  </si>
  <si>
    <t xml:space="preserve"> 9 Al    90.995   1073.0   16.3    9.4    0.69      162 </t>
  </si>
  <si>
    <t xml:space="preserve">10 P    197.118     23.9    3.4    2.5    5.10      150 </t>
  </si>
  <si>
    <t xml:space="preserve">11 Mg   107.534    551.0   40.2    0.0    0.99      173 </t>
  </si>
  <si>
    <t xml:space="preserve">12 Ca   107.121   2363.9   32.4   37.4    0.47       89 </t>
  </si>
  <si>
    <t xml:space="preserve">13 Ti    88.305    566.5    0.0   45.3    0.98      125 </t>
  </si>
  <si>
    <t xml:space="preserve"> Na      0.3956    0.0038    0.4722    0.9938     0.9866     2.1516     1.0053</t>
  </si>
  <si>
    <t xml:space="preserve"> S       0.7691    0.0038    0.8212    0.9630     1.0235     1.2309     0.9884</t>
  </si>
  <si>
    <t xml:space="preserve"> Fe      0.9810    0.0000    0.9970    0.8110     1.0555     1.1718     0.9978</t>
  </si>
  <si>
    <t xml:space="preserve"> Si      0.7015    0.0013    0.7698    0.9882     1.0090     1.3012     1.0137</t>
  </si>
  <si>
    <t xml:space="preserve"> Cl      0.8316    0.0070    0.8812    0.9138     1.0300     1.1974     0.9841</t>
  </si>
  <si>
    <t xml:space="preserve"> F       0.1903    0.0014    0.2498    1.0194     0.9742     4.0247     1.0142</t>
  </si>
  <si>
    <t xml:space="preserve"> K       0.9095    0.0178    0.9484    0.9046     1.0410     1.1000     0.9942</t>
  </si>
  <si>
    <t xml:space="preserve"> Mn      0.9753    0.0000    0.9940    0.7993     1.0559     1.1920     1.0396</t>
  </si>
  <si>
    <t xml:space="preserve"> Al      0.6464    0.0095    0.7249    0.9695     1.0013     1.4076     1.0059</t>
  </si>
  <si>
    <t xml:space="preserve"> P       0.6861    0.0021    0.7434    0.9470     1.0164     1.3946     0.9894</t>
  </si>
  <si>
    <t xml:space="preserve"> Mg      0.5339    0.0070    0.6120    1.0087     0.9938     1.6187     1.0106</t>
  </si>
  <si>
    <t xml:space="preserve"> Ca      0.9297    0.0067    0.9629    0.9190     1.0454     1.0738     0.9990</t>
  </si>
  <si>
    <t xml:space="preserve"> Ti      0.9485    0.0115    0.9759    0.8289     1.0520     1.1617     1.0001</t>
  </si>
  <si>
    <t xml:space="preserve"> Na       2.63      3.54      2.62      3.53     1.031   1.0053   0.02616   1.32000  </t>
  </si>
  <si>
    <t xml:space="preserve"> S        0.0132    0.0330    0.0132    0.0329   0.0037  0.9884   0.000134  0.024872  </t>
  </si>
  <si>
    <t xml:space="preserve"> Fe      10.91     14.03     10.85     13.96     1.760   0.9978   0.10932   1.05088  </t>
  </si>
  <si>
    <t xml:space="preserve"> Si      21.16     45.26     21.05     45.03     6.789   1.0137   0.20880   0.87162  </t>
  </si>
  <si>
    <t xml:space="preserve"> Cl       0.1606    0.1606    0.1598    0.1598   0.0408  0.9841   0.001632  0.112479  </t>
  </si>
  <si>
    <t xml:space="preserve"> F        0.0111    0.0111    0.0110    0.0110   0.0052  1.0142   0.000109  0.022891 ?</t>
  </si>
  <si>
    <t xml:space="preserve"> K        1.42      1.71      1.41      1.70     0.327   0.9942   0.01429   2.08877  </t>
  </si>
  <si>
    <t xml:space="preserve"> Mn       0.2044    0.2639    0.2033    0.2625   0.0335  1.0396   0.001966  0.005837  </t>
  </si>
  <si>
    <t xml:space="preserve"> Al       8.12     15.35      8.08     15.27     2.714   1.0059   0.08078   1.21459  </t>
  </si>
  <si>
    <t xml:space="preserve"> P        0.2912    0.6672    0.2896    0.6637   0.0847  0.9894   0.002943  1.721050  </t>
  </si>
  <si>
    <t xml:space="preserve"> Mg       2.92      4.84      2.90      4.82     1.083   1.0106   0.02889   0.93843  </t>
  </si>
  <si>
    <t xml:space="preserve"> Ca       8.07     11.30      8.03     11.24     1.816   0.9990   0.08083   1.20804  </t>
  </si>
  <si>
    <t xml:space="preserve"> Ti       2.01      3.35      2.00      3.33     0.378   1.0001   0.02007   0.82093  </t>
  </si>
  <si>
    <t xml:space="preserve"> O       42.60       -       42.38       -      24.000      -         -        </t>
  </si>
  <si>
    <t>Total:  100.53    100.53    100.00    100.00    16.066</t>
  </si>
  <si>
    <t xml:space="preserve">Unknown Specimen No. 80 </t>
  </si>
  <si>
    <t xml:space="preserve"> UNK No.      :   80            Comment : UnknA-Flow1-2_1                          </t>
  </si>
  <si>
    <t xml:space="preserve"> Stage        :    X=   50.8490  Y=   88.1265  Z=   11.4455 </t>
  </si>
  <si>
    <t xml:space="preserve"> Dated on Dec 20 20:52 2016 </t>
  </si>
  <si>
    <t xml:space="preserve"> 1 Na   129.476    326.9    0.0   14.6    1.79      144 </t>
  </si>
  <si>
    <t xml:space="preserve"> 2 S    171.948      2.6    5.5    4.5   25.14      108 </t>
  </si>
  <si>
    <t xml:space="preserve"> 3 Fe   134.739    180.6    2.1    3.1    1.69      380 </t>
  </si>
  <si>
    <t xml:space="preserve"> 4 Si    77.822   3196.4   30.9   20.3    0.40      226 </t>
  </si>
  <si>
    <t xml:space="preserve"> 5 Cl   151.478     20.6    7.5    8.3    5.36       44 </t>
  </si>
  <si>
    <t xml:space="preserve"> 6 F    199.140     -0.5    4.4    2.7  100.00 ?    391 </t>
  </si>
  <si>
    <t xml:space="preserve"> 7 K    119.485    408.7   35.1   22.1    0.97       62 </t>
  </si>
  <si>
    <t xml:space="preserve"> 8 Mn   146.243      2.7    2.2    1.8   17.48      286 </t>
  </si>
  <si>
    <t xml:space="preserve"> 9 Al    90.995   1076.1   17.4    9.4    0.69      166 </t>
  </si>
  <si>
    <t xml:space="preserve">10 P    197.118     26.0    3.1    2.9    4.88      153 </t>
  </si>
  <si>
    <t xml:space="preserve">11 Mg   107.534    590.3   38.1    0.0    0.95      169 </t>
  </si>
  <si>
    <t xml:space="preserve">12 Ca   107.121   2457.8   33.2   37.8    0.46       90 </t>
  </si>
  <si>
    <t xml:space="preserve">13 Ti    88.305    560.3    0.0   46.9    0.98      127 </t>
  </si>
  <si>
    <t xml:space="preserve"> Na      0.4004    0.0039    0.4779    0.9924     0.9872     2.1275     0.9940</t>
  </si>
  <si>
    <t xml:space="preserve"> S       0.7697    0.0038    0.8218    0.9616     1.0240     1.2309     0.9884</t>
  </si>
  <si>
    <t xml:space="preserve"> Fe      0.9809    0.0000    0.9968    0.8099     1.0558     1.1732     0.9990</t>
  </si>
  <si>
    <t xml:space="preserve"> Si      0.7026    0.0013    0.7710    0.9867     1.0095     1.3002     1.0130</t>
  </si>
  <si>
    <t xml:space="preserve"> Cl      0.8321    0.0072    0.8816    0.9125     1.0305     1.1976     0.9843</t>
  </si>
  <si>
    <t xml:space="preserve"> K       0.9099    0.0182    0.9488    0.9034     1.0415     1.1002     0.9944</t>
  </si>
  <si>
    <t xml:space="preserve"> Mn      0.9752    0.0000    0.9938    0.7982     1.0562     1.1935     1.0408</t>
  </si>
  <si>
    <t xml:space="preserve"> Al      0.6477    0.0095    0.7264    0.9681     1.0019     1.4059     1.0047</t>
  </si>
  <si>
    <t xml:space="preserve"> P       0.6870    0.0021    0.7444    0.9457     1.0170     1.3940     0.9889</t>
  </si>
  <si>
    <t xml:space="preserve"> Mg      0.5369    0.0070    0.6155    1.0072     0.9944     1.6110     1.0057</t>
  </si>
  <si>
    <t xml:space="preserve"> Ca      0.9297    0.0063    0.9630    0.9177     1.0459     1.0751     1.0002</t>
  </si>
  <si>
    <t xml:space="preserve"> Ti      0.9481    0.0106    0.9755    0.8278     1.0524     1.1644     1.0024</t>
  </si>
  <si>
    <t xml:space="preserve"> Na       2.89      3.90      2.87      3.86     1.127   0.9940   0.02908   1.46730  </t>
  </si>
  <si>
    <t xml:space="preserve"> S        0.0194    0.0485    0.0193    0.0481   0.0054  0.9884   0.000197  0.036546  </t>
  </si>
  <si>
    <t xml:space="preserve"> Fe      10.17     13.08     10.08     12.97     1.632   0.9990   0.10177   0.97830  </t>
  </si>
  <si>
    <t xml:space="preserve"> Si      21.19     45.34     21.01     44.95     6.764   1.0130   0.20933   0.87380  </t>
  </si>
  <si>
    <t xml:space="preserve"> Cl       0.1258    0.1258    0.1247    0.1247   0.0318  0.9843   0.001278  0.088100  </t>
  </si>
  <si>
    <t xml:space="preserve"> K        1.51      1.82      1.49      1.80     0.346   0.9944   0.01516   2.21665  </t>
  </si>
  <si>
    <t xml:space="preserve"> Mn       0.1712    0.2211    0.1697    0.2192   0.0279  1.0408   0.001645  0.004884  </t>
  </si>
  <si>
    <t xml:space="preserve"> Al       8.14     15.38      8.07     15.24     2.704   1.0047   0.08102   1.21812  </t>
  </si>
  <si>
    <t xml:space="preserve"> P        0.3168    0.7260    0.3141    0.7197   0.0917  0.9889   0.003204  1.873404  </t>
  </si>
  <si>
    <t xml:space="preserve"> Mg       3.11      5.16      3.09      5.12     1.148   1.0057   0.03095   1.00527  </t>
  </si>
  <si>
    <t xml:space="preserve"> Ca       8.41     11.76      8.33     11.66     1.880   1.0002   0.08404   1.25605  </t>
  </si>
  <si>
    <t xml:space="preserve"> Ti       1.99      3.32      1.97      3.29     0.372   1.0024   0.01985   0.81194  </t>
  </si>
  <si>
    <t xml:space="preserve"> O       42.83       -       42.46       -      24.000      -         -        </t>
  </si>
  <si>
    <t>Total:  100.86    100.86    100.00    100.00    16.131</t>
  </si>
  <si>
    <t xml:space="preserve">Unknown Specimen No. 81 </t>
  </si>
  <si>
    <t xml:space="preserve"> UNK No.      :   81            Comment : UnknA-Flow1-2_2                          </t>
  </si>
  <si>
    <t xml:space="preserve"> Stage        :    X=   50.5055  Y=   88.1815  Z=   11.4455 </t>
  </si>
  <si>
    <t xml:space="preserve"> Dated on Dec 20 20:55 2016 </t>
  </si>
  <si>
    <t xml:space="preserve"> 1 Na   129.476    310.5    0.0   19.4    1.85      166 </t>
  </si>
  <si>
    <t xml:space="preserve"> 2 S    171.948      2.3    5.5    5.1   28.11      112 </t>
  </si>
  <si>
    <t xml:space="preserve"> 3 Fe   134.739    179.4    3.6    2.0    1.69      362 </t>
  </si>
  <si>
    <t xml:space="preserve"> 4 Si    77.822   3205.1   31.3   16.4    0.40      220 </t>
  </si>
  <si>
    <t xml:space="preserve"> 5 Cl   151.478     25.1    7.9    7.7    4.64       44 </t>
  </si>
  <si>
    <t xml:space="preserve"> 6 F    199.140      0.3    3.9    3.4  150.00 ?    387 </t>
  </si>
  <si>
    <t xml:space="preserve"> 7 K    119.485    426.7   33.9   22.7    0.94       62 </t>
  </si>
  <si>
    <t xml:space="preserve"> 8 Mn   146.243      3.1    2.3    1.5   15.60      279 </t>
  </si>
  <si>
    <t xml:space="preserve"> 9 Al    90.995   1075.9   15.2   10.9    0.69      163 </t>
  </si>
  <si>
    <t xml:space="preserve">10 P    197.118     24.7    3.5    1.9    4.94      140 </t>
  </si>
  <si>
    <t xml:space="preserve">11 Mg   107.534    583.6   43.3    0.0    0.96      180 </t>
  </si>
  <si>
    <t xml:space="preserve">12 Ca   107.121   2388.3   33.7   34.5    0.46       88 </t>
  </si>
  <si>
    <t xml:space="preserve">13 Ti    88.305    560.8    0.0   47.4    0.98      128 </t>
  </si>
  <si>
    <t xml:space="preserve"> Na      0.4004    0.0039    0.4779    0.9923     0.9872     2.1278     0.9941</t>
  </si>
  <si>
    <t xml:space="preserve"> S       0.7695    0.0038    0.8216    0.9616     1.0241     1.2314     0.9887</t>
  </si>
  <si>
    <t xml:space="preserve"> Fe      0.9809    0.0000    0.9969    0.8099     1.0558     1.1732     0.9990</t>
  </si>
  <si>
    <t xml:space="preserve"> Si      0.7030    0.0013    0.7715    0.9867     1.0096     1.2995     1.0124</t>
  </si>
  <si>
    <t xml:space="preserve"> Cl      0.8319    0.0071    0.8815    0.9124     1.0306     1.1980     0.9846</t>
  </si>
  <si>
    <t xml:space="preserve"> F       0.1895    0.0014    0.2487    1.0179     0.9748     4.0462     1.0197</t>
  </si>
  <si>
    <t xml:space="preserve"> K       0.9097    0.0178    0.9486    0.9033     1.0415     1.1009     0.9950</t>
  </si>
  <si>
    <t xml:space="preserve"> Mn      0.9752    0.0000    0.9939    0.7982     1.0562     1.1935     1.0408</t>
  </si>
  <si>
    <t xml:space="preserve"> Al      0.6485    0.0096    0.7273    0.9680     1.0020     1.4041     1.0034</t>
  </si>
  <si>
    <t xml:space="preserve"> P       0.6866    0.0021    0.7440    0.9456     1.0170     1.3948     0.9895</t>
  </si>
  <si>
    <t xml:space="preserve"> Mg      0.5377    0.0070    0.6164    1.0071     0.9944     1.6086     1.0043</t>
  </si>
  <si>
    <t xml:space="preserve"> Ca      0.9294    0.0063    0.9627    0.9176     1.0459     1.0755     1.0005</t>
  </si>
  <si>
    <t xml:space="preserve"> Ti      0.9482    0.0106    0.9756    0.8277     1.0524     1.1643     1.0023</t>
  </si>
  <si>
    <t xml:space="preserve"> Na       2.75      3.70      2.73      3.69     1.074   0.9941   0.02762   1.39366  </t>
  </si>
  <si>
    <t xml:space="preserve"> S        0.0177    0.0443    0.0177    0.0441   0.0050  0.9887   0.000179  0.033327  </t>
  </si>
  <si>
    <t xml:space="preserve"> Fe      10.10     13.00     10.06     12.94     1.627   0.9990   0.10113   0.97208  </t>
  </si>
  <si>
    <t xml:space="preserve"> Si      21.24     45.44     21.16     45.26     6.803   1.0124   0.20989   0.87615  </t>
  </si>
  <si>
    <t xml:space="preserve"> Cl       0.1536    0.1536    0.1529    0.1529   0.0390  0.9846   0.001560  0.107500  </t>
  </si>
  <si>
    <t xml:space="preserve"> F        0.0277    0.0277    0.0276    0.0276   0.0131  1.0197   0.000272  0.057145 ?</t>
  </si>
  <si>
    <t xml:space="preserve"> K        1.57      1.90      1.57      1.89     0.362   0.9950   0.01583   2.31414  </t>
  </si>
  <si>
    <t xml:space="preserve"> Mn       0.1940    0.2505    0.1932    0.2495   0.0318  1.0408   0.001864  0.005534  </t>
  </si>
  <si>
    <t xml:space="preserve"> Al       8.13     15.36      8.09     15.29     2.709   1.0034   0.08100   1.21783  </t>
  </si>
  <si>
    <t xml:space="preserve"> P        0.3008    0.6893    0.2996    0.6865   0.0874  0.9895   0.003040  1.777844  </t>
  </si>
  <si>
    <t xml:space="preserve"> Mg       3.07      5.10      3.06      5.08     1.137   1.0043   0.03060   0.99394  </t>
  </si>
  <si>
    <t xml:space="preserve"> Ca       8.17     11.43      8.14     11.39     1.834   1.0005   0.08167   1.22054  </t>
  </si>
  <si>
    <t xml:space="preserve"> Ti       1.99      3.32      1.98      3.31     0.374   1.0023   0.01987   0.81267  </t>
  </si>
  <si>
    <t xml:space="preserve"> O       42.69       -       42.51       -      24.000      -         -        </t>
  </si>
  <si>
    <t>Total:  100.41    100.41    100.00    100.00    16.098</t>
  </si>
  <si>
    <t xml:space="preserve">Unknown Specimen No. 82 </t>
  </si>
  <si>
    <t xml:space="preserve"> UNK No.      :   82            Comment : UnknA-Flow1-2_3                          </t>
  </si>
  <si>
    <t xml:space="preserve"> Stage        :    X=   50.1670  Y=   88.3840  Z=   11.4455 </t>
  </si>
  <si>
    <t xml:space="preserve"> Dated on Dec 20 20:59 2016 </t>
  </si>
  <si>
    <t xml:space="preserve"> 1 Na   129.476    305.7    0.0   17.2    1.86      156 </t>
  </si>
  <si>
    <t xml:space="preserve"> 2 S    171.948      1.6    5.2    5.0   38.97 ?    110 </t>
  </si>
  <si>
    <t xml:space="preserve"> 3 Fe   134.739    181.9    3.3    3.0    1.69      401 </t>
  </si>
  <si>
    <t xml:space="preserve"> 4 Si    77.822   3174.5   32.3   21.4    0.40      232 </t>
  </si>
  <si>
    <t xml:space="preserve"> 5 Cl   151.478      8.1    9.3    7.3   11.17       45 </t>
  </si>
  <si>
    <t xml:space="preserve"> 6 F    199.140      0.9    3.3    3.5   55.59 ?    372 </t>
  </si>
  <si>
    <t xml:space="preserve"> 7 K    119.485    386.7   33.1   22.8    1.00       61 </t>
  </si>
  <si>
    <t xml:space="preserve"> 8 Mn   146.243      2.3    2.1    2.0   20.27      290 </t>
  </si>
  <si>
    <t xml:space="preserve"> 9 Al    90.995   1064.7   16.6    8.3    0.69      160 </t>
  </si>
  <si>
    <t xml:space="preserve">10 P    197.118     27.0    2.7    3.9    4.85      165 </t>
  </si>
  <si>
    <t xml:space="preserve">11 Mg   107.534    608.7   41.9    0.0    0.94      177 </t>
  </si>
  <si>
    <t xml:space="preserve">12 Ca   107.121   2517.1   33.1   37.2    0.45       90 </t>
  </si>
  <si>
    <t xml:space="preserve">13 Ti    88.305    543.8    0.0   49.3    1.00      130 </t>
  </si>
  <si>
    <t xml:space="preserve"> Na      0.3995    0.0039    0.4768    0.9925     0.9871     2.1326     0.9964</t>
  </si>
  <si>
    <t xml:space="preserve"> S       0.7698    0.0038    0.8219    0.9617     1.0239     1.2308     0.9883</t>
  </si>
  <si>
    <t xml:space="preserve"> Fe      0.9808    0.0000    0.9968    0.8100     1.0557     1.1732     0.9989</t>
  </si>
  <si>
    <t xml:space="preserve"> Si      0.7025    0.0013    0.7709    0.9869     1.0094     1.3005     1.0132</t>
  </si>
  <si>
    <t xml:space="preserve"> Cl      0.8322    0.0072    0.8817    0.9126     1.0304     1.1974     0.9841</t>
  </si>
  <si>
    <t xml:space="preserve"> F       0.1896    0.0014    0.2489    1.0181     0.9747     4.0438     1.0190</t>
  </si>
  <si>
    <t xml:space="preserve"> K       0.9101    0.0186    0.9490    0.9035     1.0414     1.0995     0.9937</t>
  </si>
  <si>
    <t xml:space="preserve"> Mn      0.9751    0.0000    0.9938    0.7983     1.0561     1.1934     1.0408</t>
  </si>
  <si>
    <t xml:space="preserve"> Al      0.6471    0.0095    0.7258    0.9682     1.0018     1.4072     1.0056</t>
  </si>
  <si>
    <t xml:space="preserve"> P       0.6872    0.0021    0.7446    0.9458     1.0169     1.3936     0.9887</t>
  </si>
  <si>
    <t xml:space="preserve"> Mg      0.5371    0.0070    0.6156    1.0073     0.9943     1.6106     1.0055</t>
  </si>
  <si>
    <t xml:space="preserve"> Ca      0.9301    0.0063    0.9634    0.9178     1.0458     1.0747     0.9998</t>
  </si>
  <si>
    <t xml:space="preserve"> Ti      0.9479    0.0106    0.9753    0.8279     1.0523     1.1645     1.0025</t>
  </si>
  <si>
    <t xml:space="preserve"> Na       2.71      3.65      2.70      3.63     1.061   0.9964   0.02719   1.37210  </t>
  </si>
  <si>
    <t xml:space="preserve"> S        0.0123    0.0307    0.0122    0.0305   0.0034  0.9883   0.000124  0.023086  </t>
  </si>
  <si>
    <t xml:space="preserve"> Fe      10.24     13.18     10.19     13.11     1.651   0.9989   0.10255   0.98577  </t>
  </si>
  <si>
    <t xml:space="preserve"> Si      21.06     45.04     20.95     44.82     6.749   1.0132   0.20789   0.86781  </t>
  </si>
  <si>
    <t xml:space="preserve"> Cl       0.0495    0.0495    0.0492    0.0492   0.0126  0.9841   0.000503  0.034654  </t>
  </si>
  <si>
    <t xml:space="preserve"> F        0.0745    0.0745    0.0741    0.0741   0.0353  1.0190   0.000731  0.153504  </t>
  </si>
  <si>
    <t xml:space="preserve"> K        1.43      1.72      1.42      1.71     0.328   0.9937   0.01435   2.09748  </t>
  </si>
  <si>
    <t xml:space="preserve"> Mn       0.1444    0.1864    0.1437    0.1855   0.0237  1.0408   0.001387  0.004119  </t>
  </si>
  <si>
    <t xml:space="preserve"> Al       8.06     15.23      8.02     15.15     2.690   1.0056   0.08016   1.20517  </t>
  </si>
  <si>
    <t xml:space="preserve"> P        0.3292    0.7544    0.3276    0.7507   0.0957  0.9887   0.003330  1.947328  </t>
  </si>
  <si>
    <t xml:space="preserve"> Mg       3.21      5.32      3.19      5.30     1.189   1.0055   0.03192   1.03666  </t>
  </si>
  <si>
    <t xml:space="preserve"> Ca       8.60     12.04      8.56     11.98     1.933   0.9998   0.08607   1.28634  </t>
  </si>
  <si>
    <t xml:space="preserve"> Ti       1.93      3.22      1.92      3.21     0.363   1.0025   0.01927   0.78814  </t>
  </si>
  <si>
    <t xml:space="preserve"> O       42.65       -       42.44       -      24.000      -         -        </t>
  </si>
  <si>
    <t>Total:  100.50    100.50    100.00    100.00    16.135</t>
  </si>
  <si>
    <t xml:space="preserve">Unknown Specimen No. 83 </t>
  </si>
  <si>
    <t xml:space="preserve"> UNK No.      :   83            Comment : UnknA-Flow1-2_4                          </t>
  </si>
  <si>
    <t xml:space="preserve"> Stage        :    X=   53.7470  Y=   89.0705  Z=   11.4560 </t>
  </si>
  <si>
    <t xml:space="preserve"> Dated on Dec 20 21:02 2016 </t>
  </si>
  <si>
    <t xml:space="preserve"> 1 Na   129.476    336.1    0.0   15.0    1.76      146 </t>
  </si>
  <si>
    <t xml:space="preserve"> 2 S    171.948      2.6    5.3    5.4   26.18      113 </t>
  </si>
  <si>
    <t xml:space="preserve"> 3 Fe   134.739    189.0    2.9    3.1    1.65      397 </t>
  </si>
  <si>
    <t xml:space="preserve"> 4 Si    77.822   3171.0   31.7   21.8    0.40      231 </t>
  </si>
  <si>
    <t xml:space="preserve"> 5 Cl   151.478     24.1    8.8    9.1    4.92       47 </t>
  </si>
  <si>
    <t xml:space="preserve"> 6 F    199.140      0.7    3.4    3.3   69.71 ?    370 </t>
  </si>
  <si>
    <t xml:space="preserve"> 7 K    119.485    383.0   32.3   21.9    1.00       60 </t>
  </si>
  <si>
    <t xml:space="preserve"> 8 Mn   146.243      2.6    2.3    2.1   18.39      303 </t>
  </si>
  <si>
    <t xml:space="preserve"> 9 Al    90.995   1103.4   17.7   10.1    0.68      168 </t>
  </si>
  <si>
    <t xml:space="preserve">10 P    197.118     26.7    2.6    3.4    4.83      156 </t>
  </si>
  <si>
    <t xml:space="preserve">11 Mg   107.534    562.1   40.8    0.0    0.98      175 </t>
  </si>
  <si>
    <t xml:space="preserve">12 Ca   107.121   2446.7   33.8   38.3    0.46       91 </t>
  </si>
  <si>
    <t xml:space="preserve">13 Ti    88.305    558.6    0.0   50.0    0.99      131 </t>
  </si>
  <si>
    <t xml:space="preserve"> Na      0.3982    0.0038    0.4753    0.9932     0.9869     2.1383     0.9991</t>
  </si>
  <si>
    <t xml:space="preserve"> S       0.7696    0.0038    0.8217    0.9624     1.0238     1.2305     0.9881</t>
  </si>
  <si>
    <t xml:space="preserve"> Fe      0.9810    0.0000    0.9969    0.8105     1.0556     1.1724     0.9982</t>
  </si>
  <si>
    <t xml:space="preserve"> Si      0.7008    0.0013    0.7690    0.9875     1.0093     1.3029     1.0151</t>
  </si>
  <si>
    <t xml:space="preserve"> Cl      0.8320    0.0071    0.8815    0.9132     1.0303     1.1972     0.9840</t>
  </si>
  <si>
    <t xml:space="preserve"> F       0.1903    0.0014    0.2499    1.0188     0.9745     4.0250     1.0143</t>
  </si>
  <si>
    <t xml:space="preserve"> K       0.9098    0.0181    0.9487    0.9041     1.0413     1.0998     0.9940</t>
  </si>
  <si>
    <t xml:space="preserve"> Mn      0.9753    0.0000    0.9939    0.7988     1.0561     1.1926     1.0401</t>
  </si>
  <si>
    <t xml:space="preserve"> Al      0.6466    0.0094    0.7252    0.9688     1.0017     1.4078     1.0061</t>
  </si>
  <si>
    <t xml:space="preserve"> P       0.6869    0.0021    0.7442    0.9464     1.0167     1.3935     0.9886</t>
  </si>
  <si>
    <t xml:space="preserve"> Mg      0.5344    0.0070    0.6125    1.0080     0.9941     1.6179     1.0100</t>
  </si>
  <si>
    <t xml:space="preserve"> Ca      0.9299    0.0065    0.9632    0.9184     1.0457     1.0742     0.9993</t>
  </si>
  <si>
    <t xml:space="preserve"> Ti      0.9483    0.0110    0.9757    0.8284     1.0522     1.1629     1.0011</t>
  </si>
  <si>
    <t xml:space="preserve"> Na       2.99      4.03      2.95      3.97     1.162   0.9991   0.02990   1.50863  </t>
  </si>
  <si>
    <t xml:space="preserve"> S        0.0194    0.0484    0.0191    0.0477   0.0054  0.9881   0.000196  0.036461  </t>
  </si>
  <si>
    <t xml:space="preserve"> Fe      10.63     13.67     10.48     13.49     1.703   0.9982   0.10650   1.02378  </t>
  </si>
  <si>
    <t xml:space="preserve"> Si      21.06     45.05     20.77     44.43     6.709   1.0151   0.20766   0.86685  </t>
  </si>
  <si>
    <t xml:space="preserve"> Cl       0.1473    0.1473    0.1452    0.1452   0.0372  0.9840   0.001497  0.103141  </t>
  </si>
  <si>
    <t xml:space="preserve"> F        0.0582    0.0582    0.0574    0.0574   0.0274  1.0143   0.000574  0.120556  </t>
  </si>
  <si>
    <t xml:space="preserve"> K        1.41      1.70      1.39      1.68     0.323   0.9940   0.01421   2.07721  </t>
  </si>
  <si>
    <t xml:space="preserve"> Mn       0.1682    0.2172    0.1659    0.2142   0.0274  1.0401   0.001617  0.004801  </t>
  </si>
  <si>
    <t xml:space="preserve"> Al       8.35     15.79      8.24     15.57     2.771   1.0061   0.08307   1.24894  </t>
  </si>
  <si>
    <t xml:space="preserve"> P        0.3249    0.7446    0.3205    0.7344   0.0939  0.9886   0.003287  1.922086  </t>
  </si>
  <si>
    <t xml:space="preserve"> Mg       2.98      4.94      2.94      4.87     1.096   1.0100   0.02948   0.95736  </t>
  </si>
  <si>
    <t xml:space="preserve"> Ca       8.36     11.70      8.24     11.54     1.866   0.9993   0.08366   1.25040  </t>
  </si>
  <si>
    <t xml:space="preserve"> Ti       1.98      3.31      1.95      3.26     0.370   1.0011   0.01979   0.80955  </t>
  </si>
  <si>
    <t xml:space="preserve"> O       42.92       -       42.33       -      24.000      -         -        </t>
  </si>
  <si>
    <t>Total:  101.40    101.40    100.00    100.00    16.191</t>
  </si>
  <si>
    <t xml:space="preserve">Unknown Specimen No. 84 </t>
  </si>
  <si>
    <t xml:space="preserve"> UNK No.      :   84            Comment : UnknA-Flow1-2_5                          </t>
  </si>
  <si>
    <t xml:space="preserve"> Stage        :    X=   54.0545  Y=   88.6700  Z=   11.4535 </t>
  </si>
  <si>
    <t xml:space="preserve"> Dated on Dec 20 21:06 2016 </t>
  </si>
  <si>
    <t xml:space="preserve"> 1 Na   129.476    324.4    0.0   17.7    1.80      159 </t>
  </si>
  <si>
    <t xml:space="preserve"> 2 S    171.948      2.2    5.3    5.4   30.56      113 </t>
  </si>
  <si>
    <t xml:space="preserve"> 3 Fe   134.739    193.2    1.9    2.3    1.63      336 </t>
  </si>
  <si>
    <t xml:space="preserve"> 4 Si    77.822   3146.1   31.5   20.1    0.40      228 </t>
  </si>
  <si>
    <t xml:space="preserve"> 5 Cl   151.478     28.2    9.0    7.7    4.33       46 </t>
  </si>
  <si>
    <t xml:space="preserve"> 6 F    199.140      1.9    3.8    2.8   28.71      373 </t>
  </si>
  <si>
    <t xml:space="preserve"> 7 K    119.485    405.9   35.4   22.2    0.97       63 </t>
  </si>
  <si>
    <t xml:space="preserve"> 8 Mn   146.243      3.1    1.7    2.2   15.87      288 </t>
  </si>
  <si>
    <t xml:space="preserve"> 9 Al    90.995   1078.0   15.9   10.1    0.69      163 </t>
  </si>
  <si>
    <t xml:space="preserve">10 P    197.118     26.3    2.7    2.5    4.78      143 </t>
  </si>
  <si>
    <t xml:space="preserve">11 Mg   107.534    588.4   37.6    0.0    0.95      168 </t>
  </si>
  <si>
    <t xml:space="preserve">12 Ca   107.121   2370.7   33.4   36.1    0.47       89 </t>
  </si>
  <si>
    <t xml:space="preserve">13 Ti    88.305    560.6    0.0   50.1    0.99      131 </t>
  </si>
  <si>
    <t xml:space="preserve"> Na      0.3965    0.0038    0.4733    0.9937     0.9867     2.1466     1.0030</t>
  </si>
  <si>
    <t xml:space="preserve"> S       0.7696    0.0038    0.8217    0.9629     1.0236     1.2301     0.9878</t>
  </si>
  <si>
    <t xml:space="preserve"> Fe      0.9810    0.0000    0.9970    0.8110     1.0555     1.1718     0.9977</t>
  </si>
  <si>
    <t xml:space="preserve"> Si      0.7002    0.0013    0.7684    0.9881     1.0091     1.3036     1.0156</t>
  </si>
  <si>
    <t xml:space="preserve"> Cl      0.8320    0.0070    0.8815    0.9137     1.0301     1.1969     0.9837</t>
  </si>
  <si>
    <t xml:space="preserve"> F       0.1909    0.0014    0.2507    1.0193     0.9744     4.0109     1.0108</t>
  </si>
  <si>
    <t xml:space="preserve"> K       0.9097    0.0178    0.9486    0.9046     1.0411     1.0999     0.9941</t>
  </si>
  <si>
    <t xml:space="preserve"> Mn      0.9754    0.0000    0.9940    0.7993     1.0560     1.1920     1.0395</t>
  </si>
  <si>
    <t xml:space="preserve"> Al      0.6447    0.0093    0.7230    0.9694     1.0015     1.4115     1.0087</t>
  </si>
  <si>
    <t xml:space="preserve"> P       0.6868    0.0021    0.7442    0.9469     1.0165     1.3931     0.9883</t>
  </si>
  <si>
    <t xml:space="preserve"> Mg      0.5333    0.0069    0.6113    1.0086     0.9939     1.6208     1.0118</t>
  </si>
  <si>
    <t xml:space="preserve"> Ca      0.9296    0.0066    0.9629    0.9189     1.0455     1.0739     0.9991</t>
  </si>
  <si>
    <t xml:space="preserve"> Ti      0.9485    0.0114    0.9759    0.8289     1.0521     1.1618     1.0002</t>
  </si>
  <si>
    <t xml:space="preserve"> Na       2.89      3.90      2.86      3.86     1.134   1.0030   0.02886   1.45609  </t>
  </si>
  <si>
    <t xml:space="preserve"> S        0.0164    0.0409    0.0162    0.0405   0.0046  0.9878   0.000166  0.030835  </t>
  </si>
  <si>
    <t xml:space="preserve"> Fe      10.86     13.97     10.75     13.83     1.752   0.9977   0.10888   1.04662  </t>
  </si>
  <si>
    <t xml:space="preserve"> Si      20.91     44.73     20.69     44.27     6.705   1.0156   0.20603   0.86004  </t>
  </si>
  <si>
    <t xml:space="preserve"> Cl       0.1726    0.1726    0.1708    0.1708   0.0438  0.9837   0.001754  0.120908  </t>
  </si>
  <si>
    <t xml:space="preserve"> F        0.1530    0.1530    0.1514    0.1514   0.0725  1.0108   0.001514  0.318030  </t>
  </si>
  <si>
    <t xml:space="preserve"> K        1.50      1.80      1.48      1.78     0.345   0.9941   0.01506   2.20174  </t>
  </si>
  <si>
    <t xml:space="preserve"> Mn       0.1950    0.2518    0.1930    0.2492   0.0320  1.0395   0.001876  0.005569  </t>
  </si>
  <si>
    <t xml:space="preserve"> Al       8.18     15.46      8.10     15.30     2.732   1.0087   0.08116   1.22020  </t>
  </si>
  <si>
    <t xml:space="preserve"> P        0.3203    0.7339    0.3169    0.7263   0.0931  0.9883   0.003241  1.895041  </t>
  </si>
  <si>
    <t xml:space="preserve"> Mg       3.12      5.18      3.09      5.12     1.157   1.0118   0.03086   1.00212  </t>
  </si>
  <si>
    <t xml:space="preserve"> Ca       8.10     11.33      8.01     11.21     1.820   0.9991   0.08106   1.21155  </t>
  </si>
  <si>
    <t xml:space="preserve"> Ti       1.99      3.31      1.97      3.28     0.374   1.0002   0.01986   0.81245  </t>
  </si>
  <si>
    <t xml:space="preserve"> O       42.64       -       42.19       -      24.000      -         -        </t>
  </si>
  <si>
    <t>Total:  101.05    101.05    100.00    100.00    16.263</t>
  </si>
  <si>
    <t xml:space="preserve">Unknown Specimen No. 85 </t>
  </si>
  <si>
    <t xml:space="preserve"> UNK No.      :   85            Comment : UnknA-Flow1-2_6                          </t>
  </si>
  <si>
    <t xml:space="preserve"> Stage        :    X=   53.6870  Y=   88.5245  Z=   11.4535 </t>
  </si>
  <si>
    <t xml:space="preserve"> Dated on Dec 20 21:09 2016 </t>
  </si>
  <si>
    <t xml:space="preserve"> 1 Na   129.476    323.4    0.0   18.3    1.81      161 </t>
  </si>
  <si>
    <t xml:space="preserve"> 2 S    171.948      2.2    5.3    4.9   28.79      109 </t>
  </si>
  <si>
    <t xml:space="preserve"> 3 Fe   134.739    184.4    3.5    2.6    1.67      388 </t>
  </si>
  <si>
    <t xml:space="preserve"> 4 Si    77.822   3216.8   31.9   23.3    0.40      234 </t>
  </si>
  <si>
    <t xml:space="preserve"> 5 Cl   151.478     27.7    8.7    8.6    4.42       46 </t>
  </si>
  <si>
    <t xml:space="preserve"> 6 F    199.140      1.5    4.1    2.5   36.89 ?    379 </t>
  </si>
  <si>
    <t xml:space="preserve"> 7 K    119.485    409.0   34.7   25.5    0.97       64 </t>
  </si>
  <si>
    <t xml:space="preserve"> 8 Mn   146.243      2.8    2.0    2.1   17.45      293 </t>
  </si>
  <si>
    <t xml:space="preserve"> 9 Al    90.995   1093.2   18.1    9.0    0.68      167 </t>
  </si>
  <si>
    <t xml:space="preserve">10 P    197.118     28.6    3.1    3.0    4.62      155 </t>
  </si>
  <si>
    <t xml:space="preserve">11 Mg   107.534    581.5   38.5    0.0    0.96      170 </t>
  </si>
  <si>
    <t xml:space="preserve">12 Ca   107.121   2395.9   35.7   40.3    0.46       93 </t>
  </si>
  <si>
    <t xml:space="preserve">13 Ti    88.305    556.7    0.0   51.0    0.99      133 </t>
  </si>
  <si>
    <t xml:space="preserve"> Na      0.3997    0.0039    0.4770    0.9925     0.9872     2.1313     0.9958</t>
  </si>
  <si>
    <t xml:space="preserve"> S       0.7694    0.0038    0.8214    0.9618     1.0240     1.2314     0.9888</t>
  </si>
  <si>
    <t xml:space="preserve"> Fe      0.9810    0.0000    0.9970    0.8100     1.0558     1.1729     0.9987</t>
  </si>
  <si>
    <t xml:space="preserve"> Si      0.7022    0.0013    0.7706    0.9869     1.0096     1.3008     1.0134</t>
  </si>
  <si>
    <t xml:space="preserve"> Cl      0.8318    0.0070    0.8814    0.9126     1.0305     1.1980     0.9846</t>
  </si>
  <si>
    <t xml:space="preserve"> F       0.1901    0.0014    0.2496    1.0181     0.9748     4.0308     1.0158</t>
  </si>
  <si>
    <t xml:space="preserve"> K       0.9096    0.0177    0.9485    0.9035     1.0415     1.1009     0.9950</t>
  </si>
  <si>
    <t xml:space="preserve"> Mn      0.9753    0.0000    0.9940    0.7983     1.0562     1.1931     1.0405</t>
  </si>
  <si>
    <t xml:space="preserve"> Al      0.6477    0.0095    0.7265    0.9682     1.0019     1.4056     1.0045</t>
  </si>
  <si>
    <t xml:space="preserve"> P       0.6867    0.0021    0.7440    0.9458     1.0170     1.3944     0.9893</t>
  </si>
  <si>
    <t xml:space="preserve"> Mg      0.5365    0.0070    0.6150    1.0073     0.9944     1.6120     1.0064</t>
  </si>
  <si>
    <t xml:space="preserve"> Ca      0.9295    0.0063    0.9628    0.9178     1.0459     1.0751     1.0002</t>
  </si>
  <si>
    <t xml:space="preserve"> Ti      0.9484    0.0108    0.9758    0.8279     1.0524     1.1636     1.0017</t>
  </si>
  <si>
    <t xml:space="preserve"> Na       2.86      3.86      2.82      3.80     1.111   0.9958   0.02877   1.45159  </t>
  </si>
  <si>
    <t xml:space="preserve"> S        0.0170    0.0424    0.0167    0.0418   0.0047  0.9888   0.000172  0.031899  </t>
  </si>
  <si>
    <t xml:space="preserve"> Fe      10.38     13.35     10.23     13.16     1.657   0.9987   0.10396   0.99934  </t>
  </si>
  <si>
    <t xml:space="preserve"> Si      21.33     45.63     21.02     44.96     6.771   1.0134   0.21066   0.87935  </t>
  </si>
  <si>
    <t xml:space="preserve"> Cl       0.1697    0.1697    0.1672    0.1672   0.0427  0.9846   0.001723  0.118748  </t>
  </si>
  <si>
    <t xml:space="preserve"> F        0.1186    0.1186    0.1169    0.1169   0.0557  1.0158   0.001168  0.245345  </t>
  </si>
  <si>
    <t xml:space="preserve"> K        1.51      1.82      1.49      1.79     0.344   0.9950   0.01517   2.21807  </t>
  </si>
  <si>
    <t xml:space="preserve"> Mn       0.1753    0.2263    0.1727    0.2230   0.0285  1.0405   0.001685  0.005002  </t>
  </si>
  <si>
    <t xml:space="preserve"> Al       8.26     15.62      8.14     15.39     2.731   1.0045   0.08230   1.23747  </t>
  </si>
  <si>
    <t xml:space="preserve"> P        0.3485    0.7986    0.3434    0.7869   0.1003  0.9893   0.003523  2.060017  </t>
  </si>
  <si>
    <t xml:space="preserve"> Mg       3.07      5.09      3.02      5.01     1.125   1.0064   0.03049   0.99026  </t>
  </si>
  <si>
    <t xml:space="preserve"> Ca       8.19     11.46      8.07     11.30     1.823   1.0002   0.08192   1.22440  </t>
  </si>
  <si>
    <t xml:space="preserve"> Ti       1.98      3.30      1.95      3.25     0.368   1.0017   0.01973   0.80679  </t>
  </si>
  <si>
    <t xml:space="preserve"> O       43.07       -       42.44       -      24.000      -         -        </t>
  </si>
  <si>
    <t>Total:  101.48    101.48    100.00    100.00    16.162</t>
  </si>
  <si>
    <t xml:space="preserve">Unknown Specimen No. 86 </t>
  </si>
  <si>
    <t xml:space="preserve"> UNK No.      :   86            Comment : UnknA-Flow1-2_7                          </t>
  </si>
  <si>
    <t xml:space="preserve"> Stage        :    X=   52.6935  Y=   87.8840  Z=   11.4480 </t>
  </si>
  <si>
    <t xml:space="preserve"> Dated on Dec 20 21:13 2016 </t>
  </si>
  <si>
    <t xml:space="preserve"> 1 Na   129.476    308.9    0.0   19.6    1.86      167 </t>
  </si>
  <si>
    <t xml:space="preserve"> 2 S    171.948      1.6    4.7    3.9   36.08 ?    100 </t>
  </si>
  <si>
    <t xml:space="preserve"> 3 Fe   134.739    192.0    3.0    3.1    1.64      399 </t>
  </si>
  <si>
    <t xml:space="preserve"> 4 Si    77.822   3256.9   29.6   17.6    0.39      218 </t>
  </si>
  <si>
    <t xml:space="preserve"> 5 Cl   151.478     26.0    7.3    7.5    4.49       43 </t>
  </si>
  <si>
    <t xml:space="preserve"> 6 F    199.140      2.3    3.4    3.1   24.28      365 </t>
  </si>
  <si>
    <t xml:space="preserve"> 7 K    119.485    416.1   32.4   22.9    0.96       61 </t>
  </si>
  <si>
    <t xml:space="preserve"> 8 Mn   146.243      3.0    2.1    1.9   16.01      287 </t>
  </si>
  <si>
    <t xml:space="preserve"> 9 Al    90.995   1080.2   16.0    8.5    0.69      158 </t>
  </si>
  <si>
    <t xml:space="preserve">10 P    197.118     25.8    3.8    3.1    4.95      163 </t>
  </si>
  <si>
    <t xml:space="preserve">11 Mg   107.534    567.7   42.3    0.0    0.97      178 </t>
  </si>
  <si>
    <t xml:space="preserve">12 Ca   107.121   2417.4   35.4   36.1    0.46       90 </t>
  </si>
  <si>
    <t xml:space="preserve">13 Ti    88.305    556.5    0.0   53.2    0.99      135 </t>
  </si>
  <si>
    <t xml:space="preserve"> Na      0.3972    0.0038    0.4741    0.9932     0.9869     2.1437     1.0016</t>
  </si>
  <si>
    <t xml:space="preserve"> S       0.7694    0.0038    0.8214    0.9624     1.0237     1.2309     0.9884</t>
  </si>
  <si>
    <t xml:space="preserve"> Fe      0.9810    0.0000    0.9970    0.8106     1.0556     1.1723     0.9982</t>
  </si>
  <si>
    <t xml:space="preserve"> Si      0.7025    0.0013    0.7709    0.9876     1.0092     1.2997     1.0126</t>
  </si>
  <si>
    <t xml:space="preserve"> Cl      0.8318    0.0070    0.8814    0.9133     1.0302     1.1975     0.9842</t>
  </si>
  <si>
    <t xml:space="preserve"> F       0.1903    0.0014    0.2499    1.0188     0.9745     4.0246     1.0142</t>
  </si>
  <si>
    <t xml:space="preserve"> K       0.9096    0.0178    0.9485    0.9041     1.0412     1.1003     0.9944</t>
  </si>
  <si>
    <t xml:space="preserve"> Mn      0.9753    0.0000    0.9940    0.7989     1.0560     1.1925     1.0400</t>
  </si>
  <si>
    <t xml:space="preserve"> Al      0.6470    0.0096    0.7257    0.9689     1.0016     1.4066     1.0052</t>
  </si>
  <si>
    <t xml:space="preserve"> P       0.6865    0.0021    0.7438    0.9465     1.0167     1.3943     0.9891</t>
  </si>
  <si>
    <t xml:space="preserve"> Mg      0.5350    0.0070    0.6132    1.0081     0.9941     1.6161     1.0089</t>
  </si>
  <si>
    <t xml:space="preserve"> Ca      0.9295    0.0065    0.9628    0.9184     1.0456     1.0746     0.9997</t>
  </si>
  <si>
    <t xml:space="preserve"> Ti      0.9484    0.0111    0.9758    0.8285     1.0522     1.1627     1.0009</t>
  </si>
  <si>
    <t xml:space="preserve"> Na       2.75      3.71      2.69      3.63     1.062   1.0016   0.02748   1.38648  </t>
  </si>
  <si>
    <t xml:space="preserve"> S        0.0122    0.0305    0.0119    0.0298   0.0034  0.9884   0.000124  0.022965  </t>
  </si>
  <si>
    <t xml:space="preserve"> Fe      10.80     13.89     10.57     13.59     1.715   0.9982   0.10821   1.04013  </t>
  </si>
  <si>
    <t xml:space="preserve"> Si      21.57     46.14     21.10     45.15     6.813   1.0126   0.21328   0.89031  </t>
  </si>
  <si>
    <t xml:space="preserve"> Cl       0.1587    0.1587    0.1553    0.1553   0.0397  0.9842   0.001613  0.111141  </t>
  </si>
  <si>
    <t xml:space="preserve"> F        0.1813    0.1813    0.1774    0.1774   0.0847  1.0142   0.001787  0.375507  </t>
  </si>
  <si>
    <t xml:space="preserve"> K        1.53      1.85      1.50      1.81     0.348   0.9944   0.01544   2.25668  </t>
  </si>
  <si>
    <t xml:space="preserve"> Mn       0.1917    0.2475    0.1876    0.2422   0.0310  1.0400   0.001843  0.005472  </t>
  </si>
  <si>
    <t xml:space="preserve"> Al       8.17     15.44      7.99     15.11     2.687   1.0052   0.08132   1.22267  </t>
  </si>
  <si>
    <t xml:space="preserve"> P        0.3152    0.7223    0.3084    0.7068   0.0903  0.9891   0.003187  1.863488  </t>
  </si>
  <si>
    <t xml:space="preserve"> Mg       3.00      4.98      2.94      4.87     1.096   1.0089   0.02977   0.96682  </t>
  </si>
  <si>
    <t xml:space="preserve"> Ca       8.26     11.56      8.09     11.31     1.829   0.9997   0.08266   1.23543  </t>
  </si>
  <si>
    <t xml:space="preserve"> Ti       1.97      3.29      1.93      3.22     0.366   1.0009   0.01972   0.80651  </t>
  </si>
  <si>
    <t xml:space="preserve"> O       43.28       -       42.35       -      24.000      -         -        </t>
  </si>
  <si>
    <t>Total:  102.19    102.19    100.00    100.00    16.165</t>
  </si>
  <si>
    <t xml:space="preserve">Unknown Specimen No. 87 </t>
  </si>
  <si>
    <t xml:space="preserve"> UNK No.      :   87            Comment : UnknA-Flow1-2_8                          </t>
  </si>
  <si>
    <t xml:space="preserve"> Stage        :    X=   52.1480  Y=   88.0415  Z=   11.4480 </t>
  </si>
  <si>
    <t xml:space="preserve"> Dated on Dec 20 21:16 2016 </t>
  </si>
  <si>
    <t xml:space="preserve"> 1 Na   129.476    321.7    0.0   18.4    1.81      162 </t>
  </si>
  <si>
    <t xml:space="preserve"> 2 S    171.948      2.4    4.7    6.1   28.53      115 </t>
  </si>
  <si>
    <t xml:space="preserve"> 3 Fe   134.739    188.8    3.8    2.8    1.65      403 </t>
  </si>
  <si>
    <t xml:space="preserve"> 4 Si    77.822   3177.0   35.9   21.3    0.40      240 </t>
  </si>
  <si>
    <t xml:space="preserve"> 5 Cl   151.478     28.7    8.5    8.7    4.32       46 </t>
  </si>
  <si>
    <t xml:space="preserve"> 6 F    199.140      1.0    4.1    3.9   56.75 ?    403 </t>
  </si>
  <si>
    <t xml:space="preserve"> 7 K    119.485    404.8   34.0   21.9    0.97       62 </t>
  </si>
  <si>
    <t xml:space="preserve"> 8 Mn   146.243      3.2    2.5    2.4   16.39      319 </t>
  </si>
  <si>
    <t xml:space="preserve"> 9 Al    90.995   1080.9   16.1   11.5    0.69      167 </t>
  </si>
  <si>
    <t xml:space="preserve">10 P    197.118     24.0    2.1    2.4    4.99      134 </t>
  </si>
  <si>
    <t xml:space="preserve">11 Mg   107.534    564.1   39.8    0.0    0.97      172 </t>
  </si>
  <si>
    <t xml:space="preserve">12 Ca   107.121   2423.2   32.2   34.4    0.46       87 </t>
  </si>
  <si>
    <t xml:space="preserve">13 Ti    88.305    549.5    0.0   48.1    0.99      129 </t>
  </si>
  <si>
    <t xml:space="preserve"> Na      0.3977    0.0038    0.4746    0.9933     0.9868     2.1411     1.0004</t>
  </si>
  <si>
    <t xml:space="preserve"> S       0.7696    0.0038    0.8217    0.9625     1.0237     1.2303     0.9879</t>
  </si>
  <si>
    <t xml:space="preserve"> Fe      0.9809    0.0000    0.9969    0.8106     1.0556     1.1722     0.9982</t>
  </si>
  <si>
    <t xml:space="preserve"> Si      0.7015    0.0013    0.7698    0.9877     1.0092     1.3015     1.0140</t>
  </si>
  <si>
    <t xml:space="preserve"> Cl      0.8320    0.0071    0.8816    0.9134     1.0302     1.1970     0.9838</t>
  </si>
  <si>
    <t xml:space="preserve"> F       0.1902    0.0014    0.2497    1.0189     0.9745     4.0269     1.0148</t>
  </si>
  <si>
    <t xml:space="preserve"> K       0.9097    0.0180    0.9486    0.9042     1.0412     1.0999     0.9941</t>
  </si>
  <si>
    <t xml:space="preserve"> Mn      0.9753    0.0000    0.9939    0.7990     1.0560     1.1925     1.0400</t>
  </si>
  <si>
    <t xml:space="preserve"> Al      0.6465    0.0094    0.7251    0.9690     1.0016     1.4077     1.0060</t>
  </si>
  <si>
    <t xml:space="preserve"> P       0.6868    0.0021    0.7441    0.9466     1.0166     1.3936     0.9887</t>
  </si>
  <si>
    <t xml:space="preserve"> Mg      0.5345    0.0070    0.6127    1.0082     0.9940     1.6174     1.0097</t>
  </si>
  <si>
    <t xml:space="preserve"> Ca      0.9296    0.0064    0.9629    0.9185     1.0456     1.0744     0.9995</t>
  </si>
  <si>
    <t xml:space="preserve"> Ti      0.9482    0.0111    0.9756    0.8285     1.0521     1.1629     1.0011</t>
  </si>
  <si>
    <t xml:space="preserve"> Na       2.86      3.86      2.84      3.82     1.120   1.0004   0.02862   1.44396  </t>
  </si>
  <si>
    <t xml:space="preserve"> S        0.0180    0.0449    0.0178    0.0445   0.0050  0.9879   0.000182  0.033840  </t>
  </si>
  <si>
    <t xml:space="preserve"> Fe      10.62     13.66     10.53     13.54     1.711   0.9982   0.10642   1.02301  </t>
  </si>
  <si>
    <t xml:space="preserve"> Si      21.08     45.10     20.89     44.70     6.753   1.0140   0.20805   0.86847  </t>
  </si>
  <si>
    <t xml:space="preserve"> Cl       0.1752    0.1752    0.1736    0.1736   0.0445  0.9838   0.001781  0.122718  </t>
  </si>
  <si>
    <t xml:space="preserve"> F        0.0784    0.0784    0.0776    0.0776   0.0371  1.0148   0.000772  0.162208  </t>
  </si>
  <si>
    <t xml:space="preserve"> K        1.49      1.80      1.48      1.78     0.344   0.9941   0.01502   2.19564  </t>
  </si>
  <si>
    <t xml:space="preserve"> Mn       0.2017    0.2605    0.1999    0.2581   0.0330  1.0400   0.001940  0.005759  </t>
  </si>
  <si>
    <t xml:space="preserve"> Al       8.18     15.46      8.11     15.33     2.729   1.0060   0.08137   1.22349  </t>
  </si>
  <si>
    <t xml:space="preserve"> P        0.2928    0.6709    0.2901    0.6649   0.0851  0.9887   0.002961  1.731868  </t>
  </si>
  <si>
    <t xml:space="preserve"> Mg       2.99      4.95      2.96      4.91     1.105   1.0097   0.02958   0.96076  </t>
  </si>
  <si>
    <t xml:space="preserve"> Ca       8.28     11.59      8.21     11.48     1.859   0.9995   0.08286   1.23839  </t>
  </si>
  <si>
    <t xml:space="preserve"> Ti       1.95      3.25      1.93      3.22     0.366   1.0011   0.01947   0.79641  </t>
  </si>
  <si>
    <t xml:space="preserve"> O       42.68       -       42.30       -      24.000      -         -        </t>
  </si>
  <si>
    <t>Total:  100.91    100.91    100.00    100.00    16.192</t>
  </si>
  <si>
    <t xml:space="preserve">Unknown Specimen No. 88 </t>
  </si>
  <si>
    <t xml:space="preserve"> UNK No.      :   88            Comment : UnknA-Flow1-2_9                          </t>
  </si>
  <si>
    <t xml:space="preserve"> Stage        :    X=   52.4130  Y=   87.3855  Z=   11.4445 </t>
  </si>
  <si>
    <t xml:space="preserve"> Dated on Dec 20 21:20 2016 </t>
  </si>
  <si>
    <t xml:space="preserve"> 1 Na   129.476    310.0    0.0   19.6    1.85      167 </t>
  </si>
  <si>
    <t xml:space="preserve"> 2 S    171.948      1.6    6.6    4.8   40.88 ?    115 </t>
  </si>
  <si>
    <t xml:space="preserve"> 3 Fe   134.739    185.5    2.5    2.7    1.67      370 </t>
  </si>
  <si>
    <t xml:space="preserve"> 4 Si    77.822   3216.5   29.3   21.0    0.40      224 </t>
  </si>
  <si>
    <t xml:space="preserve"> 5 Cl   151.478     26.2    7.8    7.3    4.47       43 </t>
  </si>
  <si>
    <t xml:space="preserve"> 6 F    199.140      1.3    3.2    2.9   39.03 ?    353 </t>
  </si>
  <si>
    <t xml:space="preserve"> 7 K    119.485    402.0   33.9   22.5    0.98       62 </t>
  </si>
  <si>
    <t xml:space="preserve"> 8 Mn   146.243      3.4    1.3    1.8   13.90      255 </t>
  </si>
  <si>
    <t xml:space="preserve"> 9 Al    90.995   1075.0   12.9    9.3    0.69      150 </t>
  </si>
  <si>
    <t xml:space="preserve">10 P    197.118     25.4    2.6    4.4    5.08      171 </t>
  </si>
  <si>
    <t xml:space="preserve">11 Mg   107.534    575.4   39.4    0.0    0.96      172 </t>
  </si>
  <si>
    <t xml:space="preserve">12 Ca   107.121   2462.7   33.6   37.7    0.46       90 </t>
  </si>
  <si>
    <t xml:space="preserve">13 Ti    88.305    572.2    0.0   44.8    0.97      124 </t>
  </si>
  <si>
    <t xml:space="preserve"> Na      0.3984    0.0038    0.4755    0.9930     0.9870     2.1377     0.9988</t>
  </si>
  <si>
    <t xml:space="preserve"> S       0.7697    0.0039    0.8218    0.9622     1.0238     1.2305     0.9880</t>
  </si>
  <si>
    <t xml:space="preserve"> Si      0.7027    0.0013    0.7711    0.9873     1.0093     1.2997     1.0125</t>
  </si>
  <si>
    <t xml:space="preserve"> Cl      0.8321    0.0071    0.8817    0.9130     1.0303     1.1971     0.9839</t>
  </si>
  <si>
    <t xml:space="preserve"> F       0.1896    0.0014    0.2489    1.0186     0.9746     4.0421     1.0186</t>
  </si>
  <si>
    <t xml:space="preserve"> K       0.9098    0.0182    0.9487    0.9039     1.0413     1.0999     0.9940</t>
  </si>
  <si>
    <t xml:space="preserve"> Mn      0.9752    0.0000    0.9938    0.7987     1.0561     1.1929     1.0404</t>
  </si>
  <si>
    <t xml:space="preserve"> Al      0.6474    0.0095    0.7261    0.9686     1.0017     1.4059     1.0047</t>
  </si>
  <si>
    <t xml:space="preserve"> P       0.6870    0.0021    0.7443    0.9462     1.0167     1.3935     0.9886</t>
  </si>
  <si>
    <t xml:space="preserve"> Mg      0.5359    0.0070    0.6143    1.0078     0.9941     1.6135     1.0073</t>
  </si>
  <si>
    <t xml:space="preserve"> Ca      0.9298    0.0065    0.9630    0.9182     1.0457     1.0745     0.9996</t>
  </si>
  <si>
    <t xml:space="preserve"> Ti      0.9482    0.0108    0.9755    0.8283     1.0522     1.1636     1.0017</t>
  </si>
  <si>
    <t xml:space="preserve"> Na       2.75      3.71      2.72      3.66     1.071   0.9988   0.02758   1.39141  </t>
  </si>
  <si>
    <t xml:space="preserve"> S        0.0121    0.0301    0.0119    0.0297   0.0034  0.9880   0.000122  0.022710  </t>
  </si>
  <si>
    <t xml:space="preserve"> Fe      10.44     13.43     10.30     13.25     1.671   0.9985   0.10456   1.00508  </t>
  </si>
  <si>
    <t xml:space="preserve"> Si      21.31     45.59     21.02     44.98     6.782   1.0125   0.21064   0.87927  </t>
  </si>
  <si>
    <t xml:space="preserve"> Cl       0.1602    0.1602    0.1581    0.1581   0.0404  0.9839   0.001629  0.112247  </t>
  </si>
  <si>
    <t xml:space="preserve"> F        0.1042    0.1042    0.1028    0.1028   0.0490  1.0186   0.001023  0.214993  </t>
  </si>
  <si>
    <t xml:space="preserve"> K        1.48      1.79      1.46      1.76     0.339   0.9940   0.01491   2.18030  </t>
  </si>
  <si>
    <t xml:space="preserve"> Mn       0.2139    0.2762    0.2110    0.2725   0.0348  1.0404   0.002056  0.006104  </t>
  </si>
  <si>
    <t xml:space="preserve"> Al       8.13     15.36      8.02     15.15     2.693   1.0047   0.08093   1.21683  </t>
  </si>
  <si>
    <t xml:space="preserve"> P        0.3094    0.7090    0.3052    0.6995   0.0893  0.9886   0.003130  1.830132  </t>
  </si>
  <si>
    <t xml:space="preserve"> Mg       3.04      5.04      3.00      4.97     1.117   1.0073   0.03017   0.97995  </t>
  </si>
  <si>
    <t xml:space="preserve"> Ca       8.42     11.78      8.30     11.62     1.877   0.9996   0.08421   1.25856  </t>
  </si>
  <si>
    <t xml:space="preserve"> Ti       2.03      3.39      2.00      3.34     0.379   1.0017   0.02028   0.82928  </t>
  </si>
  <si>
    <t xml:space="preserve"> O       42.96       -       42.38       -      24.000      -         -        </t>
  </si>
  <si>
    <t>Total:  101.35    101.35    100.00    100.00    16.146</t>
  </si>
  <si>
    <t xml:space="preserve">Unknown Specimen No. 89 </t>
  </si>
  <si>
    <t xml:space="preserve"> UNK No.      :   89            Comment : UnknA-Flow1-1_1                          </t>
  </si>
  <si>
    <t xml:space="preserve"> Stage        :    X=   45.2025  Y=   92.5070  Z=   11.4585 </t>
  </si>
  <si>
    <t xml:space="preserve"> Dated on Dec 20 21:23 2016 </t>
  </si>
  <si>
    <t xml:space="preserve"> 1 Na   129.476    322.0    0.0   16.9    1.81      155 </t>
  </si>
  <si>
    <t xml:space="preserve"> 2 S    171.948      1.6    7.1    5.4   42.85 ?    121 </t>
  </si>
  <si>
    <t xml:space="preserve"> 3 Fe   134.739    188.3    2.8    3.2    1.66      399 </t>
  </si>
  <si>
    <t xml:space="preserve"> 4 Si    77.822   3200.4   33.5   20.7    0.40      233 </t>
  </si>
  <si>
    <t xml:space="preserve"> 5 Cl   151.478     24.3    8.9    7.4    4.78       45 </t>
  </si>
  <si>
    <t xml:space="preserve"> 6 F    199.140      0.7    3.7    2.6   70.93 ?    364 </t>
  </si>
  <si>
    <t xml:space="preserve"> 7 K    119.485    405.2   36.1   24.3    0.98       64 </t>
  </si>
  <si>
    <t xml:space="preserve"> 8 Mn   146.243      4.0    1.4    1.7   12.17      257 </t>
  </si>
  <si>
    <t xml:space="preserve"> 9 Al    90.995   1078.3   18.3    9.7    0.69      169 </t>
  </si>
  <si>
    <t xml:space="preserve">10 P    197.118     23.3    3.4    3.6    5.30      167 </t>
  </si>
  <si>
    <t xml:space="preserve">11 Mg   107.534    586.7   40.2    0.0    0.95      173 </t>
  </si>
  <si>
    <t xml:space="preserve">12 Ca   107.121   2389.3   34.1   37.4    0.46       90 </t>
  </si>
  <si>
    <t xml:space="preserve">13 Ti    88.305    561.1    0.0   49.0    0.98      130 </t>
  </si>
  <si>
    <t xml:space="preserve"> Na      0.3980    0.0038    0.4750    0.9931     0.9869     2.1395     0.9996</t>
  </si>
  <si>
    <t xml:space="preserve"> S       0.7694    0.0038    0.8215    0.9624     1.0238     1.2309     0.9884</t>
  </si>
  <si>
    <t xml:space="preserve"> Fe      0.9810    0.0000    0.9970    0.8105     1.0556     1.1723     0.9982</t>
  </si>
  <si>
    <t xml:space="preserve"> Si      0.7015    0.0013    0.7698    0.9875     1.0093     1.3017     1.0141</t>
  </si>
  <si>
    <t xml:space="preserve"> Cl      0.8318    0.0070    0.8814    0.9132     1.0303     1.1975     0.9842</t>
  </si>
  <si>
    <t xml:space="preserve"> F       0.1901    0.0014    0.2496    1.0188     0.9745     4.0289     1.0153</t>
  </si>
  <si>
    <t xml:space="preserve"> K       0.9097    0.0178    0.9486    0.9041     1.0413     1.1003     0.9944</t>
  </si>
  <si>
    <t xml:space="preserve"> Mn      0.9753    0.0000    0.9940    0.7988     1.0561     1.1925     1.0400</t>
  </si>
  <si>
    <t xml:space="preserve"> Al      0.6461    0.0095    0.7247    0.9688     1.0017     1.4086     1.0067</t>
  </si>
  <si>
    <t xml:space="preserve"> P       0.6864    0.0021    0.7437    0.9464     1.0167     1.3945     0.9893</t>
  </si>
  <si>
    <t xml:space="preserve"> Mg      0.5349    0.0069    0.6131    1.0080     0.9941     1.6164     1.0091</t>
  </si>
  <si>
    <t xml:space="preserve"> Ca      0.9296    0.0065    0.9629    0.9184     1.0457     1.0744     0.9995</t>
  </si>
  <si>
    <t xml:space="preserve"> Ti      0.9485    0.0111    0.9759    0.8284     1.0522     1.1626     1.0009</t>
  </si>
  <si>
    <t xml:space="preserve"> Na       2.86      3.86      2.83      3.81     1.115   0.9996   0.02865   1.44530  </t>
  </si>
  <si>
    <t xml:space="preserve"> S        0.0120    0.0301    0.0119    0.0297   0.0034  0.9884   0.000122  0.022633 ?</t>
  </si>
  <si>
    <t xml:space="preserve"> Fe      10.59     13.63     10.46     13.46     1.698   0.9982   0.10615   1.02033  </t>
  </si>
  <si>
    <t xml:space="preserve"> Si      21.24     45.43     20.97     44.86     6.769   1.0141   0.20959   0.87488  </t>
  </si>
  <si>
    <t xml:space="preserve"> Cl       0.1489    0.1489    0.1470    0.1470   0.0376  0.9842   0.001513  0.104247  </t>
  </si>
  <si>
    <t xml:space="preserve"> F        0.0567    0.0567    0.0560    0.0560   0.0267  1.0153   0.000559  0.117391  </t>
  </si>
  <si>
    <t xml:space="preserve"> K        1.49      1.80      1.48      1.78     0.342   0.9944   0.01503   2.19774  </t>
  </si>
  <si>
    <t xml:space="preserve"> Mn       0.2570    0.3318    0.2538    0.3277   0.0419  1.0400   0.002471  0.007337  </t>
  </si>
  <si>
    <t xml:space="preserve"> Al       8.17     15.44      8.07     15.24     2.711   1.0067   0.08118   1.22053  </t>
  </si>
  <si>
    <t xml:space="preserve"> P        0.2846    0.6522    0.2810    0.6440   0.0823  0.9893   0.002877  1.682285  </t>
  </si>
  <si>
    <t xml:space="preserve"> Mg       3.10      5.15      3.07      5.08     1.143   1.0091   0.03077   0.99922  </t>
  </si>
  <si>
    <t xml:space="preserve"> Ca       8.17     11.43      8.06     11.28     1.824   0.9995   0.08170   1.22104  </t>
  </si>
  <si>
    <t xml:space="preserve"> Ti       1.99      3.32      1.96      3.28     0.372   1.0009   0.01988   0.81310  </t>
  </si>
  <si>
    <t xml:space="preserve"> O       42.89       -       42.35       -      24.000      -         -        </t>
  </si>
  <si>
    <t>Total:  101.27    101.27    100.00    100.00    16.166</t>
  </si>
  <si>
    <t xml:space="preserve">Unknown Specimen No. 90 </t>
  </si>
  <si>
    <t xml:space="preserve"> UNK No.      :   90            Comment : UnknA-Flow1-1_2                          </t>
  </si>
  <si>
    <t xml:space="preserve"> Stage        :    X=   45.3805  Y=   93.0610  Z=   11.4610 </t>
  </si>
  <si>
    <t xml:space="preserve"> Dated on Dec 20 21:27 2016 </t>
  </si>
  <si>
    <t xml:space="preserve"> 1 Na   129.476    295.9    0.0   17.9    1.89      159 </t>
  </si>
  <si>
    <t xml:space="preserve"> 2 S    171.948      2.3    5.0    3.9   26.00      102 </t>
  </si>
  <si>
    <t xml:space="preserve"> 3 Fe   134.739    195.8    3.0    2.6    1.62      377 </t>
  </si>
  <si>
    <t xml:space="preserve"> 4 Si    77.822   3212.3   33.4   20.5    0.40      233 </t>
  </si>
  <si>
    <t xml:space="preserve"> 5 Cl   151.478     23.7    8.5    9.8    5.00       48 </t>
  </si>
  <si>
    <t xml:space="preserve"> 6 F    199.140      1.5    4.4    2.7   36.68 ?    390 </t>
  </si>
  <si>
    <t xml:space="preserve"> 7 K    119.485    424.2   36.0   25.3    0.95       64 </t>
  </si>
  <si>
    <t xml:space="preserve"> 8 Mn   146.243      2.7    2.3    2.5   18.54      317 </t>
  </si>
  <si>
    <t xml:space="preserve"> 9 Al    90.995   1083.9   16.9    9.2    0.69      163 </t>
  </si>
  <si>
    <t xml:space="preserve">10 P    197.118     25.7    2.2    3.2    4.89      149 </t>
  </si>
  <si>
    <t xml:space="preserve">11 Mg   107.534    567.4   39.5    0.0    0.97      172 </t>
  </si>
  <si>
    <t xml:space="preserve">12 Ca   107.121   2354.0   35.8   35.6    0.47       90 </t>
  </si>
  <si>
    <t xml:space="preserve">13 Ti    88.305    551.3    0.0   46.9    0.99      127 </t>
  </si>
  <si>
    <t xml:space="preserve"> Na      0.3959    0.0038    0.4725    0.9937     0.9867     2.1503     1.0047</t>
  </si>
  <si>
    <t xml:space="preserve"> S       0.7691    0.0038    0.8212    0.9629     1.0235     1.2310     0.9885</t>
  </si>
  <si>
    <t xml:space="preserve"> Fe      0.9810    0.0000    0.9970    0.8109     1.0555     1.1718     0.9978</t>
  </si>
  <si>
    <t xml:space="preserve"> Si      0.7014    0.0013    0.7697    0.9880     1.0090     1.3014     1.0139</t>
  </si>
  <si>
    <t xml:space="preserve"> Cl      0.8316    0.0070    0.8811    0.9137     1.0301     1.1975     0.9842</t>
  </si>
  <si>
    <t xml:space="preserve"> F       0.1907    0.0014    0.2504    1.0193     0.9743     4.0149     1.0118</t>
  </si>
  <si>
    <t xml:space="preserve"> K       0.9096    0.0176    0.9484    0.9045     1.0411     1.1003     0.9945</t>
  </si>
  <si>
    <t xml:space="preserve"> Mn      0.9754    0.0000    0.9941    0.7992     1.0559     1.1920     1.0396</t>
  </si>
  <si>
    <t xml:space="preserve"> Al      0.6463    0.0095    0.7248    0.9693     1.0014     1.4080     1.0062</t>
  </si>
  <si>
    <t xml:space="preserve"> P       0.6862    0.0021    0.7435    0.9469     1.0165     1.3945     0.9893</t>
  </si>
  <si>
    <t xml:space="preserve"> Mg      0.5342    0.0070    0.6124    1.0085     0.9939     1.6179     1.0100</t>
  </si>
  <si>
    <t xml:space="preserve"> Ca      0.9294    0.0066    0.9626    0.9188     1.0455     1.0743     0.9995</t>
  </si>
  <si>
    <t xml:space="preserve"> Ti      0.9485    0.0114    0.9759    0.8288     1.0520     1.1618     1.0002</t>
  </si>
  <si>
    <t xml:space="preserve"> Na       2.64      3.56      2.61      3.51     1.028   1.0047   0.02632   1.32808  </t>
  </si>
  <si>
    <t xml:space="preserve"> S        0.0177    0.0442    0.0175    0.0436   0.0049  0.9885   0.000179  0.033297  </t>
  </si>
  <si>
    <t xml:space="preserve"> Fe      11.01     14.16     10.85     13.96     1.762   0.9978   0.11034   1.06066  </t>
  </si>
  <si>
    <t xml:space="preserve"> Si      21.31     45.59     21.01     44.93     6.783   1.0139   0.21037   0.87814  </t>
  </si>
  <si>
    <t xml:space="preserve"> Cl       0.1449    0.1449    0.1428    0.1428   0.0365  0.9842   0.001472  0.101445  </t>
  </si>
  <si>
    <t xml:space="preserve"> F        0.1222    0.1222    0.1205    0.1205   0.0575  1.0118   0.001208  0.253765  </t>
  </si>
  <si>
    <t xml:space="preserve"> K        1.57      1.89      1.54      1.86     0.358   0.9945   0.01574   2.30077  </t>
  </si>
  <si>
    <t xml:space="preserve"> Mn       0.1725    0.2227    0.1700    0.2195   0.0281  1.0396   0.001659  0.004926  </t>
  </si>
  <si>
    <t xml:space="preserve"> Al       8.21     15.51      8.09     15.29     2.720   1.0062   0.08160   1.22687  </t>
  </si>
  <si>
    <t xml:space="preserve"> P        0.3139    0.7192    0.3094    0.7089   0.0906  0.9893   0.003173  1.855374  </t>
  </si>
  <si>
    <t xml:space="preserve"> Mg       3.00      4.98      2.96      4.91     1.105   1.0100   0.02975   0.96622  </t>
  </si>
  <si>
    <t xml:space="preserve"> Ca       8.04     11.26      7.93     11.09     1.795   0.9995   0.08049   1.20299  </t>
  </si>
  <si>
    <t xml:space="preserve"> Ti       1.95      3.26      1.93      3.21     0.365   1.0002   0.01954   0.79902  </t>
  </si>
  <si>
    <t xml:space="preserve"> O       42.95       -       42.33       -      24.000      -         -        </t>
  </si>
  <si>
    <t>Total:  101.45    101.45    100.00    100.00    16.133</t>
  </si>
  <si>
    <t xml:space="preserve">Unknown Specimen No. 91 </t>
  </si>
  <si>
    <t xml:space="preserve"> UNK No.      :   91            Comment : UnknA-Flow1-1_3                          </t>
  </si>
  <si>
    <t xml:space="preserve"> Stage        :    X=   46.0355  Y=   92.6190  Z=   11.4610 </t>
  </si>
  <si>
    <t xml:space="preserve"> Dated on Dec 20 21:30 2016 </t>
  </si>
  <si>
    <t xml:space="preserve">Curr.(A) : 1.010E-08 </t>
  </si>
  <si>
    <t xml:space="preserve"> 1 Na   129.476    320.1    0.0   19.3    1.82      165 </t>
  </si>
  <si>
    <t xml:space="preserve"> 2 S    171.948      2.2    5.0    5.0   29.17      109 </t>
  </si>
  <si>
    <t xml:space="preserve"> 3 Fe   134.739    176.5    3.0    2.7    1.71      381 </t>
  </si>
  <si>
    <t xml:space="preserve"> 4 Si    77.822   3195.9   33.6   24.2    0.40      239 </t>
  </si>
  <si>
    <t xml:space="preserve"> 5 Cl   151.478     22.4    9.6    8.5    5.18       47 </t>
  </si>
  <si>
    <t xml:space="preserve"> 6 F    199.140      1.3    3.3    2.7   38.43 ?    353 </t>
  </si>
  <si>
    <t xml:space="preserve"> 7 K    119.485    381.9   33.3   24.5    1.01       62 </t>
  </si>
  <si>
    <t xml:space="preserve"> 8 Mn   146.243      3.5    1.8    1.9   13.92      276 </t>
  </si>
  <si>
    <t xml:space="preserve"> 9 Al    90.995   1082.9   17.8    9.1    0.69      166 </t>
  </si>
  <si>
    <t xml:space="preserve">10 P    197.118     28.8    2.9    2.4    4.54      143 </t>
  </si>
  <si>
    <t xml:space="preserve">11 Mg   107.534    573.0   36.1    0.0    0.96      164 </t>
  </si>
  <si>
    <t xml:space="preserve">12 Ca   107.121   2529.8   34.8   34.9    0.45       89 </t>
  </si>
  <si>
    <t xml:space="preserve">13 Ti    88.305    553.1    0.0   55.1    1.00      138 </t>
  </si>
  <si>
    <t xml:space="preserve"> Na      0.4009    0.0039    0.4785    0.9921     0.9873     2.1255     0.9931</t>
  </si>
  <si>
    <t xml:space="preserve"> S       0.7700    0.0039    0.8221    0.9614     1.0241     1.2307     0.9882</t>
  </si>
  <si>
    <t xml:space="preserve"> Fe      0.9808    0.0000    0.9968    0.8097     1.0558     1.1735     0.9992</t>
  </si>
  <si>
    <t xml:space="preserve"> Si      0.7033    0.0014    0.7718    0.9865     1.0096     1.2991     1.0121</t>
  </si>
  <si>
    <t xml:space="preserve"> Cl      0.8323    0.0072    0.8818    0.9123     1.0306     1.1974     0.9841</t>
  </si>
  <si>
    <t xml:space="preserve"> F       0.1890    0.0014    0.2481    1.0177     0.9748     4.0572     1.0224</t>
  </si>
  <si>
    <t xml:space="preserve"> K       0.9100    0.0186    0.9489    0.9032     1.0416     1.0999     0.9940</t>
  </si>
  <si>
    <t xml:space="preserve"> Mn      0.9751    0.0000    0.9937    0.7981     1.0563     1.1938     1.0411</t>
  </si>
  <si>
    <t xml:space="preserve"> Al      0.6490    0.0096    0.7278    0.9678     1.0020     1.4033     1.0028</t>
  </si>
  <si>
    <t xml:space="preserve"> P       0.6874    0.0021    0.7449    0.9455     1.0171     1.3932     0.9884</t>
  </si>
  <si>
    <t xml:space="preserve"> Mg      0.5377    0.0070    0.6164    1.0070     0.9945     1.6088     1.0043</t>
  </si>
  <si>
    <t xml:space="preserve"> Ca      0.9300    0.0062    0.9633    0.9175     1.0460     1.0750     1.0001</t>
  </si>
  <si>
    <t xml:space="preserve"> Ti      0.9479    0.0104    0.9753    0.8276     1.0525     1.1651     1.0030</t>
  </si>
  <si>
    <t xml:space="preserve"> Na       2.82      3.81      2.81      3.78     1.103   0.9931   0.02845   1.43536  </t>
  </si>
  <si>
    <t xml:space="preserve"> S        0.0167    0.0416    0.0166    0.0414   0.0047  0.9882   0.000169  0.031366  </t>
  </si>
  <si>
    <t xml:space="preserve"> Fe       9.93     12.77      9.86     12.68     1.596   0.9992   0.09938   0.95527  </t>
  </si>
  <si>
    <t xml:space="preserve"> Si      21.15     45.25     21.01     44.94     6.762   1.0121   0.20908   0.87279  </t>
  </si>
  <si>
    <t xml:space="preserve"> Cl       0.1370    0.1370    0.1361    0.1361   0.0347  0.9841   0.001392  0.095955  </t>
  </si>
  <si>
    <t xml:space="preserve"> F        0.1067    0.1067    0.1060    0.1060   0.0504  1.0224   0.001044  0.219238  </t>
  </si>
  <si>
    <t xml:space="preserve"> K        1.41      1.69      1.40      1.68     0.323   0.9940   0.01415   2.06903  </t>
  </si>
  <si>
    <t xml:space="preserve"> Mn       0.2242    0.2895    0.2227    0.2875   0.0366  1.0411   0.002154  0.006395  </t>
  </si>
  <si>
    <t xml:space="preserve"> Al       8.17     15.43      8.11     15.32     2.718   1.0028   0.08144   1.22453  </t>
  </si>
  <si>
    <t xml:space="preserve"> P        0.3503    0.8026    0.3478    0.7971   0.1016  0.9884   0.003544  2.072386  </t>
  </si>
  <si>
    <t xml:space="preserve"> Mg       3.01      5.00      2.99      4.96     1.113   1.0043   0.03001   0.97480  </t>
  </si>
  <si>
    <t xml:space="preserve"> Ca       8.64     12.09      8.58     12.01     1.936   1.0001   0.08642   1.29157  </t>
  </si>
  <si>
    <t xml:space="preserve"> Ti       1.96      3.28      1.95      3.25     0.368   1.0030   0.01958   0.80078  </t>
  </si>
  <si>
    <t xml:space="preserve"> O       42.76       -       42.47       -      24.000      -         -        </t>
  </si>
  <si>
    <t>Total:  100.70    100.70    100.00    100.00    16.148</t>
  </si>
  <si>
    <t xml:space="preserve">Unknown Specimen No. 92 </t>
  </si>
  <si>
    <t xml:space="preserve"> UNK No.      :   92            Comment : UnknA-Flow1-1_4                          </t>
  </si>
  <si>
    <t xml:space="preserve"> Stage        :    X=   45.0220  Y=   94.2845  Z=   11.4645 </t>
  </si>
  <si>
    <t xml:space="preserve"> Dated on Dec 20 21:33 2016 </t>
  </si>
  <si>
    <t xml:space="preserve"> 1 Na   129.476    326.6    0.0   16.3    1.79      152 </t>
  </si>
  <si>
    <t xml:space="preserve"> 2 S    171.948      1.4    5.3    5.7   46.37 ?    114 </t>
  </si>
  <si>
    <t xml:space="preserve"> 3 Fe   134.739    184.6    2.9    2.3    1.67      360 </t>
  </si>
  <si>
    <t xml:space="preserve"> 4 Si    77.822   3175.8   28.5   21.0    0.40      221 </t>
  </si>
  <si>
    <t xml:space="preserve"> 5 Cl   151.478     23.5    8.8    8.9    4.99       47 </t>
  </si>
  <si>
    <t xml:space="preserve"> 6 F    199.140      0.5    3.3    2.7   90.37 ?    351 </t>
  </si>
  <si>
    <t xml:space="preserve"> 7 K    119.485    433.0   37.1   22.9    0.94       64 </t>
  </si>
  <si>
    <t xml:space="preserve"> 8 Mn   146.243      2.5    1.5    1.9   17.62      267 </t>
  </si>
  <si>
    <t xml:space="preserve"> 9 Al    90.995   1070.4   16.7    7.8    0.69      159 </t>
  </si>
  <si>
    <t xml:space="preserve">10 P    197.118     25.3    3.2    2.8    4.95      152 </t>
  </si>
  <si>
    <t xml:space="preserve">11 Mg   107.534    563.2   39.6    0.0    0.97      172 </t>
  </si>
  <si>
    <t xml:space="preserve">12 Ca   107.121   2346.1   36.0   39.3    0.47       93 </t>
  </si>
  <si>
    <t xml:space="preserve">13 Ti    88.305    563.6    0.0   48.0    0.98      129 </t>
  </si>
  <si>
    <t xml:space="preserve"> Na      0.3989    0.0038    0.4762    0.9929     0.9870     2.1348     0.9974</t>
  </si>
  <si>
    <t xml:space="preserve"> S       0.7694    0.0038    0.8215    0.9621     1.0239     1.2310     0.9885</t>
  </si>
  <si>
    <t xml:space="preserve"> Fe      0.9810    0.0000    0.9969    0.8103     1.0557     1.1726     0.9985</t>
  </si>
  <si>
    <t xml:space="preserve"> Si      0.7021    0.0013    0.7705    0.9873     1.0094     1.3007     1.0133</t>
  </si>
  <si>
    <t xml:space="preserve"> Cl      0.8319    0.0071    0.8814    0.9130     1.0304     1.1976     0.9843</t>
  </si>
  <si>
    <t xml:space="preserve"> F       0.1901    0.0014    0.2497    1.0185     0.9746     4.0296     1.0155</t>
  </si>
  <si>
    <t xml:space="preserve"> K       0.9097    0.0176    0.9486    0.9038     1.0414     1.1006     0.9947</t>
  </si>
  <si>
    <t xml:space="preserve"> Mn      0.9753    0.0000    0.9939    0.7986     1.0561     1.1928     1.0403</t>
  </si>
  <si>
    <t xml:space="preserve"> Al      0.6472    0.0095    0.7258    0.9686     1.0018     1.4066     1.0052</t>
  </si>
  <si>
    <t xml:space="preserve"> P       0.6866    0.0021    0.7439    0.9461     1.0168     1.3944     0.9892</t>
  </si>
  <si>
    <t xml:space="preserve"> Mg      0.5354    0.0070    0.6137    1.0077     0.9942     1.6151     1.0083</t>
  </si>
  <si>
    <t xml:space="preserve"> Ca      0.9293    0.0064    0.9626    0.9182     1.0458     1.0750     1.0001</t>
  </si>
  <si>
    <t xml:space="preserve"> Ti      0.9484    0.0109    0.9758    0.8282     1.0523     1.1632     1.0014</t>
  </si>
  <si>
    <t xml:space="preserve"> Na       2.90      3.90      2.89      3.90     1.139   0.9974   0.02903   1.46451  </t>
  </si>
  <si>
    <t xml:space="preserve"> S        0.0106    0.0265    0.0106    0.0264   0.0030  0.9885   0.000107  0.019930 ?</t>
  </si>
  <si>
    <t xml:space="preserve"> Fe      10.38     13.35     10.37     13.34     1.681   0.9985   0.10394   0.99915  </t>
  </si>
  <si>
    <t xml:space="preserve"> Si      21.05     45.04     21.03     44.99     6.781   1.0133   0.20777   0.86729  </t>
  </si>
  <si>
    <t xml:space="preserve"> Cl       0.1435    0.1435    0.1434    0.1434   0.0366  0.9843   0.001458  0.100499  </t>
  </si>
  <si>
    <t xml:space="preserve"> F        0.0424    0.0424    0.0424    0.0424   0.0202  1.0155   0.000418  0.087743  </t>
  </si>
  <si>
    <t xml:space="preserve"> K        1.60      1.92      1.59      1.92     0.369   0.9947   0.01605   2.34616  </t>
  </si>
  <si>
    <t xml:space="preserve"> Mn       0.1616    0.2087    0.1615    0.2085   0.0266  1.0403   0.001554  0.004613  </t>
  </si>
  <si>
    <t xml:space="preserve"> Al       8.09     15.29      8.08     15.27     2.714   1.0052   0.08050   1.21040  </t>
  </si>
  <si>
    <t xml:space="preserve"> P        0.3083    0.7066    0.3080    0.7058   0.0901  0.9892   0.003117  1.822916  </t>
  </si>
  <si>
    <t xml:space="preserve"> Mg       2.97      4.93      2.97      4.93     1.107   1.0083   0.02950   0.95819  </t>
  </si>
  <si>
    <t xml:space="preserve"> Ca       8.01     11.21      8.01     11.20     1.809   1.0001   0.08014   1.19779  </t>
  </si>
  <si>
    <t xml:space="preserve"> Ti       2.00      3.33      2.00      3.33     0.377   1.0014   0.01995   0.81599  </t>
  </si>
  <si>
    <t xml:space="preserve"> O       42.44       -       42.40       -      24.000      -         -        </t>
  </si>
  <si>
    <t>Total:  100.11    100.11    100.00    100.00    16.155</t>
  </si>
  <si>
    <t xml:space="preserve">Unknown Specimen No. 93 </t>
  </si>
  <si>
    <t xml:space="preserve"> UNK No.      :   93            Comment : UnknA-Flow1-1_5                          </t>
  </si>
  <si>
    <t xml:space="preserve"> Stage        :    X=   45.3670  Y=   95.0965  Z=   11.4645 </t>
  </si>
  <si>
    <t xml:space="preserve"> Dated on Dec 20 21:37 2016 </t>
  </si>
  <si>
    <t xml:space="preserve"> 1 Na   129.476    330.7    0.0   19.0    1.79      164 </t>
  </si>
  <si>
    <t xml:space="preserve"> 2 S    171.948      1.7    6.1    4.7   37.34 ?    112 </t>
  </si>
  <si>
    <t xml:space="preserve"> 3 Fe   134.739    172.7    2.5    3.4    1.73      402 </t>
  </si>
  <si>
    <t xml:space="preserve"> 4 Si    77.822   3234.0   30.9   20.4    0.40      227 </t>
  </si>
  <si>
    <t xml:space="preserve"> 5 Cl   151.478     26.8    8.9    7.3    4.46       45 </t>
  </si>
  <si>
    <t xml:space="preserve"> 6 F    199.140      0.8    4.3    2.7   67.98 ?    387 </t>
  </si>
  <si>
    <t xml:space="preserve"> 7 K    119.485    435.2   31.4   22.9    0.93       60 </t>
  </si>
  <si>
    <t xml:space="preserve"> 8 Mn   146.243      3.0    2.2    2.1   16.53      297 </t>
  </si>
  <si>
    <t xml:space="preserve"> 9 Al    90.995   1070.4   19.3    9.4    0.69      172 </t>
  </si>
  <si>
    <t xml:space="preserve">10 P    197.118     25.6    2.5    3.3    4.93      154 </t>
  </si>
  <si>
    <t xml:space="preserve">11 Mg   107.534    572.4   38.9    0.0    0.97      170 </t>
  </si>
  <si>
    <t xml:space="preserve">12 Ca   107.121   2402.5   35.1   37.4    0.46       91 </t>
  </si>
  <si>
    <t xml:space="preserve">13 Ti    88.305    564.2    0.0   46.3    0.98      126 </t>
  </si>
  <si>
    <t xml:space="preserve"> Na      0.4026    0.0039    0.4806    0.9916     0.9875     2.1169     0.9891</t>
  </si>
  <si>
    <t xml:space="preserve"> S       0.7696    0.0038    0.8217    0.9609     1.0244     1.2316     0.9890</t>
  </si>
  <si>
    <t xml:space="preserve"> Fe      0.9809    0.0000    0.9968    0.8093     1.0559     1.1739     0.9995</t>
  </si>
  <si>
    <t xml:space="preserve"> Si      0.7044    0.0013    0.7729    0.9860     1.0099     1.2976     1.0109</t>
  </si>
  <si>
    <t xml:space="preserve"> Cl      0.8320    0.0071    0.8816    0.9118     1.0309     1.1983     0.9848</t>
  </si>
  <si>
    <t xml:space="preserve"> F       0.1891    0.0014    0.2483    1.0171     0.9751     4.0558     1.0221</t>
  </si>
  <si>
    <t xml:space="preserve"> K       0.9098    0.0178    0.9487    0.9027     1.0418     1.1013     0.9953</t>
  </si>
  <si>
    <t xml:space="preserve"> Mn      0.9752    0.0000    0.9938    0.7976     1.0564     1.1941     1.0414</t>
  </si>
  <si>
    <t xml:space="preserve"> Al      0.6498    0.0097    0.7288    0.9673     1.0023     1.4016     1.0016</t>
  </si>
  <si>
    <t xml:space="preserve"> P       0.6868    0.0021    0.7442    0.9449     1.0173     1.3949     0.9896</t>
  </si>
  <si>
    <t xml:space="preserve"> Mg      0.5388    0.0071    0.6176    1.0064     0.9947     1.6059     1.0026</t>
  </si>
  <si>
    <t xml:space="preserve"> Ca      0.9294    0.0062    0.9626    0.9170     1.0462     1.0762     1.0012</t>
  </si>
  <si>
    <t xml:space="preserve"> Ti      0.9481    0.0102    0.9755    0.8272     1.0527     1.1654     1.0033</t>
  </si>
  <si>
    <t xml:space="preserve"> Na       2.91      3.92      2.90      3.90     1.136   0.9891   0.02942   1.48439  </t>
  </si>
  <si>
    <t xml:space="preserve"> S        0.0130    0.0326    0.0130    0.0324   0.0037  0.9890   0.000132  0.024508  </t>
  </si>
  <si>
    <t xml:space="preserve"> Fe       9.73     12.51      9.68     12.46     1.564   0.9995   0.09733   0.93558  </t>
  </si>
  <si>
    <t xml:space="preserve"> Si      21.40     45.78     21.30     45.57     6.841   1.0109   0.21178   0.88406  </t>
  </si>
  <si>
    <t xml:space="preserve"> Cl       0.1641    0.1641    0.1633    0.1633   0.0416  0.9848   0.001666  0.114824  </t>
  </si>
  <si>
    <t xml:space="preserve"> F        0.0634    0.0634    0.0631    0.0631   0.0300  1.0221   0.000620  0.130336  </t>
  </si>
  <si>
    <t xml:space="preserve"> K        1.61      1.94      1.60      1.93     0.369   0.9953   0.01615   2.36054  </t>
  </si>
  <si>
    <t xml:space="preserve"> Mn       0.1893    0.2444    0.1884    0.2432   0.0309  1.0414   0.001817  0.005396  </t>
  </si>
  <si>
    <t xml:space="preserve"> Al       8.07     15.25      8.03     15.18     2.686   1.0016   0.08059   1.21168  </t>
  </si>
  <si>
    <t xml:space="preserve"> P        0.3124    0.7160    0.3110    0.7126   0.0906  0.9896   0.003157  1.846359  </t>
  </si>
  <si>
    <t xml:space="preserve"> Mg       3.01      4.99      2.99      4.97     1.111   1.0026   0.03001   0.97475  </t>
  </si>
  <si>
    <t xml:space="preserve"> Ca       8.22     11.51      8.19     11.45     1.842   1.0012   0.08215   1.22778  </t>
  </si>
  <si>
    <t xml:space="preserve"> Ti       2.01      3.35      2.00      3.33     0.376   1.0033   0.01999   0.81760  </t>
  </si>
  <si>
    <t xml:space="preserve"> O       42.77       -       42.57       -      24.000      -         -        </t>
  </si>
  <si>
    <t>Total:  100.47    100.47    100.00    100.00    16.122</t>
  </si>
  <si>
    <t xml:space="preserve">Unknown Specimen No. 94 </t>
  </si>
  <si>
    <t xml:space="preserve"> UNK No.      :   94            Comment : UnknA-Flow1-1_6                          </t>
  </si>
  <si>
    <t xml:space="preserve"> Stage        :    X=   45.8280  Y=   95.4250  Z=   11.4655 </t>
  </si>
  <si>
    <t xml:space="preserve"> Dated on Dec 20 21:40 2016 </t>
  </si>
  <si>
    <t xml:space="preserve"> 1 Na   129.476    316.4    0.0   18.4    1.83      162 </t>
  </si>
  <si>
    <t xml:space="preserve"> 2 S    171.948      3.3    5.1    4.7   20.28      108 </t>
  </si>
  <si>
    <t xml:space="preserve"> 3 Fe   134.739    192.9    3.1    3.0    1.64      397 </t>
  </si>
  <si>
    <t xml:space="preserve"> 4 Si    77.822   3205.1   33.9   21.7    0.40      236 </t>
  </si>
  <si>
    <t xml:space="preserve"> 5 Cl   151.478     27.8    8.3    8.3    4.38       46 </t>
  </si>
  <si>
    <t xml:space="preserve"> 6 F    199.140      0.4    4.0    3.6  126.01 ?    395 </t>
  </si>
  <si>
    <t xml:space="preserve"> 7 K    119.485    453.5   37.5   24.9    0.92       65 </t>
  </si>
  <si>
    <t xml:space="preserve"> 8 Mn   146.243      3.4    2.5    1.9   15.05      299 </t>
  </si>
  <si>
    <t xml:space="preserve"> 9 Al    90.995   1084.4   15.1   10.0    0.69      160 </t>
  </si>
  <si>
    <t xml:space="preserve">10 P    197.118     29.0    3.2    1.9    4.48      137 </t>
  </si>
  <si>
    <t xml:space="preserve">11 Mg   107.534    545.2   36.4    0.0    0.99      165 </t>
  </si>
  <si>
    <t xml:space="preserve">12 Ca   107.121   2215.5   31.9   37.8    0.48       89 </t>
  </si>
  <si>
    <t xml:space="preserve">13 Ti    88.305    558.2    0.0   47.9    0.99      128 </t>
  </si>
  <si>
    <t xml:space="preserve"> Na      0.3969    0.0038    0.4738    0.9934     0.9869     2.1448     1.0021</t>
  </si>
  <si>
    <t xml:space="preserve"> S       0.7687    0.0037    0.8207    0.9626     1.0237     1.2319     0.9892</t>
  </si>
  <si>
    <t xml:space="preserve"> Fe      0.9812    0.0000    0.9971    0.8107     1.0556     1.1718     0.9978</t>
  </si>
  <si>
    <t xml:space="preserve"> Si      0.7015    0.0013    0.7698    0.9878     1.0092     1.3014     1.0139</t>
  </si>
  <si>
    <t xml:space="preserve"> Cl      0.8312    0.0068    0.8807    0.9135     1.0302     1.1983     0.9849</t>
  </si>
  <si>
    <t xml:space="preserve"> F       0.1909    0.0014    0.2506    1.0190     0.9745     4.0125     1.0112</t>
  </si>
  <si>
    <t xml:space="preserve"> K       0.9093    0.0168    0.9482    0.9043     1.0412     1.1016     0.9956</t>
  </si>
  <si>
    <t xml:space="preserve"> Mn      0.9755    0.0000    0.9942    0.7990     1.0560     1.1920     1.0396</t>
  </si>
  <si>
    <t xml:space="preserve"> Al      0.6467    0.0095    0.7254    0.9691     1.0016     1.4069     1.0054</t>
  </si>
  <si>
    <t xml:space="preserve"> P       0.6859    0.0020    0.7431    0.9467     1.0167     1.3954     0.9899</t>
  </si>
  <si>
    <t xml:space="preserve"> Mg      0.5341    0.0070    0.6122    1.0083     0.9941     1.6184     1.0104</t>
  </si>
  <si>
    <t xml:space="preserve"> Ca      0.9288    0.0066    0.9621    0.9186     1.0456     1.0750     1.0001</t>
  </si>
  <si>
    <t xml:space="preserve"> Ti      0.9489    0.0115    0.9763    0.8286     1.0522     1.1614     0.9998</t>
  </si>
  <si>
    <t xml:space="preserve"> Na       2.82      3.80      2.80      3.77     1.101   1.0021   0.02812   1.41875  </t>
  </si>
  <si>
    <t xml:space="preserve"> S        0.0248    0.0618    0.0246    0.0614   0.0069  0.9892   0.000250  0.046513  </t>
  </si>
  <si>
    <t xml:space="preserve"> Fe      10.84     13.94     10.76     13.84     1.744   0.9978   0.10862   1.04416  </t>
  </si>
  <si>
    <t xml:space="preserve"> Si      21.25     45.46     21.10     45.13     6.799   1.0139   0.20969   0.87531  </t>
  </si>
  <si>
    <t xml:space="preserve"> Cl       0.1697    0.1697    0.1685    0.1685   0.0430  0.9849   0.001723  0.118756  </t>
  </si>
  <si>
    <t xml:space="preserve"> F        0.0335    0.0335    0.0333    0.0333   0.0159  1.0112   0.000331  0.069617 ?</t>
  </si>
  <si>
    <t xml:space="preserve"> K        1.67      2.02      1.66      2.00     0.385   0.9956   0.01681   2.45723  </t>
  </si>
  <si>
    <t xml:space="preserve"> Mn       0.2136    0.2758    0.2121    0.2738   0.0349  1.0396   0.002055  0.006101  </t>
  </si>
  <si>
    <t xml:space="preserve"> Al       8.20     15.49      8.14     15.38     2.731   1.0054   0.08156   1.22622  </t>
  </si>
  <si>
    <t xml:space="preserve"> P        0.3538    0.8109    0.3513    0.8050   0.1027  0.9899   0.003575  2.090399  </t>
  </si>
  <si>
    <t xml:space="preserve"> Mg       2.89      4.78      2.86      4.75     1.067   1.0104   0.02856   0.92753  </t>
  </si>
  <si>
    <t xml:space="preserve"> Ca       7.57     10.59      7.51     10.51     1.697   1.0001   0.07568   1.13112  </t>
  </si>
  <si>
    <t xml:space="preserve"> Ti       1.98      3.30      1.96      3.27     0.371   0.9998   0.01976   0.80809  </t>
  </si>
  <si>
    <t xml:space="preserve"> O       42.72       -       42.42       -      24.000      -         -        </t>
  </si>
  <si>
    <t>Total:  100.73    100.73    100.00    100.00    16.099</t>
  </si>
  <si>
    <t xml:space="preserve">Unknown Specimen No. 95 </t>
  </si>
  <si>
    <t xml:space="preserve"> UNK No.      :   95            Comment : UnknA-Flow1-1_7                          </t>
  </si>
  <si>
    <t xml:space="preserve"> Stage        :    X=   49.6345  Y=   94.0160  Z=   11.4645 </t>
  </si>
  <si>
    <t xml:space="preserve"> Dated on Dec 20 21:44 2016 </t>
  </si>
  <si>
    <t xml:space="preserve"> 1 Na   129.476    297.4    0.0   18.3    1.89      161 </t>
  </si>
  <si>
    <t xml:space="preserve"> 2 S    171.948      3.2    4.7    5.6   21.15      112 </t>
  </si>
  <si>
    <t xml:space="preserve"> 3 Fe   134.739    187.3    2.6    2.7    1.66      372 </t>
  </si>
  <si>
    <t xml:space="preserve"> 4 Si    77.822   3196.6   33.4   21.8    0.40      235 </t>
  </si>
  <si>
    <t xml:space="preserve"> 5 Cl   151.478     23.1    9.2    6.9    4.94       45 </t>
  </si>
  <si>
    <t xml:space="preserve"> 6 F    199.140      0.4    3.5    3.9  116.91 ?    385 </t>
  </si>
  <si>
    <t xml:space="preserve"> 7 K    119.485    394.9   34.6   22.5    0.99       62 </t>
  </si>
  <si>
    <t xml:space="preserve"> 8 Mn   146.243      3.6    2.4    1.5   13.92      281 </t>
  </si>
  <si>
    <t xml:space="preserve"> 9 Al    90.995   1076.2   14.1    7.6    0.69      149 </t>
  </si>
  <si>
    <t xml:space="preserve">10 P    197.118     26.0    3.3    3.7    4.97      167 </t>
  </si>
  <si>
    <t xml:space="preserve">11 Mg   107.534    573.4   39.9    0.0    0.97      172 </t>
  </si>
  <si>
    <t xml:space="preserve">12 Ca   107.121   2437.6   36.3   34.0    0.46       89 </t>
  </si>
  <si>
    <t xml:space="preserve">13 Ti    88.305    558.6    0.0   45.9    0.98      126 </t>
  </si>
  <si>
    <t xml:space="preserve"> Na      0.3976    0.0038    0.4746    0.9932     0.9869     2.1415     1.0006</t>
  </si>
  <si>
    <t xml:space="preserve"> S       0.7695    0.0038    0.8216    0.9624     1.0237     1.2308     0.9883</t>
  </si>
  <si>
    <t xml:space="preserve"> Fe      0.9809    0.0000    0.9969    0.8105     1.0556     1.1725     0.9983</t>
  </si>
  <si>
    <t xml:space="preserve"> Si      0.7023    0.0013    0.7706    0.9875     1.0092     1.3003     1.0130</t>
  </si>
  <si>
    <t xml:space="preserve"> Cl      0.8319    0.0071    0.8814    0.9132     1.0302     1.1974     0.9841</t>
  </si>
  <si>
    <t xml:space="preserve"> F       0.1896    0.0014    0.2490    1.0188     0.9745     4.0401     1.0181</t>
  </si>
  <si>
    <t xml:space="preserve"> K       0.9097    0.0181    0.9486    0.9041     1.0412     1.0999     0.9941</t>
  </si>
  <si>
    <t xml:space="preserve"> Mn      0.9752    0.0000    0.9939    0.7988     1.0560     1.1927     1.0402</t>
  </si>
  <si>
    <t xml:space="preserve"> Al      0.6473    0.0095    0.7259    0.9688     1.0016     1.4062     1.0049</t>
  </si>
  <si>
    <t xml:space="preserve"> P       0.6867    0.0021    0.7441    0.9464     1.0166     1.3939     0.9889</t>
  </si>
  <si>
    <t xml:space="preserve"> Mg      0.5358    0.0070    0.6142    1.0080     0.9940     1.6137     1.0075</t>
  </si>
  <si>
    <t xml:space="preserve"> Ca      0.9297    0.0065    0.9630    0.9184     1.0456     1.0744     0.9995</t>
  </si>
  <si>
    <t xml:space="preserve"> Ti      0.9482    0.0110    0.9756    0.8284     1.0522     1.1631     1.0013</t>
  </si>
  <si>
    <t xml:space="preserve"> Na       2.64      3.56      2.62      3.54     1.033   1.0006   0.02643   1.33350  </t>
  </si>
  <si>
    <t xml:space="preserve"> S        0.0244    0.0610    0.0243    0.0606   0.0068  0.9883   0.000247  0.045970  </t>
  </si>
  <si>
    <t xml:space="preserve"> Fe      10.53     13.55     10.45     13.45     1.694   0.9983   0.10548   1.01392  </t>
  </si>
  <si>
    <t xml:space="preserve"> Si      21.18     45.30     21.02     44.96     6.773   1.0130   0.20913   0.87298  </t>
  </si>
  <si>
    <t xml:space="preserve"> Cl       0.1409    0.1409    0.1399    0.1399   0.0357  0.9841   0.001432  0.098686  </t>
  </si>
  <si>
    <t xml:space="preserve"> F        0.0354    0.0354    0.0351    0.0351   0.0167  1.0181   0.000347  0.073000 ?</t>
  </si>
  <si>
    <t xml:space="preserve"> K        1.46      1.75      1.44      1.74     0.334   0.9941   0.01464   2.13996  </t>
  </si>
  <si>
    <t xml:space="preserve"> Mn       0.2257    0.2915    0.2241    0.2893   0.0369  1.0402   0.002170  0.006443  </t>
  </si>
  <si>
    <t xml:space="preserve"> Al       8.13     15.37      8.07     15.25     2.708   1.0049   0.08094   1.21697  </t>
  </si>
  <si>
    <t xml:space="preserve"> P        0.3162    0.7245    0.3138    0.7192   0.0917  0.9889   0.003197  1.869748  </t>
  </si>
  <si>
    <t xml:space="preserve"> Mg       3.03      5.02      3.00      4.98     1.118   1.0075   0.03004   0.97557  </t>
  </si>
  <si>
    <t xml:space="preserve"> Ca       8.32     11.64      8.26     11.56     1.866   0.9995   0.08327   1.24449  </t>
  </si>
  <si>
    <t xml:space="preserve"> Ti       1.98      3.30      1.97      3.28     0.371   1.0013   0.01977   0.80867  </t>
  </si>
  <si>
    <t xml:space="preserve"> O       42.74       -       42.42       -      24.000      -         -        </t>
  </si>
  <si>
    <t>Total:  100.75    100.75    100.00    100.00    16.086</t>
  </si>
  <si>
    <t xml:space="preserve">Unknown Specimen No. 96 </t>
  </si>
  <si>
    <t xml:space="preserve"> UNK No.      :   96            Comment : UnknA-Flow1-1_8                          </t>
  </si>
  <si>
    <t xml:space="preserve"> Stage        :    X=   49.6010  Y=   93.7530  Z=   11.4645 </t>
  </si>
  <si>
    <t xml:space="preserve"> Dated on Dec 20 21:47 2016 </t>
  </si>
  <si>
    <t xml:space="preserve"> 1 Na   129.476    312.7    0.0   16.5    1.83      153 </t>
  </si>
  <si>
    <t xml:space="preserve"> 2 S    171.948      2.9    5.1    4.1   21.71      104 </t>
  </si>
  <si>
    <t xml:space="preserve"> 3 Fe   134.739    182.6    4.1    2.6    1.68      400 </t>
  </si>
  <si>
    <t xml:space="preserve"> 4 Si    77.822   3134.7   29.7   20.3    0.40      223 </t>
  </si>
  <si>
    <t xml:space="preserve"> 5 Cl   151.478     30.0    9.1    6.8    4.12       44 </t>
  </si>
  <si>
    <t xml:space="preserve"> 6 F    199.140     -0.0    3.9    3.5  100.00 ?    392 </t>
  </si>
  <si>
    <t xml:space="preserve"> 7 K    119.485    411.7   31.9   22.5    0.96       60 </t>
  </si>
  <si>
    <t xml:space="preserve"> 8 Mn   146.243      2.0    2.1    2.7   24.01      316 </t>
  </si>
  <si>
    <t xml:space="preserve"> 9 Al    90.995   1018.7   12.8    8.8    0.71      148 </t>
  </si>
  <si>
    <t xml:space="preserve">10 P    197.118     24.7    2.9    3.1    5.04      154 </t>
  </si>
  <si>
    <t xml:space="preserve">11 Mg   107.534    592.8   36.7    0.0    0.95      165 </t>
  </si>
  <si>
    <t xml:space="preserve">12 Ca   107.121   2350.0   36.9   39.0    0.47       93 </t>
  </si>
  <si>
    <t xml:space="preserve">13 Ti    88.305    568.3    0.0   47.5    0.98      128 </t>
  </si>
  <si>
    <t xml:space="preserve"> Na      0.3986    0.0039    0.4758    0.9930     0.9869     2.1364     0.9982</t>
  </si>
  <si>
    <t xml:space="preserve"> S       0.7697    0.0039    0.8218    0.9622     1.0238     1.2305     0.9881</t>
  </si>
  <si>
    <t xml:space="preserve"> Fe      0.9809    0.0000    0.9968    0.8104     1.0556     1.1726     0.9985</t>
  </si>
  <si>
    <t xml:space="preserve"> Si      0.7028    0.0013    0.7712    0.9874     1.0093     1.2994     1.0123</t>
  </si>
  <si>
    <t xml:space="preserve"> K       0.9097    0.0179    0.9486    0.9039     1.0413     1.1003     0.9944</t>
  </si>
  <si>
    <t xml:space="preserve"> Al      0.6460    0.0095    0.7245    0.9687     1.0017     1.4090     1.0069</t>
  </si>
  <si>
    <t xml:space="preserve"> P       0.6869    0.0021    0.7443    0.9463     1.0167     1.3936     0.9887</t>
  </si>
  <si>
    <t xml:space="preserve"> Mg      0.5355    0.0069    0.6139    1.0078     0.9941     1.6146     1.0080</t>
  </si>
  <si>
    <t xml:space="preserve"> Ca      0.9295    0.0065    0.9628    0.9182     1.0457     1.0748     0.9999</t>
  </si>
  <si>
    <t xml:space="preserve"> Ti      0.9483    0.0109    0.9757    0.8283     1.0522     1.1634     1.0015</t>
  </si>
  <si>
    <t xml:space="preserve"> Na       2.77      3.74      2.81      3.79     1.108   0.9982   0.02779   1.40214  </t>
  </si>
  <si>
    <t xml:space="preserve"> S        0.0221    0.0552    0.0224    0.0559   0.0063  0.9881   0.000224  0.041562  </t>
  </si>
  <si>
    <t xml:space="preserve"> Fe      10.27     13.21     10.41     13.39     1.689   0.9985   0.10285   0.98863  </t>
  </si>
  <si>
    <t xml:space="preserve"> Si      20.78     44.45     21.05     45.04     6.792   1.0123   0.20508   0.85607  </t>
  </si>
  <si>
    <t xml:space="preserve"> Cl       0.1830    0.1830    0.1855    0.1855   0.0474  0.9840   0.001860  0.128202  </t>
  </si>
  <si>
    <t xml:space="preserve"> K        1.52      1.83      1.54      1.85     0.356   0.9944   0.01526   2.23076  </t>
  </si>
  <si>
    <t xml:space="preserve"> Mn       0.1266    0.1635    0.1283    0.1657   0.0212  1.0404   0.001217  0.003614  </t>
  </si>
  <si>
    <t xml:space="preserve"> Al       7.72     14.58      7.82     14.78     2.626   1.0069   0.07662   1.15197  </t>
  </si>
  <si>
    <t xml:space="preserve"> P        0.3006    0.6888    0.3046    0.6980   0.0891  0.9887   0.003040  1.777886  </t>
  </si>
  <si>
    <t xml:space="preserve"> Mg       3.13      5.19      3.17      5.26     1.183   1.0080   0.03106   1.00862  </t>
  </si>
  <si>
    <t xml:space="preserve"> Ca       8.03     11.23      8.13     11.38     1.839   0.9999   0.08028   1.19979  </t>
  </si>
  <si>
    <t xml:space="preserve"> Ti       2.01      3.36      2.04      3.41     0.386   1.0015   0.02012   0.82273  </t>
  </si>
  <si>
    <t xml:space="preserve"> O       41.82       -       42.38       -      24.000      -         -        </t>
  </si>
  <si>
    <t>Total:   98.69     98.69    100.00    100.00    16.142</t>
  </si>
  <si>
    <t xml:space="preserve">Unknown Specimen No. 97 </t>
  </si>
  <si>
    <t xml:space="preserve"> UNK No.      :   97            Comment : UnknA-Flow1-1_9                          </t>
  </si>
  <si>
    <t xml:space="preserve"> Stage        :    X=   50.3505  Y=   94.1420  Z=   11.4675 </t>
  </si>
  <si>
    <t xml:space="preserve"> Dated on Dec 20 21:51 2016 </t>
  </si>
  <si>
    <t xml:space="preserve"> 1 Na   129.476    284.3    0.0   17.4    1.93      157 </t>
  </si>
  <si>
    <t xml:space="preserve"> 2 S    171.948      3.1    5.1    5.1   21.76      110 </t>
  </si>
  <si>
    <t xml:space="preserve"> 3 Fe   134.739    187.2    2.6    1.9    1.65      332 </t>
  </si>
  <si>
    <t xml:space="preserve"> 4 Si    77.822   3163.7   32.3   19.4    0.40      228 </t>
  </si>
  <si>
    <t xml:space="preserve"> 5 Cl   151.478     22.4    9.1    7.2    5.06       45 </t>
  </si>
  <si>
    <t xml:space="preserve"> 6 F    199.140      0.5    3.2    2.7   87.45 ?    350 </t>
  </si>
  <si>
    <t xml:space="preserve"> 7 K    119.485    397.0   34.4   23.9    0.98       63 </t>
  </si>
  <si>
    <t xml:space="preserve"> 8 Mn   146.243      2.3    2.2    1.9   20.07      289 </t>
  </si>
  <si>
    <t xml:space="preserve"> 9 Al    90.995   1046.7   16.0    9.8    0.70      162 </t>
  </si>
  <si>
    <t xml:space="preserve">10 P    197.118     24.5    3.0    3.7    5.14      165 </t>
  </si>
  <si>
    <t xml:space="preserve">11 Mg   107.534    591.1   38.9    0.0    0.95      170 </t>
  </si>
  <si>
    <t xml:space="preserve">12 Ca   107.121   2457.1   31.6   37.2    0.46       89 </t>
  </si>
  <si>
    <t xml:space="preserve">13 Ti    88.305    564.8    0.0   48.9    0.98      130 </t>
  </si>
  <si>
    <t xml:space="preserve"> Na      0.3971    0.0039    0.4740    0.9934     0.9867     2.1443     1.0019</t>
  </si>
  <si>
    <t xml:space="preserve"> S       0.7698    0.0039    0.8220    0.9626     1.0236     1.2301     0.9877</t>
  </si>
  <si>
    <t xml:space="preserve"> Fe      0.9808    0.0000    0.9968    0.8106     1.0555     1.1725     0.9983</t>
  </si>
  <si>
    <t xml:space="preserve"> Si      0.7025    0.0013    0.7709    0.9877     1.0091     1.2997     1.0126</t>
  </si>
  <si>
    <t xml:space="preserve"> Cl      0.8321    0.0072    0.8817    0.9134     1.0301     1.1968     0.9836</t>
  </si>
  <si>
    <t xml:space="preserve"> F       0.1896    0.0014    0.2490    1.0190     0.9744     4.0400     1.0181</t>
  </si>
  <si>
    <t xml:space="preserve"> K       0.9099    0.0184    0.9488    0.9042     1.0411     1.0994     0.9936</t>
  </si>
  <si>
    <t xml:space="preserve"> Mn      0.9751    0.0000    0.9938    0.7990     1.0559     1.1928     1.0402</t>
  </si>
  <si>
    <t xml:space="preserve"> Al      0.6465    0.0095    0.7251    0.9690     1.0015     1.4077     1.0060</t>
  </si>
  <si>
    <t xml:space="preserve"> P       0.6870    0.0021    0.7444    0.9466     1.0165     1.3931     0.9883</t>
  </si>
  <si>
    <t xml:space="preserve"> Mg      0.5358    0.0069    0.6142    1.0082     0.9939     1.6136     1.0074</t>
  </si>
  <si>
    <t xml:space="preserve"> Ca      0.9298    0.0065    0.9631    0.9186     1.0455     1.0742     0.9993</t>
  </si>
  <si>
    <t xml:space="preserve"> Ti      0.9480    0.0110    0.9754    0.8286     1.0521     1.1633     1.0015</t>
  </si>
  <si>
    <t xml:space="preserve"> Na       2.53      3.41      2.53      3.42     0.999   1.0019   0.02526   1.27472  </t>
  </si>
  <si>
    <t xml:space="preserve"> S        0.0232    0.0580    0.0233    0.0581   0.0066  0.9877   0.000235  0.043714  </t>
  </si>
  <si>
    <t xml:space="preserve"> Fe      10.52     13.54     10.54     13.56     1.710   0.9983   0.10542   1.01332  </t>
  </si>
  <si>
    <t xml:space="preserve"> Si      20.96     44.84     20.99     44.89     6.771   1.0126   0.20698   0.86399  </t>
  </si>
  <si>
    <t xml:space="preserve"> Cl       0.1367    0.1367    0.1369    0.1369   0.0350  0.9836   0.001390  0.095775  </t>
  </si>
  <si>
    <t xml:space="preserve"> F        0.0438    0.0438    0.0439    0.0439   0.0209  1.0181   0.000431  0.090454  </t>
  </si>
  <si>
    <t xml:space="preserve"> K        1.46      1.76      1.46      1.76     0.339   0.9936   0.01471   2.15122  </t>
  </si>
  <si>
    <t xml:space="preserve"> Mn       0.1452    0.1875    0.1454    0.1878   0.0240  1.0402   0.001396  0.004145  </t>
  </si>
  <si>
    <t xml:space="preserve"> Al       7.92     14.96      7.93     14.98     2.664   1.0060   0.07872   1.18361  </t>
  </si>
  <si>
    <t xml:space="preserve"> P        0.2979    0.6826    0.2983    0.6835   0.0873  0.9883   0.003014  1.762575  </t>
  </si>
  <si>
    <t xml:space="preserve"> Mg       3.12      5.17      3.12      5.18     1.164   1.0074   0.03097   1.00572  </t>
  </si>
  <si>
    <t xml:space="preserve"> Ca       8.39     11.74      8.40     11.75     1.899   0.9993   0.08393   1.25443  </t>
  </si>
  <si>
    <t xml:space="preserve"> Ti       2.00      3.34      2.00      3.34     0.379   1.0015   0.01999   0.81773  </t>
  </si>
  <si>
    <t xml:space="preserve"> O       42.32       -       42.37       -      24.000      -         -        </t>
  </si>
  <si>
    <t>Total:   99.87     99.87    100.00    100.00    16.099</t>
  </si>
  <si>
    <t xml:space="preserve">Unknown Specimen No. 98 </t>
  </si>
  <si>
    <t xml:space="preserve"> UNK No.      :   98            Comment : VGA99_                                   </t>
  </si>
  <si>
    <t xml:space="preserve"> Stage        :    X=   42.5430  Y=   29.6570  Z=   11.3995 </t>
  </si>
  <si>
    <t xml:space="preserve"> Dated on Dec 20 21:54 2016 </t>
  </si>
  <si>
    <t xml:space="preserve"> 1 Na   129.476    227.2    0.0   17.0    2.18      155 </t>
  </si>
  <si>
    <t xml:space="preserve"> 2 S    171.948      2.2    4.5    5.4   29.48      109 </t>
  </si>
  <si>
    <t xml:space="preserve"> 3 Fe   134.739    182.7    3.3    3.3    1.69      414 </t>
  </si>
  <si>
    <t xml:space="preserve"> 4 Si    77.822   3601.9   31.5   21.7    0.38      230 </t>
  </si>
  <si>
    <t xml:space="preserve"> 5 Cl   151.478      3.4    7.1    8.7   23.34       45 </t>
  </si>
  <si>
    <t xml:space="preserve"> 6 F    199.140      1.0    4.4    2.9   55.40 ?    395 </t>
  </si>
  <si>
    <t xml:space="preserve"> 7 K    119.485    182.9   29.8   21.4    1.53       59 </t>
  </si>
  <si>
    <t xml:space="preserve"> 8 Mn   146.243      2.5    2.0    2.2   19.09      296 </t>
  </si>
  <si>
    <t xml:space="preserve"> 9 Al    90.995    845.5   14.8    9.4    0.78      157 </t>
  </si>
  <si>
    <t xml:space="preserve">10 P    197.118     13.0    2.3    3.4    7.57      153 </t>
  </si>
  <si>
    <t xml:space="preserve">11 Mg   107.534    596.3   38.9    0.0    0.95      170 </t>
  </si>
  <si>
    <t xml:space="preserve">12 Ca   107.121   1950.0   32.0   34.5    0.52       87 </t>
  </si>
  <si>
    <t xml:space="preserve">13 Ti    88.305    684.7    0.0   46.4    0.88      126 </t>
  </si>
  <si>
    <t xml:space="preserve"> Na      0.3982    0.0040    0.4753    0.9904     0.9879     2.1422     1.0009</t>
  </si>
  <si>
    <t xml:space="preserve"> S       0.7655    0.0030    0.8173    0.9598     1.0247     1.2403     0.9960</t>
  </si>
  <si>
    <t xml:space="preserve"> Fe      0.9816    0.0000    0.9976    0.8084     1.0561     1.1741     0.9997</t>
  </si>
  <si>
    <t xml:space="preserve"> Si      0.7131    0.0010    0.7826    0.9848     1.0102     1.2831     0.9996</t>
  </si>
  <si>
    <t xml:space="preserve"> Cl      0.8288    0.0058    0.8782    0.9107     1.0312     1.2056     0.9908</t>
  </si>
  <si>
    <t xml:space="preserve"> F       0.1899    0.0014    0.2493    1.0159     0.9754     4.0427     1.0188</t>
  </si>
  <si>
    <t xml:space="preserve"> K       0.9083    0.0160    0.9471    0.9016     1.0421     1.1060     0.9996</t>
  </si>
  <si>
    <t xml:space="preserve"> Mn      0.9761    0.0000    0.9948    0.7968     1.0566     1.1941     1.0414</t>
  </si>
  <si>
    <t xml:space="preserve"> Al      0.6495    0.0109    0.7285    0.9661     1.0026     1.4019     1.0018</t>
  </si>
  <si>
    <t xml:space="preserve"> P       0.6809    0.0016    0.7378    0.9438     1.0177     1.4089     0.9995</t>
  </si>
  <si>
    <t xml:space="preserve"> Mg      0.5398    0.0072    0.6188    1.0052     0.9951     1.6041     1.0014</t>
  </si>
  <si>
    <t xml:space="preserve"> Ca      0.9306    0.0073    0.9639    0.9159     1.0464     1.0746     0.9997</t>
  </si>
  <si>
    <t xml:space="preserve"> Ti      0.9511    0.0114    0.9786    0.8262     1.0529     1.1614     0.9998</t>
  </si>
  <si>
    <t xml:space="preserve"> Na       2.02      2.72      2.05      2.77     0.786   1.0009   0.02019   1.01855  </t>
  </si>
  <si>
    <t xml:space="preserve"> S        0.0167    0.0418    0.0170    0.0424   0.0047  0.9960   0.000168  0.031228  </t>
  </si>
  <si>
    <t xml:space="preserve"> Fe      10.29     13.24     10.44     13.44     1.648   0.9997   0.10290   0.98911  </t>
  </si>
  <si>
    <t xml:space="preserve"> Si      23.58     50.44     23.93     51.20     7.508   0.9996   0.23565   0.98366  </t>
  </si>
  <si>
    <t xml:space="preserve"> Cl       0.0212    0.0212    0.0215    0.0215   0.0053  0.9908   0.000214  0.014747  </t>
  </si>
  <si>
    <t xml:space="preserve"> F        0.0798    0.0798    0.0810    0.0810   0.0376  1.0188   0.000784  0.164648  </t>
  </si>
  <si>
    <t xml:space="preserve"> K        0.6775    0.8161    0.6877    0.8284   0.1550  0.9996   0.006778  0.990896  </t>
  </si>
  <si>
    <t xml:space="preserve"> Mn       0.1581    0.2041    0.1605    0.2072   0.0257  1.0414   0.001518  0.004507  </t>
  </si>
  <si>
    <t xml:space="preserve"> Al       6.37     12.04      6.47     12.22     2.112   1.0018   0.06359   0.95610  </t>
  </si>
  <si>
    <t xml:space="preserve"> P        0.1596    0.3658    0.1620    0.3713   0.0461  0.9995   0.001597  0.933937  </t>
  </si>
  <si>
    <t xml:space="preserve"> Mg       3.13      5.19      3.18      5.27     1.151   1.0014   0.03124   1.01450  </t>
  </si>
  <si>
    <t xml:space="preserve"> Ca       6.66      9.32      6.76      9.46     1.486   0.9997   0.06661   0.99554  </t>
  </si>
  <si>
    <t xml:space="preserve"> Ti       2.42      4.04      2.46      4.10     0.452   0.9998   0.02424   0.99129  </t>
  </si>
  <si>
    <t xml:space="preserve"> O       42.93       -       43.58       -      24.000      -         -        </t>
  </si>
  <si>
    <t>Total:   98.52     98.52    100.00    100.00    15.418</t>
  </si>
  <si>
    <t xml:space="preserve">Unknown Specimen No. 99 </t>
  </si>
  <si>
    <t xml:space="preserve"> UNK No.      :   99            Comment : VGA99_                                   </t>
  </si>
  <si>
    <t xml:space="preserve"> Stage        :    X=   42.4110  Y=   29.5230  Z=   11.3995 </t>
  </si>
  <si>
    <t xml:space="preserve"> Dated on Dec 20 21:58 2016 </t>
  </si>
  <si>
    <t xml:space="preserve"> 1 Na   129.476    243.9    0.0   17.3    2.10      157 </t>
  </si>
  <si>
    <t xml:space="preserve"> 2 S    171.948      0.9    5.9    5.5   69.23 ?    116 </t>
  </si>
  <si>
    <t xml:space="preserve"> 3 Fe   134.739    182.2    3.5    3.2    1.69      413 </t>
  </si>
  <si>
    <t xml:space="preserve"> 4 Si    77.822   3606.0   31.5   17.6    0.38      223 </t>
  </si>
  <si>
    <t xml:space="preserve"> 5 Cl   151.478      5.3    8.1    7.4   15.82       44 </t>
  </si>
  <si>
    <t xml:space="preserve"> 6 F    199.140      1.0    3.5    3.2   52.08 ?    372 </t>
  </si>
  <si>
    <t xml:space="preserve"> 7 K    119.485    181.8   28.7   20.9    1.53       58 </t>
  </si>
  <si>
    <t xml:space="preserve"> 8 Mn   146.243      2.4    2.2    1.7   19.08      283 </t>
  </si>
  <si>
    <t xml:space="preserve"> 9 Al    90.995    837.9   13.7    8.9    0.78      151 </t>
  </si>
  <si>
    <t xml:space="preserve">10 P    197.118     15.9    3.0    2.2    6.45      140 </t>
  </si>
  <si>
    <t xml:space="preserve">11 Mg   107.534    595.8   37.6    0.0    0.94      167 </t>
  </si>
  <si>
    <t xml:space="preserve">12 Ca   107.121   1969.4   34.1   35.1    0.51       88 </t>
  </si>
  <si>
    <t xml:space="preserve">13 Ti    88.305    703.5    0.0   45.4    0.87      125 </t>
  </si>
  <si>
    <t xml:space="preserve"> Na      0.3985    0.0039    0.4756    0.9904     0.9879     2.1405     1.0001</t>
  </si>
  <si>
    <t xml:space="preserve"> S       0.7657    0.0030    0.8175    0.9598     1.0247     1.2400     0.9957</t>
  </si>
  <si>
    <t xml:space="preserve"> Fe      0.9815    0.0000    0.9975    0.8084     1.0561     1.1741     0.9998</t>
  </si>
  <si>
    <t xml:space="preserve"> Si      0.7133    0.0011    0.7827    0.9848     1.0103     1.2827     0.9993</t>
  </si>
  <si>
    <t xml:space="preserve"> Cl      0.8290    0.0058    0.8784    0.9108     1.0312     1.2053     0.9906</t>
  </si>
  <si>
    <t xml:space="preserve"> F       0.1898    0.0014    0.2492    1.0159     0.9754     4.0447     1.0193</t>
  </si>
  <si>
    <t xml:space="preserve"> K       0.9083    0.0161    0.9472    0.9017     1.0421     1.1058     0.9994</t>
  </si>
  <si>
    <t xml:space="preserve"> Mn      0.9760    0.0000    0.9947    0.7968     1.0566     1.1941     1.0414</t>
  </si>
  <si>
    <t xml:space="preserve"> Al      0.6491    0.0109    0.7280    0.9662     1.0026     1.4027     1.0024</t>
  </si>
  <si>
    <t xml:space="preserve"> P       0.6813    0.0017    0.7382    0.9438     1.0177     1.4080     0.9989</t>
  </si>
  <si>
    <t xml:space="preserve"> Mg      0.5393    0.0071    0.6182    1.0052     0.9951     1.6058     1.0025</t>
  </si>
  <si>
    <t xml:space="preserve"> Ca      0.9306    0.0073    0.9639    0.9160     1.0465     1.0745     0.9996</t>
  </si>
  <si>
    <t xml:space="preserve"> Ti      0.9511    0.0113    0.9786    0.8262     1.0529     1.1615     0.9999</t>
  </si>
  <si>
    <t xml:space="preserve"> Na       2.17      2.92      2.19      2.96     0.841   1.0001   0.02167   1.09346  </t>
  </si>
  <si>
    <t xml:space="preserve"> S        0.0071    0.0177    0.0072    0.0179   0.0020  0.9957   0.000071  0.013250 ?</t>
  </si>
  <si>
    <t xml:space="preserve"> Fe      10.26     13.20     10.38     13.35     1.639   0.9998   0.10262   0.98641  </t>
  </si>
  <si>
    <t xml:space="preserve"> Si      23.59     50.47     23.86     51.05     7.493   0.9993   0.23591   0.98478  </t>
  </si>
  <si>
    <t xml:space="preserve"> Cl       0.0323    0.0323    0.0327    0.0327   0.0081  0.9906   0.000326  0.022482  </t>
  </si>
  <si>
    <t xml:space="preserve"> F        0.0800    0.0800    0.0810    0.0810   0.0376  1.0193   0.000785  0.164980  </t>
  </si>
  <si>
    <t xml:space="preserve"> K        0.6733    0.8111    0.6810    0.8203   0.1536  0.9994   0.006737  0.984972  </t>
  </si>
  <si>
    <t xml:space="preserve"> Mn       0.1523    0.1967    0.1540    0.1989   0.0247  1.0414   0.001462  0.004342  </t>
  </si>
  <si>
    <t xml:space="preserve"> Al       6.32     11.94      6.39     12.08     2.089   1.0024   0.06302   0.94751  </t>
  </si>
  <si>
    <t xml:space="preserve"> P        0.1951    0.4470    0.1973    0.4521   0.0562  0.9989   0.001953  1.141979  </t>
  </si>
  <si>
    <t xml:space="preserve"> Mg       3.13      5.19      3.17      5.25     1.148   1.0025   0.03121   1.01373  </t>
  </si>
  <si>
    <t xml:space="preserve"> Ca       6.72      9.41      6.80      9.52     1.497   0.9996   0.06727   1.00545  </t>
  </si>
  <si>
    <t xml:space="preserve"> Ti       2.49      4.15      2.52      4.20     0.464   0.9999   0.02490   1.01848  </t>
  </si>
  <si>
    <t xml:space="preserve"> O       43.05       -       43.54       -      24.000      -         -        </t>
  </si>
  <si>
    <t>Total:   98.87     98.87    100.00    100.00    15.454</t>
  </si>
  <si>
    <t xml:space="preserve">Unknown Specimen No. 100 </t>
  </si>
  <si>
    <t xml:space="preserve"> UNK No.      :  100            Comment : VG-2_                                    </t>
  </si>
  <si>
    <t xml:space="preserve"> Stage        :    X=   60.0080  Y=   33.5315  Z=   11.3665 </t>
  </si>
  <si>
    <t xml:space="preserve"> Dated on Dec 20 22:01 2016 </t>
  </si>
  <si>
    <t xml:space="preserve"> 1 Na   129.476    241.0    0.0   17.0    2.11      155 </t>
  </si>
  <si>
    <t xml:space="preserve"> 2 S    171.948     18.8    4.4    5.1    5.20      107 </t>
  </si>
  <si>
    <t xml:space="preserve"> 3 Fe   134.739    164.1    2.6    2.7    1.78      372 </t>
  </si>
  <si>
    <t xml:space="preserve"> 4 Si    77.822   3601.2   29.9   19.1    0.38      222 </t>
  </si>
  <si>
    <t xml:space="preserve"> 5 Cl   151.478      3.6    8.5    8.9   23.59       47 </t>
  </si>
  <si>
    <t xml:space="preserve"> 6 F    199.140      0.1    3.9    2.5  391.26 ?    370 </t>
  </si>
  <si>
    <t xml:space="preserve"> 7 K    119.485     43.1   23.8   20.9    3.99       54 </t>
  </si>
  <si>
    <t xml:space="preserve"> 8 Mn   146.243      2.3    2.2    1.7   19.59      281 </t>
  </si>
  <si>
    <t xml:space="preserve"> 9 Al    90.995    955.3   13.7   11.1    0.73      158 </t>
  </si>
  <si>
    <t xml:space="preserve">10 P    197.118      7.9    2.4    2.5   10.17      139 </t>
  </si>
  <si>
    <t xml:space="preserve">11 Mg   107.534    834.9   42.6    0.0    0.79      178 </t>
  </si>
  <si>
    <t xml:space="preserve">12 Ca   107.121   2343.3   31.1   34.3    0.47       86 </t>
  </si>
  <si>
    <t xml:space="preserve">13 Ti    88.305    313.9    0.0   45.1    1.35      125 </t>
  </si>
  <si>
    <t xml:space="preserve"> Na      0.3998    0.0041    0.4772    0.9895     0.9876     2.1358     0.9979</t>
  </si>
  <si>
    <t xml:space="preserve"> S       0.7678    0.0035    0.8198    0.9589     1.0244     1.2374     0.9936</t>
  </si>
  <si>
    <t xml:space="preserve"> Fe      0.9812    0.0000    0.9972    0.8076     1.0560     1.1758     1.0012</t>
  </si>
  <si>
    <t xml:space="preserve"> Si      0.7146    0.0012    0.7841    0.9839     1.0100     1.2818     0.9986</t>
  </si>
  <si>
    <t xml:space="preserve"> Cl      0.8301    0.0067    0.8795    0.9099     1.0309     1.2040     0.9895</t>
  </si>
  <si>
    <t xml:space="preserve"> F       0.1883    0.0013    0.2472    1.0150     0.9751     4.0821     1.0287</t>
  </si>
  <si>
    <t xml:space="preserve"> K       0.9090    0.0200    0.9479    0.9008     1.0418     1.1021     0.9960</t>
  </si>
  <si>
    <t xml:space="preserve"> Mn      0.9757    0.0000    0.9943    0.7960     1.0564     1.1960     1.0430</t>
  </si>
  <si>
    <t xml:space="preserve"> Al      0.6525    0.0109    0.7318    0.9653     1.0023     1.3972     0.9985</t>
  </si>
  <si>
    <t xml:space="preserve"> P       0.6834    0.0020    0.7405    0.9430     1.0174     1.4049     0.9967</t>
  </si>
  <si>
    <t xml:space="preserve"> Mg      0.5461    0.0072    0.6260    1.0043     0.9948     1.5874     0.9910</t>
  </si>
  <si>
    <t xml:space="preserve"> Ca      0.9324    0.0055    0.9658    0.9151     1.0462     1.0757     1.0007</t>
  </si>
  <si>
    <t xml:space="preserve"> Ti      0.9476    0.0106    0.9750    0.8254     1.0527     1.1679     1.0054</t>
  </si>
  <si>
    <t xml:space="preserve"> Na       2.13      2.87      2.13      2.87     0.812   0.9979   0.02144   1.08152  </t>
  </si>
  <si>
    <t xml:space="preserve"> S        0.1434    0.3582    0.1435    0.3582   0.0392  0.9936   0.001444  0.268350  </t>
  </si>
  <si>
    <t xml:space="preserve"> Fe       9.27     11.93      9.27     11.93     1.455   1.0012   0.09250   0.88918  </t>
  </si>
  <si>
    <t xml:space="preserve"> Si      23.55     50.39     23.55     50.39     7.348   0.9986   0.23583   0.98443  </t>
  </si>
  <si>
    <t xml:space="preserve"> Cl       0.0218    0.0218    0.0219    0.0219   0.0054  0.9895   0.000221  0.015218  </t>
  </si>
  <si>
    <t xml:space="preserve"> F        0.0102    0.0102    0.0102    0.0102   0.0047  1.0287   0.000099  0.020850 ?</t>
  </si>
  <si>
    <t xml:space="preserve"> K        0.1592    0.1917    0.1592    0.1918   0.0357  0.9960   0.001598  0.233633  </t>
  </si>
  <si>
    <t xml:space="preserve"> Mn       0.1466    0.1893    0.1466    0.1893   0.0234  1.0430   0.001405  0.004173  </t>
  </si>
  <si>
    <t xml:space="preserve"> Al       7.17     13.55      7.17     13.55     2.328   0.9985   0.07192   1.08131  </t>
  </si>
  <si>
    <t xml:space="preserve"> P        0.0976    0.2236    0.0976    0.2236   0.0276  0.9967   0.000979  0.572457  </t>
  </si>
  <si>
    <t xml:space="preserve"> Mg       4.33      7.17      4.33      7.17     1.559   0.9910   0.04378   1.42194  </t>
  </si>
  <si>
    <t xml:space="preserve"> Ca       8.03     11.23      8.03     11.23     1.755   1.0007   0.08013   1.19753  </t>
  </si>
  <si>
    <t xml:space="preserve"> Ti       1.12      1.87      1.12      1.87     0.205   1.0054   0.01112   0.45497  </t>
  </si>
  <si>
    <t xml:space="preserve"> O       43.82       -       43.82       -      24.000      -         -        </t>
  </si>
  <si>
    <t>Total:  100.00    100.00    100.00    100.00    15.598</t>
  </si>
  <si>
    <t xml:space="preserve">Unknown Specimen No. 101 </t>
  </si>
  <si>
    <t xml:space="preserve"> UNK No.      :  101            Comment : VG-2_                                    </t>
  </si>
  <si>
    <t xml:space="preserve"> Stage        :    X=   59.9040  Y=   33.6340  Z=   11.3690 </t>
  </si>
  <si>
    <t xml:space="preserve"> Dated on Dec 20 22:05 2016 </t>
  </si>
  <si>
    <t xml:space="preserve"> 1 Na   129.476    237.6    0.0   17.8    2.13      159 </t>
  </si>
  <si>
    <t xml:space="preserve"> 2 S    171.948     18.0    6.3    4.9    5.47      114 </t>
  </si>
  <si>
    <t xml:space="preserve"> 3 Fe   134.739    164.6    3.3    2.5    1.77      378 </t>
  </si>
  <si>
    <t xml:space="preserve"> 4 Si    77.822   3635.3   29.7   17.0    0.37      217 </t>
  </si>
  <si>
    <t xml:space="preserve"> 5 Cl   151.478      5.0    7.4    7.5   16.20       43 </t>
  </si>
  <si>
    <t xml:space="preserve"> 6 F    199.140      1.2    2.1    3.3   38.18 ?    324 </t>
  </si>
  <si>
    <t xml:space="preserve"> 7 K    119.485     46.1   22.1   20.5    3.75       53 </t>
  </si>
  <si>
    <t xml:space="preserve"> 8 Mn   146.243      1.9    2.5    2.0   24.55      302 </t>
  </si>
  <si>
    <t xml:space="preserve"> 9 Al    90.995    983.1   20.0   10.2    0.72      176 </t>
  </si>
  <si>
    <t xml:space="preserve">10 P    197.118      6.8    1.8    3.2   11.59      145 </t>
  </si>
  <si>
    <t xml:space="preserve">11 Mg   107.534    823.5   43.9    0.0    0.80      181 </t>
  </si>
  <si>
    <t xml:space="preserve">12 Ca   107.121   2342.1   30.4   33.0    0.47       85 </t>
  </si>
  <si>
    <t xml:space="preserve">13 Ti    88.305    316.1    0.0   42.8    1.34      121 </t>
  </si>
  <si>
    <t xml:space="preserve"> Na      0.4104    0.0043    0.4898    0.9857     0.9895     2.0842     0.9738</t>
  </si>
  <si>
    <t xml:space="preserve"> S       0.7656    0.0030    0.8174    0.9554     1.0263     1.2439     0.9988</t>
  </si>
  <si>
    <t xml:space="preserve"> Fe      0.9821    0.0000    0.9981    0.8049     1.0570     1.1776     1.0027</t>
  </si>
  <si>
    <t xml:space="preserve"> Si      0.7104    0.0010    0.7795    0.9803     1.0120     1.2919     1.0065</t>
  </si>
  <si>
    <t xml:space="preserve"> Cl      0.8284    0.0056    0.8778    0.9066     1.0328     1.2099     0.9944</t>
  </si>
  <si>
    <t xml:space="preserve"> F       0.1913    0.0014    0.2512    1.0111     0.9769     4.0249     1.0143</t>
  </si>
  <si>
    <t xml:space="preserve"> K       0.9080    0.0168    0.9469    0.8976     1.0435     1.1089     1.0022</t>
  </si>
  <si>
    <t xml:space="preserve"> Mn      0.9768    0.0000    0.9955    0.7933     1.0575     1.1974     1.0443</t>
  </si>
  <si>
    <t xml:space="preserve"> Al      0.6524    0.0107    0.7317    0.9617     1.0043     1.4001     1.0006</t>
  </si>
  <si>
    <t xml:space="preserve"> P       0.6805    0.0017    0.7373    0.9395     1.0193     1.4139     1.0030</t>
  </si>
  <si>
    <t xml:space="preserve"> Mg      0.5515    0.0074    0.6322    1.0005     0.9968     1.5745     0.9829</t>
  </si>
  <si>
    <t xml:space="preserve"> Ca      0.9317    0.0051    0.9651    0.9118     1.0478     1.0791     1.0038</t>
  </si>
  <si>
    <t xml:space="preserve"> Ti      0.9499    0.0100    0.9773    0.8226     1.0541     1.1683     1.0058</t>
  </si>
  <si>
    <t xml:space="preserve"> Na       2.06      2.77      2.03      2.74     0.774   0.9738   0.02111   1.06520  </t>
  </si>
  <si>
    <t xml:space="preserve"> S        0.1378    0.3441    0.1364    0.3406   0.0372  0.9988   0.001379  0.256411  </t>
  </si>
  <si>
    <t xml:space="preserve"> Fe       9.29     11.95      9.20     11.83     1.441   1.0027   0.09267   0.89077  </t>
  </si>
  <si>
    <t xml:space="preserve"> Si      23.92     51.17     23.67     50.64     7.375   1.0065   0.23783   0.99279  </t>
  </si>
  <si>
    <t xml:space="preserve"> Cl       0.0311    0.0311    0.0307    0.0307   0.0076  0.9944   0.000312  0.021520  </t>
  </si>
  <si>
    <t xml:space="preserve"> F        0.0970    0.0970    0.0960    0.0960   0.0442  1.0143   0.000956  0.200836  </t>
  </si>
  <si>
    <t xml:space="preserve"> K        0.1711    0.2061    0.1693    0.2040   0.0379  1.0022   0.001707  0.249562  </t>
  </si>
  <si>
    <t xml:space="preserve"> Mn       0.1188    0.1534    0.1176    0.1518   0.0187  1.0443   0.001137  0.003377  </t>
  </si>
  <si>
    <t xml:space="preserve"> Al       7.40     13.98      7.32     13.83     2.374   1.0006   0.07394   1.11165  </t>
  </si>
  <si>
    <t xml:space="preserve"> P        0.0843    0.1933    0.0835    0.1913   0.0236  1.0030   0.000841  0.491736  </t>
  </si>
  <si>
    <t xml:space="preserve"> Mg       4.24      7.03      4.20      6.96     1.510   0.9829   0.04314   1.40110  </t>
  </si>
  <si>
    <t xml:space="preserve"> Ca       8.03     11.24      7.95     11.12     1.735   1.0038   0.08001   1.19572  </t>
  </si>
  <si>
    <t xml:space="preserve"> Ti       1.13      1.88      1.11      1.86     0.204   1.0058   0.01119   0.45771  </t>
  </si>
  <si>
    <t xml:space="preserve"> O       44.34       -       43.88       -      24.000      -         -        </t>
  </si>
  <si>
    <t>Total:  101.04    101.04    100.00    100.00    15.583</t>
  </si>
  <si>
    <t xml:space="preserve">Unknown Specimen No. 102 </t>
  </si>
  <si>
    <t xml:space="preserve"> UNK No.      :  102            Comment : KE3_                                     </t>
  </si>
  <si>
    <t xml:space="preserve"> Stage        :    X=   47.6990  Y=   23.2535  Z=   11.4000 </t>
  </si>
  <si>
    <t xml:space="preserve"> Dated on Dec 20 22:08 2016 </t>
  </si>
  <si>
    <t xml:space="preserve"> 1 Na   129.476    590.4    0.0   20.6    1.32      171 </t>
  </si>
  <si>
    <t xml:space="preserve"> 2 S    171.948      2.4    4.7    4.0   25.65      101 </t>
  </si>
  <si>
    <t xml:space="preserve"> 3 Fe   134.739    108.3    2.8    2.1    2.20      347 </t>
  </si>
  <si>
    <t xml:space="preserve"> 4 Si    77.822   5280.2   42.1   25.5    0.31      261 </t>
  </si>
  <si>
    <t xml:space="preserve"> 5 Cl   151.478     62.4    9.2    6.3    2.58       44 </t>
  </si>
  <si>
    <t xml:space="preserve"> 6 F    199.140      4.6    3.9    2.6   13.46      371 </t>
  </si>
  <si>
    <t xml:space="preserve"> 7 K    119.485    927.5   47.6   23.3    0.62       70 </t>
  </si>
  <si>
    <t xml:space="preserve"> 8 Mn   146.243      2.3    2.0    1.6   19.25      271 </t>
  </si>
  <si>
    <t xml:space="preserve"> 9 Al    90.995    650.4   13.7    9.9    0.89      154 </t>
  </si>
  <si>
    <t xml:space="preserve">10 P    197.118     -0.3    3.3    2.8  100.00 ?    153 </t>
  </si>
  <si>
    <t xml:space="preserve">11 Mg   107.534      2.5   20.3    0.0   42.69 ?    123 </t>
  </si>
  <si>
    <t xml:space="preserve">12 Ca   107.121     86.5   25.5   26.3    3.05       77 </t>
  </si>
  <si>
    <t xml:space="preserve">13 Ti    88.305     49.3    0.0   45.2    4.41      125 </t>
  </si>
  <si>
    <t xml:space="preserve"> Na      0.4417    0.0044    0.5272    0.9737     0.9949     1.9492     0.9107</t>
  </si>
  <si>
    <t xml:space="preserve"> S       0.7538    0.0020    0.8048    0.9441     1.0317     1.2732     1.0223</t>
  </si>
  <si>
    <t xml:space="preserve"> Fe      0.9847    0.0000    1.0007    0.7960     1.0597     1.1846     1.0087</t>
  </si>
  <si>
    <t xml:space="preserve"> Si      0.7537    0.0007    0.8271    0.9685     1.0175     1.2260     0.9552</t>
  </si>
  <si>
    <t xml:space="preserve"> Cl      0.8199    0.0032    0.8688    0.8960     1.0380     1.2337     1.0140</t>
  </si>
  <si>
    <t xml:space="preserve"> F       0.1957    0.0014    0.2570    0.9986     0.9819     3.9628     0.9987</t>
  </si>
  <si>
    <t xml:space="preserve"> K       0.9023    0.0021    0.9409    0.8872     1.0483     1.1404     1.0307</t>
  </si>
  <si>
    <t xml:space="preserve"> Mn      0.9801    0.0000    0.9988    0.7845     1.0606     1.2034     1.0495</t>
  </si>
  <si>
    <t xml:space="preserve"> Al      0.6897    0.0169    0.7735    0.9501     1.0099     1.3250     0.9469</t>
  </si>
  <si>
    <t xml:space="preserve"> Mg      0.5621    0.0095    0.6443    0.9884     1.0023     1.5519     0.9689</t>
  </si>
  <si>
    <t xml:space="preserve"> Ca      0.9190    0.0026    0.9519    0.9014     1.0523     1.1047     1.0277</t>
  </si>
  <si>
    <t xml:space="preserve"> Ti      0.9551    0.0077    0.9827    0.8132     1.0580     1.1736     1.0103</t>
  </si>
  <si>
    <t xml:space="preserve"> Na       4.78      6.44      4.79      6.46     1.728   0.9107   0.05247   2.64723  </t>
  </si>
  <si>
    <t xml:space="preserve"> S        0.0185    0.0463    0.0186    0.0464   0.0048  1.0223   0.000181  0.033718  </t>
  </si>
  <si>
    <t xml:space="preserve"> Fe       6.15      7.92      6.17      7.94     0.916   1.0087   0.06100   0.58639  </t>
  </si>
  <si>
    <t xml:space="preserve"> Si      33.00     70.60     33.10     70.80     9.769   0.9552   0.34545   1.44200  </t>
  </si>
  <si>
    <t xml:space="preserve"> Cl       0.3928    0.3928    0.3940    0.3940   0.0921  1.0140   0.003874  0.267008  </t>
  </si>
  <si>
    <t xml:space="preserve"> F        0.3668    0.3668    0.3679    0.3679   0.1605  0.9987   0.003673  0.771678  </t>
  </si>
  <si>
    <t xml:space="preserve"> K        3.54      4.27      3.55      4.28     0.753   1.0307   0.03437   5.02538  </t>
  </si>
  <si>
    <t xml:space="preserve"> Mn       0.1468    0.1896    0.1472    0.1901   0.0222  1.0495   0.001399  0.004154  </t>
  </si>
  <si>
    <t xml:space="preserve"> Al       4.63      8.75      4.65      8.78     1.427   0.9469   0.04892   0.73546  </t>
  </si>
  <si>
    <t xml:space="preserve"> Mg       0.0127    0.0210    0.0127    0.0211   0.0043  0.9689   0.000131  0.004255  </t>
  </si>
  <si>
    <t xml:space="preserve"> Ca       0.3037    0.4249    0.3045    0.4261   0.0630  1.0277   0.002955  0.044161  </t>
  </si>
  <si>
    <t xml:space="preserve"> Ti       0.1762    0.2939    0.1767    0.2947   0.0306  1.0103   0.001744  0.071316  </t>
  </si>
  <si>
    <t xml:space="preserve"> O       46.19       -       46.32       -      24.000      -         -        </t>
  </si>
  <si>
    <t>Total:   99.72     99.72    100.00    100.00    14.971</t>
  </si>
  <si>
    <t xml:space="preserve">Unknown Specimen No. 103 </t>
  </si>
  <si>
    <t xml:space="preserve"> UNK No.      :  103            Comment : KE3_                                     </t>
  </si>
  <si>
    <t xml:space="preserve"> Stage        :    X=   47.7890  Y=   23.5415  Z=   11.3985 </t>
  </si>
  <si>
    <t xml:space="preserve"> Dated on Dec 20 22:12 2016 </t>
  </si>
  <si>
    <t xml:space="preserve"> 1 Na   129.476    573.1    0.0   23.6    1.35      183 </t>
  </si>
  <si>
    <t xml:space="preserve"> 2 S    171.948      2.2    6.0    4.5   29.64      110 </t>
  </si>
  <si>
    <t xml:space="preserve"> 3 Fe   134.739    104.4    2.2    2.4    2.24      348 </t>
  </si>
  <si>
    <t xml:space="preserve"> 4 Si    77.822   5264.1   44.2   23.5    0.31      262 </t>
  </si>
  <si>
    <t xml:space="preserve"> 5 Cl   151.478     59.7    9.5    7.7    2.68       46 </t>
  </si>
  <si>
    <t xml:space="preserve"> 6 F    199.140      5.4    4.5    2.9   12.35      396 </t>
  </si>
  <si>
    <t xml:space="preserve"> 7 K    119.485    932.3   47.9   23.2    0.62       70 </t>
  </si>
  <si>
    <t xml:space="preserve"> 8 Mn   146.243      4.0    1.9    1.7   12.57      269 </t>
  </si>
  <si>
    <t xml:space="preserve"> 9 Al    90.995    647.0   13.6   11.5    0.90      159 </t>
  </si>
  <si>
    <t xml:space="preserve">10 P    197.118      0.0    2.0    3.1 4264.93 ?    146 </t>
  </si>
  <si>
    <t xml:space="preserve">11 Mg   107.534      2.0   23.0    0.0   55.90 ?    131 </t>
  </si>
  <si>
    <t xml:space="preserve">12 Ca   107.121     92.0   26.1   27.5    2.94       78 </t>
  </si>
  <si>
    <t xml:space="preserve">13 Ti    88.305     56.9    0.0   41.0    3.89      119 </t>
  </si>
  <si>
    <t xml:space="preserve"> Na      0.4419    0.0044    0.5274    0.9736     0.9950     1.9485     0.9104</t>
  </si>
  <si>
    <t xml:space="preserve"> S       0.7539    0.0020    0.8049    0.9440     1.0317     1.2731     1.0222</t>
  </si>
  <si>
    <t xml:space="preserve"> Si      0.7543    0.0007    0.8277    0.9684     1.0176     1.2251     0.9544</t>
  </si>
  <si>
    <t xml:space="preserve"> Cl      0.8200    0.0033    0.8689    0.8959     1.0380     1.2336     1.0139</t>
  </si>
  <si>
    <t xml:space="preserve"> F       0.1951    0.0014    0.2561    0.9985     0.9819     3.9766     1.0021</t>
  </si>
  <si>
    <t xml:space="preserve"> K       0.9024    0.0021    0.9410    0.8871     1.0483     1.1403     1.0306</t>
  </si>
  <si>
    <t xml:space="preserve"> Mn      0.9800    0.0000    0.9988    0.7844     1.0606     1.2035     1.0496</t>
  </si>
  <si>
    <t xml:space="preserve"> Al      0.6905    0.0170    0.7744    0.9500     1.0100     1.3235     0.9458</t>
  </si>
  <si>
    <t xml:space="preserve"> Mg      0.5630    0.0095    0.6454    0.9883     1.0024     1.5494     0.9673</t>
  </si>
  <si>
    <t xml:space="preserve"> Ti      0.9551    0.0076    0.9826    0.8132     1.0581     1.1739     1.0105</t>
  </si>
  <si>
    <t xml:space="preserve"> Na       4.64      6.25      4.67      6.30     1.685   0.9104   0.05093   2.56957  </t>
  </si>
  <si>
    <t xml:space="preserve"> S        0.0170    0.0425    0.0171    0.0428   0.0044  1.0222   0.000166  0.030914  </t>
  </si>
  <si>
    <t xml:space="preserve"> Fe       5.93      7.63      5.98      7.69     0.887   1.0088   0.05877   0.56497  </t>
  </si>
  <si>
    <t xml:space="preserve"> Si      32.89     70.37     33.15     70.92     9.780   0.9544   0.34439   1.43760  </t>
  </si>
  <si>
    <t xml:space="preserve"> Cl       0.3754    0.3754    0.3784    0.3784   0.0884  1.0139   0.003703  0.255182  </t>
  </si>
  <si>
    <t xml:space="preserve"> F        0.4310    0.4310    0.4344    0.4344   0.1894  1.0021   0.004300  0.903458  </t>
  </si>
  <si>
    <t xml:space="preserve"> K        3.56      4.29      3.59      4.32     0.761   1.0306   0.03455   5.05130  </t>
  </si>
  <si>
    <t xml:space="preserve"> Mn       0.2548    0.3291    0.2569    0.3317   0.0387  1.0496   0.002428  0.007209  </t>
  </si>
  <si>
    <t xml:space="preserve"> Al       4.60      8.70      4.64      8.77     1.425   0.9458   0.04866   0.73169  </t>
  </si>
  <si>
    <t xml:space="preserve"> P        0.0002    0.0004    0.0002    0.0004   0.0000  1.0326   0.000002  0.000901 ?</t>
  </si>
  <si>
    <t xml:space="preserve"> Mg       0.0101    0.0168    0.0102    0.0169   0.0035  0.9673   0.000105  0.003403 ?</t>
  </si>
  <si>
    <t xml:space="preserve"> Ca       0.3228    0.4517    0.3254    0.4553   0.0673  1.0278   0.003141  0.046945  </t>
  </si>
  <si>
    <t xml:space="preserve"> Ti       0.2034    0.3393    0.2050    0.3419   0.0355  1.0105   0.002013  0.082321  </t>
  </si>
  <si>
    <t xml:space="preserve"> O       45.98       -       46.34       -      24.000      -         -        </t>
  </si>
  <si>
    <t>Total:   99.22     99.22    100.00    100.00    14.964</t>
  </si>
  <si>
    <t xml:space="preserve">Unknown Specimen No. 104 </t>
  </si>
  <si>
    <t xml:space="preserve"> UNK No.      :  104            Comment : Scap                                     </t>
  </si>
  <si>
    <t xml:space="preserve"> Stage        :    X=   21.2490  Y=   23.5585  Z=   11.5265 </t>
  </si>
  <si>
    <t xml:space="preserve"> Dated on Dec 20 22:15 2016 </t>
  </si>
  <si>
    <t xml:space="preserve"> 1 Na   129.476    513.2    0.0   22.7    1.43      179 </t>
  </si>
  <si>
    <t xml:space="preserve"> 2 S    171.948     72.4    5.1    4.6    2.28      107 </t>
  </si>
  <si>
    <t xml:space="preserve"> 3 Fe   134.739      1.2    2.3    2.1   43.60 ?    335 </t>
  </si>
  <si>
    <t xml:space="preserve"> 4 Si    77.822   3615.3   31.3   19.5    0.37      226 </t>
  </si>
  <si>
    <t xml:space="preserve"> 5 Cl   151.478    232.7    8.1    7.5    1.24       44 </t>
  </si>
  <si>
    <t xml:space="preserve"> 6 F    199.140     -0.3    3.7    2.8  100.00 ?    368 </t>
  </si>
  <si>
    <t xml:space="preserve"> 7 K    119.485    191.4   25.8   20.3    1.48       55 </t>
  </si>
  <si>
    <t xml:space="preserve"> 8 Mn   146.243      0.3    1.9    1.3  124.46 ?    257 </t>
  </si>
  <si>
    <t xml:space="preserve"> 9 Al    90.995   1964.1   16.7   10.5    0.51      166 </t>
  </si>
  <si>
    <t xml:space="preserve">10 P    197.118      1.6    2.2    2.1   33.99 ?    130 </t>
  </si>
  <si>
    <t xml:space="preserve">11 Mg   107.534     -3.2   23.6    0.0  100.00 ?    133 </t>
  </si>
  <si>
    <t xml:space="preserve">12 Ca   107.121   2874.9   29.3   35.7    0.42       86 </t>
  </si>
  <si>
    <t xml:space="preserve">13 Ti    88.305      0.4    0.0   39.6  353.56 ?    117 </t>
  </si>
  <si>
    <t xml:space="preserve"> Na      0.4765    0.0050    0.5687    0.9699     0.9963     1.8105     0.8459</t>
  </si>
  <si>
    <t xml:space="preserve"> Si      0.7196    0.0016    0.7896    0.9648     1.0189     1.2862     1.0020</t>
  </si>
  <si>
    <t xml:space="preserve"> Cl      0.8304    0.0063    0.8798    0.8925     1.0393     1.2177     1.0008</t>
  </si>
  <si>
    <t xml:space="preserve"> K       0.9056    0.0169    0.9444    0.8838     1.0495     1.1226     1.0146</t>
  </si>
  <si>
    <t xml:space="preserve"> Al      0.7193    0.0121    0.8067    0.9464     1.0113     1.2797     0.9145</t>
  </si>
  <si>
    <t xml:space="preserve"> P       0.6856    0.0027    0.7428    0.9247     1.0262     1.4147     1.0037</t>
  </si>
  <si>
    <t xml:space="preserve"> Ca      0.9285    0.0000    0.9618    0.8980     1.0534     1.0991     1.0225</t>
  </si>
  <si>
    <t xml:space="preserve"> Na       3.86      5.20      3.88      5.23     1.419   0.8459   0.04561   2.30111  </t>
  </si>
  <si>
    <t xml:space="preserve"> S        0.5561    1.3888    0.5597    1.3976   0.1467  1.0012   0.005555  1.032451  </t>
  </si>
  <si>
    <t xml:space="preserve"> Fe       0.0706    0.0908    0.0711    0.0914   0.0107  1.0154   0.000695  0.006684  </t>
  </si>
  <si>
    <t xml:space="preserve"> Si      23.71     50.72     23.86     51.04     7.137   1.0020   0.23653   0.98733  </t>
  </si>
  <si>
    <t xml:space="preserve"> Cl       1.45      1.45      1.45      1.45     0.345   1.0008   0.01444   0.99520  </t>
  </si>
  <si>
    <t xml:space="preserve"> K        0.7196    0.8669    0.7242    0.8724   0.1556  1.0146   0.007093  1.036961  </t>
  </si>
  <si>
    <t xml:space="preserve"> Mn       0.0176    0.0227    0.0177    0.0229   0.0027  1.0576   0.000166  0.000494 ?</t>
  </si>
  <si>
    <t xml:space="preserve"> Al      13.51     25.53     13.60     25.69     4.235   0.9145   0.14772   2.22109  </t>
  </si>
  <si>
    <t xml:space="preserve"> P        0.0199    0.0457    0.0201    0.0460   0.0054  1.0037   0.000199  0.116179  </t>
  </si>
  <si>
    <t xml:space="preserve"> Ca      10.04     14.05     10.11     14.14     2.119   1.0225   0.09821   1.46773  </t>
  </si>
  <si>
    <t xml:space="preserve"> Ti       0.0015    0.0024    0.0015    0.0025   0.0003  1.0321   0.000014  0.000579 ?</t>
  </si>
  <si>
    <t xml:space="preserve"> O       45.41       -       45.70       -      24.000      -         -        </t>
  </si>
  <si>
    <t>Total:   99.37     99.37    100.00    100.00    15.576</t>
  </si>
  <si>
    <t xml:space="preserve">Unknown Specimen No. 105 </t>
  </si>
  <si>
    <t xml:space="preserve"> UNK No.      :  105            Comment : Scap                                     </t>
  </si>
  <si>
    <t xml:space="preserve"> Stage        :    X=   21.2340  Y=   23.6265  Z=   11.5285 </t>
  </si>
  <si>
    <t xml:space="preserve"> Dated on Dec 20 22:19 2016 </t>
  </si>
  <si>
    <t xml:space="preserve"> 1 Na   129.476    504.2    0.0   19.9    1.44      168 </t>
  </si>
  <si>
    <t xml:space="preserve"> 2 S    171.948     67.5    5.9    5.5    2.40      116 </t>
  </si>
  <si>
    <t xml:space="preserve"> 3 Fe   134.739      1.4    2.5    1.8   38.46 ?    324 </t>
  </si>
  <si>
    <t xml:space="preserve"> 4 Si    77.822   3614.7   31.9   19.2    0.37      227 </t>
  </si>
  <si>
    <t xml:space="preserve"> 5 Cl   151.478    229.7    9.1    7.3    1.25       45 </t>
  </si>
  <si>
    <t xml:space="preserve"> 6 F    199.140      0.2    2.7    2.2  237.36 ?    318 </t>
  </si>
  <si>
    <t xml:space="preserve"> 7 K    119.485    185.6   26.1   20.8    1.51       56 </t>
  </si>
  <si>
    <t xml:space="preserve"> 8 Mn   146.243      0.6    1.5    1.4   53.76 ?    246 </t>
  </si>
  <si>
    <t xml:space="preserve"> 9 Al    90.995   1983.0   19.6   11.5    0.51      178 </t>
  </si>
  <si>
    <t xml:space="preserve">10 P    197.118      0.6    2.4    2.6   93.71 ?    141 </t>
  </si>
  <si>
    <t xml:space="preserve">11 Mg   107.534      1.2   19.3    0.0   87.93 ?    120 </t>
  </si>
  <si>
    <t xml:space="preserve">12 Ca   107.121   2874.0   28.1   33.9    0.42       84 </t>
  </si>
  <si>
    <t xml:space="preserve">13 Ti    88.305      2.6    0.0   38.9   55.40 ?    116 </t>
  </si>
  <si>
    <t xml:space="preserve"> Na      0.4763    0.0051    0.5684    0.9699     0.9963     1.8113     0.8463</t>
  </si>
  <si>
    <t xml:space="preserve"> S       0.7696    0.0044    0.8217    0.9405     1.0330     1.2472     1.0014</t>
  </si>
  <si>
    <t xml:space="preserve"> Fe      0.9812    0.0000    0.9971    0.7931     1.0604     1.1925     1.0154</t>
  </si>
  <si>
    <t xml:space="preserve"> Si      0.7190    0.0016    0.7890    0.9648     1.0189     1.2872     1.0028</t>
  </si>
  <si>
    <t xml:space="preserve"> Cl      0.8304    0.0063    0.8798    0.8926     1.0393     1.2177     1.0008</t>
  </si>
  <si>
    <t xml:space="preserve"> F       0.1813    0.0011    0.2380    0.9947     0.9831     4.2916     1.0815</t>
  </si>
  <si>
    <t xml:space="preserve"> K       0.9057    0.0170    0.9444    0.8839     1.0495     1.1225     1.0145</t>
  </si>
  <si>
    <t xml:space="preserve"> Mn      0.9755    0.0000    0.9942    0.7816     1.0613     1.2126     1.0575</t>
  </si>
  <si>
    <t xml:space="preserve"> P       0.6852    0.0027    0.7425    0.9248     1.0262     1.4154     1.0041</t>
  </si>
  <si>
    <t xml:space="preserve"> Mg      0.5982    0.0108    0.6857    0.9846     1.0037     1.4600     0.9115</t>
  </si>
  <si>
    <t xml:space="preserve"> Ca      0.9286    0.0001    0.9619    0.8980     1.0534     1.0990     1.0224</t>
  </si>
  <si>
    <t xml:space="preserve"> Ti      0.9448    0.0001    0.9721    0.8102     1.0590     1.1988     1.0320</t>
  </si>
  <si>
    <t xml:space="preserve"> Na       3.79      5.11      3.81      5.14     1.393   0.8463   0.04481   2.26070  </t>
  </si>
  <si>
    <t xml:space="preserve"> S        0.5186    1.2951    0.5215    1.3023   0.1367  1.0014   0.005179  0.962581  </t>
  </si>
  <si>
    <t xml:space="preserve"> Fe       0.0784    0.1009    0.0789    0.1015   0.0119  1.0154   0.000772  0.007425  </t>
  </si>
  <si>
    <t xml:space="preserve"> Si      23.72     50.75     23.86     51.03     7.134   1.0028   0.23648   0.98716  </t>
  </si>
  <si>
    <t xml:space="preserve"> Cl       1.43      1.43      1.43      1.43     0.340   1.0008   0.01425   0.98236  </t>
  </si>
  <si>
    <t xml:space="preserve"> F        0.0152    0.0152    0.0153    0.0153   0.0068  1.0815   0.000141  0.029532 ?</t>
  </si>
  <si>
    <t xml:space="preserve"> K        0.6977    0.8404    0.7015    0.8451   0.1507  1.0145   0.006877  1.005397  </t>
  </si>
  <si>
    <t xml:space="preserve"> Mn       0.0414    0.0535    0.0417    0.0538   0.0064  1.0575   0.000392  0.001163  </t>
  </si>
  <si>
    <t xml:space="preserve"> Al      13.64     25.77     13.71     25.91     4.270   0.9142   0.14914   2.24242  </t>
  </si>
  <si>
    <t xml:space="preserve"> P        0.0071    0.0163    0.0072    0.0164   0.0019  1.0041   0.000071  0.041428 ?</t>
  </si>
  <si>
    <t xml:space="preserve"> Mg       0.0055    0.0091    0.0055    0.0092   0.0019  0.9115   0.000060  0.001957 ?</t>
  </si>
  <si>
    <t xml:space="preserve"> Ca      10.04     14.05     10.09     14.12     2.116   1.0224   0.09818   1.46731  </t>
  </si>
  <si>
    <t xml:space="preserve"> Ti       0.0095    0.0158    0.0095    0.0159   0.0017  1.0320   0.000092  0.003764 ?</t>
  </si>
  <si>
    <t xml:space="preserve"> O       45.46       -       45.71       -      24.000      -         -        </t>
  </si>
  <si>
    <t>Total:   99.45     99.45    100.00    100.00    15.571</t>
  </si>
  <si>
    <t>StdDev</t>
  </si>
  <si>
    <t>CorrFactor</t>
  </si>
  <si>
    <t>RSD</t>
  </si>
  <si>
    <t>2sigma</t>
  </si>
  <si>
    <t>StdValue</t>
  </si>
  <si>
    <t>Fo+M</t>
  </si>
  <si>
    <t>Fa+M</t>
  </si>
  <si>
    <t>Total</t>
  </si>
  <si>
    <t>ACC CORR</t>
  </si>
  <si>
    <t xml:space="preserve">ACC </t>
  </si>
  <si>
    <t>Average Test</t>
  </si>
  <si>
    <t>Acc %</t>
  </si>
  <si>
    <t>SRM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</si>
</sst>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000%"/>
    <numFmt numFmtId="167" formatCode="0.0000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1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10" fontId="0" fillId="0" borderId="0" xfId="1" applyNumberFormat="1" applyFont="1"/>
    <xf numFmtId="0" fontId="0" fillId="3" borderId="0" xfId="0" applyFill="1"/>
    <xf numFmtId="10" fontId="0" fillId="3" borderId="0" xfId="1" applyNumberFormat="1" applyFont="1" applyFill="1"/>
    <xf numFmtId="0" fontId="0" fillId="2" borderId="0" xfId="0" applyFill="1"/>
    <xf numFmtId="10" fontId="0" fillId="0" borderId="0" xfId="1" applyNumberFormat="1" applyFont="1" applyFill="1"/>
    <xf numFmtId="167" fontId="0" fillId="0" borderId="0" xfId="0" applyNumberFormat="1"/>
    <xf numFmtId="166" fontId="0" fillId="3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GlassStdCalc!$F$3:$F$8</c:f>
              <c:numCache>
                <c:formatCode>General</c:formatCode>
                <c:ptCount val="6"/>
                <c:pt idx="0">
                  <c:v>3.3099999999999997E-2</c:v>
                </c:pt>
                <c:pt idx="1">
                  <c:v>3.4599999999999999E-2</c:v>
                </c:pt>
                <c:pt idx="2">
                  <c:v>3.4500000000000003E-2</c:v>
                </c:pt>
                <c:pt idx="3">
                  <c:v>3.0300000000000001E-2</c:v>
                </c:pt>
                <c:pt idx="4">
                  <c:v>2.18E-2</c:v>
                </c:pt>
                <c:pt idx="5">
                  <c:v>3.1099999999999999E-2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7-844F-8E2C-C2E25A8FE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045760"/>
        <c:axId val="528083008"/>
      </c:scatterChart>
      <c:valAx>
        <c:axId val="52804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528083008"/>
        <c:crosses val="autoZero"/>
        <c:crossBetween val="midCat"/>
      </c:valAx>
      <c:valAx>
        <c:axId val="52808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52804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GlassCorrected!$B$1</c:f>
              <c:strCache>
                <c:ptCount val="1"/>
                <c:pt idx="0">
                  <c:v>   Na2O 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GlassCorrected!$S$10:$S$98</c:f>
              <c:numCache>
                <c:formatCode>General</c:formatCode>
                <c:ptCount val="89"/>
                <c:pt idx="0">
                  <c:v>38.250870830735664</c:v>
                </c:pt>
                <c:pt idx="1">
                  <c:v>38.366089412974205</c:v>
                </c:pt>
                <c:pt idx="2">
                  <c:v>38.771708959375019</c:v>
                </c:pt>
                <c:pt idx="3">
                  <c:v>38.990507945079251</c:v>
                </c:pt>
                <c:pt idx="4">
                  <c:v>37.601424853034906</c:v>
                </c:pt>
                <c:pt idx="5">
                  <c:v>38.791022684596037</c:v>
                </c:pt>
                <c:pt idx="6">
                  <c:v>38.329189043983092</c:v>
                </c:pt>
                <c:pt idx="7">
                  <c:v>37.774155700826483</c:v>
                </c:pt>
                <c:pt idx="8">
                  <c:v>38.328335072216419</c:v>
                </c:pt>
                <c:pt idx="9">
                  <c:v>35.768779948387404</c:v>
                </c:pt>
                <c:pt idx="10">
                  <c:v>34.221682089924379</c:v>
                </c:pt>
                <c:pt idx="11">
                  <c:v>35.947265861841039</c:v>
                </c:pt>
                <c:pt idx="12">
                  <c:v>31.305753227676369</c:v>
                </c:pt>
                <c:pt idx="13">
                  <c:v>35.039326438485226</c:v>
                </c:pt>
                <c:pt idx="14">
                  <c:v>34.25397750749763</c:v>
                </c:pt>
                <c:pt idx="15">
                  <c:v>38.267024797500483</c:v>
                </c:pt>
                <c:pt idx="16">
                  <c:v>35.96409273160188</c:v>
                </c:pt>
                <c:pt idx="17">
                  <c:v>35.750292934466771</c:v>
                </c:pt>
                <c:pt idx="18">
                  <c:v>36.133980560412787</c:v>
                </c:pt>
                <c:pt idx="19">
                  <c:v>37.058246664038577</c:v>
                </c:pt>
                <c:pt idx="20">
                  <c:v>36.542570695886972</c:v>
                </c:pt>
                <c:pt idx="21">
                  <c:v>37.709263809829054</c:v>
                </c:pt>
                <c:pt idx="22">
                  <c:v>37.705776423644451</c:v>
                </c:pt>
                <c:pt idx="23">
                  <c:v>35.20252991364142</c:v>
                </c:pt>
                <c:pt idx="24">
                  <c:v>37.309079220718857</c:v>
                </c:pt>
                <c:pt idx="25">
                  <c:v>36.849871621237739</c:v>
                </c:pt>
                <c:pt idx="26">
                  <c:v>37.650076513611459</c:v>
                </c:pt>
                <c:pt idx="27">
                  <c:v>44.029182186418431</c:v>
                </c:pt>
                <c:pt idx="28">
                  <c:v>43.337736160010614</c:v>
                </c:pt>
                <c:pt idx="29">
                  <c:v>43.370070981124975</c:v>
                </c:pt>
                <c:pt idx="30">
                  <c:v>43.66327033684523</c:v>
                </c:pt>
                <c:pt idx="31">
                  <c:v>44.520136579944236</c:v>
                </c:pt>
                <c:pt idx="32">
                  <c:v>43.637898778592508</c:v>
                </c:pt>
                <c:pt idx="33">
                  <c:v>43.249715780401111</c:v>
                </c:pt>
                <c:pt idx="34">
                  <c:v>43.036925760058494</c:v>
                </c:pt>
                <c:pt idx="35">
                  <c:v>44.200822159976248</c:v>
                </c:pt>
                <c:pt idx="36">
                  <c:v>41.474743542081761</c:v>
                </c:pt>
                <c:pt idx="37">
                  <c:v>43.769136957368609</c:v>
                </c:pt>
                <c:pt idx="38">
                  <c:v>44.793925489151206</c:v>
                </c:pt>
                <c:pt idx="39">
                  <c:v>44.839798985574042</c:v>
                </c:pt>
                <c:pt idx="40">
                  <c:v>75.94663164271951</c:v>
                </c:pt>
                <c:pt idx="41">
                  <c:v>44.709398313549684</c:v>
                </c:pt>
                <c:pt idx="42">
                  <c:v>43.779492473401561</c:v>
                </c:pt>
                <c:pt idx="43">
                  <c:v>45.592397752078014</c:v>
                </c:pt>
                <c:pt idx="44">
                  <c:v>46.504187976525934</c:v>
                </c:pt>
                <c:pt idx="45">
                  <c:v>39.32140156387922</c:v>
                </c:pt>
                <c:pt idx="46">
                  <c:v>39.371068533891055</c:v>
                </c:pt>
                <c:pt idx="47">
                  <c:v>50.299773913426257</c:v>
                </c:pt>
                <c:pt idx="48">
                  <c:v>50.960494425634792</c:v>
                </c:pt>
                <c:pt idx="49">
                  <c:v>0.83985174815043551</c:v>
                </c:pt>
                <c:pt idx="50">
                  <c:v>0.36768923688103128</c:v>
                </c:pt>
                <c:pt idx="51">
                  <c:v>24.880601375385208</c:v>
                </c:pt>
                <c:pt idx="52">
                  <c:v>10.881770086629583</c:v>
                </c:pt>
                <c:pt idx="53">
                  <c:v>34.074017206579043</c:v>
                </c:pt>
                <c:pt idx="54">
                  <c:v>46.445563317892727</c:v>
                </c:pt>
                <c:pt idx="55">
                  <c:v>32.71984269873559</c:v>
                </c:pt>
                <c:pt idx="56">
                  <c:v>47.837389869849517</c:v>
                </c:pt>
                <c:pt idx="57">
                  <c:v>36.281111390317143</c:v>
                </c:pt>
                <c:pt idx="58">
                  <c:v>39.098844053780176</c:v>
                </c:pt>
                <c:pt idx="59">
                  <c:v>37.985508083260591</c:v>
                </c:pt>
                <c:pt idx="60">
                  <c:v>35.987022698252332</c:v>
                </c:pt>
                <c:pt idx="61">
                  <c:v>45.697354362541411</c:v>
                </c:pt>
                <c:pt idx="62">
                  <c:v>40.3340254657017</c:v>
                </c:pt>
                <c:pt idx="63">
                  <c:v>39.460072329311494</c:v>
                </c:pt>
                <c:pt idx="64">
                  <c:v>39.22768970438517</c:v>
                </c:pt>
                <c:pt idx="65">
                  <c:v>39.150749952874371</c:v>
                </c:pt>
                <c:pt idx="66">
                  <c:v>39.880196985378845</c:v>
                </c:pt>
                <c:pt idx="67">
                  <c:v>40.594517323373893</c:v>
                </c:pt>
                <c:pt idx="68">
                  <c:v>39.613160407711796</c:v>
                </c:pt>
                <c:pt idx="69">
                  <c:v>40.730167290776166</c:v>
                </c:pt>
                <c:pt idx="70">
                  <c:v>36.758439432164174</c:v>
                </c:pt>
                <c:pt idx="71">
                  <c:v>39.928181624470653</c:v>
                </c:pt>
                <c:pt idx="72">
                  <c:v>39.794871570118481</c:v>
                </c:pt>
                <c:pt idx="73">
                  <c:v>40.479192092049999</c:v>
                </c:pt>
                <c:pt idx="74">
                  <c:v>37.844609599028267</c:v>
                </c:pt>
                <c:pt idx="75">
                  <c:v>38.451736335868766</c:v>
                </c:pt>
                <c:pt idx="76">
                  <c:v>39.113370761342111</c:v>
                </c:pt>
                <c:pt idx="77">
                  <c:v>37.65893915204002</c:v>
                </c:pt>
                <c:pt idx="78">
                  <c:v>37.909413107492405</c:v>
                </c:pt>
                <c:pt idx="79">
                  <c:v>38.736650100656433</c:v>
                </c:pt>
                <c:pt idx="80">
                  <c:v>38.898346067976966</c:v>
                </c:pt>
                <c:pt idx="81">
                  <c:v>37.20804709690146</c:v>
                </c:pt>
                <c:pt idx="82">
                  <c:v>39.748115242634704</c:v>
                </c:pt>
                <c:pt idx="83">
                  <c:v>38.355452954185189</c:v>
                </c:pt>
                <c:pt idx="84">
                  <c:v>40.193643583953126</c:v>
                </c:pt>
                <c:pt idx="85">
                  <c:v>36.618173047816136</c:v>
                </c:pt>
                <c:pt idx="86">
                  <c:v>38.431633802596366</c:v>
                </c:pt>
                <c:pt idx="87">
                  <c:v>39.830057489627414</c:v>
                </c:pt>
                <c:pt idx="88">
                  <c:v>39.148216788734636</c:v>
                </c:pt>
              </c:numCache>
            </c:numRef>
          </c:xVal>
          <c:yVal>
            <c:numRef>
              <c:f>GlassCorrected!$N$10:$N$98</c:f>
              <c:numCache>
                <c:formatCode>General</c:formatCode>
                <c:ptCount val="89"/>
                <c:pt idx="0">
                  <c:v>3.9820627802690587</c:v>
                </c:pt>
                <c:pt idx="1">
                  <c:v>3.8825112107623321</c:v>
                </c:pt>
                <c:pt idx="2">
                  <c:v>3.8825112107623321</c:v>
                </c:pt>
                <c:pt idx="3">
                  <c:v>3.9721076233183861</c:v>
                </c:pt>
                <c:pt idx="4">
                  <c:v>3.9521973094170408</c:v>
                </c:pt>
                <c:pt idx="5">
                  <c:v>3.8924663677130047</c:v>
                </c:pt>
                <c:pt idx="6">
                  <c:v>3.9721076233183861</c:v>
                </c:pt>
                <c:pt idx="7">
                  <c:v>3.9223318385650225</c:v>
                </c:pt>
                <c:pt idx="8">
                  <c:v>3.8526457399103142</c:v>
                </c:pt>
                <c:pt idx="9">
                  <c:v>3.8227802690582959</c:v>
                </c:pt>
                <c:pt idx="10">
                  <c:v>3.9024215246636773</c:v>
                </c:pt>
                <c:pt idx="11">
                  <c:v>3.7630493273542602</c:v>
                </c:pt>
                <c:pt idx="12">
                  <c:v>3.9123766816143499</c:v>
                </c:pt>
                <c:pt idx="13">
                  <c:v>3.8128251121076238</c:v>
                </c:pt>
                <c:pt idx="14">
                  <c:v>3.7232286995515698</c:v>
                </c:pt>
                <c:pt idx="15">
                  <c:v>3.8526457399103142</c:v>
                </c:pt>
                <c:pt idx="16">
                  <c:v>3.7232286995515698</c:v>
                </c:pt>
                <c:pt idx="17">
                  <c:v>3.7929147982062781</c:v>
                </c:pt>
                <c:pt idx="18">
                  <c:v>3.7829596412556055</c:v>
                </c:pt>
                <c:pt idx="19">
                  <c:v>3.7829596412556055</c:v>
                </c:pt>
                <c:pt idx="20">
                  <c:v>3.6834080717488793</c:v>
                </c:pt>
                <c:pt idx="21">
                  <c:v>3.7730044843049328</c:v>
                </c:pt>
                <c:pt idx="22">
                  <c:v>3.7829596412556055</c:v>
                </c:pt>
                <c:pt idx="23">
                  <c:v>3.7630493273542602</c:v>
                </c:pt>
                <c:pt idx="24">
                  <c:v>3.7730044843049328</c:v>
                </c:pt>
                <c:pt idx="25">
                  <c:v>3.7530941704035876</c:v>
                </c:pt>
                <c:pt idx="26">
                  <c:v>3.7431390134529146</c:v>
                </c:pt>
                <c:pt idx="27">
                  <c:v>3.5838565022421527</c:v>
                </c:pt>
                <c:pt idx="28">
                  <c:v>3.6137219730941705</c:v>
                </c:pt>
                <c:pt idx="29">
                  <c:v>3.5042152466367713</c:v>
                </c:pt>
                <c:pt idx="30">
                  <c:v>3.5639461883408075</c:v>
                </c:pt>
                <c:pt idx="31">
                  <c:v>3.4942600896860987</c:v>
                </c:pt>
                <c:pt idx="32">
                  <c:v>3.6236771300448432</c:v>
                </c:pt>
                <c:pt idx="33">
                  <c:v>3.5340807174887892</c:v>
                </c:pt>
                <c:pt idx="34">
                  <c:v>3.5838565022421527</c:v>
                </c:pt>
                <c:pt idx="35">
                  <c:v>3.5440358744394622</c:v>
                </c:pt>
                <c:pt idx="36">
                  <c:v>3.4643946188340808</c:v>
                </c:pt>
                <c:pt idx="37">
                  <c:v>3.5639461883408075</c:v>
                </c:pt>
                <c:pt idx="38">
                  <c:v>3.4743497757847539</c:v>
                </c:pt>
                <c:pt idx="39">
                  <c:v>3.4843049327354261</c:v>
                </c:pt>
                <c:pt idx="40">
                  <c:v>2.329506726457399</c:v>
                </c:pt>
                <c:pt idx="41">
                  <c:v>3.4843049327354261</c:v>
                </c:pt>
                <c:pt idx="42">
                  <c:v>3.4843049327354261</c:v>
                </c:pt>
                <c:pt idx="43">
                  <c:v>3.5440358744394622</c:v>
                </c:pt>
                <c:pt idx="44">
                  <c:v>3.6137219730941705</c:v>
                </c:pt>
                <c:pt idx="45">
                  <c:v>4.0617040358744401</c:v>
                </c:pt>
                <c:pt idx="46">
                  <c:v>4.0617040358744401</c:v>
                </c:pt>
                <c:pt idx="47">
                  <c:v>1.8516591928251123</c:v>
                </c:pt>
                <c:pt idx="48">
                  <c:v>1.8616143497757849</c:v>
                </c:pt>
                <c:pt idx="49">
                  <c:v>0.32822152466367716</c:v>
                </c:pt>
                <c:pt idx="50">
                  <c:v>0.32901793721973099</c:v>
                </c:pt>
                <c:pt idx="51">
                  <c:v>0</c:v>
                </c:pt>
                <c:pt idx="52">
                  <c:v>2.3892376681614348E-3</c:v>
                </c:pt>
                <c:pt idx="53">
                  <c:v>2.9865470852017939</c:v>
                </c:pt>
                <c:pt idx="54">
                  <c:v>3.2155156950672645</c:v>
                </c:pt>
                <c:pt idx="55">
                  <c:v>2.9765919282511213</c:v>
                </c:pt>
                <c:pt idx="56">
                  <c:v>3.2951569506726459</c:v>
                </c:pt>
                <c:pt idx="57">
                  <c:v>3.1657399103139015</c:v>
                </c:pt>
                <c:pt idx="58">
                  <c:v>3.2254708520179376</c:v>
                </c:pt>
                <c:pt idx="59">
                  <c:v>3.0064573991031391</c:v>
                </c:pt>
                <c:pt idx="60">
                  <c:v>3.0860986547085205</c:v>
                </c:pt>
                <c:pt idx="61">
                  <c:v>2.9467264573991034</c:v>
                </c:pt>
                <c:pt idx="62">
                  <c:v>3.344932735426009</c:v>
                </c:pt>
                <c:pt idx="63">
                  <c:v>3.3648430493273542</c:v>
                </c:pt>
                <c:pt idx="64">
                  <c:v>3.2453811659192824</c:v>
                </c:pt>
                <c:pt idx="65">
                  <c:v>3.3648430493273542</c:v>
                </c:pt>
                <c:pt idx="66">
                  <c:v>3.3250224215246638</c:v>
                </c:pt>
                <c:pt idx="67">
                  <c:v>3.3548878923766821</c:v>
                </c:pt>
                <c:pt idx="68">
                  <c:v>3.3947085201793725</c:v>
                </c:pt>
                <c:pt idx="69">
                  <c:v>3.2752466367713007</c:v>
                </c:pt>
                <c:pt idx="70">
                  <c:v>3.3349775784753364</c:v>
                </c:pt>
                <c:pt idx="71">
                  <c:v>3.3051121076233185</c:v>
                </c:pt>
                <c:pt idx="72">
                  <c:v>3.3051121076233185</c:v>
                </c:pt>
                <c:pt idx="73">
                  <c:v>3.2055605381165924</c:v>
                </c:pt>
                <c:pt idx="74">
                  <c:v>3.2951569506726459</c:v>
                </c:pt>
                <c:pt idx="75">
                  <c:v>3.2951569506726459</c:v>
                </c:pt>
                <c:pt idx="76">
                  <c:v>3.2852017937219729</c:v>
                </c:pt>
                <c:pt idx="77">
                  <c:v>3.2752466367713007</c:v>
                </c:pt>
                <c:pt idx="78">
                  <c:v>3.2354260089686102</c:v>
                </c:pt>
                <c:pt idx="79">
                  <c:v>3.3747982062780273</c:v>
                </c:pt>
                <c:pt idx="80">
                  <c:v>3.3051121076233185</c:v>
                </c:pt>
                <c:pt idx="81">
                  <c:v>3.2453811659192824</c:v>
                </c:pt>
                <c:pt idx="82">
                  <c:v>3.2652914798206276</c:v>
                </c:pt>
                <c:pt idx="83">
                  <c:v>3.3150672645739911</c:v>
                </c:pt>
                <c:pt idx="84">
                  <c:v>3.3349775784753364</c:v>
                </c:pt>
                <c:pt idx="85">
                  <c:v>3.2852017937219729</c:v>
                </c:pt>
                <c:pt idx="86">
                  <c:v>3.2852017937219729</c:v>
                </c:pt>
                <c:pt idx="87">
                  <c:v>3.344932735426009</c:v>
                </c:pt>
                <c:pt idx="88">
                  <c:v>3.3250224215246638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5C-AD43-BC4D-E5C8DEB17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968896"/>
        <c:axId val="232767488"/>
      </c:scatterChart>
      <c:valAx>
        <c:axId val="35396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232767488"/>
        <c:crosses val="autoZero"/>
        <c:crossBetween val="midCat"/>
      </c:valAx>
      <c:valAx>
        <c:axId val="2327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353968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26359</xdr:colOff>
      <xdr:row>26</xdr:row>
      <xdr:rowOff>120052</xdr:rowOff>
    </xdr:from>
    <xdr:to>
      <xdr:col>15</xdr:col>
      <xdr:colOff>464868</xdr:colOff>
      <xdr:row>40</xdr:row>
      <xdr:rowOff>11742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61919-7646-87F1-5B72-5A6ACF1A1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374650</xdr:colOff>
      <xdr:row>13</xdr:row>
      <xdr:rowOff>76200</xdr:rowOff>
    </xdr:from>
    <xdr:to>
      <xdr:col>26</xdr:col>
      <xdr:colOff>819150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B1846-D95A-7912-FF32-C31E97002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D75B-67CC-F745-AE1A-DE627EBA0B3E}">
  <dimension ref="A1:M111"/>
  <sheetViews>
    <sheetView tabSelected="1" topLeftCell="A20" workbookViewId="0">
      <selection activeCell="I55" sqref="I55"/>
    </sheetView>
  </sheetViews>
  <sheetFormatPr defaultColWidth="10.90625" defaultRowHeight="15"/>
  <sheetData>
    <row r="1" spans="1:12">
      <c r="A1" t="s">
        <v>0</v>
      </c>
    </row>
    <row r="2" spans="1:12">
      <c r="A2" t="s">
        <v>16</v>
      </c>
      <c r="B2" t="s">
        <v>0</v>
      </c>
    </row>
    <row r="3" spans="1:12">
      <c r="A3" t="s">
        <v>17</v>
      </c>
      <c r="B3" t="s">
        <v>18</v>
      </c>
      <c r="C3" t="s">
        <v>17</v>
      </c>
      <c r="D3" t="s">
        <v>0</v>
      </c>
    </row>
    <row r="4" spans="1:12">
      <c r="A4" t="s">
        <v>17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17</v>
      </c>
      <c r="K4" t="s">
        <v>0</v>
      </c>
    </row>
    <row r="5" spans="1:12">
      <c r="A5" t="s">
        <v>17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>
        <v>1993</v>
      </c>
      <c r="K5" t="s">
        <v>17</v>
      </c>
      <c r="L5" t="s">
        <v>0</v>
      </c>
    </row>
    <row r="6" spans="1:12">
      <c r="A6" t="s">
        <v>17</v>
      </c>
      <c r="B6" t="s">
        <v>27</v>
      </c>
      <c r="C6" t="s">
        <v>35</v>
      </c>
      <c r="D6" t="s">
        <v>25</v>
      </c>
      <c r="E6" t="s">
        <v>18</v>
      </c>
      <c r="F6" t="s">
        <v>36</v>
      </c>
      <c r="G6">
        <v>3.5</v>
      </c>
      <c r="H6" t="s">
        <v>17</v>
      </c>
      <c r="I6" t="s">
        <v>0</v>
      </c>
    </row>
    <row r="7" spans="1:12">
      <c r="A7" t="s">
        <v>16</v>
      </c>
      <c r="B7" t="s">
        <v>0</v>
      </c>
    </row>
    <row r="8" spans="1:12">
      <c r="A8" t="s">
        <v>0</v>
      </c>
    </row>
    <row r="9" spans="1:12">
      <c r="A9" t="s">
        <v>0</v>
      </c>
    </row>
    <row r="10" spans="1:12">
      <c r="A10" t="s">
        <v>37</v>
      </c>
      <c r="B10" t="s">
        <v>38</v>
      </c>
      <c r="C10" t="s">
        <v>0</v>
      </c>
    </row>
    <row r="11" spans="1:12">
      <c r="A11" t="s">
        <v>39</v>
      </c>
      <c r="B11" t="s">
        <v>0</v>
      </c>
    </row>
    <row r="12" spans="1: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0</v>
      </c>
    </row>
    <row r="13" spans="1:12">
      <c r="A13">
        <v>1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15</v>
      </c>
      <c r="H13">
        <v>129.476</v>
      </c>
      <c r="I13">
        <v>1.1910099999999999</v>
      </c>
      <c r="J13">
        <v>0</v>
      </c>
      <c r="K13">
        <v>1.1000000000000001</v>
      </c>
      <c r="L13" t="s">
        <v>0</v>
      </c>
    </row>
    <row r="14" spans="1:12">
      <c r="A14">
        <v>2</v>
      </c>
      <c r="B14" t="s">
        <v>56</v>
      </c>
      <c r="C14" t="s">
        <v>52</v>
      </c>
      <c r="D14" t="s">
        <v>57</v>
      </c>
      <c r="E14" t="s">
        <v>54</v>
      </c>
      <c r="F14" t="s">
        <v>58</v>
      </c>
      <c r="G14">
        <v>15</v>
      </c>
      <c r="H14">
        <v>171.94800000000001</v>
      </c>
      <c r="I14">
        <v>0.53722000000000003</v>
      </c>
      <c r="J14">
        <v>2.14</v>
      </c>
      <c r="K14">
        <v>1.5</v>
      </c>
      <c r="L14" t="s">
        <v>0</v>
      </c>
    </row>
    <row r="15" spans="1:12">
      <c r="A15">
        <v>3</v>
      </c>
      <c r="B15" t="s">
        <v>59</v>
      </c>
      <c r="C15" t="s">
        <v>52</v>
      </c>
      <c r="D15" t="s">
        <v>60</v>
      </c>
      <c r="E15" t="s">
        <v>54</v>
      </c>
      <c r="F15" t="s">
        <v>61</v>
      </c>
      <c r="G15">
        <v>15</v>
      </c>
      <c r="H15">
        <v>134.739</v>
      </c>
      <c r="I15">
        <v>0.19359999999999999</v>
      </c>
      <c r="J15">
        <v>3.1</v>
      </c>
      <c r="K15">
        <v>1.5</v>
      </c>
      <c r="L15" t="s">
        <v>0</v>
      </c>
    </row>
    <row r="16" spans="1:12">
      <c r="A16">
        <v>4</v>
      </c>
      <c r="B16" t="s">
        <v>62</v>
      </c>
      <c r="C16" t="s">
        <v>52</v>
      </c>
      <c r="D16" t="s">
        <v>63</v>
      </c>
      <c r="E16" t="s">
        <v>54</v>
      </c>
      <c r="F16" t="s">
        <v>64</v>
      </c>
      <c r="G16">
        <v>15</v>
      </c>
      <c r="H16">
        <v>77.822000000000003</v>
      </c>
      <c r="I16">
        <v>0.71253999999999995</v>
      </c>
      <c r="J16">
        <v>2.4</v>
      </c>
      <c r="K16">
        <v>3.3</v>
      </c>
      <c r="L16" t="s">
        <v>0</v>
      </c>
    </row>
    <row r="17" spans="1:13">
      <c r="A17">
        <v>5</v>
      </c>
      <c r="B17" t="s">
        <v>65</v>
      </c>
      <c r="C17" t="s">
        <v>52</v>
      </c>
      <c r="D17" t="s">
        <v>57</v>
      </c>
      <c r="E17" t="s">
        <v>54</v>
      </c>
      <c r="F17" t="s">
        <v>66</v>
      </c>
      <c r="G17">
        <v>15</v>
      </c>
      <c r="H17">
        <v>151.47800000000001</v>
      </c>
      <c r="I17">
        <v>0.47277999999999998</v>
      </c>
      <c r="J17">
        <v>1.7</v>
      </c>
      <c r="K17">
        <v>1.5</v>
      </c>
      <c r="L17" t="s">
        <v>0</v>
      </c>
    </row>
    <row r="18" spans="1:13">
      <c r="A18">
        <v>6</v>
      </c>
      <c r="B18" t="s">
        <v>67</v>
      </c>
      <c r="C18" t="s">
        <v>52</v>
      </c>
      <c r="D18" t="s">
        <v>53</v>
      </c>
      <c r="E18" t="s">
        <v>54</v>
      </c>
      <c r="F18" t="s">
        <v>55</v>
      </c>
      <c r="G18">
        <v>15</v>
      </c>
      <c r="H18">
        <v>199.12899999999999</v>
      </c>
      <c r="I18">
        <v>1.8320000000000001</v>
      </c>
      <c r="J18">
        <v>2</v>
      </c>
      <c r="K18">
        <v>3.25</v>
      </c>
      <c r="L18" t="s">
        <v>0</v>
      </c>
    </row>
    <row r="19" spans="1:13">
      <c r="A19">
        <v>7</v>
      </c>
      <c r="B19" t="s">
        <v>68</v>
      </c>
      <c r="C19" t="s">
        <v>52</v>
      </c>
      <c r="D19" t="s">
        <v>57</v>
      </c>
      <c r="E19" t="s">
        <v>54</v>
      </c>
      <c r="F19" t="s">
        <v>58</v>
      </c>
      <c r="G19">
        <v>15</v>
      </c>
      <c r="H19">
        <v>119.485</v>
      </c>
      <c r="I19">
        <v>0.37413999999999997</v>
      </c>
      <c r="J19">
        <v>0.94199999999999995</v>
      </c>
      <c r="K19">
        <v>1.238</v>
      </c>
      <c r="L19" t="s">
        <v>0</v>
      </c>
    </row>
    <row r="20" spans="1:13">
      <c r="A20">
        <v>8</v>
      </c>
      <c r="B20" t="s">
        <v>69</v>
      </c>
      <c r="C20" t="s">
        <v>52</v>
      </c>
      <c r="D20" t="s">
        <v>60</v>
      </c>
      <c r="E20" t="s">
        <v>54</v>
      </c>
      <c r="F20" t="s">
        <v>61</v>
      </c>
      <c r="G20">
        <v>15</v>
      </c>
      <c r="H20">
        <v>146.24299999999999</v>
      </c>
      <c r="I20">
        <v>0.21018000000000001</v>
      </c>
      <c r="J20">
        <v>2.2000000000000002</v>
      </c>
      <c r="K20">
        <v>1.7</v>
      </c>
      <c r="L20" t="s">
        <v>0</v>
      </c>
    </row>
    <row r="21" spans="1:13">
      <c r="A21">
        <v>9</v>
      </c>
      <c r="B21" t="s">
        <v>70</v>
      </c>
      <c r="C21" t="s">
        <v>52</v>
      </c>
      <c r="D21" t="s">
        <v>63</v>
      </c>
      <c r="E21" t="s">
        <v>54</v>
      </c>
      <c r="F21" t="s">
        <v>64</v>
      </c>
      <c r="G21">
        <v>15</v>
      </c>
      <c r="H21">
        <v>90.995000000000005</v>
      </c>
      <c r="I21">
        <v>0.83392999999999995</v>
      </c>
      <c r="J21">
        <v>2.64</v>
      </c>
      <c r="K21">
        <v>3.1</v>
      </c>
      <c r="L21" t="s">
        <v>0</v>
      </c>
    </row>
    <row r="22" spans="1:13">
      <c r="A22">
        <v>10</v>
      </c>
      <c r="B22" t="s">
        <v>71</v>
      </c>
      <c r="C22" t="s">
        <v>52</v>
      </c>
      <c r="D22" t="s">
        <v>57</v>
      </c>
      <c r="E22" t="s">
        <v>54</v>
      </c>
      <c r="F22" t="s">
        <v>66</v>
      </c>
      <c r="G22">
        <v>15</v>
      </c>
      <c r="H22">
        <v>197.11799999999999</v>
      </c>
      <c r="I22">
        <v>0.61570000000000003</v>
      </c>
      <c r="J22">
        <v>2</v>
      </c>
      <c r="K22">
        <v>1.2</v>
      </c>
      <c r="L22" t="s">
        <v>0</v>
      </c>
    </row>
    <row r="23" spans="1:13">
      <c r="A23">
        <v>11</v>
      </c>
      <c r="B23" t="s">
        <v>72</v>
      </c>
      <c r="C23" t="s">
        <v>52</v>
      </c>
      <c r="D23" t="s">
        <v>53</v>
      </c>
      <c r="E23" t="s">
        <v>54</v>
      </c>
      <c r="F23" t="s">
        <v>55</v>
      </c>
      <c r="G23">
        <v>15</v>
      </c>
      <c r="H23">
        <v>107.53400000000001</v>
      </c>
      <c r="I23">
        <v>0.98899999999999999</v>
      </c>
      <c r="J23">
        <v>1.7010000000000001</v>
      </c>
      <c r="K23">
        <v>0</v>
      </c>
      <c r="L23" t="s">
        <v>0</v>
      </c>
    </row>
    <row r="24" spans="1:13">
      <c r="A24">
        <v>12</v>
      </c>
      <c r="B24" t="s">
        <v>73</v>
      </c>
      <c r="C24" t="s">
        <v>52</v>
      </c>
      <c r="D24" t="s">
        <v>57</v>
      </c>
      <c r="E24" t="s">
        <v>54</v>
      </c>
      <c r="F24" t="s">
        <v>58</v>
      </c>
      <c r="G24">
        <v>15</v>
      </c>
      <c r="H24">
        <v>107.121</v>
      </c>
      <c r="I24">
        <v>0.33584000000000003</v>
      </c>
      <c r="J24">
        <v>1.8</v>
      </c>
      <c r="K24">
        <v>1.3</v>
      </c>
      <c r="L24" t="s">
        <v>0</v>
      </c>
    </row>
    <row r="25" spans="1:13">
      <c r="A25">
        <v>13</v>
      </c>
      <c r="B25" t="s">
        <v>74</v>
      </c>
      <c r="C25" t="s">
        <v>52</v>
      </c>
      <c r="D25" t="s">
        <v>57</v>
      </c>
      <c r="E25" t="s">
        <v>54</v>
      </c>
      <c r="F25" t="s">
        <v>66</v>
      </c>
      <c r="G25">
        <v>15</v>
      </c>
      <c r="H25">
        <v>88.305000000000007</v>
      </c>
      <c r="I25">
        <v>0.27484999999999998</v>
      </c>
      <c r="J25">
        <v>0</v>
      </c>
      <c r="K25">
        <v>1.3</v>
      </c>
      <c r="L25" t="s">
        <v>0</v>
      </c>
    </row>
    <row r="26" spans="1:13">
      <c r="A26" t="s">
        <v>0</v>
      </c>
    </row>
    <row r="27" spans="1:13">
      <c r="A27" t="s">
        <v>40</v>
      </c>
      <c r="B27" t="s">
        <v>45</v>
      </c>
      <c r="C27" t="s">
        <v>75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0</v>
      </c>
    </row>
    <row r="28" spans="1:13">
      <c r="A28">
        <v>1</v>
      </c>
      <c r="B28" t="s">
        <v>51</v>
      </c>
      <c r="C28">
        <v>10</v>
      </c>
      <c r="D28">
        <v>10</v>
      </c>
      <c r="E28" t="s">
        <v>82</v>
      </c>
      <c r="F28">
        <v>1</v>
      </c>
      <c r="G28">
        <v>32</v>
      </c>
      <c r="H28">
        <v>1732</v>
      </c>
      <c r="I28">
        <v>0.7</v>
      </c>
      <c r="J28">
        <v>0</v>
      </c>
      <c r="K28" t="s">
        <v>83</v>
      </c>
      <c r="L28" t="s">
        <v>84</v>
      </c>
      <c r="M28" t="s">
        <v>0</v>
      </c>
    </row>
    <row r="29" spans="1:13">
      <c r="A29">
        <v>2</v>
      </c>
      <c r="B29" t="s">
        <v>56</v>
      </c>
      <c r="C29">
        <v>30</v>
      </c>
      <c r="D29">
        <v>15</v>
      </c>
      <c r="E29" t="s">
        <v>82</v>
      </c>
      <c r="F29">
        <v>1</v>
      </c>
      <c r="G29">
        <v>128</v>
      </c>
      <c r="H29">
        <v>1708</v>
      </c>
      <c r="I29">
        <v>0.7</v>
      </c>
      <c r="J29">
        <v>0</v>
      </c>
      <c r="K29" t="s">
        <v>83</v>
      </c>
      <c r="L29" t="s">
        <v>84</v>
      </c>
      <c r="M29" t="s">
        <v>0</v>
      </c>
    </row>
    <row r="30" spans="1:13">
      <c r="A30">
        <v>3</v>
      </c>
      <c r="B30" t="s">
        <v>59</v>
      </c>
      <c r="C30">
        <v>20</v>
      </c>
      <c r="D30">
        <v>10</v>
      </c>
      <c r="E30" t="s">
        <v>82</v>
      </c>
      <c r="F30">
        <v>1</v>
      </c>
      <c r="G30">
        <v>32</v>
      </c>
      <c r="H30">
        <v>1728</v>
      </c>
      <c r="I30">
        <v>0.7</v>
      </c>
      <c r="J30">
        <v>0</v>
      </c>
      <c r="K30" t="s">
        <v>83</v>
      </c>
      <c r="L30" t="s">
        <v>84</v>
      </c>
      <c r="M30" t="s">
        <v>0</v>
      </c>
    </row>
    <row r="31" spans="1:13">
      <c r="A31">
        <v>4</v>
      </c>
      <c r="B31" t="s">
        <v>62</v>
      </c>
      <c r="C31">
        <v>20</v>
      </c>
      <c r="D31">
        <v>10</v>
      </c>
      <c r="E31" t="s">
        <v>82</v>
      </c>
      <c r="F31">
        <v>1</v>
      </c>
      <c r="G31">
        <v>32</v>
      </c>
      <c r="H31">
        <v>1680</v>
      </c>
      <c r="I31">
        <v>0.2</v>
      </c>
      <c r="J31">
        <v>0</v>
      </c>
      <c r="K31" t="s">
        <v>83</v>
      </c>
      <c r="L31" t="s">
        <v>84</v>
      </c>
      <c r="M31" t="s">
        <v>0</v>
      </c>
    </row>
    <row r="32" spans="1:13">
      <c r="A32">
        <v>5</v>
      </c>
      <c r="B32" t="s">
        <v>65</v>
      </c>
      <c r="C32">
        <v>30</v>
      </c>
      <c r="D32">
        <v>15</v>
      </c>
      <c r="E32" t="s">
        <v>82</v>
      </c>
      <c r="F32">
        <v>1</v>
      </c>
      <c r="G32">
        <v>64</v>
      </c>
      <c r="H32">
        <v>1714</v>
      </c>
      <c r="I32">
        <v>0.7</v>
      </c>
      <c r="J32">
        <v>0</v>
      </c>
      <c r="K32" t="s">
        <v>83</v>
      </c>
      <c r="L32" t="s">
        <v>84</v>
      </c>
      <c r="M32" t="s">
        <v>0</v>
      </c>
    </row>
    <row r="33" spans="1:13">
      <c r="A33">
        <v>6</v>
      </c>
      <c r="B33" t="s">
        <v>67</v>
      </c>
      <c r="C33">
        <v>30</v>
      </c>
      <c r="D33">
        <v>15</v>
      </c>
      <c r="E33" t="s">
        <v>82</v>
      </c>
      <c r="F33">
        <v>1</v>
      </c>
      <c r="G33">
        <v>32</v>
      </c>
      <c r="H33">
        <v>1748</v>
      </c>
      <c r="I33">
        <v>0.7</v>
      </c>
      <c r="J33">
        <v>0</v>
      </c>
      <c r="K33" t="s">
        <v>83</v>
      </c>
      <c r="L33" t="s">
        <v>84</v>
      </c>
      <c r="M33" t="s">
        <v>0</v>
      </c>
    </row>
    <row r="34" spans="1:13">
      <c r="A34">
        <v>7</v>
      </c>
      <c r="B34" t="s">
        <v>68</v>
      </c>
      <c r="C34">
        <v>30</v>
      </c>
      <c r="D34">
        <v>15</v>
      </c>
      <c r="E34" t="s">
        <v>82</v>
      </c>
      <c r="F34">
        <v>1</v>
      </c>
      <c r="G34">
        <v>64</v>
      </c>
      <c r="H34">
        <v>1738</v>
      </c>
      <c r="I34">
        <v>0.7</v>
      </c>
      <c r="J34">
        <v>0</v>
      </c>
      <c r="K34" t="s">
        <v>83</v>
      </c>
      <c r="L34" t="s">
        <v>84</v>
      </c>
      <c r="M34" t="s">
        <v>0</v>
      </c>
    </row>
    <row r="35" spans="1:13">
      <c r="A35">
        <v>8</v>
      </c>
      <c r="B35" t="s">
        <v>69</v>
      </c>
      <c r="C35">
        <v>30</v>
      </c>
      <c r="D35">
        <v>15</v>
      </c>
      <c r="E35" t="s">
        <v>82</v>
      </c>
      <c r="F35">
        <v>1</v>
      </c>
      <c r="G35">
        <v>32</v>
      </c>
      <c r="H35">
        <v>1734</v>
      </c>
      <c r="I35">
        <v>0.7</v>
      </c>
      <c r="J35">
        <v>0</v>
      </c>
      <c r="K35" t="s">
        <v>83</v>
      </c>
      <c r="L35" t="s">
        <v>84</v>
      </c>
      <c r="M35" t="s">
        <v>0</v>
      </c>
    </row>
    <row r="36" spans="1:13">
      <c r="A36">
        <v>9</v>
      </c>
      <c r="B36" t="s">
        <v>70</v>
      </c>
      <c r="C36">
        <v>20</v>
      </c>
      <c r="D36">
        <v>10</v>
      </c>
      <c r="E36" t="s">
        <v>82</v>
      </c>
      <c r="F36">
        <v>1</v>
      </c>
      <c r="G36">
        <v>32</v>
      </c>
      <c r="H36">
        <v>1694</v>
      </c>
      <c r="I36">
        <v>0.2</v>
      </c>
      <c r="J36">
        <v>0</v>
      </c>
      <c r="K36" t="s">
        <v>83</v>
      </c>
      <c r="L36" t="s">
        <v>84</v>
      </c>
      <c r="M36" t="s">
        <v>0</v>
      </c>
    </row>
    <row r="37" spans="1:13">
      <c r="A37">
        <v>10</v>
      </c>
      <c r="B37" t="s">
        <v>71</v>
      </c>
      <c r="C37">
        <v>20</v>
      </c>
      <c r="D37">
        <v>10</v>
      </c>
      <c r="E37" t="s">
        <v>82</v>
      </c>
      <c r="F37">
        <v>1</v>
      </c>
      <c r="G37">
        <v>64</v>
      </c>
      <c r="H37">
        <v>1746</v>
      </c>
      <c r="I37">
        <v>0.7</v>
      </c>
      <c r="J37">
        <v>0</v>
      </c>
      <c r="K37" t="s">
        <v>83</v>
      </c>
      <c r="L37" t="s">
        <v>84</v>
      </c>
      <c r="M37" t="s">
        <v>0</v>
      </c>
    </row>
    <row r="38" spans="1:13">
      <c r="A38">
        <v>11</v>
      </c>
      <c r="B38" t="s">
        <v>72</v>
      </c>
      <c r="C38">
        <v>20</v>
      </c>
      <c r="D38">
        <v>10</v>
      </c>
      <c r="E38" t="s">
        <v>82</v>
      </c>
      <c r="F38">
        <v>1</v>
      </c>
      <c r="G38">
        <v>32</v>
      </c>
      <c r="H38">
        <v>1710</v>
      </c>
      <c r="I38">
        <v>0.7</v>
      </c>
      <c r="J38">
        <v>0</v>
      </c>
      <c r="K38" t="s">
        <v>83</v>
      </c>
      <c r="L38" t="s">
        <v>84</v>
      </c>
      <c r="M38" t="s">
        <v>0</v>
      </c>
    </row>
    <row r="39" spans="1:13">
      <c r="A39">
        <v>12</v>
      </c>
      <c r="B39" t="s">
        <v>73</v>
      </c>
      <c r="C39">
        <v>20</v>
      </c>
      <c r="D39">
        <v>10</v>
      </c>
      <c r="E39" t="s">
        <v>82</v>
      </c>
      <c r="F39">
        <v>1</v>
      </c>
      <c r="G39">
        <v>64</v>
      </c>
      <c r="H39">
        <v>1734</v>
      </c>
      <c r="I39">
        <v>0.7</v>
      </c>
      <c r="J39">
        <v>0</v>
      </c>
      <c r="K39" t="s">
        <v>83</v>
      </c>
      <c r="L39" t="s">
        <v>84</v>
      </c>
      <c r="M39" t="s">
        <v>0</v>
      </c>
    </row>
    <row r="40" spans="1:13">
      <c r="A40">
        <v>13</v>
      </c>
      <c r="B40" t="s">
        <v>74</v>
      </c>
      <c r="C40">
        <v>20</v>
      </c>
      <c r="D40">
        <v>10</v>
      </c>
      <c r="E40" t="s">
        <v>82</v>
      </c>
      <c r="F40">
        <v>1</v>
      </c>
      <c r="G40">
        <v>64</v>
      </c>
      <c r="H40">
        <v>1676</v>
      </c>
      <c r="I40">
        <v>0.7</v>
      </c>
      <c r="J40">
        <v>0</v>
      </c>
      <c r="K40" t="s">
        <v>83</v>
      </c>
      <c r="L40" t="s">
        <v>84</v>
      </c>
      <c r="M40" t="s">
        <v>0</v>
      </c>
    </row>
    <row r="41" spans="1:13">
      <c r="A41" t="s">
        <v>0</v>
      </c>
    </row>
    <row r="42" spans="1:13">
      <c r="A42" t="s">
        <v>37</v>
      </c>
      <c r="B42" t="s">
        <v>85</v>
      </c>
      <c r="C42" t="s">
        <v>25</v>
      </c>
      <c r="D42" t="s">
        <v>86</v>
      </c>
    </row>
    <row r="43" spans="1:13">
      <c r="A43" t="s">
        <v>85</v>
      </c>
      <c r="B43" t="s">
        <v>87</v>
      </c>
      <c r="C43">
        <v>1</v>
      </c>
      <c r="D43">
        <v>2</v>
      </c>
      <c r="E43">
        <v>3</v>
      </c>
      <c r="F43">
        <v>4</v>
      </c>
      <c r="G43">
        <v>5</v>
      </c>
      <c r="H43" t="s">
        <v>0</v>
      </c>
    </row>
    <row r="44" spans="1:13">
      <c r="A44">
        <v>1</v>
      </c>
      <c r="B44" t="s">
        <v>88</v>
      </c>
      <c r="C44" t="s">
        <v>89</v>
      </c>
      <c r="D44" t="s">
        <v>90</v>
      </c>
      <c r="E44" t="s">
        <v>91</v>
      </c>
      <c r="F44" t="s">
        <v>92</v>
      </c>
      <c r="G44" t="s">
        <v>0</v>
      </c>
    </row>
    <row r="45" spans="1:13">
      <c r="A45">
        <v>2</v>
      </c>
      <c r="B45" t="s">
        <v>93</v>
      </c>
      <c r="C45" t="s">
        <v>94</v>
      </c>
      <c r="D45" t="s">
        <v>95</v>
      </c>
      <c r="E45" t="s">
        <v>96</v>
      </c>
      <c r="F45" t="s">
        <v>97</v>
      </c>
      <c r="G45" t="s">
        <v>0</v>
      </c>
    </row>
    <row r="46" spans="1:13">
      <c r="A46">
        <v>3</v>
      </c>
      <c r="B46" t="s">
        <v>98</v>
      </c>
      <c r="C46" t="s">
        <v>99</v>
      </c>
      <c r="D46">
        <v>0</v>
      </c>
      <c r="E46">
        <v>0</v>
      </c>
      <c r="F46" t="s">
        <v>100</v>
      </c>
      <c r="G46" t="s">
        <v>0</v>
      </c>
    </row>
    <row r="47" spans="1:13">
      <c r="A47" t="s">
        <v>0</v>
      </c>
    </row>
    <row r="48" spans="1:13">
      <c r="A48" t="s">
        <v>101</v>
      </c>
      <c r="B48" t="s">
        <v>102</v>
      </c>
      <c r="C48" t="s">
        <v>103</v>
      </c>
      <c r="D48" t="s">
        <v>104</v>
      </c>
      <c r="E48" t="s">
        <v>105</v>
      </c>
      <c r="F48" t="s">
        <v>0</v>
      </c>
    </row>
    <row r="49" spans="1:5">
      <c r="A49" t="s">
        <v>0</v>
      </c>
    </row>
    <row r="50" spans="1:5">
      <c r="A50" t="s">
        <v>106</v>
      </c>
      <c r="B50" t="s">
        <v>0</v>
      </c>
    </row>
    <row r="51" spans="1:5">
      <c r="A51" t="s">
        <v>40</v>
      </c>
      <c r="B51" t="s">
        <v>107</v>
      </c>
      <c r="C51" t="s">
        <v>108</v>
      </c>
      <c r="D51" t="s">
        <v>0</v>
      </c>
    </row>
    <row r="52" spans="1:5">
      <c r="A52">
        <v>1</v>
      </c>
      <c r="B52" t="s">
        <v>109</v>
      </c>
      <c r="C52" t="s">
        <v>110</v>
      </c>
      <c r="D52">
        <v>2.6555</v>
      </c>
      <c r="E52" t="s">
        <v>0</v>
      </c>
    </row>
    <row r="53" spans="1:5">
      <c r="A53">
        <v>2</v>
      </c>
      <c r="B53" t="s">
        <v>111</v>
      </c>
      <c r="C53" t="s">
        <v>112</v>
      </c>
      <c r="D53">
        <v>1.3234999999999999</v>
      </c>
      <c r="E53" t="s">
        <v>0</v>
      </c>
    </row>
    <row r="54" spans="1:5">
      <c r="A54">
        <v>3</v>
      </c>
      <c r="B54" t="s">
        <v>113</v>
      </c>
      <c r="C54" t="s">
        <v>110</v>
      </c>
      <c r="D54">
        <v>13.302199999999999</v>
      </c>
      <c r="E54" t="s">
        <v>0</v>
      </c>
    </row>
    <row r="55" spans="1:5">
      <c r="A55">
        <v>4</v>
      </c>
      <c r="B55" t="s">
        <v>114</v>
      </c>
      <c r="C55" t="s">
        <v>110</v>
      </c>
      <c r="D55">
        <v>50.934199999999997</v>
      </c>
      <c r="E55" t="s">
        <v>0</v>
      </c>
    </row>
    <row r="56" spans="1:5">
      <c r="A56">
        <v>5</v>
      </c>
      <c r="B56" t="s">
        <v>65</v>
      </c>
      <c r="C56" t="s">
        <v>112</v>
      </c>
      <c r="D56">
        <v>1.43</v>
      </c>
      <c r="E56" t="s">
        <v>0</v>
      </c>
    </row>
    <row r="57" spans="1:5">
      <c r="A57">
        <v>6</v>
      </c>
      <c r="B57" t="s">
        <v>67</v>
      </c>
      <c r="C57" t="s">
        <v>115</v>
      </c>
      <c r="D57">
        <v>0.47</v>
      </c>
      <c r="E57" t="s">
        <v>0</v>
      </c>
    </row>
    <row r="58" spans="1:5">
      <c r="A58">
        <v>7</v>
      </c>
      <c r="B58" t="s">
        <v>116</v>
      </c>
      <c r="C58" t="s">
        <v>110</v>
      </c>
      <c r="D58">
        <v>0.81910000000000005</v>
      </c>
      <c r="E58" t="s">
        <v>0</v>
      </c>
    </row>
    <row r="59" spans="1:5">
      <c r="A59">
        <v>8</v>
      </c>
      <c r="B59" t="s">
        <v>117</v>
      </c>
      <c r="C59" t="s">
        <v>118</v>
      </c>
      <c r="D59">
        <v>43.488500000000002</v>
      </c>
      <c r="E59" t="s">
        <v>0</v>
      </c>
    </row>
    <row r="60" spans="1:5">
      <c r="A60">
        <v>9</v>
      </c>
      <c r="B60" t="s">
        <v>119</v>
      </c>
      <c r="C60" t="s">
        <v>110</v>
      </c>
      <c r="D60">
        <v>12.4899</v>
      </c>
      <c r="E60" t="s">
        <v>0</v>
      </c>
    </row>
    <row r="61" spans="1:5">
      <c r="A61">
        <v>10</v>
      </c>
      <c r="B61" t="s">
        <v>120</v>
      </c>
      <c r="C61" t="s">
        <v>110</v>
      </c>
      <c r="D61">
        <v>0.3896</v>
      </c>
      <c r="E61" t="s">
        <v>0</v>
      </c>
    </row>
    <row r="62" spans="1:5">
      <c r="A62">
        <v>11</v>
      </c>
      <c r="B62" t="s">
        <v>121</v>
      </c>
      <c r="C62" t="s">
        <v>110</v>
      </c>
      <c r="D62">
        <v>5.0739999999999998</v>
      </c>
      <c r="E62" t="s">
        <v>0</v>
      </c>
    </row>
    <row r="63" spans="1:5">
      <c r="A63">
        <v>12</v>
      </c>
      <c r="B63" t="s">
        <v>122</v>
      </c>
      <c r="C63" t="s">
        <v>110</v>
      </c>
      <c r="D63">
        <v>9.3047000000000004</v>
      </c>
      <c r="E63" t="s">
        <v>0</v>
      </c>
    </row>
    <row r="64" spans="1:5">
      <c r="A64">
        <v>13</v>
      </c>
      <c r="B64" t="s">
        <v>123</v>
      </c>
      <c r="C64" t="s">
        <v>110</v>
      </c>
      <c r="D64">
        <v>4.0533999999999999</v>
      </c>
      <c r="E64" t="s">
        <v>0</v>
      </c>
    </row>
    <row r="65" spans="1:8">
      <c r="A65" t="s">
        <v>0</v>
      </c>
    </row>
    <row r="66" spans="1:8">
      <c r="A66" t="s">
        <v>124</v>
      </c>
    </row>
    <row r="67" spans="1:8">
      <c r="A67" t="s">
        <v>40</v>
      </c>
      <c r="B67" t="s">
        <v>125</v>
      </c>
      <c r="C67" t="s">
        <v>126</v>
      </c>
      <c r="D67" t="s">
        <v>127</v>
      </c>
      <c r="E67" t="s">
        <v>128</v>
      </c>
      <c r="F67" t="s">
        <v>129</v>
      </c>
      <c r="G67" t="s">
        <v>130</v>
      </c>
      <c r="H67" t="s">
        <v>0</v>
      </c>
    </row>
    <row r="68" spans="1:8">
      <c r="A68">
        <v>1</v>
      </c>
      <c r="B68" t="s">
        <v>51</v>
      </c>
      <c r="C68" s="1">
        <v>1.008E-8</v>
      </c>
      <c r="D68">
        <v>222.6</v>
      </c>
      <c r="E68">
        <v>0</v>
      </c>
      <c r="F68">
        <v>16.8</v>
      </c>
      <c r="G68">
        <v>1.1000000000000001</v>
      </c>
      <c r="H68" s="2">
        <v>45597.556250000001</v>
      </c>
    </row>
    <row r="69" spans="1:8">
      <c r="A69">
        <v>2</v>
      </c>
      <c r="B69" t="s">
        <v>56</v>
      </c>
      <c r="C69" s="1">
        <v>1.007E-8</v>
      </c>
      <c r="D69">
        <v>69.900000000000006</v>
      </c>
      <c r="E69">
        <v>5.4</v>
      </c>
      <c r="F69">
        <v>4.8</v>
      </c>
      <c r="G69">
        <v>1.17</v>
      </c>
      <c r="H69" s="2">
        <v>43800.689583333333</v>
      </c>
    </row>
    <row r="70" spans="1:8">
      <c r="A70">
        <v>3</v>
      </c>
      <c r="B70" t="s">
        <v>59</v>
      </c>
      <c r="C70" s="1">
        <v>1.0190000000000001E-8</v>
      </c>
      <c r="D70">
        <v>186.4</v>
      </c>
      <c r="E70">
        <v>2.8</v>
      </c>
      <c r="F70">
        <v>2.5</v>
      </c>
      <c r="G70">
        <v>0.83</v>
      </c>
      <c r="H70" s="2">
        <v>42614.861805555556</v>
      </c>
    </row>
    <row r="71" spans="1:8">
      <c r="A71">
        <v>4</v>
      </c>
      <c r="B71" t="s">
        <v>62</v>
      </c>
      <c r="C71" s="1">
        <v>1.001E-8</v>
      </c>
      <c r="D71">
        <v>3629.1</v>
      </c>
      <c r="E71">
        <v>30.6</v>
      </c>
      <c r="F71">
        <v>18.399999999999999</v>
      </c>
      <c r="G71">
        <v>0.19</v>
      </c>
      <c r="H71" s="2">
        <v>44166.668055555558</v>
      </c>
    </row>
    <row r="72" spans="1:8">
      <c r="A72">
        <v>5</v>
      </c>
      <c r="B72" t="s">
        <v>65</v>
      </c>
      <c r="C72" s="1">
        <v>1.007E-8</v>
      </c>
      <c r="D72">
        <v>233.1</v>
      </c>
      <c r="E72">
        <v>9.1</v>
      </c>
      <c r="F72">
        <v>7.8</v>
      </c>
      <c r="G72">
        <v>0.62</v>
      </c>
      <c r="H72" s="2">
        <v>43800.689583333333</v>
      </c>
    </row>
    <row r="73" spans="1:8">
      <c r="A73">
        <v>6</v>
      </c>
      <c r="B73" t="s">
        <v>67</v>
      </c>
      <c r="C73" s="1">
        <v>2.9999999999999997E-8</v>
      </c>
      <c r="D73">
        <v>17.899999999999999</v>
      </c>
      <c r="E73">
        <v>13</v>
      </c>
      <c r="F73">
        <v>10.4</v>
      </c>
      <c r="G73">
        <v>2.36</v>
      </c>
      <c r="H73" s="2">
        <v>42309.584027777775</v>
      </c>
    </row>
    <row r="74" spans="1:8">
      <c r="A74">
        <v>7</v>
      </c>
      <c r="B74" t="s">
        <v>68</v>
      </c>
      <c r="C74" s="1">
        <v>1.014E-8</v>
      </c>
      <c r="D74">
        <v>185.3</v>
      </c>
      <c r="E74">
        <v>27.8</v>
      </c>
      <c r="F74">
        <v>21.7</v>
      </c>
      <c r="G74">
        <v>0.76</v>
      </c>
      <c r="H74" s="2">
        <v>43040.525694444441</v>
      </c>
    </row>
    <row r="75" spans="1:8">
      <c r="A75">
        <v>8</v>
      </c>
      <c r="B75" t="s">
        <v>69</v>
      </c>
      <c r="C75" s="1">
        <v>5.0120000000000001E-8</v>
      </c>
      <c r="D75">
        <v>2738.7</v>
      </c>
      <c r="E75">
        <v>14.5</v>
      </c>
      <c r="F75">
        <v>18.8</v>
      </c>
      <c r="G75">
        <v>0.18</v>
      </c>
      <c r="H75" s="2">
        <v>42948.694444444445</v>
      </c>
    </row>
    <row r="76" spans="1:8">
      <c r="A76">
        <v>9</v>
      </c>
      <c r="B76" t="s">
        <v>70</v>
      </c>
      <c r="C76" s="1">
        <v>1.001E-8</v>
      </c>
      <c r="D76">
        <v>876.4</v>
      </c>
      <c r="E76">
        <v>14.4</v>
      </c>
      <c r="F76">
        <v>9.1999999999999993</v>
      </c>
      <c r="G76">
        <v>0.38</v>
      </c>
      <c r="H76" s="2">
        <v>44166.668055555558</v>
      </c>
    </row>
    <row r="77" spans="1:8">
      <c r="A77">
        <v>10</v>
      </c>
      <c r="B77" t="s">
        <v>71</v>
      </c>
      <c r="C77" s="1">
        <v>1.014E-8</v>
      </c>
      <c r="D77">
        <v>13.9</v>
      </c>
      <c r="E77">
        <v>2.6</v>
      </c>
      <c r="F77">
        <v>3</v>
      </c>
      <c r="G77">
        <v>3.58</v>
      </c>
      <c r="H77" s="2">
        <v>43040.525694444441</v>
      </c>
    </row>
    <row r="78" spans="1:8">
      <c r="A78">
        <v>11</v>
      </c>
      <c r="B78" t="s">
        <v>72</v>
      </c>
      <c r="C78" s="1">
        <v>1.014E-8</v>
      </c>
      <c r="D78">
        <v>590.1</v>
      </c>
      <c r="E78">
        <v>40.200000000000003</v>
      </c>
      <c r="F78">
        <v>0</v>
      </c>
      <c r="G78">
        <v>0.48</v>
      </c>
      <c r="H78" s="2">
        <v>43040.525694444441</v>
      </c>
    </row>
    <row r="79" spans="1:8">
      <c r="A79">
        <v>12</v>
      </c>
      <c r="B79" t="s">
        <v>73</v>
      </c>
      <c r="C79" s="1">
        <v>6E-9</v>
      </c>
      <c r="D79">
        <v>1163.5999999999999</v>
      </c>
      <c r="E79">
        <v>20.100000000000001</v>
      </c>
      <c r="F79">
        <v>20.8</v>
      </c>
      <c r="G79">
        <v>0.33</v>
      </c>
      <c r="H79" s="2">
        <v>40452.470138888886</v>
      </c>
    </row>
    <row r="80" spans="1:8">
      <c r="A80">
        <v>13</v>
      </c>
      <c r="B80" t="s">
        <v>74</v>
      </c>
      <c r="C80" s="1">
        <v>1.014E-8</v>
      </c>
      <c r="D80">
        <v>693.4</v>
      </c>
      <c r="E80">
        <v>0</v>
      </c>
      <c r="F80">
        <v>47</v>
      </c>
      <c r="G80">
        <v>0.44</v>
      </c>
      <c r="H80" s="2">
        <v>43040.525694444441</v>
      </c>
    </row>
    <row r="81" spans="1:8">
      <c r="A81" t="s">
        <v>131</v>
      </c>
      <c r="B81" t="s">
        <v>0</v>
      </c>
    </row>
    <row r="82" spans="1:8">
      <c r="A82" t="s">
        <v>40</v>
      </c>
      <c r="B82" t="s">
        <v>132</v>
      </c>
      <c r="C82" t="s">
        <v>133</v>
      </c>
      <c r="D82" t="s">
        <v>134</v>
      </c>
      <c r="E82" t="s">
        <v>135</v>
      </c>
      <c r="F82" t="s">
        <v>136</v>
      </c>
      <c r="G82" t="s">
        <v>137</v>
      </c>
      <c r="H82" t="s">
        <v>0</v>
      </c>
    </row>
    <row r="83" spans="1:8">
      <c r="A83" t="s">
        <v>51</v>
      </c>
      <c r="B83">
        <v>0.3987</v>
      </c>
      <c r="C83">
        <v>4.0000000000000001E-3</v>
      </c>
      <c r="D83">
        <v>0.4758</v>
      </c>
      <c r="E83">
        <v>0.9899</v>
      </c>
      <c r="F83">
        <v>0.98799999999999999</v>
      </c>
      <c r="G83">
        <v>2.1402999999999999</v>
      </c>
      <c r="H83" t="s">
        <v>0</v>
      </c>
    </row>
    <row r="84" spans="1:8">
      <c r="A84" t="s">
        <v>56</v>
      </c>
      <c r="B84">
        <v>0.7712</v>
      </c>
      <c r="C84">
        <v>4.3E-3</v>
      </c>
      <c r="D84">
        <v>0.82340000000000002</v>
      </c>
      <c r="E84">
        <v>0.93959999999999999</v>
      </c>
      <c r="F84">
        <v>1.0334000000000001</v>
      </c>
      <c r="G84">
        <v>1.2454000000000001</v>
      </c>
      <c r="H84" t="s">
        <v>0</v>
      </c>
    </row>
    <row r="85" spans="1:8">
      <c r="A85" t="s">
        <v>59</v>
      </c>
      <c r="B85">
        <v>0.98160000000000003</v>
      </c>
      <c r="C85">
        <v>0</v>
      </c>
      <c r="D85">
        <v>0.99760000000000004</v>
      </c>
      <c r="E85">
        <v>0.80810000000000004</v>
      </c>
      <c r="F85">
        <v>1.0562</v>
      </c>
      <c r="G85">
        <v>1.1744000000000001</v>
      </c>
      <c r="H85" t="s">
        <v>0</v>
      </c>
    </row>
    <row r="86" spans="1:8">
      <c r="A86" t="s">
        <v>62</v>
      </c>
      <c r="B86">
        <v>0.71299999999999997</v>
      </c>
      <c r="C86">
        <v>1E-3</v>
      </c>
      <c r="D86">
        <v>0.78249999999999997</v>
      </c>
      <c r="E86">
        <v>0.98440000000000005</v>
      </c>
      <c r="F86">
        <v>1.0104</v>
      </c>
      <c r="G86">
        <v>1.2836000000000001</v>
      </c>
      <c r="H86" t="s">
        <v>0</v>
      </c>
    </row>
    <row r="87" spans="1:8">
      <c r="A87" t="s">
        <v>65</v>
      </c>
      <c r="B87">
        <v>0.83150000000000002</v>
      </c>
      <c r="C87">
        <v>6.1999999999999998E-3</v>
      </c>
      <c r="D87">
        <v>0.88100000000000001</v>
      </c>
      <c r="E87">
        <v>0.89170000000000005</v>
      </c>
      <c r="F87">
        <v>1.0396000000000001</v>
      </c>
      <c r="G87">
        <v>1.2166999999999999</v>
      </c>
      <c r="H87" t="s">
        <v>0</v>
      </c>
    </row>
    <row r="88" spans="1:8">
      <c r="A88" t="s">
        <v>67</v>
      </c>
      <c r="B88">
        <v>0.1956</v>
      </c>
      <c r="C88">
        <v>1.4E-3</v>
      </c>
      <c r="D88">
        <v>0.25669999999999998</v>
      </c>
      <c r="E88">
        <v>0.998</v>
      </c>
      <c r="F88">
        <v>0.98219999999999996</v>
      </c>
      <c r="G88">
        <v>3.9681999999999999</v>
      </c>
      <c r="H88" t="s">
        <v>0</v>
      </c>
    </row>
    <row r="89" spans="1:8">
      <c r="A89" t="s">
        <v>68</v>
      </c>
      <c r="B89">
        <v>0.9083</v>
      </c>
      <c r="C89">
        <v>1.5800000000000002E-2</v>
      </c>
      <c r="D89">
        <v>0.94710000000000005</v>
      </c>
      <c r="E89">
        <v>0.90129999999999999</v>
      </c>
      <c r="F89">
        <v>1.0422</v>
      </c>
      <c r="G89">
        <v>1.1065</v>
      </c>
      <c r="H89" t="s">
        <v>0</v>
      </c>
    </row>
    <row r="90" spans="1:8">
      <c r="A90" t="s">
        <v>69</v>
      </c>
      <c r="B90">
        <v>0.97989999999999999</v>
      </c>
      <c r="C90">
        <v>0</v>
      </c>
      <c r="D90">
        <v>0.99860000000000004</v>
      </c>
      <c r="E90">
        <v>0.83489999999999998</v>
      </c>
      <c r="F90">
        <v>1.046</v>
      </c>
      <c r="G90">
        <v>1.1466000000000001</v>
      </c>
      <c r="H90" t="s">
        <v>0</v>
      </c>
    </row>
    <row r="91" spans="1:8">
      <c r="A91" t="s">
        <v>70</v>
      </c>
      <c r="B91">
        <v>0.65090000000000003</v>
      </c>
      <c r="C91">
        <v>1.09E-2</v>
      </c>
      <c r="D91">
        <v>0.73</v>
      </c>
      <c r="E91">
        <v>0.9657</v>
      </c>
      <c r="F91">
        <v>1.0027999999999999</v>
      </c>
      <c r="G91">
        <v>1.3993</v>
      </c>
      <c r="H91" t="s">
        <v>0</v>
      </c>
    </row>
    <row r="92" spans="1:8">
      <c r="A92" t="s">
        <v>71</v>
      </c>
      <c r="B92">
        <v>0.68079999999999996</v>
      </c>
      <c r="C92">
        <v>1.6000000000000001E-3</v>
      </c>
      <c r="D92">
        <v>0.73760000000000003</v>
      </c>
      <c r="E92">
        <v>0.94340000000000002</v>
      </c>
      <c r="F92">
        <v>1.0178</v>
      </c>
      <c r="G92">
        <v>1.4096</v>
      </c>
      <c r="H92" t="s">
        <v>0</v>
      </c>
    </row>
    <row r="93" spans="1:8">
      <c r="A93" t="s">
        <v>72</v>
      </c>
      <c r="B93">
        <v>0.54069999999999996</v>
      </c>
      <c r="C93">
        <v>7.1999999999999998E-3</v>
      </c>
      <c r="D93">
        <v>0.61980000000000002</v>
      </c>
      <c r="E93">
        <v>1.0047999999999999</v>
      </c>
      <c r="F93">
        <v>0.99519999999999997</v>
      </c>
      <c r="G93">
        <v>1.6017999999999999</v>
      </c>
      <c r="H93" t="s">
        <v>0</v>
      </c>
    </row>
    <row r="94" spans="1:8">
      <c r="A94" t="s">
        <v>73</v>
      </c>
      <c r="B94">
        <v>0.93059999999999998</v>
      </c>
      <c r="C94">
        <v>7.1999999999999998E-3</v>
      </c>
      <c r="D94">
        <v>0.96389999999999998</v>
      </c>
      <c r="E94">
        <v>0.91559999999999997</v>
      </c>
      <c r="F94">
        <v>1.0466</v>
      </c>
      <c r="G94">
        <v>1.0749</v>
      </c>
      <c r="H94" t="s">
        <v>0</v>
      </c>
    </row>
    <row r="95" spans="1:8">
      <c r="A95" t="s">
        <v>74</v>
      </c>
      <c r="B95">
        <v>0.95130000000000003</v>
      </c>
      <c r="C95">
        <v>1.1299999999999999E-2</v>
      </c>
      <c r="D95">
        <v>0.9788</v>
      </c>
      <c r="E95">
        <v>0.82589999999999997</v>
      </c>
      <c r="F95">
        <v>1.0529999999999999</v>
      </c>
      <c r="G95">
        <v>1.1616</v>
      </c>
      <c r="H95" t="s">
        <v>0</v>
      </c>
    </row>
    <row r="96" spans="1:8">
      <c r="A96" t="s">
        <v>0</v>
      </c>
    </row>
    <row r="98" spans="1:1">
      <c r="A98" t="s">
        <v>138</v>
      </c>
    </row>
    <row r="99" spans="1:1">
      <c r="A99" t="s">
        <v>139</v>
      </c>
    </row>
    <row r="100" spans="1:1">
      <c r="A100" t="s">
        <v>140</v>
      </c>
    </row>
    <row r="101" spans="1:1">
      <c r="A101" t="s">
        <v>141</v>
      </c>
    </row>
    <row r="102" spans="1:1">
      <c r="A102" t="s">
        <v>142</v>
      </c>
    </row>
    <row r="103" spans="1:1">
      <c r="A103" t="s">
        <v>143</v>
      </c>
    </row>
    <row r="104" spans="1:1">
      <c r="A104" t="s">
        <v>144</v>
      </c>
    </row>
    <row r="105" spans="1:1">
      <c r="A105" t="s">
        <v>145</v>
      </c>
    </row>
    <row r="106" spans="1:1">
      <c r="A106" t="s">
        <v>146</v>
      </c>
    </row>
    <row r="107" spans="1:1">
      <c r="A107" t="s">
        <v>147</v>
      </c>
    </row>
    <row r="108" spans="1:1">
      <c r="A108" t="s">
        <v>148</v>
      </c>
    </row>
    <row r="109" spans="1:1">
      <c r="A109" t="s">
        <v>149</v>
      </c>
    </row>
    <row r="110" spans="1:1">
      <c r="A110" t="s">
        <v>150</v>
      </c>
    </row>
    <row r="111" spans="1:1">
      <c r="A111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9F24-E736-A64F-A1C4-ACA7CBC92E5A}">
  <dimension ref="A1:P115"/>
  <sheetViews>
    <sheetView topLeftCell="A60" workbookViewId="0">
      <selection activeCell="U34" sqref="U34"/>
    </sheetView>
  </sheetViews>
  <sheetFormatPr defaultColWidth="10.90625" defaultRowHeight="15"/>
  <sheetData>
    <row r="1" spans="1:16">
      <c r="A1" t="s">
        <v>0</v>
      </c>
    </row>
    <row r="2" spans="1:16">
      <c r="A2" t="s">
        <v>1</v>
      </c>
      <c r="B2" t="s">
        <v>152</v>
      </c>
      <c r="C2" t="s">
        <v>153</v>
      </c>
      <c r="D2" t="s">
        <v>2</v>
      </c>
      <c r="E2">
        <v>1</v>
      </c>
      <c r="F2" t="s">
        <v>0</v>
      </c>
    </row>
    <row r="3" spans="1:16">
      <c r="A3" t="s">
        <v>0</v>
      </c>
    </row>
    <row r="4" spans="1:16">
      <c r="A4" t="s">
        <v>3</v>
      </c>
      <c r="B4" t="s">
        <v>154</v>
      </c>
      <c r="C4" t="s">
        <v>155</v>
      </c>
      <c r="D4" t="s">
        <v>6</v>
      </c>
      <c r="E4" t="s">
        <v>7</v>
      </c>
      <c r="F4" t="s">
        <v>156</v>
      </c>
      <c r="G4" t="s">
        <v>157</v>
      </c>
      <c r="H4" t="s">
        <v>158</v>
      </c>
      <c r="I4" t="s">
        <v>5</v>
      </c>
      <c r="J4" t="s">
        <v>9</v>
      </c>
      <c r="K4" t="s">
        <v>159</v>
      </c>
      <c r="L4" t="s">
        <v>4</v>
      </c>
      <c r="M4" t="s">
        <v>8</v>
      </c>
      <c r="N4" t="s">
        <v>160</v>
      </c>
      <c r="O4" t="s">
        <v>10</v>
      </c>
      <c r="P4" t="s">
        <v>11</v>
      </c>
    </row>
    <row r="5" spans="1:16">
      <c r="A5">
        <v>1</v>
      </c>
      <c r="B5">
        <v>2.8</v>
      </c>
      <c r="C5">
        <v>4.0800000000000003E-2</v>
      </c>
      <c r="D5">
        <v>13.6</v>
      </c>
      <c r="E5">
        <v>51.16</v>
      </c>
      <c r="F5">
        <v>2.3699999999999999E-2</v>
      </c>
      <c r="G5">
        <v>1.26E-2</v>
      </c>
      <c r="H5">
        <v>0.81379999999999997</v>
      </c>
      <c r="I5">
        <v>0.17860000000000001</v>
      </c>
      <c r="J5">
        <v>12.3</v>
      </c>
      <c r="K5">
        <v>0.3881</v>
      </c>
      <c r="L5">
        <v>5.13</v>
      </c>
      <c r="M5">
        <v>9.27</v>
      </c>
      <c r="N5">
        <v>4.08</v>
      </c>
      <c r="O5">
        <v>99.797600000000003</v>
      </c>
      <c r="P5" t="s">
        <v>161</v>
      </c>
    </row>
    <row r="6" spans="1:16">
      <c r="A6">
        <v>2</v>
      </c>
      <c r="B6">
        <v>2.7</v>
      </c>
      <c r="C6">
        <v>2.3199999999999998E-2</v>
      </c>
      <c r="D6">
        <v>13.46</v>
      </c>
      <c r="E6">
        <v>51.24</v>
      </c>
      <c r="F6">
        <v>0.03</v>
      </c>
      <c r="G6">
        <v>7.9100000000000004E-2</v>
      </c>
      <c r="H6">
        <v>0.81420000000000003</v>
      </c>
      <c r="I6">
        <v>0.24679999999999999</v>
      </c>
      <c r="J6">
        <v>12.48</v>
      </c>
      <c r="K6">
        <v>0.3543</v>
      </c>
      <c r="L6">
        <v>5.2</v>
      </c>
      <c r="M6">
        <v>9.3699999999999992</v>
      </c>
      <c r="N6">
        <v>4.0599999999999996</v>
      </c>
      <c r="O6">
        <v>100.0575</v>
      </c>
      <c r="P6" t="s">
        <v>161</v>
      </c>
    </row>
    <row r="7" spans="1:16">
      <c r="A7">
        <v>3</v>
      </c>
      <c r="B7">
        <v>2.69</v>
      </c>
      <c r="C7">
        <v>0.36659999999999998</v>
      </c>
      <c r="D7">
        <v>11.76</v>
      </c>
      <c r="E7">
        <v>51.66</v>
      </c>
      <c r="F7">
        <v>3.3099999999999997E-2</v>
      </c>
      <c r="G7">
        <v>6.93E-2</v>
      </c>
      <c r="H7">
        <v>0.19939999999999999</v>
      </c>
      <c r="I7">
        <v>0.23960000000000001</v>
      </c>
      <c r="J7">
        <v>14.03</v>
      </c>
      <c r="K7">
        <v>0.1729</v>
      </c>
      <c r="L7">
        <v>7.04</v>
      </c>
      <c r="M7">
        <v>11.38</v>
      </c>
      <c r="N7">
        <v>1.82</v>
      </c>
      <c r="O7">
        <v>101.46080000000001</v>
      </c>
      <c r="P7" t="s">
        <v>162</v>
      </c>
    </row>
    <row r="8" spans="1:16">
      <c r="A8">
        <v>4</v>
      </c>
      <c r="B8">
        <v>2.6</v>
      </c>
      <c r="C8">
        <v>0.35909999999999997</v>
      </c>
      <c r="D8">
        <v>12.1</v>
      </c>
      <c r="E8">
        <v>51.6</v>
      </c>
      <c r="F8">
        <v>3.4599999999999999E-2</v>
      </c>
      <c r="G8">
        <v>7.0199999999999999E-2</v>
      </c>
      <c r="H8">
        <v>0.1893</v>
      </c>
      <c r="I8">
        <v>0.24479999999999999</v>
      </c>
      <c r="J8">
        <v>14.04</v>
      </c>
      <c r="K8">
        <v>0.16009999999999999</v>
      </c>
      <c r="L8">
        <v>7.17</v>
      </c>
      <c r="M8">
        <v>11.31</v>
      </c>
      <c r="N8">
        <v>1.85</v>
      </c>
      <c r="O8">
        <v>101.72799999999999</v>
      </c>
      <c r="P8" t="s">
        <v>162</v>
      </c>
    </row>
    <row r="9" spans="1:16">
      <c r="A9">
        <v>5</v>
      </c>
      <c r="B9">
        <v>6.21</v>
      </c>
      <c r="C9">
        <v>2.6100000000000002E-2</v>
      </c>
      <c r="D9">
        <v>7.86</v>
      </c>
      <c r="E9">
        <v>70.77</v>
      </c>
      <c r="F9">
        <v>0.39889999999999998</v>
      </c>
      <c r="G9">
        <v>0.45789999999999997</v>
      </c>
      <c r="H9">
        <v>4.29</v>
      </c>
      <c r="I9">
        <v>0.19159999999999999</v>
      </c>
      <c r="J9">
        <v>8.83</v>
      </c>
      <c r="K9">
        <v>1.61E-2</v>
      </c>
      <c r="L9">
        <v>2.24E-2</v>
      </c>
      <c r="M9">
        <v>0.39600000000000002</v>
      </c>
      <c r="N9">
        <v>0.3392</v>
      </c>
      <c r="O9">
        <v>99.808300000000003</v>
      </c>
      <c r="P9" t="s">
        <v>163</v>
      </c>
    </row>
    <row r="10" spans="1:16">
      <c r="A10">
        <v>6</v>
      </c>
      <c r="B10">
        <v>2.36</v>
      </c>
      <c r="C10">
        <v>3.4799999999999998E-2</v>
      </c>
      <c r="D10">
        <v>8</v>
      </c>
      <c r="E10">
        <v>72.72</v>
      </c>
      <c r="F10">
        <v>0.38479999999999998</v>
      </c>
      <c r="G10">
        <v>0.51470000000000005</v>
      </c>
      <c r="H10">
        <v>4.16</v>
      </c>
      <c r="I10">
        <v>0.29049999999999998</v>
      </c>
      <c r="J10">
        <v>8.85</v>
      </c>
      <c r="K10">
        <v>1.47E-2</v>
      </c>
      <c r="L10">
        <v>4.1700000000000001E-2</v>
      </c>
      <c r="M10">
        <v>0.45850000000000002</v>
      </c>
      <c r="N10">
        <v>0.34029999999999999</v>
      </c>
      <c r="O10">
        <v>98.170100000000005</v>
      </c>
      <c r="P10" t="s">
        <v>163</v>
      </c>
    </row>
    <row r="11" spans="1:16">
      <c r="A11">
        <v>7</v>
      </c>
      <c r="B11">
        <v>5.35</v>
      </c>
      <c r="C11">
        <v>1.3919999999999999</v>
      </c>
      <c r="D11">
        <v>0.1958</v>
      </c>
      <c r="E11">
        <v>51.04</v>
      </c>
      <c r="F11">
        <v>1.45</v>
      </c>
      <c r="G11">
        <v>6.7999999999999996E-3</v>
      </c>
      <c r="H11">
        <v>0.84370000000000001</v>
      </c>
      <c r="I11">
        <v>5.8999999999999999E-3</v>
      </c>
      <c r="J11">
        <v>25.88</v>
      </c>
      <c r="K11">
        <v>2.0299999999999999E-2</v>
      </c>
      <c r="L11">
        <v>0</v>
      </c>
      <c r="M11">
        <v>13.88</v>
      </c>
      <c r="N11">
        <v>2.5000000000000001E-3</v>
      </c>
      <c r="O11">
        <v>100.0669</v>
      </c>
      <c r="P11" t="s">
        <v>164</v>
      </c>
    </row>
    <row r="12" spans="1:16">
      <c r="A12">
        <v>8</v>
      </c>
      <c r="B12">
        <v>5.19</v>
      </c>
      <c r="C12">
        <v>1.3602000000000001</v>
      </c>
      <c r="D12">
        <v>8.5199999999999998E-2</v>
      </c>
      <c r="E12">
        <v>50.95</v>
      </c>
      <c r="F12">
        <v>1.42</v>
      </c>
      <c r="G12">
        <v>0</v>
      </c>
      <c r="H12">
        <v>0.87329999999999997</v>
      </c>
      <c r="I12">
        <v>3.5000000000000003E-2</v>
      </c>
      <c r="J12">
        <v>25.46</v>
      </c>
      <c r="K12">
        <v>1.4E-3</v>
      </c>
      <c r="L12">
        <v>2E-3</v>
      </c>
      <c r="M12">
        <v>14.02</v>
      </c>
      <c r="N12">
        <v>1.29E-2</v>
      </c>
      <c r="O12">
        <v>99.41</v>
      </c>
      <c r="P12" t="s">
        <v>164</v>
      </c>
    </row>
    <row r="13" spans="1:16">
      <c r="A13">
        <v>9</v>
      </c>
      <c r="B13">
        <v>2.65</v>
      </c>
      <c r="C13">
        <v>1.7500000000000002E-2</v>
      </c>
      <c r="D13">
        <v>13.79</v>
      </c>
      <c r="E13">
        <v>46</v>
      </c>
      <c r="F13">
        <v>0.1143</v>
      </c>
      <c r="G13">
        <v>0.11650000000000001</v>
      </c>
      <c r="H13">
        <v>1.75</v>
      </c>
      <c r="I13">
        <v>0.24210000000000001</v>
      </c>
      <c r="J13">
        <v>14.9</v>
      </c>
      <c r="K13">
        <v>0.63539999999999996</v>
      </c>
      <c r="L13">
        <v>5.07</v>
      </c>
      <c r="M13">
        <v>11.22</v>
      </c>
      <c r="N13">
        <v>4</v>
      </c>
      <c r="O13">
        <v>100.50579999999999</v>
      </c>
      <c r="P13" t="s">
        <v>165</v>
      </c>
    </row>
    <row r="14" spans="1:16">
      <c r="A14">
        <v>10</v>
      </c>
      <c r="B14">
        <v>2.59</v>
      </c>
      <c r="C14">
        <v>1.6500000000000001E-2</v>
      </c>
      <c r="D14">
        <v>13.75</v>
      </c>
      <c r="E14">
        <v>45.97</v>
      </c>
      <c r="F14">
        <v>0.1074</v>
      </c>
      <c r="G14">
        <v>0.16</v>
      </c>
      <c r="H14">
        <v>1.77</v>
      </c>
      <c r="I14">
        <v>0.22</v>
      </c>
      <c r="J14">
        <v>14.99</v>
      </c>
      <c r="K14">
        <v>0.62660000000000005</v>
      </c>
      <c r="L14">
        <v>5.08</v>
      </c>
      <c r="M14">
        <v>11.12</v>
      </c>
      <c r="N14">
        <v>3.9</v>
      </c>
      <c r="O14">
        <v>100.3005</v>
      </c>
      <c r="P14" t="s">
        <v>166</v>
      </c>
    </row>
    <row r="15" spans="1:16">
      <c r="A15">
        <v>11</v>
      </c>
      <c r="B15">
        <v>2.9</v>
      </c>
      <c r="C15">
        <v>2.92E-2</v>
      </c>
      <c r="D15">
        <v>13.49</v>
      </c>
      <c r="E15">
        <v>45.63</v>
      </c>
      <c r="F15">
        <v>0.1246</v>
      </c>
      <c r="G15">
        <v>0.1055</v>
      </c>
      <c r="H15">
        <v>1.83</v>
      </c>
      <c r="I15">
        <v>0.22520000000000001</v>
      </c>
      <c r="J15">
        <v>15.01</v>
      </c>
      <c r="K15">
        <v>0.64939999999999998</v>
      </c>
      <c r="L15">
        <v>5.07</v>
      </c>
      <c r="M15">
        <v>11.16</v>
      </c>
      <c r="N15">
        <v>3.9</v>
      </c>
      <c r="O15">
        <v>100.1238</v>
      </c>
      <c r="P15" t="s">
        <v>167</v>
      </c>
    </row>
    <row r="16" spans="1:16">
      <c r="A16">
        <v>12</v>
      </c>
      <c r="B16">
        <v>2.65</v>
      </c>
      <c r="C16">
        <v>4.3499999999999997E-2</v>
      </c>
      <c r="D16">
        <v>13.63</v>
      </c>
      <c r="E16">
        <v>46.2</v>
      </c>
      <c r="F16">
        <v>0.1232</v>
      </c>
      <c r="G16">
        <v>0.1241</v>
      </c>
      <c r="H16">
        <v>1.58</v>
      </c>
      <c r="I16">
        <v>0.22</v>
      </c>
      <c r="J16">
        <v>14.93</v>
      </c>
      <c r="K16">
        <v>0.56459999999999999</v>
      </c>
      <c r="L16">
        <v>5.17</v>
      </c>
      <c r="M16">
        <v>11.22</v>
      </c>
      <c r="N16">
        <v>3.99</v>
      </c>
      <c r="O16">
        <v>100.4453</v>
      </c>
      <c r="P16" t="s">
        <v>168</v>
      </c>
    </row>
    <row r="17" spans="1:16">
      <c r="A17">
        <v>13</v>
      </c>
      <c r="B17">
        <v>2.38</v>
      </c>
      <c r="C17">
        <v>5.4300000000000001E-2</v>
      </c>
      <c r="D17">
        <v>13.98</v>
      </c>
      <c r="E17">
        <v>45.95</v>
      </c>
      <c r="F17">
        <v>0.125</v>
      </c>
      <c r="G17">
        <v>0.12959999999999999</v>
      </c>
      <c r="H17">
        <v>1.69</v>
      </c>
      <c r="I17">
        <v>0.26350000000000001</v>
      </c>
      <c r="J17">
        <v>15.06</v>
      </c>
      <c r="K17">
        <v>0.70340000000000003</v>
      </c>
      <c r="L17">
        <v>5</v>
      </c>
      <c r="M17">
        <v>11.32</v>
      </c>
      <c r="N17">
        <v>3.97</v>
      </c>
      <c r="O17">
        <v>100.62569999999999</v>
      </c>
      <c r="P17" t="s">
        <v>169</v>
      </c>
    </row>
    <row r="18" spans="1:16">
      <c r="A18">
        <v>14</v>
      </c>
      <c r="B18">
        <v>2.75</v>
      </c>
      <c r="C18">
        <v>2.93E-2</v>
      </c>
      <c r="D18">
        <v>13.16</v>
      </c>
      <c r="E18">
        <v>46.19</v>
      </c>
      <c r="F18">
        <v>0.1273</v>
      </c>
      <c r="G18">
        <v>0.18920000000000001</v>
      </c>
      <c r="H18">
        <v>1.8</v>
      </c>
      <c r="I18">
        <v>0.152</v>
      </c>
      <c r="J18">
        <v>15.05</v>
      </c>
      <c r="K18">
        <v>0.74239999999999995</v>
      </c>
      <c r="L18">
        <v>4.95</v>
      </c>
      <c r="M18">
        <v>11.07</v>
      </c>
      <c r="N18">
        <v>3.91</v>
      </c>
      <c r="O18">
        <v>100.1202</v>
      </c>
      <c r="P18" t="s">
        <v>170</v>
      </c>
    </row>
    <row r="19" spans="1:16">
      <c r="A19">
        <v>15</v>
      </c>
      <c r="B19">
        <v>4.8099999999999996</v>
      </c>
      <c r="C19">
        <v>2.7199999999999998E-2</v>
      </c>
      <c r="D19">
        <v>12.66</v>
      </c>
      <c r="E19">
        <v>46.24</v>
      </c>
      <c r="F19">
        <v>0.1203</v>
      </c>
      <c r="G19">
        <v>0.1179</v>
      </c>
      <c r="H19">
        <v>1.78</v>
      </c>
      <c r="I19">
        <v>0.16300000000000001</v>
      </c>
      <c r="J19">
        <v>15.07</v>
      </c>
      <c r="K19">
        <v>0.73240000000000005</v>
      </c>
      <c r="L19">
        <v>4.67</v>
      </c>
      <c r="M19">
        <v>10.47</v>
      </c>
      <c r="N19">
        <v>3.99</v>
      </c>
      <c r="O19">
        <v>100.8507</v>
      </c>
      <c r="P19" t="s">
        <v>171</v>
      </c>
    </row>
    <row r="20" spans="1:16">
      <c r="A20">
        <v>16</v>
      </c>
      <c r="B20">
        <v>4.1100000000000003</v>
      </c>
      <c r="C20">
        <v>7.9000000000000001E-2</v>
      </c>
      <c r="D20">
        <v>13.6</v>
      </c>
      <c r="E20">
        <v>44.87</v>
      </c>
      <c r="F20">
        <v>0.12670000000000001</v>
      </c>
      <c r="G20">
        <v>0.13969999999999999</v>
      </c>
      <c r="H20">
        <v>1.71</v>
      </c>
      <c r="I20">
        <v>0.22020000000000001</v>
      </c>
      <c r="J20">
        <v>14.79</v>
      </c>
      <c r="K20">
        <v>0.69469999999999998</v>
      </c>
      <c r="L20">
        <v>4.9000000000000004</v>
      </c>
      <c r="M20">
        <v>10.83</v>
      </c>
      <c r="N20">
        <v>3.94</v>
      </c>
      <c r="O20">
        <v>100.0103</v>
      </c>
      <c r="P20" t="s">
        <v>172</v>
      </c>
    </row>
    <row r="21" spans="1:16">
      <c r="A21">
        <v>17</v>
      </c>
      <c r="B21">
        <v>4.4400000000000004</v>
      </c>
      <c r="C21">
        <v>3.9800000000000002E-2</v>
      </c>
      <c r="D21">
        <v>13.04</v>
      </c>
      <c r="E21">
        <v>45.4</v>
      </c>
      <c r="F21">
        <v>0.1237</v>
      </c>
      <c r="G21">
        <v>0.11899999999999999</v>
      </c>
      <c r="H21">
        <v>1.67</v>
      </c>
      <c r="I21">
        <v>0.21709999999999999</v>
      </c>
      <c r="J21">
        <v>14.99</v>
      </c>
      <c r="K21">
        <v>0.68640000000000001</v>
      </c>
      <c r="L21">
        <v>4.8099999999999996</v>
      </c>
      <c r="M21">
        <v>10.6</v>
      </c>
      <c r="N21">
        <v>3.87</v>
      </c>
      <c r="O21">
        <v>100.0059</v>
      </c>
      <c r="P21" t="s">
        <v>173</v>
      </c>
    </row>
    <row r="22" spans="1:16">
      <c r="A22">
        <v>18</v>
      </c>
      <c r="B22">
        <v>5.63</v>
      </c>
      <c r="C22">
        <v>2.2200000000000001E-2</v>
      </c>
      <c r="D22">
        <v>13.01</v>
      </c>
      <c r="E22">
        <v>46.14</v>
      </c>
      <c r="F22">
        <v>0.12620000000000001</v>
      </c>
      <c r="G22">
        <v>0.2576</v>
      </c>
      <c r="H22">
        <v>2.19</v>
      </c>
      <c r="I22">
        <v>0.25779999999999997</v>
      </c>
      <c r="J22">
        <v>14.88</v>
      </c>
      <c r="K22">
        <v>0.69650000000000001</v>
      </c>
      <c r="L22">
        <v>4.3</v>
      </c>
      <c r="M22">
        <v>9.39</v>
      </c>
      <c r="N22">
        <v>3.84</v>
      </c>
      <c r="O22">
        <v>100.7402</v>
      </c>
      <c r="P22" t="s">
        <v>174</v>
      </c>
    </row>
    <row r="23" spans="1:16">
      <c r="A23">
        <v>19</v>
      </c>
      <c r="B23">
        <v>4.33</v>
      </c>
      <c r="C23">
        <v>4.5699999999999998E-2</v>
      </c>
      <c r="D23">
        <v>14.12</v>
      </c>
      <c r="E23">
        <v>46.12</v>
      </c>
      <c r="F23">
        <v>0.14549999999999999</v>
      </c>
      <c r="G23">
        <v>0.1595</v>
      </c>
      <c r="H23">
        <v>1.85</v>
      </c>
      <c r="I23">
        <v>0.2145</v>
      </c>
      <c r="J23">
        <v>14.8</v>
      </c>
      <c r="K23">
        <v>0.77359999999999995</v>
      </c>
      <c r="L23">
        <v>4.3600000000000003</v>
      </c>
      <c r="M23">
        <v>9.94</v>
      </c>
      <c r="N23">
        <v>3.92</v>
      </c>
      <c r="O23">
        <v>100.7787</v>
      </c>
      <c r="P23" t="s">
        <v>175</v>
      </c>
    </row>
    <row r="24" spans="1:16">
      <c r="A24">
        <v>20</v>
      </c>
      <c r="B24">
        <v>4.5199999999999996</v>
      </c>
      <c r="C24">
        <v>3.8199999999999998E-2</v>
      </c>
      <c r="D24">
        <v>13.69</v>
      </c>
      <c r="E24">
        <v>45.95</v>
      </c>
      <c r="F24">
        <v>0.1293</v>
      </c>
      <c r="G24">
        <v>0.18779999999999999</v>
      </c>
      <c r="H24">
        <v>2.2000000000000002</v>
      </c>
      <c r="I24">
        <v>0.216</v>
      </c>
      <c r="J24">
        <v>14.8</v>
      </c>
      <c r="K24">
        <v>0.77100000000000002</v>
      </c>
      <c r="L24">
        <v>4.5599999999999996</v>
      </c>
      <c r="M24">
        <v>9.82</v>
      </c>
      <c r="N24">
        <v>3.78</v>
      </c>
      <c r="O24">
        <v>100.6622</v>
      </c>
      <c r="P24" t="s">
        <v>176</v>
      </c>
    </row>
    <row r="25" spans="1:16">
      <c r="A25">
        <v>21</v>
      </c>
      <c r="B25">
        <v>5.18</v>
      </c>
      <c r="C25">
        <v>4.1500000000000002E-2</v>
      </c>
      <c r="D25">
        <v>15.38</v>
      </c>
      <c r="E25">
        <v>46.05</v>
      </c>
      <c r="F25">
        <v>0.16189999999999999</v>
      </c>
      <c r="G25">
        <v>0.18129999999999999</v>
      </c>
      <c r="H25">
        <v>2.23</v>
      </c>
      <c r="I25">
        <v>0.27960000000000002</v>
      </c>
      <c r="J25">
        <v>14.47</v>
      </c>
      <c r="K25">
        <v>0.71550000000000002</v>
      </c>
      <c r="L25">
        <v>4.16</v>
      </c>
      <c r="M25">
        <v>8.82</v>
      </c>
      <c r="N25">
        <v>3.93</v>
      </c>
      <c r="O25">
        <v>101.5998</v>
      </c>
      <c r="P25" t="s">
        <v>177</v>
      </c>
    </row>
    <row r="26" spans="1:16">
      <c r="A26">
        <v>22</v>
      </c>
      <c r="B26">
        <v>4.76</v>
      </c>
      <c r="C26">
        <v>5.2699999999999997E-2</v>
      </c>
      <c r="D26">
        <v>14.4</v>
      </c>
      <c r="E26">
        <v>45.66</v>
      </c>
      <c r="F26">
        <v>0.12720000000000001</v>
      </c>
      <c r="G26">
        <v>0.15190000000000001</v>
      </c>
      <c r="H26">
        <v>1.94</v>
      </c>
      <c r="I26">
        <v>0.28560000000000002</v>
      </c>
      <c r="J26">
        <v>14.55</v>
      </c>
      <c r="K26">
        <v>0.74150000000000005</v>
      </c>
      <c r="L26">
        <v>4.6100000000000003</v>
      </c>
      <c r="M26">
        <v>9.86</v>
      </c>
      <c r="N26">
        <v>3.83</v>
      </c>
      <c r="O26">
        <v>100.9688</v>
      </c>
      <c r="P26" t="s">
        <v>178</v>
      </c>
    </row>
    <row r="27" spans="1:16">
      <c r="A27">
        <v>23</v>
      </c>
      <c r="B27">
        <v>5.09</v>
      </c>
      <c r="C27">
        <v>3.1099999999999999E-2</v>
      </c>
      <c r="D27">
        <v>13.55</v>
      </c>
      <c r="E27">
        <v>46.75</v>
      </c>
      <c r="F27">
        <v>0.13669999999999999</v>
      </c>
      <c r="G27">
        <v>0.19620000000000001</v>
      </c>
      <c r="H27">
        <v>2.0699999999999998</v>
      </c>
      <c r="I27">
        <v>0.23469999999999999</v>
      </c>
      <c r="J27">
        <v>15.36</v>
      </c>
      <c r="K27">
        <v>0.73629999999999995</v>
      </c>
      <c r="L27">
        <v>4.1900000000000004</v>
      </c>
      <c r="M27">
        <v>9.3699999999999992</v>
      </c>
      <c r="N27">
        <v>3.74</v>
      </c>
      <c r="O27">
        <v>101.45489999999999</v>
      </c>
      <c r="P27" t="s">
        <v>179</v>
      </c>
    </row>
    <row r="28" spans="1:16">
      <c r="A28">
        <v>24</v>
      </c>
      <c r="B28">
        <v>5.0599999999999996</v>
      </c>
      <c r="C28">
        <v>2.52E-2</v>
      </c>
      <c r="D28">
        <v>12.34</v>
      </c>
      <c r="E28">
        <v>45.98</v>
      </c>
      <c r="F28">
        <v>0.11459999999999999</v>
      </c>
      <c r="G28">
        <v>0.18540000000000001</v>
      </c>
      <c r="H28">
        <v>2.06</v>
      </c>
      <c r="I28">
        <v>0.2172</v>
      </c>
      <c r="J28">
        <v>14.95</v>
      </c>
      <c r="K28">
        <v>0.73270000000000002</v>
      </c>
      <c r="L28">
        <v>4.54</v>
      </c>
      <c r="M28">
        <v>10.34</v>
      </c>
      <c r="N28">
        <v>3.87</v>
      </c>
      <c r="O28">
        <v>100.41500000000001</v>
      </c>
      <c r="P28" t="s">
        <v>180</v>
      </c>
    </row>
    <row r="29" spans="1:16">
      <c r="A29">
        <v>25</v>
      </c>
      <c r="B29">
        <v>4.49</v>
      </c>
      <c r="C29">
        <v>3.2199999999999999E-2</v>
      </c>
      <c r="D29">
        <v>13.83</v>
      </c>
      <c r="E29">
        <v>45.86</v>
      </c>
      <c r="F29">
        <v>0.12139999999999999</v>
      </c>
      <c r="G29">
        <v>0.15629999999999999</v>
      </c>
      <c r="H29">
        <v>1.99</v>
      </c>
      <c r="I29">
        <v>0.3105</v>
      </c>
      <c r="J29">
        <v>15.09</v>
      </c>
      <c r="K29">
        <v>0.76570000000000005</v>
      </c>
      <c r="L29">
        <v>4.6100000000000003</v>
      </c>
      <c r="M29">
        <v>10.050000000000001</v>
      </c>
      <c r="N29">
        <v>3.74</v>
      </c>
      <c r="O29">
        <v>101.0461</v>
      </c>
      <c r="P29" t="s">
        <v>181</v>
      </c>
    </row>
    <row r="30" spans="1:16">
      <c r="A30">
        <v>26</v>
      </c>
      <c r="B30">
        <v>4.71</v>
      </c>
      <c r="C30">
        <v>3.8399999999999997E-2</v>
      </c>
      <c r="D30">
        <v>14.05</v>
      </c>
      <c r="E30">
        <v>45.43</v>
      </c>
      <c r="F30">
        <v>0.1196</v>
      </c>
      <c r="G30">
        <v>0.25829999999999997</v>
      </c>
      <c r="H30">
        <v>1.96</v>
      </c>
      <c r="I30">
        <v>0.23050000000000001</v>
      </c>
      <c r="J30">
        <v>14.48</v>
      </c>
      <c r="K30">
        <v>0.73119999999999996</v>
      </c>
      <c r="L30">
        <v>4.6399999999999997</v>
      </c>
      <c r="M30">
        <v>9.7100000000000009</v>
      </c>
      <c r="N30">
        <v>3.81</v>
      </c>
      <c r="O30">
        <v>100.1679</v>
      </c>
      <c r="P30" t="s">
        <v>182</v>
      </c>
    </row>
    <row r="31" spans="1:16">
      <c r="A31">
        <v>27</v>
      </c>
      <c r="B31">
        <v>4.82</v>
      </c>
      <c r="C31">
        <v>8.1699999999999995E-2</v>
      </c>
      <c r="D31">
        <v>13.52</v>
      </c>
      <c r="E31">
        <v>44.93</v>
      </c>
      <c r="F31">
        <v>6.7799999999999999E-2</v>
      </c>
      <c r="G31">
        <v>8.3400000000000002E-2</v>
      </c>
      <c r="H31">
        <v>2.13</v>
      </c>
      <c r="I31">
        <v>0.24199999999999999</v>
      </c>
      <c r="J31">
        <v>15.48</v>
      </c>
      <c r="K31">
        <v>1.0618000000000001</v>
      </c>
      <c r="L31">
        <v>4.54</v>
      </c>
      <c r="M31">
        <v>10.56</v>
      </c>
      <c r="N31">
        <v>3.8</v>
      </c>
      <c r="O31">
        <v>101.31659999999999</v>
      </c>
      <c r="P31" t="s">
        <v>183</v>
      </c>
    </row>
    <row r="32" spans="1:16">
      <c r="A32">
        <v>28</v>
      </c>
      <c r="B32">
        <v>4.82</v>
      </c>
      <c r="C32">
        <v>0.1331</v>
      </c>
      <c r="D32">
        <v>12.62</v>
      </c>
      <c r="E32">
        <v>44.55</v>
      </c>
      <c r="F32">
        <v>0.13569999999999999</v>
      </c>
      <c r="G32">
        <v>0.16089999999999999</v>
      </c>
      <c r="H32">
        <v>2.2000000000000002</v>
      </c>
      <c r="I32">
        <v>0.23430000000000001</v>
      </c>
      <c r="J32">
        <v>15.35</v>
      </c>
      <c r="K32">
        <v>1.0044999999999999</v>
      </c>
      <c r="L32">
        <v>4.41</v>
      </c>
      <c r="M32">
        <v>10.52</v>
      </c>
      <c r="N32">
        <v>3.8</v>
      </c>
      <c r="O32">
        <v>99.938599999999994</v>
      </c>
      <c r="P32" t="s">
        <v>184</v>
      </c>
    </row>
    <row r="33" spans="1:16">
      <c r="A33">
        <v>29</v>
      </c>
      <c r="B33">
        <v>4.8499999999999996</v>
      </c>
      <c r="C33">
        <v>0.11020000000000001</v>
      </c>
      <c r="D33">
        <v>12.23</v>
      </c>
      <c r="E33">
        <v>44.92</v>
      </c>
      <c r="F33">
        <v>0.1207</v>
      </c>
      <c r="G33">
        <v>0.113</v>
      </c>
      <c r="H33">
        <v>2.17</v>
      </c>
      <c r="I33">
        <v>0.2203</v>
      </c>
      <c r="J33">
        <v>15.36</v>
      </c>
      <c r="K33">
        <v>0.97470000000000001</v>
      </c>
      <c r="L33">
        <v>4.18</v>
      </c>
      <c r="M33">
        <v>10.48</v>
      </c>
      <c r="N33">
        <v>3.7</v>
      </c>
      <c r="O33">
        <v>99.428899999999999</v>
      </c>
      <c r="P33" t="s">
        <v>185</v>
      </c>
    </row>
    <row r="34" spans="1:16">
      <c r="A34">
        <v>30</v>
      </c>
      <c r="B34">
        <v>4.9000000000000004</v>
      </c>
      <c r="C34">
        <v>0.1004</v>
      </c>
      <c r="D34">
        <v>12.58</v>
      </c>
      <c r="E34">
        <v>44.78</v>
      </c>
      <c r="F34">
        <v>0.13880000000000001</v>
      </c>
      <c r="G34">
        <v>0.19159999999999999</v>
      </c>
      <c r="H34">
        <v>2.2400000000000002</v>
      </c>
      <c r="I34">
        <v>0.24640000000000001</v>
      </c>
      <c r="J34">
        <v>14.59</v>
      </c>
      <c r="K34">
        <v>0.97360000000000002</v>
      </c>
      <c r="L34">
        <v>4.5199999999999996</v>
      </c>
      <c r="M34">
        <v>10.52</v>
      </c>
      <c r="N34">
        <v>3.79</v>
      </c>
      <c r="O34">
        <v>99.570800000000006</v>
      </c>
      <c r="P34" t="s">
        <v>186</v>
      </c>
    </row>
    <row r="35" spans="1:16">
      <c r="A35">
        <v>31</v>
      </c>
      <c r="B35">
        <v>4.75</v>
      </c>
      <c r="C35">
        <v>0.10009999999999999</v>
      </c>
      <c r="D35">
        <v>12.22</v>
      </c>
      <c r="E35">
        <v>44.85</v>
      </c>
      <c r="F35">
        <v>0.1411</v>
      </c>
      <c r="G35">
        <v>0.13469999999999999</v>
      </c>
      <c r="H35">
        <v>2.14</v>
      </c>
      <c r="I35">
        <v>0.23960000000000001</v>
      </c>
      <c r="J35">
        <v>14.77</v>
      </c>
      <c r="K35">
        <v>1.0415000000000001</v>
      </c>
      <c r="L35">
        <v>4.3899999999999997</v>
      </c>
      <c r="M35">
        <v>10.45</v>
      </c>
      <c r="N35">
        <v>3.8</v>
      </c>
      <c r="O35">
        <v>99.027100000000004</v>
      </c>
      <c r="P35" t="s">
        <v>187</v>
      </c>
    </row>
    <row r="36" spans="1:16">
      <c r="A36">
        <v>32</v>
      </c>
      <c r="B36">
        <v>4.7699999999999996</v>
      </c>
      <c r="C36">
        <v>2.1970999999999998</v>
      </c>
      <c r="D36">
        <v>13.77</v>
      </c>
      <c r="E36">
        <v>44.06</v>
      </c>
      <c r="F36">
        <v>0.1293</v>
      </c>
      <c r="G36">
        <v>0.2099</v>
      </c>
      <c r="H36">
        <v>2.14</v>
      </c>
      <c r="I36">
        <v>0.2167</v>
      </c>
      <c r="J36">
        <v>15.32</v>
      </c>
      <c r="K36">
        <v>0.94620000000000004</v>
      </c>
      <c r="L36">
        <v>4.4400000000000004</v>
      </c>
      <c r="M36">
        <v>10.199999999999999</v>
      </c>
      <c r="N36">
        <v>3.78</v>
      </c>
      <c r="O36">
        <v>102.17910000000001</v>
      </c>
      <c r="P36" t="s">
        <v>188</v>
      </c>
    </row>
    <row r="37" spans="1:16">
      <c r="A37">
        <v>33</v>
      </c>
      <c r="B37">
        <v>4.9000000000000004</v>
      </c>
      <c r="C37">
        <v>0.1283</v>
      </c>
      <c r="D37">
        <v>12.74</v>
      </c>
      <c r="E37">
        <v>43.89</v>
      </c>
      <c r="F37">
        <v>0.12690000000000001</v>
      </c>
      <c r="G37">
        <v>0.2127</v>
      </c>
      <c r="H37">
        <v>2.2200000000000002</v>
      </c>
      <c r="I37">
        <v>0.2341</v>
      </c>
      <c r="J37">
        <v>15.36</v>
      </c>
      <c r="K37">
        <v>0.97</v>
      </c>
      <c r="L37">
        <v>4.5</v>
      </c>
      <c r="M37">
        <v>10.41</v>
      </c>
      <c r="N37">
        <v>3.79</v>
      </c>
      <c r="O37">
        <v>99.482100000000003</v>
      </c>
      <c r="P37" t="s">
        <v>189</v>
      </c>
    </row>
    <row r="38" spans="1:16">
      <c r="A38">
        <v>34</v>
      </c>
      <c r="B38">
        <v>4.9000000000000004</v>
      </c>
      <c r="C38">
        <v>0.12670000000000001</v>
      </c>
      <c r="D38">
        <v>12.82</v>
      </c>
      <c r="E38">
        <v>44.87</v>
      </c>
      <c r="F38">
        <v>0.14149999999999999</v>
      </c>
      <c r="G38">
        <v>0.13619999999999999</v>
      </c>
      <c r="H38">
        <v>2.21</v>
      </c>
      <c r="I38">
        <v>0.24690000000000001</v>
      </c>
      <c r="J38">
        <v>15.42</v>
      </c>
      <c r="K38">
        <v>0.97650000000000003</v>
      </c>
      <c r="L38">
        <v>4.4400000000000004</v>
      </c>
      <c r="M38">
        <v>10.46</v>
      </c>
      <c r="N38">
        <v>3.77</v>
      </c>
      <c r="O38">
        <v>100.5177</v>
      </c>
      <c r="P38" t="s">
        <v>190</v>
      </c>
    </row>
    <row r="39" spans="1:16">
      <c r="A39">
        <v>35</v>
      </c>
      <c r="B39">
        <v>4.8099999999999996</v>
      </c>
      <c r="C39">
        <v>0.13389999999999999</v>
      </c>
      <c r="D39">
        <v>11.97</v>
      </c>
      <c r="E39">
        <v>45.25</v>
      </c>
      <c r="F39">
        <v>0.13250000000000001</v>
      </c>
      <c r="G39">
        <v>0.28029999999999999</v>
      </c>
      <c r="H39">
        <v>2.17</v>
      </c>
      <c r="I39">
        <v>0.21659999999999999</v>
      </c>
      <c r="J39">
        <v>15.55</v>
      </c>
      <c r="K39">
        <v>0.96830000000000005</v>
      </c>
      <c r="L39">
        <v>4.29</v>
      </c>
      <c r="M39">
        <v>10.48</v>
      </c>
      <c r="N39">
        <v>3.76</v>
      </c>
      <c r="O39">
        <v>100.0116</v>
      </c>
      <c r="P39" t="s">
        <v>191</v>
      </c>
    </row>
    <row r="40" spans="1:16">
      <c r="A40">
        <v>36</v>
      </c>
      <c r="B40">
        <v>4</v>
      </c>
      <c r="C40">
        <v>2.93E-2</v>
      </c>
      <c r="D40">
        <v>12.08</v>
      </c>
      <c r="E40">
        <v>45.73</v>
      </c>
      <c r="F40">
        <v>8.0799999999999997E-2</v>
      </c>
      <c r="G40">
        <v>0.15429999999999999</v>
      </c>
      <c r="H40">
        <v>1.28</v>
      </c>
      <c r="I40">
        <v>0.1893</v>
      </c>
      <c r="J40">
        <v>14.73</v>
      </c>
      <c r="K40">
        <v>0.54339999999999999</v>
      </c>
      <c r="L40">
        <v>5.64</v>
      </c>
      <c r="M40">
        <v>11.86</v>
      </c>
      <c r="N40">
        <v>3.6</v>
      </c>
      <c r="O40">
        <v>99.917199999999994</v>
      </c>
      <c r="P40" t="s">
        <v>192</v>
      </c>
    </row>
    <row r="41" spans="1:16">
      <c r="A41">
        <v>37</v>
      </c>
      <c r="B41">
        <v>4.03</v>
      </c>
      <c r="C41">
        <v>4.8300000000000003E-2</v>
      </c>
      <c r="D41">
        <v>12.16</v>
      </c>
      <c r="E41">
        <v>46.1</v>
      </c>
      <c r="F41">
        <v>7.6799999999999993E-2</v>
      </c>
      <c r="G41">
        <v>0.15770000000000001</v>
      </c>
      <c r="H41">
        <v>1.29</v>
      </c>
      <c r="I41">
        <v>0.19370000000000001</v>
      </c>
      <c r="J41">
        <v>14.62</v>
      </c>
      <c r="K41">
        <v>0.57979999999999998</v>
      </c>
      <c r="L41">
        <v>5.52</v>
      </c>
      <c r="M41">
        <v>11.65</v>
      </c>
      <c r="N41">
        <v>3.63</v>
      </c>
      <c r="O41">
        <v>100.05629999999999</v>
      </c>
      <c r="P41" t="s">
        <v>193</v>
      </c>
    </row>
    <row r="42" spans="1:16">
      <c r="A42">
        <v>38</v>
      </c>
      <c r="B42">
        <v>4.28</v>
      </c>
      <c r="C42">
        <v>3.1699999999999999E-2</v>
      </c>
      <c r="D42">
        <v>12.21</v>
      </c>
      <c r="E42">
        <v>45.35</v>
      </c>
      <c r="F42">
        <v>6.3500000000000001E-2</v>
      </c>
      <c r="G42">
        <v>9.2399999999999996E-2</v>
      </c>
      <c r="H42">
        <v>1.32</v>
      </c>
      <c r="I42">
        <v>0.20960000000000001</v>
      </c>
      <c r="J42">
        <v>14.54</v>
      </c>
      <c r="K42">
        <v>0.52470000000000006</v>
      </c>
      <c r="L42">
        <v>5.55</v>
      </c>
      <c r="M42">
        <v>11.72</v>
      </c>
      <c r="N42">
        <v>3.52</v>
      </c>
      <c r="O42">
        <v>99.411900000000003</v>
      </c>
      <c r="P42" t="s">
        <v>194</v>
      </c>
    </row>
    <row r="43" spans="1:16">
      <c r="A43">
        <v>39</v>
      </c>
      <c r="B43">
        <v>4.01</v>
      </c>
      <c r="C43">
        <v>4.7300000000000002E-2</v>
      </c>
      <c r="D43">
        <v>12</v>
      </c>
      <c r="E43">
        <v>45.85</v>
      </c>
      <c r="F43">
        <v>7.5499999999999998E-2</v>
      </c>
      <c r="G43">
        <v>0.1532</v>
      </c>
      <c r="H43">
        <v>1.24</v>
      </c>
      <c r="I43">
        <v>0.16120000000000001</v>
      </c>
      <c r="J43">
        <v>14.87</v>
      </c>
      <c r="K43">
        <v>0.54769999999999996</v>
      </c>
      <c r="L43">
        <v>5.52</v>
      </c>
      <c r="M43">
        <v>11.7</v>
      </c>
      <c r="N43">
        <v>3.58</v>
      </c>
      <c r="O43">
        <v>99.754999999999995</v>
      </c>
      <c r="P43" t="s">
        <v>195</v>
      </c>
    </row>
    <row r="44" spans="1:16">
      <c r="A44">
        <v>40</v>
      </c>
      <c r="B44">
        <v>4.07</v>
      </c>
      <c r="C44">
        <v>6.3E-2</v>
      </c>
      <c r="D44">
        <v>11.8</v>
      </c>
      <c r="E44">
        <v>46.72</v>
      </c>
      <c r="F44">
        <v>7.3300000000000004E-2</v>
      </c>
      <c r="G44">
        <v>8.3099999999999993E-2</v>
      </c>
      <c r="H44">
        <v>1.21</v>
      </c>
      <c r="I44">
        <v>0.19109999999999999</v>
      </c>
      <c r="J44">
        <v>14.88</v>
      </c>
      <c r="K44">
        <v>0.50629999999999997</v>
      </c>
      <c r="L44">
        <v>5.62</v>
      </c>
      <c r="M44">
        <v>11.79</v>
      </c>
      <c r="N44">
        <v>3.51</v>
      </c>
      <c r="O44">
        <v>100.5168</v>
      </c>
      <c r="P44" t="s">
        <v>196</v>
      </c>
    </row>
    <row r="45" spans="1:16">
      <c r="A45">
        <v>41</v>
      </c>
      <c r="B45">
        <v>4.1100000000000003</v>
      </c>
      <c r="C45">
        <v>5.4899999999999997E-2</v>
      </c>
      <c r="D45">
        <v>12.23</v>
      </c>
      <c r="E45">
        <v>46.48</v>
      </c>
      <c r="F45">
        <v>7.1599999999999997E-2</v>
      </c>
      <c r="G45">
        <v>0.1101</v>
      </c>
      <c r="H45">
        <v>1.27</v>
      </c>
      <c r="I45">
        <v>0.15629999999999999</v>
      </c>
      <c r="J45">
        <v>14.69</v>
      </c>
      <c r="K45">
        <v>0.5212</v>
      </c>
      <c r="L45">
        <v>5.62</v>
      </c>
      <c r="M45">
        <v>11.88</v>
      </c>
      <c r="N45">
        <v>3.64</v>
      </c>
      <c r="O45">
        <v>100.83410000000001</v>
      </c>
      <c r="P45" t="s">
        <v>197</v>
      </c>
    </row>
    <row r="46" spans="1:16">
      <c r="A46">
        <v>42</v>
      </c>
      <c r="B46">
        <v>3.98</v>
      </c>
      <c r="C46">
        <v>4.4900000000000002E-2</v>
      </c>
      <c r="D46">
        <v>12.27</v>
      </c>
      <c r="E46">
        <v>46.43</v>
      </c>
      <c r="F46">
        <v>9.5000000000000001E-2</v>
      </c>
      <c r="G46">
        <v>0.12870000000000001</v>
      </c>
      <c r="H46">
        <v>1.23</v>
      </c>
      <c r="I46">
        <v>0.24010000000000001</v>
      </c>
      <c r="J46">
        <v>14.88</v>
      </c>
      <c r="K46">
        <v>0.53090000000000004</v>
      </c>
      <c r="L46">
        <v>5.55</v>
      </c>
      <c r="M46">
        <v>11.78</v>
      </c>
      <c r="N46">
        <v>3.55</v>
      </c>
      <c r="O46">
        <v>100.70950000000001</v>
      </c>
      <c r="P46" t="s">
        <v>198</v>
      </c>
    </row>
    <row r="47" spans="1:16">
      <c r="A47">
        <v>43</v>
      </c>
      <c r="B47">
        <v>3.91</v>
      </c>
      <c r="C47">
        <v>3.7900000000000003E-2</v>
      </c>
      <c r="D47">
        <v>12.31</v>
      </c>
      <c r="E47">
        <v>46.89</v>
      </c>
      <c r="F47">
        <v>8.1600000000000006E-2</v>
      </c>
      <c r="G47">
        <v>0.14979999999999999</v>
      </c>
      <c r="H47">
        <v>1.1918</v>
      </c>
      <c r="I47">
        <v>0.19789999999999999</v>
      </c>
      <c r="J47">
        <v>14.68</v>
      </c>
      <c r="K47">
        <v>0.51890000000000003</v>
      </c>
      <c r="L47">
        <v>5.52</v>
      </c>
      <c r="M47">
        <v>11.98</v>
      </c>
      <c r="N47">
        <v>3.6</v>
      </c>
      <c r="O47">
        <v>101.06780000000001</v>
      </c>
      <c r="P47" t="s">
        <v>199</v>
      </c>
    </row>
    <row r="48" spans="1:16">
      <c r="A48">
        <v>44</v>
      </c>
      <c r="B48">
        <v>4.08</v>
      </c>
      <c r="C48">
        <v>2.9399999999999999E-2</v>
      </c>
      <c r="D48">
        <v>12.06</v>
      </c>
      <c r="E48">
        <v>46.55</v>
      </c>
      <c r="F48">
        <v>8.6800000000000002E-2</v>
      </c>
      <c r="G48">
        <v>0.12659999999999999</v>
      </c>
      <c r="H48">
        <v>1.25</v>
      </c>
      <c r="I48">
        <v>0.1726</v>
      </c>
      <c r="J48">
        <v>14.69</v>
      </c>
      <c r="K48">
        <v>0.55559999999999998</v>
      </c>
      <c r="L48">
        <v>5.67</v>
      </c>
      <c r="M48">
        <v>11.77</v>
      </c>
      <c r="N48">
        <v>3.56</v>
      </c>
      <c r="O48">
        <v>100.6009</v>
      </c>
      <c r="P48" t="s">
        <v>200</v>
      </c>
    </row>
    <row r="49" spans="1:16">
      <c r="A49">
        <v>45</v>
      </c>
      <c r="B49">
        <v>3.97</v>
      </c>
      <c r="C49">
        <v>4.2799999999999998E-2</v>
      </c>
      <c r="D49">
        <v>12.91</v>
      </c>
      <c r="E49">
        <v>47.37</v>
      </c>
      <c r="F49">
        <v>7.4099999999999999E-2</v>
      </c>
      <c r="G49">
        <v>6.2700000000000006E-2</v>
      </c>
      <c r="H49">
        <v>1.0876999999999999</v>
      </c>
      <c r="I49">
        <v>0.26269999999999999</v>
      </c>
      <c r="J49">
        <v>15.26</v>
      </c>
      <c r="K49">
        <v>0.52329999999999999</v>
      </c>
      <c r="L49">
        <v>5.43</v>
      </c>
      <c r="M49">
        <v>11.01</v>
      </c>
      <c r="N49">
        <v>3.48</v>
      </c>
      <c r="O49">
        <v>101.4833</v>
      </c>
      <c r="P49" t="s">
        <v>201</v>
      </c>
    </row>
    <row r="50" spans="1:16">
      <c r="A50">
        <v>46</v>
      </c>
      <c r="B50">
        <v>3.4</v>
      </c>
      <c r="C50">
        <v>5.67E-2</v>
      </c>
      <c r="D50">
        <v>12.1</v>
      </c>
      <c r="E50">
        <v>47.41</v>
      </c>
      <c r="F50">
        <v>6.5299999999999997E-2</v>
      </c>
      <c r="G50">
        <v>0.1217</v>
      </c>
      <c r="H50">
        <v>0.91930000000000001</v>
      </c>
      <c r="I50">
        <v>0.1245</v>
      </c>
      <c r="J50">
        <v>15.24</v>
      </c>
      <c r="K50">
        <v>0.54049999999999998</v>
      </c>
      <c r="L50">
        <v>5.59</v>
      </c>
      <c r="M50">
        <v>12.21</v>
      </c>
      <c r="N50">
        <v>3.58</v>
      </c>
      <c r="O50">
        <v>101.3579</v>
      </c>
      <c r="P50" t="s">
        <v>202</v>
      </c>
    </row>
    <row r="51" spans="1:16">
      <c r="A51">
        <v>47</v>
      </c>
      <c r="B51">
        <v>3.49</v>
      </c>
      <c r="C51">
        <v>3.7100000000000001E-2</v>
      </c>
      <c r="D51">
        <v>11.67</v>
      </c>
      <c r="E51">
        <v>47.42</v>
      </c>
      <c r="F51">
        <v>7.6100000000000001E-2</v>
      </c>
      <c r="G51">
        <v>6.8599999999999994E-2</v>
      </c>
      <c r="H51">
        <v>0.33110000000000001</v>
      </c>
      <c r="I51">
        <v>0.21110000000000001</v>
      </c>
      <c r="J51">
        <v>15.53</v>
      </c>
      <c r="K51">
        <v>0.45569999999999999</v>
      </c>
      <c r="L51">
        <v>5.62</v>
      </c>
      <c r="M51">
        <v>12.71</v>
      </c>
      <c r="N51">
        <v>3.49</v>
      </c>
      <c r="O51">
        <v>101.1096</v>
      </c>
      <c r="P51" t="s">
        <v>203</v>
      </c>
    </row>
    <row r="52" spans="1:16">
      <c r="A52">
        <v>48</v>
      </c>
      <c r="B52">
        <v>3.25</v>
      </c>
      <c r="C52">
        <v>6.8099999999999994E-2</v>
      </c>
      <c r="D52">
        <v>11.98</v>
      </c>
      <c r="E52">
        <v>47.27</v>
      </c>
      <c r="F52">
        <v>8.8099999999999998E-2</v>
      </c>
      <c r="G52">
        <v>0.1237</v>
      </c>
      <c r="H52">
        <v>1.1983999999999999</v>
      </c>
      <c r="I52">
        <v>0.20480000000000001</v>
      </c>
      <c r="J52">
        <v>15.24</v>
      </c>
      <c r="K52">
        <v>0.49399999999999999</v>
      </c>
      <c r="L52">
        <v>5.78</v>
      </c>
      <c r="M52">
        <v>12.43</v>
      </c>
      <c r="N52">
        <v>3.5</v>
      </c>
      <c r="O52">
        <v>101.627</v>
      </c>
      <c r="P52" t="s">
        <v>204</v>
      </c>
    </row>
    <row r="53" spans="1:16">
      <c r="A53">
        <v>49</v>
      </c>
      <c r="B53">
        <v>0.40329999999999999</v>
      </c>
      <c r="C53">
        <v>3.2000000000000001E-2</v>
      </c>
      <c r="D53">
        <v>7.38</v>
      </c>
      <c r="E53">
        <v>48.11</v>
      </c>
      <c r="F53">
        <v>2.2000000000000001E-3</v>
      </c>
      <c r="G53">
        <v>5.28E-2</v>
      </c>
      <c r="H53">
        <v>1.1000000000000001E-3</v>
      </c>
      <c r="I53">
        <v>0.15409999999999999</v>
      </c>
      <c r="J53">
        <v>6.4</v>
      </c>
      <c r="K53">
        <v>2.0999999999999999E-3</v>
      </c>
      <c r="L53">
        <v>13.83</v>
      </c>
      <c r="M53">
        <v>23.28</v>
      </c>
      <c r="N53">
        <v>2.34</v>
      </c>
      <c r="O53">
        <v>101.9875</v>
      </c>
      <c r="P53" t="s">
        <v>205</v>
      </c>
    </row>
    <row r="54" spans="1:16">
      <c r="A54">
        <v>50</v>
      </c>
      <c r="B54">
        <v>3.02</v>
      </c>
      <c r="C54">
        <v>2.29E-2</v>
      </c>
      <c r="D54">
        <v>11.96</v>
      </c>
      <c r="E54">
        <v>47.88</v>
      </c>
      <c r="F54">
        <v>6.9199999999999998E-2</v>
      </c>
      <c r="G54">
        <v>7.5899999999999995E-2</v>
      </c>
      <c r="H54">
        <v>1.1657</v>
      </c>
      <c r="I54">
        <v>0.20030000000000001</v>
      </c>
      <c r="J54">
        <v>15.43</v>
      </c>
      <c r="K54">
        <v>0.52610000000000001</v>
      </c>
      <c r="L54">
        <v>5.74</v>
      </c>
      <c r="M54">
        <v>12.69</v>
      </c>
      <c r="N54">
        <v>3.5</v>
      </c>
      <c r="O54">
        <v>102.2801</v>
      </c>
      <c r="P54" t="s">
        <v>206</v>
      </c>
    </row>
    <row r="55" spans="1:16">
      <c r="A55">
        <v>51</v>
      </c>
      <c r="B55">
        <v>3.7</v>
      </c>
      <c r="C55">
        <v>5.4199999999999998E-2</v>
      </c>
      <c r="D55">
        <v>12.03</v>
      </c>
      <c r="E55">
        <v>47.55</v>
      </c>
      <c r="F55">
        <v>8.0199999999999994E-2</v>
      </c>
      <c r="G55">
        <v>0.09</v>
      </c>
      <c r="H55">
        <v>0.90780000000000005</v>
      </c>
      <c r="I55">
        <v>0.19170000000000001</v>
      </c>
      <c r="J55">
        <v>15.29</v>
      </c>
      <c r="K55">
        <v>0.48509999999999998</v>
      </c>
      <c r="L55">
        <v>5.56</v>
      </c>
      <c r="M55">
        <v>11.86</v>
      </c>
      <c r="N55">
        <v>3.5</v>
      </c>
      <c r="O55">
        <v>101.29900000000001</v>
      </c>
      <c r="P55" t="s">
        <v>207</v>
      </c>
    </row>
    <row r="56" spans="1:16">
      <c r="A56">
        <v>52</v>
      </c>
      <c r="B56">
        <v>3.72</v>
      </c>
      <c r="C56">
        <v>3.8699999999999998E-2</v>
      </c>
      <c r="D56">
        <v>11.34</v>
      </c>
      <c r="E56">
        <v>48.06</v>
      </c>
      <c r="F56">
        <v>6.5699999999999995E-2</v>
      </c>
      <c r="G56">
        <v>0.1074</v>
      </c>
      <c r="H56">
        <v>0.73329999999999995</v>
      </c>
      <c r="I56">
        <v>0.14699999999999999</v>
      </c>
      <c r="J56">
        <v>15.46</v>
      </c>
      <c r="K56">
        <v>0.50119999999999998</v>
      </c>
      <c r="L56">
        <v>5.64</v>
      </c>
      <c r="M56">
        <v>12.28</v>
      </c>
      <c r="N56">
        <v>3.56</v>
      </c>
      <c r="O56">
        <v>101.6532</v>
      </c>
      <c r="P56" t="s">
        <v>208</v>
      </c>
    </row>
    <row r="57" spans="1:16">
      <c r="A57">
        <v>53</v>
      </c>
      <c r="B57">
        <v>3.87</v>
      </c>
      <c r="C57">
        <v>5.9900000000000002E-2</v>
      </c>
      <c r="D57">
        <v>10.66</v>
      </c>
      <c r="E57">
        <v>48.1</v>
      </c>
      <c r="F57">
        <v>7.7399999999999997E-2</v>
      </c>
      <c r="G57">
        <v>3.95E-2</v>
      </c>
      <c r="H57">
        <v>1.29</v>
      </c>
      <c r="I57">
        <v>0.1643</v>
      </c>
      <c r="J57">
        <v>15.67</v>
      </c>
      <c r="K57">
        <v>0.5988</v>
      </c>
      <c r="L57">
        <v>5.5</v>
      </c>
      <c r="M57">
        <v>11.63</v>
      </c>
      <c r="N57">
        <v>3.63</v>
      </c>
      <c r="O57">
        <v>101.2898</v>
      </c>
      <c r="P57" t="s">
        <v>209</v>
      </c>
    </row>
    <row r="58" spans="1:16">
      <c r="A58">
        <v>54</v>
      </c>
      <c r="B58">
        <v>2.8</v>
      </c>
      <c r="C58">
        <v>4.6699999999999998E-2</v>
      </c>
      <c r="D58">
        <v>13.65</v>
      </c>
      <c r="E58">
        <v>51.5</v>
      </c>
      <c r="F58">
        <v>2.01E-2</v>
      </c>
      <c r="G58">
        <v>4.5900000000000003E-2</v>
      </c>
      <c r="H58">
        <v>0.81679999999999997</v>
      </c>
      <c r="I58">
        <v>0.20749999999999999</v>
      </c>
      <c r="J58">
        <v>12.46</v>
      </c>
      <c r="K58">
        <v>0.4254</v>
      </c>
      <c r="L58">
        <v>5.25</v>
      </c>
      <c r="M58">
        <v>9.3800000000000008</v>
      </c>
      <c r="N58">
        <v>4.08</v>
      </c>
      <c r="O58">
        <v>100.6824</v>
      </c>
      <c r="P58" t="s">
        <v>161</v>
      </c>
    </row>
    <row r="59" spans="1:16">
      <c r="A59">
        <v>55</v>
      </c>
      <c r="B59">
        <v>2.56</v>
      </c>
      <c r="C59">
        <v>1.5800000000000002E-2</v>
      </c>
      <c r="D59">
        <v>13.44</v>
      </c>
      <c r="E59">
        <v>51.4</v>
      </c>
      <c r="F59">
        <v>1.8100000000000002E-2</v>
      </c>
      <c r="G59">
        <v>7.4899999999999994E-2</v>
      </c>
      <c r="H59">
        <v>0.81499999999999995</v>
      </c>
      <c r="I59">
        <v>0.16289999999999999</v>
      </c>
      <c r="J59">
        <v>12.51</v>
      </c>
      <c r="K59">
        <v>0.38450000000000001</v>
      </c>
      <c r="L59">
        <v>5.18</v>
      </c>
      <c r="M59">
        <v>9.3699999999999992</v>
      </c>
      <c r="N59">
        <v>4.08</v>
      </c>
      <c r="O59">
        <v>100.0112</v>
      </c>
      <c r="P59" t="s">
        <v>161</v>
      </c>
    </row>
    <row r="60" spans="1:16">
      <c r="A60">
        <v>56</v>
      </c>
      <c r="B60">
        <v>2.78</v>
      </c>
      <c r="C60">
        <v>0.36209999999999998</v>
      </c>
      <c r="D60">
        <v>11.82</v>
      </c>
      <c r="E60">
        <v>51.2</v>
      </c>
      <c r="F60">
        <v>3.4500000000000003E-2</v>
      </c>
      <c r="G60">
        <v>1.47E-2</v>
      </c>
      <c r="H60">
        <v>0.19450000000000001</v>
      </c>
      <c r="I60">
        <v>0.19589999999999999</v>
      </c>
      <c r="J60">
        <v>13.96</v>
      </c>
      <c r="K60">
        <v>0.17130000000000001</v>
      </c>
      <c r="L60">
        <v>7.1</v>
      </c>
      <c r="M60">
        <v>11.28</v>
      </c>
      <c r="N60">
        <v>1.86</v>
      </c>
      <c r="O60">
        <v>100.973</v>
      </c>
      <c r="P60" t="s">
        <v>162</v>
      </c>
    </row>
    <row r="61" spans="1:16">
      <c r="A61">
        <v>57</v>
      </c>
      <c r="B61">
        <v>2.79</v>
      </c>
      <c r="C61">
        <v>0.37130000000000002</v>
      </c>
      <c r="D61">
        <v>11.69</v>
      </c>
      <c r="E61">
        <v>51.45</v>
      </c>
      <c r="F61">
        <v>3.0300000000000001E-2</v>
      </c>
      <c r="G61">
        <v>2.4899999999999999E-2</v>
      </c>
      <c r="H61">
        <v>0.19070000000000001</v>
      </c>
      <c r="I61">
        <v>0.25800000000000001</v>
      </c>
      <c r="J61">
        <v>14.07</v>
      </c>
      <c r="K61">
        <v>0.2114</v>
      </c>
      <c r="L61">
        <v>7.21</v>
      </c>
      <c r="M61">
        <v>11.36</v>
      </c>
      <c r="N61">
        <v>1.87</v>
      </c>
      <c r="O61">
        <v>101.5266</v>
      </c>
      <c r="P61" t="s">
        <v>162</v>
      </c>
    </row>
    <row r="62" spans="1:16">
      <c r="A62">
        <v>58</v>
      </c>
      <c r="B62">
        <v>6.3</v>
      </c>
      <c r="C62">
        <v>2.53E-2</v>
      </c>
      <c r="D62">
        <v>7.44</v>
      </c>
      <c r="E62">
        <v>71.150000000000006</v>
      </c>
      <c r="F62">
        <v>0.39250000000000002</v>
      </c>
      <c r="G62">
        <v>0.51419999999999999</v>
      </c>
      <c r="H62">
        <v>4.29</v>
      </c>
      <c r="I62">
        <v>0.20499999999999999</v>
      </c>
      <c r="J62">
        <v>8.82</v>
      </c>
      <c r="K62">
        <v>1.7500000000000002E-2</v>
      </c>
      <c r="L62">
        <v>3.7400000000000003E-2</v>
      </c>
      <c r="M62">
        <v>0.434</v>
      </c>
      <c r="N62">
        <v>0.32969999999999999</v>
      </c>
      <c r="O62">
        <v>99.955699999999993</v>
      </c>
      <c r="P62" t="s">
        <v>163</v>
      </c>
    </row>
    <row r="63" spans="1:16">
      <c r="A63">
        <v>59</v>
      </c>
      <c r="B63">
        <v>6.29</v>
      </c>
      <c r="C63">
        <v>3.3399999999999999E-2</v>
      </c>
      <c r="D63">
        <v>7.67</v>
      </c>
      <c r="E63">
        <v>71.16</v>
      </c>
      <c r="F63">
        <v>0.3861</v>
      </c>
      <c r="G63">
        <v>0.39250000000000002</v>
      </c>
      <c r="H63">
        <v>4.25</v>
      </c>
      <c r="I63">
        <v>0.18909999999999999</v>
      </c>
      <c r="J63">
        <v>8.81</v>
      </c>
      <c r="K63">
        <v>2.01E-2</v>
      </c>
      <c r="L63">
        <v>1.6799999999999999E-2</v>
      </c>
      <c r="M63">
        <v>0.4</v>
      </c>
      <c r="N63">
        <v>0.33050000000000002</v>
      </c>
      <c r="O63">
        <v>99.948599999999999</v>
      </c>
      <c r="P63" t="s">
        <v>163</v>
      </c>
    </row>
    <row r="64" spans="1:16">
      <c r="A64">
        <v>60</v>
      </c>
      <c r="B64">
        <v>5.13</v>
      </c>
      <c r="C64">
        <v>1.397</v>
      </c>
      <c r="D64">
        <v>0.11700000000000001</v>
      </c>
      <c r="E64">
        <v>50.97</v>
      </c>
      <c r="F64">
        <v>1.44</v>
      </c>
      <c r="G64">
        <v>0</v>
      </c>
      <c r="H64">
        <v>0.88580000000000003</v>
      </c>
      <c r="I64">
        <v>1.67E-2</v>
      </c>
      <c r="J64">
        <v>25.81</v>
      </c>
      <c r="K64">
        <v>0</v>
      </c>
      <c r="L64">
        <v>2.3E-2</v>
      </c>
      <c r="M64">
        <v>14.11</v>
      </c>
      <c r="N64">
        <v>0</v>
      </c>
      <c r="O64">
        <v>99.899600000000007</v>
      </c>
      <c r="P64" t="s">
        <v>164</v>
      </c>
    </row>
    <row r="65" spans="1:16">
      <c r="A65">
        <v>61</v>
      </c>
      <c r="B65">
        <v>5.36</v>
      </c>
      <c r="C65">
        <v>1.3286</v>
      </c>
      <c r="D65">
        <v>0.1918</v>
      </c>
      <c r="E65">
        <v>50.92</v>
      </c>
      <c r="F65">
        <v>1.45</v>
      </c>
      <c r="G65">
        <v>1.7399999999999999E-2</v>
      </c>
      <c r="H65">
        <v>0.86050000000000004</v>
      </c>
      <c r="I65">
        <v>4.0099999999999997E-2</v>
      </c>
      <c r="J65">
        <v>25.83</v>
      </c>
      <c r="K65">
        <v>5.7000000000000002E-3</v>
      </c>
      <c r="L65">
        <v>1.3899999999999999E-2</v>
      </c>
      <c r="M65">
        <v>14.09</v>
      </c>
      <c r="N65">
        <v>2.3999999999999998E-3</v>
      </c>
      <c r="O65">
        <v>100.1104</v>
      </c>
      <c r="P65" t="s">
        <v>164</v>
      </c>
    </row>
    <row r="66" spans="1:16">
      <c r="A66">
        <v>62</v>
      </c>
      <c r="B66">
        <v>4.9400000000000004</v>
      </c>
      <c r="C66">
        <v>1.9E-2</v>
      </c>
      <c r="D66">
        <v>9.91</v>
      </c>
      <c r="E66">
        <v>49.92</v>
      </c>
      <c r="F66">
        <v>6.7000000000000004E-2</v>
      </c>
      <c r="G66">
        <v>0.2399</v>
      </c>
      <c r="H66">
        <v>2.36</v>
      </c>
      <c r="I66">
        <v>0.2147</v>
      </c>
      <c r="J66">
        <v>17.8</v>
      </c>
      <c r="K66">
        <v>1.2408999999999999</v>
      </c>
      <c r="L66">
        <v>3.04</v>
      </c>
      <c r="M66">
        <v>8.31</v>
      </c>
      <c r="N66">
        <v>3</v>
      </c>
      <c r="O66">
        <v>101.06140000000001</v>
      </c>
      <c r="P66" t="s">
        <v>210</v>
      </c>
    </row>
    <row r="67" spans="1:16">
      <c r="A67">
        <v>63</v>
      </c>
      <c r="B67">
        <v>6.89</v>
      </c>
      <c r="C67">
        <v>1.6E-2</v>
      </c>
      <c r="D67">
        <v>10.86</v>
      </c>
      <c r="E67">
        <v>44.65</v>
      </c>
      <c r="F67">
        <v>8.0600000000000005E-2</v>
      </c>
      <c r="G67">
        <v>0.2702</v>
      </c>
      <c r="H67">
        <v>2.42</v>
      </c>
      <c r="I67">
        <v>0.15210000000000001</v>
      </c>
      <c r="J67">
        <v>16.09</v>
      </c>
      <c r="K67">
        <v>1.2283999999999999</v>
      </c>
      <c r="L67">
        <v>5.59</v>
      </c>
      <c r="M67">
        <v>10.07</v>
      </c>
      <c r="N67">
        <v>3.23</v>
      </c>
      <c r="O67">
        <v>101.5472</v>
      </c>
      <c r="P67" t="s">
        <v>211</v>
      </c>
    </row>
    <row r="68" spans="1:16">
      <c r="A68">
        <v>64</v>
      </c>
      <c r="B68">
        <v>5.0599999999999996</v>
      </c>
      <c r="C68">
        <v>3.5200000000000002E-2</v>
      </c>
      <c r="D68">
        <v>10.74</v>
      </c>
      <c r="E68">
        <v>49.18</v>
      </c>
      <c r="F68">
        <v>1.77E-2</v>
      </c>
      <c r="G68">
        <v>0.27389999999999998</v>
      </c>
      <c r="H68">
        <v>2.44</v>
      </c>
      <c r="I68">
        <v>0.1363</v>
      </c>
      <c r="J68">
        <v>17.77</v>
      </c>
      <c r="K68">
        <v>1.2903</v>
      </c>
      <c r="L68">
        <v>3.1</v>
      </c>
      <c r="M68">
        <v>8.23</v>
      </c>
      <c r="N68">
        <v>2.99</v>
      </c>
      <c r="O68">
        <v>101.2634</v>
      </c>
      <c r="P68" t="s">
        <v>212</v>
      </c>
    </row>
    <row r="69" spans="1:16">
      <c r="A69">
        <v>65</v>
      </c>
      <c r="B69">
        <v>8.61</v>
      </c>
      <c r="C69">
        <v>4.4499999999999998E-2</v>
      </c>
      <c r="D69">
        <v>9.48</v>
      </c>
      <c r="E69">
        <v>45.59</v>
      </c>
      <c r="F69">
        <v>3.0200000000000001E-2</v>
      </c>
      <c r="G69">
        <v>0.1079</v>
      </c>
      <c r="H69">
        <v>1.32</v>
      </c>
      <c r="I69">
        <v>0.24340000000000001</v>
      </c>
      <c r="J69">
        <v>16.62</v>
      </c>
      <c r="K69">
        <v>1.1394</v>
      </c>
      <c r="L69">
        <v>5.16</v>
      </c>
      <c r="M69">
        <v>10.82</v>
      </c>
      <c r="N69">
        <v>3.31</v>
      </c>
      <c r="O69">
        <v>102.4753</v>
      </c>
      <c r="P69" t="s">
        <v>213</v>
      </c>
    </row>
    <row r="70" spans="1:16">
      <c r="A70">
        <v>66</v>
      </c>
      <c r="B70">
        <v>5.14</v>
      </c>
      <c r="C70">
        <v>0</v>
      </c>
      <c r="D70">
        <v>10.119999999999999</v>
      </c>
      <c r="E70">
        <v>48.43</v>
      </c>
      <c r="F70">
        <v>6.6799999999999998E-2</v>
      </c>
      <c r="G70">
        <v>0.1663</v>
      </c>
      <c r="H70">
        <v>1.99</v>
      </c>
      <c r="I70">
        <v>0.1646</v>
      </c>
      <c r="J70">
        <v>17.649999999999999</v>
      </c>
      <c r="K70">
        <v>1.2816000000000001</v>
      </c>
      <c r="L70">
        <v>3.42</v>
      </c>
      <c r="M70">
        <v>8.74</v>
      </c>
      <c r="N70">
        <v>3.18</v>
      </c>
      <c r="O70">
        <v>100.3492</v>
      </c>
      <c r="P70" t="s">
        <v>214</v>
      </c>
    </row>
    <row r="71" spans="1:16">
      <c r="A71">
        <v>67</v>
      </c>
      <c r="B71">
        <v>5.3</v>
      </c>
      <c r="C71">
        <v>3.8999999999999998E-3</v>
      </c>
      <c r="D71">
        <v>10.76</v>
      </c>
      <c r="E71">
        <v>47.99</v>
      </c>
      <c r="F71">
        <v>0.22270000000000001</v>
      </c>
      <c r="G71">
        <v>0.28170000000000001</v>
      </c>
      <c r="H71">
        <v>2.69</v>
      </c>
      <c r="I71">
        <v>0.17100000000000001</v>
      </c>
      <c r="J71">
        <v>16.940000000000001</v>
      </c>
      <c r="K71">
        <v>1.2234</v>
      </c>
      <c r="L71">
        <v>4.0999999999999996</v>
      </c>
      <c r="M71">
        <v>8</v>
      </c>
      <c r="N71">
        <v>3.24</v>
      </c>
      <c r="O71">
        <v>100.9226</v>
      </c>
      <c r="P71" t="s">
        <v>215</v>
      </c>
    </row>
    <row r="72" spans="1:16">
      <c r="A72">
        <v>68</v>
      </c>
      <c r="B72">
        <v>5.76</v>
      </c>
      <c r="C72">
        <v>1.49E-2</v>
      </c>
      <c r="D72">
        <v>9.93</v>
      </c>
      <c r="E72">
        <v>48.45</v>
      </c>
      <c r="F72">
        <v>4.1300000000000003E-2</v>
      </c>
      <c r="G72">
        <v>0.26919999999999999</v>
      </c>
      <c r="H72">
        <v>2.37</v>
      </c>
      <c r="I72">
        <v>0.18690000000000001</v>
      </c>
      <c r="J72">
        <v>17.850000000000001</v>
      </c>
      <c r="K72">
        <v>1.1543000000000001</v>
      </c>
      <c r="L72">
        <v>3.61</v>
      </c>
      <c r="M72">
        <v>8.7100000000000009</v>
      </c>
      <c r="N72">
        <v>3.02</v>
      </c>
      <c r="O72">
        <v>101.3665</v>
      </c>
      <c r="P72" t="s">
        <v>216</v>
      </c>
    </row>
    <row r="73" spans="1:16">
      <c r="A73">
        <v>69</v>
      </c>
      <c r="B73">
        <v>5.15</v>
      </c>
      <c r="C73">
        <v>2.3599999999999999E-2</v>
      </c>
      <c r="D73">
        <v>10.039999999999999</v>
      </c>
      <c r="E73">
        <v>49.44</v>
      </c>
      <c r="F73">
        <v>1.72E-2</v>
      </c>
      <c r="G73">
        <v>0.28610000000000002</v>
      </c>
      <c r="H73">
        <v>2.4900000000000002</v>
      </c>
      <c r="I73">
        <v>0.151</v>
      </c>
      <c r="J73">
        <v>18.22</v>
      </c>
      <c r="K73">
        <v>1.3786</v>
      </c>
      <c r="L73">
        <v>3.35</v>
      </c>
      <c r="M73">
        <v>8.16</v>
      </c>
      <c r="N73">
        <v>3.1</v>
      </c>
      <c r="O73">
        <v>101.8064</v>
      </c>
      <c r="P73" t="s">
        <v>217</v>
      </c>
    </row>
    <row r="74" spans="1:16">
      <c r="A74">
        <v>70</v>
      </c>
      <c r="B74">
        <v>6.16</v>
      </c>
      <c r="C74">
        <v>2.5600000000000001E-2</v>
      </c>
      <c r="D74">
        <v>9.31</v>
      </c>
      <c r="E74">
        <v>46.65</v>
      </c>
      <c r="F74">
        <v>0.69510000000000005</v>
      </c>
      <c r="G74">
        <v>0.20849999999999999</v>
      </c>
      <c r="H74">
        <v>1.98</v>
      </c>
      <c r="I74">
        <v>0.14630000000000001</v>
      </c>
      <c r="J74">
        <v>16.93</v>
      </c>
      <c r="K74">
        <v>1.1601999999999999</v>
      </c>
      <c r="L74">
        <v>4.6500000000000004</v>
      </c>
      <c r="M74">
        <v>10.38</v>
      </c>
      <c r="N74">
        <v>2.96</v>
      </c>
      <c r="O74">
        <v>101.2556</v>
      </c>
      <c r="P74" t="s">
        <v>218</v>
      </c>
    </row>
    <row r="75" spans="1:16">
      <c r="A75">
        <v>71</v>
      </c>
      <c r="B75">
        <v>3.68</v>
      </c>
      <c r="C75">
        <v>3.2300000000000002E-2</v>
      </c>
      <c r="D75">
        <v>13.16</v>
      </c>
      <c r="E75">
        <v>45.52</v>
      </c>
      <c r="F75">
        <v>0.14749999999999999</v>
      </c>
      <c r="G75">
        <v>0.1139</v>
      </c>
      <c r="H75">
        <v>1.88</v>
      </c>
      <c r="I75">
        <v>0.2351</v>
      </c>
      <c r="J75">
        <v>15.32</v>
      </c>
      <c r="K75">
        <v>0.68659999999999999</v>
      </c>
      <c r="L75">
        <v>5.28</v>
      </c>
      <c r="M75">
        <v>11.83</v>
      </c>
      <c r="N75">
        <v>3.36</v>
      </c>
      <c r="O75">
        <v>101.2453</v>
      </c>
      <c r="P75" t="s">
        <v>219</v>
      </c>
    </row>
    <row r="76" spans="1:16">
      <c r="A76">
        <v>72</v>
      </c>
      <c r="B76">
        <v>3.74</v>
      </c>
      <c r="C76">
        <v>3.9100000000000003E-2</v>
      </c>
      <c r="D76">
        <v>13.39</v>
      </c>
      <c r="E76">
        <v>45.76</v>
      </c>
      <c r="F76">
        <v>0.16450000000000001</v>
      </c>
      <c r="G76">
        <v>0.1163</v>
      </c>
      <c r="H76">
        <v>1.88</v>
      </c>
      <c r="I76">
        <v>0.17130000000000001</v>
      </c>
      <c r="J76">
        <v>15.71</v>
      </c>
      <c r="K76">
        <v>0.67090000000000005</v>
      </c>
      <c r="L76">
        <v>5.18</v>
      </c>
      <c r="M76">
        <v>11.9</v>
      </c>
      <c r="N76">
        <v>3.38</v>
      </c>
      <c r="O76">
        <v>102.102</v>
      </c>
      <c r="P76" t="s">
        <v>220</v>
      </c>
    </row>
    <row r="77" spans="1:16">
      <c r="A77">
        <v>73</v>
      </c>
      <c r="B77">
        <v>4.1100000000000003</v>
      </c>
      <c r="C77">
        <v>2.5999999999999999E-2</v>
      </c>
      <c r="D77">
        <v>13.26</v>
      </c>
      <c r="E77">
        <v>45.35</v>
      </c>
      <c r="F77">
        <v>0.15909999999999999</v>
      </c>
      <c r="G77">
        <v>5.3800000000000001E-2</v>
      </c>
      <c r="H77">
        <v>1.77</v>
      </c>
      <c r="I77">
        <v>0.21060000000000001</v>
      </c>
      <c r="J77">
        <v>15.81</v>
      </c>
      <c r="K77">
        <v>0.76939999999999997</v>
      </c>
      <c r="L77">
        <v>5.08</v>
      </c>
      <c r="M77">
        <v>11.96</v>
      </c>
      <c r="N77">
        <v>3.26</v>
      </c>
      <c r="O77">
        <v>101.8188</v>
      </c>
      <c r="P77" t="s">
        <v>221</v>
      </c>
    </row>
    <row r="78" spans="1:16">
      <c r="A78">
        <v>74</v>
      </c>
      <c r="B78">
        <v>3.63</v>
      </c>
      <c r="C78">
        <v>5.2900000000000003E-2</v>
      </c>
      <c r="D78">
        <v>13.46</v>
      </c>
      <c r="E78">
        <v>45.33</v>
      </c>
      <c r="F78">
        <v>0.1643</v>
      </c>
      <c r="G78">
        <v>8.14E-2</v>
      </c>
      <c r="H78">
        <v>1.76</v>
      </c>
      <c r="I78">
        <v>0.17530000000000001</v>
      </c>
      <c r="J78">
        <v>15.3</v>
      </c>
      <c r="K78">
        <v>0.75749999999999995</v>
      </c>
      <c r="L78">
        <v>5.14</v>
      </c>
      <c r="M78">
        <v>11.49</v>
      </c>
      <c r="N78">
        <v>3.38</v>
      </c>
      <c r="O78">
        <v>100.7213</v>
      </c>
      <c r="P78" t="s">
        <v>222</v>
      </c>
    </row>
    <row r="79" spans="1:16">
      <c r="A79">
        <v>75</v>
      </c>
      <c r="B79">
        <v>3.61</v>
      </c>
      <c r="C79">
        <v>4.5600000000000002E-2</v>
      </c>
      <c r="D79">
        <v>13.03</v>
      </c>
      <c r="E79">
        <v>45.41</v>
      </c>
      <c r="F79">
        <v>0.14799999999999999</v>
      </c>
      <c r="G79">
        <v>7.8399999999999997E-2</v>
      </c>
      <c r="H79">
        <v>1.8</v>
      </c>
      <c r="I79">
        <v>0.17280000000000001</v>
      </c>
      <c r="J79">
        <v>15.42</v>
      </c>
      <c r="K79">
        <v>0.73180000000000001</v>
      </c>
      <c r="L79">
        <v>5.13</v>
      </c>
      <c r="M79">
        <v>11.63</v>
      </c>
      <c r="N79">
        <v>3.34</v>
      </c>
      <c r="O79">
        <v>100.54649999999999</v>
      </c>
      <c r="P79" t="s">
        <v>223</v>
      </c>
    </row>
    <row r="80" spans="1:16">
      <c r="A80">
        <v>76</v>
      </c>
      <c r="B80">
        <v>3.57</v>
      </c>
      <c r="C80">
        <v>4.0599999999999997E-2</v>
      </c>
      <c r="D80">
        <v>12.55</v>
      </c>
      <c r="E80">
        <v>45.17</v>
      </c>
      <c r="F80">
        <v>0.12920000000000001</v>
      </c>
      <c r="G80">
        <v>4.5900000000000003E-2</v>
      </c>
      <c r="H80">
        <v>1.75</v>
      </c>
      <c r="I80">
        <v>0.22520000000000001</v>
      </c>
      <c r="J80">
        <v>15.38</v>
      </c>
      <c r="K80">
        <v>0.80910000000000004</v>
      </c>
      <c r="L80">
        <v>5.09</v>
      </c>
      <c r="M80">
        <v>12.31</v>
      </c>
      <c r="N80">
        <v>3.37</v>
      </c>
      <c r="O80">
        <v>100.43989999999999</v>
      </c>
      <c r="P80" t="s">
        <v>224</v>
      </c>
    </row>
    <row r="81" spans="1:16">
      <c r="A81">
        <v>77</v>
      </c>
      <c r="B81">
        <v>3.5</v>
      </c>
      <c r="C81">
        <v>3.2300000000000002E-2</v>
      </c>
      <c r="D81">
        <v>13.51</v>
      </c>
      <c r="E81">
        <v>45.37</v>
      </c>
      <c r="F81">
        <v>0.1497</v>
      </c>
      <c r="G81">
        <v>4.4400000000000002E-2</v>
      </c>
      <c r="H81">
        <v>1.67</v>
      </c>
      <c r="I81">
        <v>0.23669999999999999</v>
      </c>
      <c r="J81">
        <v>15.46</v>
      </c>
      <c r="K81">
        <v>0.71609999999999996</v>
      </c>
      <c r="L81">
        <v>5.26</v>
      </c>
      <c r="M81">
        <v>11.83</v>
      </c>
      <c r="N81">
        <v>3.41</v>
      </c>
      <c r="O81">
        <v>101.1892</v>
      </c>
      <c r="P81" t="s">
        <v>225</v>
      </c>
    </row>
    <row r="82" spans="1:16">
      <c r="A82">
        <v>78</v>
      </c>
      <c r="B82">
        <v>3.61</v>
      </c>
      <c r="C82">
        <v>2.76E-2</v>
      </c>
      <c r="D82">
        <v>12.97</v>
      </c>
      <c r="E82">
        <v>45.72</v>
      </c>
      <c r="F82">
        <v>0.15890000000000001</v>
      </c>
      <c r="G82">
        <v>6.6600000000000006E-2</v>
      </c>
      <c r="H82">
        <v>1.69</v>
      </c>
      <c r="I82">
        <v>0.21160000000000001</v>
      </c>
      <c r="J82">
        <v>15.61</v>
      </c>
      <c r="K82">
        <v>0.66959999999999997</v>
      </c>
      <c r="L82">
        <v>5.29</v>
      </c>
      <c r="M82">
        <v>12.05</v>
      </c>
      <c r="N82">
        <v>3.29</v>
      </c>
      <c r="O82">
        <v>101.3643</v>
      </c>
      <c r="P82" t="s">
        <v>226</v>
      </c>
    </row>
    <row r="83" spans="1:16">
      <c r="A83">
        <v>79</v>
      </c>
      <c r="B83">
        <v>3.54</v>
      </c>
      <c r="C83">
        <v>3.3000000000000002E-2</v>
      </c>
      <c r="D83">
        <v>14.03</v>
      </c>
      <c r="E83">
        <v>45.26</v>
      </c>
      <c r="F83">
        <v>0.16059999999999999</v>
      </c>
      <c r="G83">
        <v>1.11E-2</v>
      </c>
      <c r="H83">
        <v>1.71</v>
      </c>
      <c r="I83">
        <v>0.26390000000000002</v>
      </c>
      <c r="J83">
        <v>15.35</v>
      </c>
      <c r="K83">
        <v>0.66720000000000002</v>
      </c>
      <c r="L83">
        <v>4.84</v>
      </c>
      <c r="M83">
        <v>11.3</v>
      </c>
      <c r="N83">
        <v>3.35</v>
      </c>
      <c r="O83">
        <v>100.5157</v>
      </c>
      <c r="P83" t="s">
        <v>227</v>
      </c>
    </row>
    <row r="84" spans="1:16">
      <c r="A84">
        <v>80</v>
      </c>
      <c r="B84">
        <v>3.9</v>
      </c>
      <c r="C84">
        <v>4.8500000000000001E-2</v>
      </c>
      <c r="D84">
        <v>13.08</v>
      </c>
      <c r="E84">
        <v>45.34</v>
      </c>
      <c r="F84">
        <v>0.1258</v>
      </c>
      <c r="G84">
        <v>0</v>
      </c>
      <c r="H84">
        <v>1.82</v>
      </c>
      <c r="I84">
        <v>0.22109999999999999</v>
      </c>
      <c r="J84">
        <v>15.38</v>
      </c>
      <c r="K84">
        <v>0.72599999999999998</v>
      </c>
      <c r="L84">
        <v>5.16</v>
      </c>
      <c r="M84">
        <v>11.76</v>
      </c>
      <c r="N84">
        <v>3.32</v>
      </c>
      <c r="O84">
        <v>100.8813</v>
      </c>
      <c r="P84" t="s">
        <v>228</v>
      </c>
    </row>
    <row r="85" spans="1:16">
      <c r="A85">
        <v>81</v>
      </c>
      <c r="B85">
        <v>3.7</v>
      </c>
      <c r="C85">
        <v>4.4299999999999999E-2</v>
      </c>
      <c r="D85">
        <v>13</v>
      </c>
      <c r="E85">
        <v>45.44</v>
      </c>
      <c r="F85">
        <v>0.15359999999999999</v>
      </c>
      <c r="G85">
        <v>2.7699999999999999E-2</v>
      </c>
      <c r="H85">
        <v>1.9</v>
      </c>
      <c r="I85">
        <v>0.2505</v>
      </c>
      <c r="J85">
        <v>15.36</v>
      </c>
      <c r="K85">
        <v>0.68930000000000002</v>
      </c>
      <c r="L85">
        <v>5.0999999999999996</v>
      </c>
      <c r="M85">
        <v>11.43</v>
      </c>
      <c r="N85">
        <v>3.32</v>
      </c>
      <c r="O85">
        <v>100.4153</v>
      </c>
      <c r="P85" t="s">
        <v>229</v>
      </c>
    </row>
    <row r="86" spans="1:16">
      <c r="A86">
        <v>82</v>
      </c>
      <c r="B86">
        <v>3.65</v>
      </c>
      <c r="C86">
        <v>3.0700000000000002E-2</v>
      </c>
      <c r="D86">
        <v>13.18</v>
      </c>
      <c r="E86">
        <v>45.04</v>
      </c>
      <c r="F86">
        <v>4.9500000000000002E-2</v>
      </c>
      <c r="G86">
        <v>7.4499999999999997E-2</v>
      </c>
      <c r="H86">
        <v>1.72</v>
      </c>
      <c r="I86">
        <v>0.18640000000000001</v>
      </c>
      <c r="J86">
        <v>15.23</v>
      </c>
      <c r="K86">
        <v>0.75439999999999996</v>
      </c>
      <c r="L86">
        <v>5.32</v>
      </c>
      <c r="M86">
        <v>12.04</v>
      </c>
      <c r="N86">
        <v>3.22</v>
      </c>
      <c r="O86">
        <v>100.49550000000001</v>
      </c>
      <c r="P86" t="s">
        <v>230</v>
      </c>
    </row>
    <row r="87" spans="1:16">
      <c r="A87">
        <v>83</v>
      </c>
      <c r="B87">
        <v>4.03</v>
      </c>
      <c r="C87">
        <v>4.8399999999999999E-2</v>
      </c>
      <c r="D87">
        <v>13.67</v>
      </c>
      <c r="E87">
        <v>45.05</v>
      </c>
      <c r="F87">
        <v>0.14729999999999999</v>
      </c>
      <c r="G87">
        <v>5.8200000000000002E-2</v>
      </c>
      <c r="H87">
        <v>1.7</v>
      </c>
      <c r="I87">
        <v>0.2172</v>
      </c>
      <c r="J87">
        <v>15.79</v>
      </c>
      <c r="K87">
        <v>0.74460000000000004</v>
      </c>
      <c r="L87">
        <v>4.9400000000000004</v>
      </c>
      <c r="M87">
        <v>11.7</v>
      </c>
      <c r="N87">
        <v>3.31</v>
      </c>
      <c r="O87">
        <v>101.40560000000001</v>
      </c>
      <c r="P87" t="s">
        <v>231</v>
      </c>
    </row>
    <row r="88" spans="1:16">
      <c r="A88">
        <v>84</v>
      </c>
      <c r="B88">
        <v>3.9</v>
      </c>
      <c r="C88">
        <v>4.0899999999999999E-2</v>
      </c>
      <c r="D88">
        <v>13.97</v>
      </c>
      <c r="E88">
        <v>44.73</v>
      </c>
      <c r="F88">
        <v>0.1726</v>
      </c>
      <c r="G88">
        <v>0.153</v>
      </c>
      <c r="H88">
        <v>1.8</v>
      </c>
      <c r="I88">
        <v>0.25180000000000002</v>
      </c>
      <c r="J88">
        <v>15.46</v>
      </c>
      <c r="K88">
        <v>0.7339</v>
      </c>
      <c r="L88">
        <v>5.18</v>
      </c>
      <c r="M88">
        <v>11.33</v>
      </c>
      <c r="N88">
        <v>3.31</v>
      </c>
      <c r="O88">
        <v>101.0322</v>
      </c>
      <c r="P88" t="s">
        <v>232</v>
      </c>
    </row>
    <row r="89" spans="1:16">
      <c r="A89">
        <v>85</v>
      </c>
      <c r="B89">
        <v>3.86</v>
      </c>
      <c r="C89">
        <v>4.24E-2</v>
      </c>
      <c r="D89">
        <v>13.35</v>
      </c>
      <c r="E89">
        <v>45.63</v>
      </c>
      <c r="F89">
        <v>0.16969999999999999</v>
      </c>
      <c r="G89">
        <v>0.1186</v>
      </c>
      <c r="H89">
        <v>1.82</v>
      </c>
      <c r="I89">
        <v>0.2263</v>
      </c>
      <c r="J89">
        <v>15.62</v>
      </c>
      <c r="K89">
        <v>0.79859999999999998</v>
      </c>
      <c r="L89">
        <v>5.09</v>
      </c>
      <c r="M89">
        <v>11.46</v>
      </c>
      <c r="N89">
        <v>3.3</v>
      </c>
      <c r="O89">
        <v>101.4855</v>
      </c>
      <c r="P89" t="s">
        <v>233</v>
      </c>
    </row>
    <row r="90" spans="1:16">
      <c r="A90">
        <v>86</v>
      </c>
      <c r="B90">
        <v>3.71</v>
      </c>
      <c r="C90">
        <v>3.0499999999999999E-2</v>
      </c>
      <c r="D90">
        <v>13.89</v>
      </c>
      <c r="E90">
        <v>46.14</v>
      </c>
      <c r="F90">
        <v>0.15870000000000001</v>
      </c>
      <c r="G90">
        <v>0.18129999999999999</v>
      </c>
      <c r="H90">
        <v>1.85</v>
      </c>
      <c r="I90">
        <v>0.2475</v>
      </c>
      <c r="J90">
        <v>15.44</v>
      </c>
      <c r="K90">
        <v>0.72230000000000005</v>
      </c>
      <c r="L90">
        <v>4.9800000000000004</v>
      </c>
      <c r="M90">
        <v>11.56</v>
      </c>
      <c r="N90">
        <v>3.29</v>
      </c>
      <c r="O90">
        <v>102.2002</v>
      </c>
      <c r="P90" t="s">
        <v>234</v>
      </c>
    </row>
    <row r="91" spans="1:16">
      <c r="A91">
        <v>87</v>
      </c>
      <c r="B91">
        <v>3.86</v>
      </c>
      <c r="C91">
        <v>4.4900000000000002E-2</v>
      </c>
      <c r="D91">
        <v>13.66</v>
      </c>
      <c r="E91">
        <v>45.1</v>
      </c>
      <c r="F91">
        <v>0.17519999999999999</v>
      </c>
      <c r="G91">
        <v>7.8399999999999997E-2</v>
      </c>
      <c r="H91">
        <v>1.8</v>
      </c>
      <c r="I91">
        <v>0.26050000000000001</v>
      </c>
      <c r="J91">
        <v>15.46</v>
      </c>
      <c r="K91">
        <v>0.67090000000000005</v>
      </c>
      <c r="L91">
        <v>4.95</v>
      </c>
      <c r="M91">
        <v>11.59</v>
      </c>
      <c r="N91">
        <v>3.25</v>
      </c>
      <c r="O91">
        <v>100.8998</v>
      </c>
      <c r="P91" t="s">
        <v>235</v>
      </c>
    </row>
    <row r="92" spans="1:16">
      <c r="A92">
        <v>88</v>
      </c>
      <c r="B92">
        <v>3.71</v>
      </c>
      <c r="C92">
        <v>3.0099999999999998E-2</v>
      </c>
      <c r="D92">
        <v>13.43</v>
      </c>
      <c r="E92">
        <v>45.59</v>
      </c>
      <c r="F92">
        <v>0.16020000000000001</v>
      </c>
      <c r="G92">
        <v>0.1042</v>
      </c>
      <c r="H92">
        <v>1.79</v>
      </c>
      <c r="I92">
        <v>0.2762</v>
      </c>
      <c r="J92">
        <v>15.36</v>
      </c>
      <c r="K92">
        <v>0.70899999999999996</v>
      </c>
      <c r="L92">
        <v>5.04</v>
      </c>
      <c r="M92">
        <v>11.78</v>
      </c>
      <c r="N92">
        <v>3.39</v>
      </c>
      <c r="O92">
        <v>101.36960000000001</v>
      </c>
      <c r="P92" t="s">
        <v>236</v>
      </c>
    </row>
    <row r="93" spans="1:16">
      <c r="A93">
        <v>89</v>
      </c>
      <c r="B93">
        <v>3.86</v>
      </c>
      <c r="C93">
        <v>3.0099999999999998E-2</v>
      </c>
      <c r="D93">
        <v>13.63</v>
      </c>
      <c r="E93">
        <v>45.43</v>
      </c>
      <c r="F93">
        <v>0.1489</v>
      </c>
      <c r="G93">
        <v>5.67E-2</v>
      </c>
      <c r="H93">
        <v>1.8</v>
      </c>
      <c r="I93">
        <v>0.33179999999999998</v>
      </c>
      <c r="J93">
        <v>15.44</v>
      </c>
      <c r="K93">
        <v>0.6522</v>
      </c>
      <c r="L93">
        <v>5.15</v>
      </c>
      <c r="M93">
        <v>11.43</v>
      </c>
      <c r="N93">
        <v>3.32</v>
      </c>
      <c r="O93">
        <v>101.27970000000001</v>
      </c>
      <c r="P93" t="s">
        <v>219</v>
      </c>
    </row>
    <row r="94" spans="1:16">
      <c r="A94">
        <v>90</v>
      </c>
      <c r="B94">
        <v>3.56</v>
      </c>
      <c r="C94">
        <v>4.4200000000000003E-2</v>
      </c>
      <c r="D94">
        <v>14.16</v>
      </c>
      <c r="E94">
        <v>45.59</v>
      </c>
      <c r="F94">
        <v>0.1449</v>
      </c>
      <c r="G94">
        <v>0.1222</v>
      </c>
      <c r="H94">
        <v>1.89</v>
      </c>
      <c r="I94">
        <v>0.22270000000000001</v>
      </c>
      <c r="J94">
        <v>15.51</v>
      </c>
      <c r="K94">
        <v>0.71919999999999995</v>
      </c>
      <c r="L94">
        <v>4.9800000000000004</v>
      </c>
      <c r="M94">
        <v>11.26</v>
      </c>
      <c r="N94">
        <v>3.26</v>
      </c>
      <c r="O94">
        <v>101.4632</v>
      </c>
      <c r="P94" t="s">
        <v>220</v>
      </c>
    </row>
    <row r="95" spans="1:16">
      <c r="A95">
        <v>91</v>
      </c>
      <c r="B95">
        <v>3.81</v>
      </c>
      <c r="C95">
        <v>4.1599999999999998E-2</v>
      </c>
      <c r="D95">
        <v>12.77</v>
      </c>
      <c r="E95">
        <v>45.25</v>
      </c>
      <c r="F95">
        <v>0.13700000000000001</v>
      </c>
      <c r="G95">
        <v>0.1067</v>
      </c>
      <c r="H95">
        <v>1.69</v>
      </c>
      <c r="I95">
        <v>0.28949999999999998</v>
      </c>
      <c r="J95">
        <v>15.43</v>
      </c>
      <c r="K95">
        <v>0.80259999999999998</v>
      </c>
      <c r="L95">
        <v>5</v>
      </c>
      <c r="M95">
        <v>12.09</v>
      </c>
      <c r="N95">
        <v>3.28</v>
      </c>
      <c r="O95">
        <v>100.6973</v>
      </c>
      <c r="P95" t="s">
        <v>221</v>
      </c>
    </row>
    <row r="96" spans="1:16">
      <c r="A96">
        <v>92</v>
      </c>
      <c r="B96">
        <v>3.9</v>
      </c>
      <c r="C96">
        <v>2.6499999999999999E-2</v>
      </c>
      <c r="D96">
        <v>13.35</v>
      </c>
      <c r="E96">
        <v>45.04</v>
      </c>
      <c r="F96">
        <v>0.14349999999999999</v>
      </c>
      <c r="G96">
        <v>4.24E-2</v>
      </c>
      <c r="H96">
        <v>1.92</v>
      </c>
      <c r="I96">
        <v>0.2087</v>
      </c>
      <c r="J96">
        <v>15.29</v>
      </c>
      <c r="K96">
        <v>0.70660000000000001</v>
      </c>
      <c r="L96">
        <v>4.93</v>
      </c>
      <c r="M96">
        <v>11.21</v>
      </c>
      <c r="N96">
        <v>3.33</v>
      </c>
      <c r="O96">
        <v>100.0976</v>
      </c>
      <c r="P96" t="s">
        <v>222</v>
      </c>
    </row>
    <row r="97" spans="1:16">
      <c r="A97">
        <v>93</v>
      </c>
      <c r="B97">
        <v>3.92</v>
      </c>
      <c r="C97">
        <v>3.2599999999999997E-2</v>
      </c>
      <c r="D97">
        <v>12.51</v>
      </c>
      <c r="E97">
        <v>45.78</v>
      </c>
      <c r="F97">
        <v>0.1641</v>
      </c>
      <c r="G97">
        <v>6.3399999999999998E-2</v>
      </c>
      <c r="H97">
        <v>1.94</v>
      </c>
      <c r="I97">
        <v>0.24440000000000001</v>
      </c>
      <c r="J97">
        <v>15.25</v>
      </c>
      <c r="K97">
        <v>0.71599999999999997</v>
      </c>
      <c r="L97">
        <v>4.99</v>
      </c>
      <c r="M97">
        <v>11.51</v>
      </c>
      <c r="N97">
        <v>3.35</v>
      </c>
      <c r="O97">
        <v>100.4705</v>
      </c>
      <c r="P97" t="s">
        <v>223</v>
      </c>
    </row>
    <row r="98" spans="1:16">
      <c r="A98">
        <v>94</v>
      </c>
      <c r="B98">
        <v>3.8</v>
      </c>
      <c r="C98">
        <v>6.1800000000000001E-2</v>
      </c>
      <c r="D98">
        <v>13.94</v>
      </c>
      <c r="E98">
        <v>45.46</v>
      </c>
      <c r="F98">
        <v>0.16969999999999999</v>
      </c>
      <c r="G98">
        <v>3.3500000000000002E-2</v>
      </c>
      <c r="H98">
        <v>2.02</v>
      </c>
      <c r="I98">
        <v>0.27579999999999999</v>
      </c>
      <c r="J98">
        <v>15.49</v>
      </c>
      <c r="K98">
        <v>0.81089999999999995</v>
      </c>
      <c r="L98">
        <v>4.78</v>
      </c>
      <c r="M98">
        <v>10.59</v>
      </c>
      <c r="N98">
        <v>3.3</v>
      </c>
      <c r="O98">
        <v>100.7317</v>
      </c>
      <c r="P98" t="s">
        <v>224</v>
      </c>
    </row>
    <row r="99" spans="1:16">
      <c r="A99">
        <v>95</v>
      </c>
      <c r="B99">
        <v>3.56</v>
      </c>
      <c r="C99">
        <v>6.0999999999999999E-2</v>
      </c>
      <c r="D99">
        <v>13.55</v>
      </c>
      <c r="E99">
        <v>45.3</v>
      </c>
      <c r="F99">
        <v>0.1409</v>
      </c>
      <c r="G99">
        <v>3.5400000000000001E-2</v>
      </c>
      <c r="H99">
        <v>1.75</v>
      </c>
      <c r="I99">
        <v>0.29149999999999998</v>
      </c>
      <c r="J99">
        <v>15.37</v>
      </c>
      <c r="K99">
        <v>0.72450000000000003</v>
      </c>
      <c r="L99">
        <v>5.0199999999999996</v>
      </c>
      <c r="M99">
        <v>11.64</v>
      </c>
      <c r="N99">
        <v>3.3</v>
      </c>
      <c r="O99">
        <v>100.7432</v>
      </c>
      <c r="P99" t="s">
        <v>225</v>
      </c>
    </row>
    <row r="100" spans="1:16">
      <c r="A100">
        <v>96</v>
      </c>
      <c r="B100">
        <v>3.74</v>
      </c>
      <c r="C100">
        <v>5.5199999999999999E-2</v>
      </c>
      <c r="D100">
        <v>13.21</v>
      </c>
      <c r="E100">
        <v>44.45</v>
      </c>
      <c r="F100">
        <v>0.183</v>
      </c>
      <c r="G100">
        <v>0</v>
      </c>
      <c r="H100">
        <v>1.83</v>
      </c>
      <c r="I100">
        <v>0.16350000000000001</v>
      </c>
      <c r="J100">
        <v>14.58</v>
      </c>
      <c r="K100">
        <v>0.68879999999999997</v>
      </c>
      <c r="L100">
        <v>5.19</v>
      </c>
      <c r="M100">
        <v>11.23</v>
      </c>
      <c r="N100">
        <v>3.36</v>
      </c>
      <c r="O100">
        <v>98.680499999999995</v>
      </c>
      <c r="P100" t="s">
        <v>226</v>
      </c>
    </row>
    <row r="101" spans="1:16">
      <c r="A101">
        <v>97</v>
      </c>
      <c r="B101">
        <v>3.41</v>
      </c>
      <c r="C101">
        <v>5.8000000000000003E-2</v>
      </c>
      <c r="D101">
        <v>13.54</v>
      </c>
      <c r="E101">
        <v>44.84</v>
      </c>
      <c r="F101">
        <v>0.13669999999999999</v>
      </c>
      <c r="G101">
        <v>4.3799999999999999E-2</v>
      </c>
      <c r="H101">
        <v>1.76</v>
      </c>
      <c r="I101">
        <v>0.1875</v>
      </c>
      <c r="J101">
        <v>14.96</v>
      </c>
      <c r="K101">
        <v>0.68259999999999998</v>
      </c>
      <c r="L101">
        <v>5.17</v>
      </c>
      <c r="M101">
        <v>11.74</v>
      </c>
      <c r="N101">
        <v>3.34</v>
      </c>
      <c r="O101">
        <v>99.868600000000001</v>
      </c>
      <c r="P101" t="s">
        <v>227</v>
      </c>
    </row>
    <row r="102" spans="1:16">
      <c r="A102">
        <v>98</v>
      </c>
      <c r="B102">
        <v>2.72</v>
      </c>
      <c r="C102">
        <v>4.1799999999999997E-2</v>
      </c>
      <c r="D102">
        <v>13.24</v>
      </c>
      <c r="E102">
        <v>50.44</v>
      </c>
      <c r="F102">
        <v>2.12E-2</v>
      </c>
      <c r="G102">
        <v>7.9799999999999996E-2</v>
      </c>
      <c r="H102">
        <v>0.81610000000000005</v>
      </c>
      <c r="I102">
        <v>0.2041</v>
      </c>
      <c r="J102">
        <v>12.04</v>
      </c>
      <c r="K102">
        <v>0.36580000000000001</v>
      </c>
      <c r="L102">
        <v>5.19</v>
      </c>
      <c r="M102">
        <v>9.32</v>
      </c>
      <c r="N102">
        <v>4.04</v>
      </c>
      <c r="O102">
        <v>98.518900000000002</v>
      </c>
      <c r="P102" t="s">
        <v>161</v>
      </c>
    </row>
    <row r="103" spans="1:16">
      <c r="A103">
        <v>99</v>
      </c>
      <c r="B103">
        <v>2.92</v>
      </c>
      <c r="C103">
        <v>1.77E-2</v>
      </c>
      <c r="D103">
        <v>13.2</v>
      </c>
      <c r="E103">
        <v>50.47</v>
      </c>
      <c r="F103">
        <v>3.2300000000000002E-2</v>
      </c>
      <c r="G103">
        <v>0.08</v>
      </c>
      <c r="H103">
        <v>0.81110000000000004</v>
      </c>
      <c r="I103">
        <v>0.19670000000000001</v>
      </c>
      <c r="J103">
        <v>11.94</v>
      </c>
      <c r="K103">
        <v>0.44700000000000001</v>
      </c>
      <c r="L103">
        <v>5.19</v>
      </c>
      <c r="M103">
        <v>9.41</v>
      </c>
      <c r="N103">
        <v>4.1500000000000004</v>
      </c>
      <c r="O103">
        <v>98.864900000000006</v>
      </c>
      <c r="P103" t="s">
        <v>161</v>
      </c>
    </row>
    <row r="104" spans="1:16">
      <c r="A104">
        <v>100</v>
      </c>
      <c r="B104">
        <v>2.87</v>
      </c>
      <c r="C104">
        <v>0.35820000000000002</v>
      </c>
      <c r="D104">
        <v>11.93</v>
      </c>
      <c r="E104">
        <v>50.39</v>
      </c>
      <c r="F104">
        <v>2.18E-2</v>
      </c>
      <c r="G104">
        <v>1.0200000000000001E-2</v>
      </c>
      <c r="H104">
        <v>0.19170000000000001</v>
      </c>
      <c r="I104">
        <v>0.1893</v>
      </c>
      <c r="J104">
        <v>13.55</v>
      </c>
      <c r="K104">
        <v>0.22359999999999999</v>
      </c>
      <c r="L104">
        <v>7.17</v>
      </c>
      <c r="M104">
        <v>11.23</v>
      </c>
      <c r="N104">
        <v>1.87</v>
      </c>
      <c r="O104">
        <v>100.0048</v>
      </c>
      <c r="P104" t="s">
        <v>162</v>
      </c>
    </row>
    <row r="105" spans="1:16">
      <c r="A105">
        <v>101</v>
      </c>
      <c r="B105">
        <v>2.77</v>
      </c>
      <c r="C105">
        <v>0.34410000000000002</v>
      </c>
      <c r="D105">
        <v>11.95</v>
      </c>
      <c r="E105">
        <v>51.17</v>
      </c>
      <c r="F105">
        <v>3.1099999999999999E-2</v>
      </c>
      <c r="G105">
        <v>9.7000000000000003E-2</v>
      </c>
      <c r="H105">
        <v>0.20610000000000001</v>
      </c>
      <c r="I105">
        <v>0.15340000000000001</v>
      </c>
      <c r="J105">
        <v>13.98</v>
      </c>
      <c r="K105">
        <v>0.1933</v>
      </c>
      <c r="L105">
        <v>7.03</v>
      </c>
      <c r="M105">
        <v>11.24</v>
      </c>
      <c r="N105">
        <v>1.88</v>
      </c>
      <c r="O105">
        <v>101.0449</v>
      </c>
      <c r="P105" t="s">
        <v>162</v>
      </c>
    </row>
    <row r="106" spans="1:16">
      <c r="A106">
        <v>102</v>
      </c>
      <c r="B106">
        <v>6.44</v>
      </c>
      <c r="C106">
        <v>4.6300000000000001E-2</v>
      </c>
      <c r="D106">
        <v>7.92</v>
      </c>
      <c r="E106">
        <v>70.599999999999994</v>
      </c>
      <c r="F106">
        <v>0.39279999999999998</v>
      </c>
      <c r="G106">
        <v>0.36680000000000001</v>
      </c>
      <c r="H106">
        <v>4.2699999999999996</v>
      </c>
      <c r="I106">
        <v>0.18959999999999999</v>
      </c>
      <c r="J106">
        <v>8.75</v>
      </c>
      <c r="K106">
        <v>0</v>
      </c>
      <c r="L106">
        <v>2.1000000000000001E-2</v>
      </c>
      <c r="M106">
        <v>0.4249</v>
      </c>
      <c r="N106">
        <v>0.29389999999999999</v>
      </c>
      <c r="O106">
        <v>99.715299999999999</v>
      </c>
      <c r="P106" t="s">
        <v>163</v>
      </c>
    </row>
    <row r="107" spans="1:16">
      <c r="A107">
        <v>103</v>
      </c>
      <c r="B107">
        <v>6.25</v>
      </c>
      <c r="C107">
        <v>4.2500000000000003E-2</v>
      </c>
      <c r="D107">
        <v>7.63</v>
      </c>
      <c r="E107">
        <v>70.37</v>
      </c>
      <c r="F107">
        <v>0.37540000000000001</v>
      </c>
      <c r="G107">
        <v>0.43099999999999999</v>
      </c>
      <c r="H107">
        <v>4.29</v>
      </c>
      <c r="I107">
        <v>0.3291</v>
      </c>
      <c r="J107">
        <v>8.6999999999999993</v>
      </c>
      <c r="K107">
        <v>4.0000000000000002E-4</v>
      </c>
      <c r="L107">
        <v>1.6799999999999999E-2</v>
      </c>
      <c r="M107">
        <v>0.45169999999999999</v>
      </c>
      <c r="N107">
        <v>0.33929999999999999</v>
      </c>
      <c r="O107">
        <v>99.226200000000006</v>
      </c>
      <c r="P107" t="s">
        <v>163</v>
      </c>
    </row>
    <row r="108" spans="1:16">
      <c r="A108">
        <v>104</v>
      </c>
      <c r="B108">
        <v>5.2</v>
      </c>
      <c r="C108">
        <v>1.3888</v>
      </c>
      <c r="D108">
        <v>9.0800000000000006E-2</v>
      </c>
      <c r="E108">
        <v>50.72</v>
      </c>
      <c r="F108">
        <v>1.45</v>
      </c>
      <c r="G108">
        <v>0</v>
      </c>
      <c r="H108">
        <v>0.8669</v>
      </c>
      <c r="I108">
        <v>2.2700000000000001E-2</v>
      </c>
      <c r="J108">
        <v>25.53</v>
      </c>
      <c r="K108">
        <v>4.5699999999999998E-2</v>
      </c>
      <c r="L108">
        <v>0</v>
      </c>
      <c r="M108">
        <v>14.05</v>
      </c>
      <c r="N108">
        <v>2.3999999999999998E-3</v>
      </c>
      <c r="O108">
        <v>99.367400000000004</v>
      </c>
      <c r="P108" t="s">
        <v>164</v>
      </c>
    </row>
    <row r="109" spans="1:16">
      <c r="A109">
        <v>105</v>
      </c>
      <c r="B109">
        <v>5.1100000000000003</v>
      </c>
      <c r="C109">
        <v>1.2950999999999999</v>
      </c>
      <c r="D109">
        <v>0.1009</v>
      </c>
      <c r="E109">
        <v>50.75</v>
      </c>
      <c r="F109">
        <v>1.43</v>
      </c>
      <c r="G109">
        <v>1.52E-2</v>
      </c>
      <c r="H109">
        <v>0.84040000000000004</v>
      </c>
      <c r="I109">
        <v>5.3499999999999999E-2</v>
      </c>
      <c r="J109">
        <v>25.77</v>
      </c>
      <c r="K109">
        <v>1.6299999999999999E-2</v>
      </c>
      <c r="L109">
        <v>9.1000000000000004E-3</v>
      </c>
      <c r="M109">
        <v>14.05</v>
      </c>
      <c r="N109">
        <v>1.5800000000000002E-2</v>
      </c>
      <c r="O109">
        <v>99.456400000000002</v>
      </c>
      <c r="P109" t="s">
        <v>164</v>
      </c>
    </row>
    <row r="110" spans="1:16">
      <c r="A110" t="s">
        <v>0</v>
      </c>
    </row>
    <row r="111" spans="1:16">
      <c r="A111" t="s">
        <v>12</v>
      </c>
    </row>
    <row r="112" spans="1:16">
      <c r="A112" t="s">
        <v>13</v>
      </c>
    </row>
    <row r="113" spans="1:1">
      <c r="A113" t="s">
        <v>14</v>
      </c>
    </row>
    <row r="114" spans="1:1">
      <c r="A114" t="s">
        <v>15</v>
      </c>
    </row>
    <row r="115" spans="1:1">
      <c r="A115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518A-2533-624E-B03E-F3B6A54F29E2}">
  <dimension ref="A2:A6384"/>
  <sheetViews>
    <sheetView topLeftCell="A28" workbookViewId="0">
      <selection sqref="A1:A6388"/>
    </sheetView>
  </sheetViews>
  <sheetFormatPr defaultColWidth="10.90625" defaultRowHeight="15"/>
  <sheetData>
    <row r="2" spans="1:1">
      <c r="A2" t="s">
        <v>238</v>
      </c>
    </row>
    <row r="7" spans="1:1">
      <c r="A7" t="s">
        <v>239</v>
      </c>
    </row>
    <row r="8" spans="1:1">
      <c r="A8" t="s">
        <v>240</v>
      </c>
    </row>
    <row r="9" spans="1:1">
      <c r="A9" t="s">
        <v>241</v>
      </c>
    </row>
    <row r="10" spans="1:1">
      <c r="A10" t="s">
        <v>242</v>
      </c>
    </row>
    <row r="11" spans="1:1">
      <c r="A11" t="s">
        <v>243</v>
      </c>
    </row>
    <row r="12" spans="1:1">
      <c r="A12" t="s">
        <v>244</v>
      </c>
    </row>
    <row r="13" spans="1:1">
      <c r="A13" t="s">
        <v>245</v>
      </c>
    </row>
    <row r="15" spans="1:1">
      <c r="A15" t="s">
        <v>246</v>
      </c>
    </row>
    <row r="16" spans="1:1">
      <c r="A16" t="s">
        <v>247</v>
      </c>
    </row>
    <row r="17" spans="1:1">
      <c r="A17" t="s">
        <v>248</v>
      </c>
    </row>
    <row r="18" spans="1:1">
      <c r="A18" t="s">
        <v>249</v>
      </c>
    </row>
    <row r="19" spans="1:1">
      <c r="A19" t="s">
        <v>250</v>
      </c>
    </row>
    <row r="20" spans="1:1">
      <c r="A20" t="s">
        <v>251</v>
      </c>
    </row>
    <row r="21" spans="1:1">
      <c r="A21" t="s">
        <v>252</v>
      </c>
    </row>
    <row r="22" spans="1:1">
      <c r="A22" t="s">
        <v>253</v>
      </c>
    </row>
    <row r="23" spans="1:1">
      <c r="A23" t="s">
        <v>254</v>
      </c>
    </row>
    <row r="24" spans="1:1">
      <c r="A24" t="s">
        <v>255</v>
      </c>
    </row>
    <row r="25" spans="1:1">
      <c r="A25" t="s">
        <v>256</v>
      </c>
    </row>
    <row r="26" spans="1:1">
      <c r="A26" t="s">
        <v>257</v>
      </c>
    </row>
    <row r="27" spans="1:1">
      <c r="A27" t="s">
        <v>258</v>
      </c>
    </row>
    <row r="28" spans="1:1">
      <c r="A28" t="s">
        <v>259</v>
      </c>
    </row>
    <row r="29" spans="1:1">
      <c r="A29" t="s">
        <v>260</v>
      </c>
    </row>
    <row r="32" spans="1:1">
      <c r="A32" t="s">
        <v>261</v>
      </c>
    </row>
    <row r="33" spans="1:1">
      <c r="A33" t="s">
        <v>262</v>
      </c>
    </row>
    <row r="34" spans="1:1">
      <c r="A34" t="s">
        <v>263</v>
      </c>
    </row>
    <row r="35" spans="1:1">
      <c r="A35" t="s">
        <v>264</v>
      </c>
    </row>
    <row r="36" spans="1:1">
      <c r="A36" t="s">
        <v>265</v>
      </c>
    </row>
    <row r="37" spans="1:1">
      <c r="A37" t="s">
        <v>266</v>
      </c>
    </row>
    <row r="38" spans="1:1">
      <c r="A38" t="s">
        <v>267</v>
      </c>
    </row>
    <row r="39" spans="1:1">
      <c r="A39" t="s">
        <v>268</v>
      </c>
    </row>
    <row r="40" spans="1:1">
      <c r="A40" t="s">
        <v>269</v>
      </c>
    </row>
    <row r="41" spans="1:1">
      <c r="A41" t="s">
        <v>270</v>
      </c>
    </row>
    <row r="42" spans="1:1">
      <c r="A42" t="s">
        <v>271</v>
      </c>
    </row>
    <row r="43" spans="1:1">
      <c r="A43" t="s">
        <v>272</v>
      </c>
    </row>
    <row r="44" spans="1:1">
      <c r="A44" t="s">
        <v>273</v>
      </c>
    </row>
    <row r="45" spans="1:1">
      <c r="A45" t="s">
        <v>274</v>
      </c>
    </row>
    <row r="47" spans="1:1">
      <c r="A47" t="s">
        <v>275</v>
      </c>
    </row>
    <row r="48" spans="1:1">
      <c r="A48" t="s">
        <v>276</v>
      </c>
    </row>
    <row r="49" spans="1:1">
      <c r="A49" t="s">
        <v>277</v>
      </c>
    </row>
    <row r="50" spans="1:1">
      <c r="A50" t="s">
        <v>278</v>
      </c>
    </row>
    <row r="51" spans="1:1">
      <c r="A51" t="s">
        <v>279</v>
      </c>
    </row>
    <row r="52" spans="1:1">
      <c r="A52" t="s">
        <v>280</v>
      </c>
    </row>
    <row r="53" spans="1:1">
      <c r="A53" t="s">
        <v>281</v>
      </c>
    </row>
    <row r="54" spans="1:1">
      <c r="A54" t="s">
        <v>282</v>
      </c>
    </row>
    <row r="55" spans="1:1">
      <c r="A55" t="s">
        <v>283</v>
      </c>
    </row>
    <row r="56" spans="1:1">
      <c r="A56" t="s">
        <v>284</v>
      </c>
    </row>
    <row r="57" spans="1:1">
      <c r="A57" t="s">
        <v>285</v>
      </c>
    </row>
    <row r="58" spans="1:1">
      <c r="A58" t="s">
        <v>286</v>
      </c>
    </row>
    <row r="59" spans="1:1">
      <c r="A59" t="s">
        <v>287</v>
      </c>
    </row>
    <row r="60" spans="1:1">
      <c r="A60" t="s">
        <v>288</v>
      </c>
    </row>
    <row r="61" spans="1:1">
      <c r="A61" t="s">
        <v>289</v>
      </c>
    </row>
    <row r="62" spans="1:1">
      <c r="A62" t="s">
        <v>290</v>
      </c>
    </row>
    <row r="63" spans="1:1">
      <c r="A63" t="s">
        <v>291</v>
      </c>
    </row>
    <row r="68" spans="1:1">
      <c r="A68" t="s">
        <v>292</v>
      </c>
    </row>
    <row r="69" spans="1:1">
      <c r="A69" t="s">
        <v>240</v>
      </c>
    </row>
    <row r="70" spans="1:1">
      <c r="A70" t="s">
        <v>293</v>
      </c>
    </row>
    <row r="71" spans="1:1">
      <c r="A71" t="s">
        <v>294</v>
      </c>
    </row>
    <row r="72" spans="1:1">
      <c r="A72" t="s">
        <v>243</v>
      </c>
    </row>
    <row r="73" spans="1:1">
      <c r="A73" t="s">
        <v>295</v>
      </c>
    </row>
    <row r="74" spans="1:1">
      <c r="A74" t="s">
        <v>245</v>
      </c>
    </row>
    <row r="76" spans="1:1">
      <c r="A76" t="s">
        <v>246</v>
      </c>
    </row>
    <row r="77" spans="1:1">
      <c r="A77" t="s">
        <v>247</v>
      </c>
    </row>
    <row r="78" spans="1:1">
      <c r="A78" t="s">
        <v>296</v>
      </c>
    </row>
    <row r="79" spans="1:1">
      <c r="A79" t="s">
        <v>297</v>
      </c>
    </row>
    <row r="80" spans="1:1">
      <c r="A80" t="s">
        <v>298</v>
      </c>
    </row>
    <row r="81" spans="1:1">
      <c r="A81" t="s">
        <v>299</v>
      </c>
    </row>
    <row r="82" spans="1:1">
      <c r="A82" t="s">
        <v>300</v>
      </c>
    </row>
    <row r="83" spans="1:1">
      <c r="A83" t="s">
        <v>301</v>
      </c>
    </row>
    <row r="84" spans="1:1">
      <c r="A84" t="s">
        <v>302</v>
      </c>
    </row>
    <row r="85" spans="1:1">
      <c r="A85" t="s">
        <v>303</v>
      </c>
    </row>
    <row r="86" spans="1:1">
      <c r="A86" t="s">
        <v>304</v>
      </c>
    </row>
    <row r="87" spans="1:1">
      <c r="A87" t="s">
        <v>305</v>
      </c>
    </row>
    <row r="88" spans="1:1">
      <c r="A88" t="s">
        <v>306</v>
      </c>
    </row>
    <row r="89" spans="1:1">
      <c r="A89" t="s">
        <v>307</v>
      </c>
    </row>
    <row r="90" spans="1:1">
      <c r="A90" t="s">
        <v>308</v>
      </c>
    </row>
    <row r="93" spans="1:1">
      <c r="A93" t="s">
        <v>261</v>
      </c>
    </row>
    <row r="94" spans="1:1">
      <c r="A94" t="s">
        <v>309</v>
      </c>
    </row>
    <row r="95" spans="1:1">
      <c r="A95" t="s">
        <v>310</v>
      </c>
    </row>
    <row r="96" spans="1:1">
      <c r="A96" t="s">
        <v>311</v>
      </c>
    </row>
    <row r="97" spans="1:1">
      <c r="A97" t="s">
        <v>312</v>
      </c>
    </row>
    <row r="98" spans="1:1">
      <c r="A98" t="s">
        <v>313</v>
      </c>
    </row>
    <row r="99" spans="1:1">
      <c r="A99" t="s">
        <v>314</v>
      </c>
    </row>
    <row r="100" spans="1:1">
      <c r="A100" t="s">
        <v>315</v>
      </c>
    </row>
    <row r="101" spans="1:1">
      <c r="A101" t="s">
        <v>316</v>
      </c>
    </row>
    <row r="102" spans="1:1">
      <c r="A102" t="s">
        <v>317</v>
      </c>
    </row>
    <row r="103" spans="1:1">
      <c r="A103" t="s">
        <v>318</v>
      </c>
    </row>
    <row r="104" spans="1:1">
      <c r="A104" t="s">
        <v>319</v>
      </c>
    </row>
    <row r="105" spans="1:1">
      <c r="A105" t="s">
        <v>320</v>
      </c>
    </row>
    <row r="106" spans="1:1">
      <c r="A106" t="s">
        <v>321</v>
      </c>
    </row>
    <row r="108" spans="1:1">
      <c r="A108" t="s">
        <v>275</v>
      </c>
    </row>
    <row r="109" spans="1:1">
      <c r="A109" t="s">
        <v>322</v>
      </c>
    </row>
    <row r="110" spans="1:1">
      <c r="A110" t="s">
        <v>323</v>
      </c>
    </row>
    <row r="111" spans="1:1">
      <c r="A111" t="s">
        <v>324</v>
      </c>
    </row>
    <row r="112" spans="1:1">
      <c r="A112" t="s">
        <v>325</v>
      </c>
    </row>
    <row r="113" spans="1:1">
      <c r="A113" t="s">
        <v>326</v>
      </c>
    </row>
    <row r="114" spans="1:1">
      <c r="A114" t="s">
        <v>327</v>
      </c>
    </row>
    <row r="115" spans="1:1">
      <c r="A115" t="s">
        <v>328</v>
      </c>
    </row>
    <row r="116" spans="1:1">
      <c r="A116" t="s">
        <v>329</v>
      </c>
    </row>
    <row r="117" spans="1:1">
      <c r="A117" t="s">
        <v>330</v>
      </c>
    </row>
    <row r="118" spans="1:1">
      <c r="A118" t="s">
        <v>331</v>
      </c>
    </row>
    <row r="119" spans="1:1">
      <c r="A119" t="s">
        <v>332</v>
      </c>
    </row>
    <row r="120" spans="1:1">
      <c r="A120" t="s">
        <v>333</v>
      </c>
    </row>
    <row r="121" spans="1:1">
      <c r="A121" t="s">
        <v>334</v>
      </c>
    </row>
    <row r="122" spans="1:1">
      <c r="A122" t="s">
        <v>335</v>
      </c>
    </row>
    <row r="123" spans="1:1">
      <c r="A123" t="s">
        <v>290</v>
      </c>
    </row>
    <row r="124" spans="1:1">
      <c r="A124" t="s">
        <v>336</v>
      </c>
    </row>
    <row r="129" spans="1:1">
      <c r="A129" t="s">
        <v>337</v>
      </c>
    </row>
    <row r="130" spans="1:1">
      <c r="A130" t="s">
        <v>240</v>
      </c>
    </row>
    <row r="131" spans="1:1">
      <c r="A131" t="s">
        <v>338</v>
      </c>
    </row>
    <row r="132" spans="1:1">
      <c r="A132" t="s">
        <v>339</v>
      </c>
    </row>
    <row r="133" spans="1:1">
      <c r="A133" t="s">
        <v>243</v>
      </c>
    </row>
    <row r="134" spans="1:1">
      <c r="A134" t="s">
        <v>340</v>
      </c>
    </row>
    <row r="135" spans="1:1">
      <c r="A135" t="s">
        <v>245</v>
      </c>
    </row>
    <row r="137" spans="1:1">
      <c r="A137" t="s">
        <v>341</v>
      </c>
    </row>
    <row r="138" spans="1:1">
      <c r="A138" t="s">
        <v>247</v>
      </c>
    </row>
    <row r="139" spans="1:1">
      <c r="A139" t="s">
        <v>342</v>
      </c>
    </row>
    <row r="140" spans="1:1">
      <c r="A140" t="s">
        <v>343</v>
      </c>
    </row>
    <row r="141" spans="1:1">
      <c r="A141" t="s">
        <v>344</v>
      </c>
    </row>
    <row r="142" spans="1:1">
      <c r="A142" t="s">
        <v>345</v>
      </c>
    </row>
    <row r="143" spans="1:1">
      <c r="A143" t="s">
        <v>346</v>
      </c>
    </row>
    <row r="144" spans="1:1">
      <c r="A144" t="s">
        <v>347</v>
      </c>
    </row>
    <row r="145" spans="1:1">
      <c r="A145" t="s">
        <v>348</v>
      </c>
    </row>
    <row r="146" spans="1:1">
      <c r="A146" t="s">
        <v>349</v>
      </c>
    </row>
    <row r="147" spans="1:1">
      <c r="A147" t="s">
        <v>350</v>
      </c>
    </row>
    <row r="148" spans="1:1">
      <c r="A148" t="s">
        <v>351</v>
      </c>
    </row>
    <row r="149" spans="1:1">
      <c r="A149" t="s">
        <v>352</v>
      </c>
    </row>
    <row r="150" spans="1:1">
      <c r="A150" t="s">
        <v>353</v>
      </c>
    </row>
    <row r="151" spans="1:1">
      <c r="A151" t="s">
        <v>354</v>
      </c>
    </row>
    <row r="154" spans="1:1">
      <c r="A154" t="s">
        <v>261</v>
      </c>
    </row>
    <row r="155" spans="1:1">
      <c r="A155" t="s">
        <v>355</v>
      </c>
    </row>
    <row r="156" spans="1:1">
      <c r="A156" t="s">
        <v>356</v>
      </c>
    </row>
    <row r="157" spans="1:1">
      <c r="A157" t="s">
        <v>357</v>
      </c>
    </row>
    <row r="158" spans="1:1">
      <c r="A158" t="s">
        <v>358</v>
      </c>
    </row>
    <row r="159" spans="1:1">
      <c r="A159" t="s">
        <v>359</v>
      </c>
    </row>
    <row r="160" spans="1:1">
      <c r="A160" t="s">
        <v>360</v>
      </c>
    </row>
    <row r="161" spans="1:1">
      <c r="A161" t="s">
        <v>361</v>
      </c>
    </row>
    <row r="162" spans="1:1">
      <c r="A162" t="s">
        <v>362</v>
      </c>
    </row>
    <row r="163" spans="1:1">
      <c r="A163" t="s">
        <v>363</v>
      </c>
    </row>
    <row r="164" spans="1:1">
      <c r="A164" t="s">
        <v>364</v>
      </c>
    </row>
    <row r="165" spans="1:1">
      <c r="A165" t="s">
        <v>365</v>
      </c>
    </row>
    <row r="166" spans="1:1">
      <c r="A166" t="s">
        <v>366</v>
      </c>
    </row>
    <row r="167" spans="1:1">
      <c r="A167" t="s">
        <v>367</v>
      </c>
    </row>
    <row r="169" spans="1:1">
      <c r="A169" t="s">
        <v>275</v>
      </c>
    </row>
    <row r="170" spans="1:1">
      <c r="A170" t="s">
        <v>368</v>
      </c>
    </row>
    <row r="171" spans="1:1">
      <c r="A171" t="s">
        <v>369</v>
      </c>
    </row>
    <row r="172" spans="1:1">
      <c r="A172" t="s">
        <v>370</v>
      </c>
    </row>
    <row r="173" spans="1:1">
      <c r="A173" t="s">
        <v>371</v>
      </c>
    </row>
    <row r="174" spans="1:1">
      <c r="A174" t="s">
        <v>372</v>
      </c>
    </row>
    <row r="175" spans="1:1">
      <c r="A175" t="s">
        <v>373</v>
      </c>
    </row>
    <row r="176" spans="1:1">
      <c r="A176" t="s">
        <v>374</v>
      </c>
    </row>
    <row r="177" spans="1:1">
      <c r="A177" t="s">
        <v>375</v>
      </c>
    </row>
    <row r="178" spans="1:1">
      <c r="A178" t="s">
        <v>376</v>
      </c>
    </row>
    <row r="179" spans="1:1">
      <c r="A179" t="s">
        <v>377</v>
      </c>
    </row>
    <row r="180" spans="1:1">
      <c r="A180" t="s">
        <v>378</v>
      </c>
    </row>
    <row r="181" spans="1:1">
      <c r="A181" t="s">
        <v>379</v>
      </c>
    </row>
    <row r="182" spans="1:1">
      <c r="A182" t="s">
        <v>380</v>
      </c>
    </row>
    <row r="183" spans="1:1">
      <c r="A183" t="s">
        <v>381</v>
      </c>
    </row>
    <row r="184" spans="1:1">
      <c r="A184" t="s">
        <v>290</v>
      </c>
    </row>
    <row r="185" spans="1:1">
      <c r="A185" t="s">
        <v>382</v>
      </c>
    </row>
    <row r="190" spans="1:1">
      <c r="A190" t="s">
        <v>383</v>
      </c>
    </row>
    <row r="191" spans="1:1">
      <c r="A191" t="s">
        <v>240</v>
      </c>
    </row>
    <row r="192" spans="1:1">
      <c r="A192" t="s">
        <v>384</v>
      </c>
    </row>
    <row r="193" spans="1:1">
      <c r="A193" t="s">
        <v>385</v>
      </c>
    </row>
    <row r="194" spans="1:1">
      <c r="A194" t="s">
        <v>243</v>
      </c>
    </row>
    <row r="195" spans="1:1">
      <c r="A195" t="s">
        <v>386</v>
      </c>
    </row>
    <row r="196" spans="1:1">
      <c r="A196" t="s">
        <v>245</v>
      </c>
    </row>
    <row r="198" spans="1:1">
      <c r="A198" t="s">
        <v>341</v>
      </c>
    </row>
    <row r="199" spans="1:1">
      <c r="A199" t="s">
        <v>247</v>
      </c>
    </row>
    <row r="200" spans="1:1">
      <c r="A200" t="s">
        <v>387</v>
      </c>
    </row>
    <row r="201" spans="1:1">
      <c r="A201" t="s">
        <v>388</v>
      </c>
    </row>
    <row r="202" spans="1:1">
      <c r="A202" t="s">
        <v>389</v>
      </c>
    </row>
    <row r="203" spans="1:1">
      <c r="A203" t="s">
        <v>390</v>
      </c>
    </row>
    <row r="204" spans="1:1">
      <c r="A204" t="s">
        <v>391</v>
      </c>
    </row>
    <row r="205" spans="1:1">
      <c r="A205" t="s">
        <v>392</v>
      </c>
    </row>
    <row r="206" spans="1:1">
      <c r="A206" t="s">
        <v>393</v>
      </c>
    </row>
    <row r="207" spans="1:1">
      <c r="A207" t="s">
        <v>394</v>
      </c>
    </row>
    <row r="208" spans="1:1">
      <c r="A208" t="s">
        <v>395</v>
      </c>
    </row>
    <row r="209" spans="1:1">
      <c r="A209" t="s">
        <v>396</v>
      </c>
    </row>
    <row r="210" spans="1:1">
      <c r="A210" t="s">
        <v>397</v>
      </c>
    </row>
    <row r="211" spans="1:1">
      <c r="A211" t="s">
        <v>398</v>
      </c>
    </row>
    <row r="212" spans="1:1">
      <c r="A212" t="s">
        <v>399</v>
      </c>
    </row>
    <row r="215" spans="1:1">
      <c r="A215" t="s">
        <v>261</v>
      </c>
    </row>
    <row r="216" spans="1:1">
      <c r="A216" t="s">
        <v>400</v>
      </c>
    </row>
    <row r="217" spans="1:1">
      <c r="A217" t="s">
        <v>401</v>
      </c>
    </row>
    <row r="218" spans="1:1">
      <c r="A218" t="s">
        <v>402</v>
      </c>
    </row>
    <row r="219" spans="1:1">
      <c r="A219" t="s">
        <v>403</v>
      </c>
    </row>
    <row r="220" spans="1:1">
      <c r="A220" t="s">
        <v>404</v>
      </c>
    </row>
    <row r="221" spans="1:1">
      <c r="A221" t="s">
        <v>405</v>
      </c>
    </row>
    <row r="222" spans="1:1">
      <c r="A222" t="s">
        <v>406</v>
      </c>
    </row>
    <row r="223" spans="1:1">
      <c r="A223" t="s">
        <v>407</v>
      </c>
    </row>
    <row r="224" spans="1:1">
      <c r="A224" t="s">
        <v>408</v>
      </c>
    </row>
    <row r="225" spans="1:1">
      <c r="A225" t="s">
        <v>409</v>
      </c>
    </row>
    <row r="226" spans="1:1">
      <c r="A226" t="s">
        <v>410</v>
      </c>
    </row>
    <row r="227" spans="1:1">
      <c r="A227" t="s">
        <v>411</v>
      </c>
    </row>
    <row r="228" spans="1:1">
      <c r="A228" t="s">
        <v>412</v>
      </c>
    </row>
    <row r="230" spans="1:1">
      <c r="A230" t="s">
        <v>275</v>
      </c>
    </row>
    <row r="231" spans="1:1">
      <c r="A231" t="s">
        <v>413</v>
      </c>
    </row>
    <row r="232" spans="1:1">
      <c r="A232" t="s">
        <v>414</v>
      </c>
    </row>
    <row r="233" spans="1:1">
      <c r="A233" t="s">
        <v>415</v>
      </c>
    </row>
    <row r="234" spans="1:1">
      <c r="A234" t="s">
        <v>416</v>
      </c>
    </row>
    <row r="235" spans="1:1">
      <c r="A235" t="s">
        <v>417</v>
      </c>
    </row>
    <row r="236" spans="1:1">
      <c r="A236" t="s">
        <v>418</v>
      </c>
    </row>
    <row r="237" spans="1:1">
      <c r="A237" t="s">
        <v>419</v>
      </c>
    </row>
    <row r="238" spans="1:1">
      <c r="A238" t="s">
        <v>420</v>
      </c>
    </row>
    <row r="239" spans="1:1">
      <c r="A239" t="s">
        <v>421</v>
      </c>
    </row>
    <row r="240" spans="1:1">
      <c r="A240" t="s">
        <v>422</v>
      </c>
    </row>
    <row r="241" spans="1:1">
      <c r="A241" t="s">
        <v>423</v>
      </c>
    </row>
    <row r="242" spans="1:1">
      <c r="A242" t="s">
        <v>424</v>
      </c>
    </row>
    <row r="243" spans="1:1">
      <c r="A243" t="s">
        <v>425</v>
      </c>
    </row>
    <row r="244" spans="1:1">
      <c r="A244" t="s">
        <v>426</v>
      </c>
    </row>
    <row r="245" spans="1:1">
      <c r="A245" t="s">
        <v>290</v>
      </c>
    </row>
    <row r="246" spans="1:1">
      <c r="A246" t="s">
        <v>427</v>
      </c>
    </row>
    <row r="251" spans="1:1">
      <c r="A251" t="s">
        <v>428</v>
      </c>
    </row>
    <row r="252" spans="1:1">
      <c r="A252" t="s">
        <v>240</v>
      </c>
    </row>
    <row r="253" spans="1:1">
      <c r="A253" t="s">
        <v>429</v>
      </c>
    </row>
    <row r="254" spans="1:1">
      <c r="A254" t="s">
        <v>430</v>
      </c>
    </row>
    <row r="255" spans="1:1">
      <c r="A255" t="s">
        <v>243</v>
      </c>
    </row>
    <row r="256" spans="1:1">
      <c r="A256" t="s">
        <v>431</v>
      </c>
    </row>
    <row r="257" spans="1:1">
      <c r="A257" t="s">
        <v>245</v>
      </c>
    </row>
    <row r="259" spans="1:1">
      <c r="A259" t="s">
        <v>341</v>
      </c>
    </row>
    <row r="260" spans="1:1">
      <c r="A260" t="s">
        <v>247</v>
      </c>
    </row>
    <row r="261" spans="1:1">
      <c r="A261" t="s">
        <v>432</v>
      </c>
    </row>
    <row r="262" spans="1:1">
      <c r="A262" t="s">
        <v>433</v>
      </c>
    </row>
    <row r="263" spans="1:1">
      <c r="A263" t="s">
        <v>434</v>
      </c>
    </row>
    <row r="264" spans="1:1">
      <c r="A264" t="s">
        <v>435</v>
      </c>
    </row>
    <row r="265" spans="1:1">
      <c r="A265" t="s">
        <v>436</v>
      </c>
    </row>
    <row r="266" spans="1:1">
      <c r="A266" t="s">
        <v>437</v>
      </c>
    </row>
    <row r="267" spans="1:1">
      <c r="A267" t="s">
        <v>438</v>
      </c>
    </row>
    <row r="268" spans="1:1">
      <c r="A268" t="s">
        <v>439</v>
      </c>
    </row>
    <row r="269" spans="1:1">
      <c r="A269" t="s">
        <v>440</v>
      </c>
    </row>
    <row r="270" spans="1:1">
      <c r="A270" t="s">
        <v>441</v>
      </c>
    </row>
    <row r="271" spans="1:1">
      <c r="A271" t="s">
        <v>442</v>
      </c>
    </row>
    <row r="272" spans="1:1">
      <c r="A272" t="s">
        <v>443</v>
      </c>
    </row>
    <row r="273" spans="1:1">
      <c r="A273" t="s">
        <v>444</v>
      </c>
    </row>
    <row r="276" spans="1:1">
      <c r="A276" t="s">
        <v>261</v>
      </c>
    </row>
    <row r="277" spans="1:1">
      <c r="A277" t="s">
        <v>445</v>
      </c>
    </row>
    <row r="278" spans="1:1">
      <c r="A278" t="s">
        <v>446</v>
      </c>
    </row>
    <row r="279" spans="1:1">
      <c r="A279" t="s">
        <v>447</v>
      </c>
    </row>
    <row r="280" spans="1:1">
      <c r="A280" t="s">
        <v>448</v>
      </c>
    </row>
    <row r="281" spans="1:1">
      <c r="A281" t="s">
        <v>449</v>
      </c>
    </row>
    <row r="282" spans="1:1">
      <c r="A282" t="s">
        <v>450</v>
      </c>
    </row>
    <row r="283" spans="1:1">
      <c r="A283" t="s">
        <v>451</v>
      </c>
    </row>
    <row r="284" spans="1:1">
      <c r="A284" t="s">
        <v>452</v>
      </c>
    </row>
    <row r="285" spans="1:1">
      <c r="A285" t="s">
        <v>453</v>
      </c>
    </row>
    <row r="286" spans="1:1">
      <c r="A286" t="s">
        <v>454</v>
      </c>
    </row>
    <row r="287" spans="1:1">
      <c r="A287" t="s">
        <v>455</v>
      </c>
    </row>
    <row r="288" spans="1:1">
      <c r="A288" t="s">
        <v>456</v>
      </c>
    </row>
    <row r="289" spans="1:1">
      <c r="A289" t="s">
        <v>457</v>
      </c>
    </row>
    <row r="291" spans="1:1">
      <c r="A291" t="s">
        <v>275</v>
      </c>
    </row>
    <row r="292" spans="1:1">
      <c r="A292" t="s">
        <v>458</v>
      </c>
    </row>
    <row r="293" spans="1:1">
      <c r="A293" t="s">
        <v>459</v>
      </c>
    </row>
    <row r="294" spans="1:1">
      <c r="A294" t="s">
        <v>460</v>
      </c>
    </row>
    <row r="295" spans="1:1">
      <c r="A295" t="s">
        <v>461</v>
      </c>
    </row>
    <row r="296" spans="1:1">
      <c r="A296" t="s">
        <v>462</v>
      </c>
    </row>
    <row r="297" spans="1:1">
      <c r="A297" t="s">
        <v>463</v>
      </c>
    </row>
    <row r="298" spans="1:1">
      <c r="A298" t="s">
        <v>464</v>
      </c>
    </row>
    <row r="299" spans="1:1">
      <c r="A299" t="s">
        <v>465</v>
      </c>
    </row>
    <row r="300" spans="1:1">
      <c r="A300" t="s">
        <v>466</v>
      </c>
    </row>
    <row r="301" spans="1:1">
      <c r="A301" t="s">
        <v>467</v>
      </c>
    </row>
    <row r="302" spans="1:1">
      <c r="A302" t="s">
        <v>468</v>
      </c>
    </row>
    <row r="303" spans="1:1">
      <c r="A303" t="s">
        <v>469</v>
      </c>
    </row>
    <row r="304" spans="1:1">
      <c r="A304" t="s">
        <v>470</v>
      </c>
    </row>
    <row r="305" spans="1:1">
      <c r="A305" t="s">
        <v>471</v>
      </c>
    </row>
    <row r="306" spans="1:1">
      <c r="A306" t="s">
        <v>290</v>
      </c>
    </row>
    <row r="307" spans="1:1">
      <c r="A307" t="s">
        <v>472</v>
      </c>
    </row>
    <row r="312" spans="1:1">
      <c r="A312" t="s">
        <v>473</v>
      </c>
    </row>
    <row r="313" spans="1:1">
      <c r="A313" t="s">
        <v>240</v>
      </c>
    </row>
    <row r="314" spans="1:1">
      <c r="A314" t="s">
        <v>474</v>
      </c>
    </row>
    <row r="315" spans="1:1">
      <c r="A315" t="s">
        <v>475</v>
      </c>
    </row>
    <row r="316" spans="1:1">
      <c r="A316" t="s">
        <v>243</v>
      </c>
    </row>
    <row r="317" spans="1:1">
      <c r="A317" t="s">
        <v>476</v>
      </c>
    </row>
    <row r="318" spans="1:1">
      <c r="A318" t="s">
        <v>245</v>
      </c>
    </row>
    <row r="320" spans="1:1">
      <c r="A320" t="s">
        <v>341</v>
      </c>
    </row>
    <row r="321" spans="1:1">
      <c r="A321" t="s">
        <v>247</v>
      </c>
    </row>
    <row r="322" spans="1:1">
      <c r="A322" t="s">
        <v>477</v>
      </c>
    </row>
    <row r="323" spans="1:1">
      <c r="A323" t="s">
        <v>478</v>
      </c>
    </row>
    <row r="324" spans="1:1">
      <c r="A324" t="s">
        <v>479</v>
      </c>
    </row>
    <row r="325" spans="1:1">
      <c r="A325" t="s">
        <v>480</v>
      </c>
    </row>
    <row r="326" spans="1:1">
      <c r="A326" t="s">
        <v>481</v>
      </c>
    </row>
    <row r="327" spans="1:1">
      <c r="A327" t="s">
        <v>482</v>
      </c>
    </row>
    <row r="328" spans="1:1">
      <c r="A328" t="s">
        <v>483</v>
      </c>
    </row>
    <row r="329" spans="1:1">
      <c r="A329" t="s">
        <v>484</v>
      </c>
    </row>
    <row r="330" spans="1:1">
      <c r="A330" t="s">
        <v>485</v>
      </c>
    </row>
    <row r="331" spans="1:1">
      <c r="A331" t="s">
        <v>486</v>
      </c>
    </row>
    <row r="332" spans="1:1">
      <c r="A332" t="s">
        <v>487</v>
      </c>
    </row>
    <row r="333" spans="1:1">
      <c r="A333" t="s">
        <v>488</v>
      </c>
    </row>
    <row r="334" spans="1:1">
      <c r="A334" t="s">
        <v>489</v>
      </c>
    </row>
    <row r="337" spans="1:1">
      <c r="A337" t="s">
        <v>261</v>
      </c>
    </row>
    <row r="338" spans="1:1">
      <c r="A338" t="s">
        <v>490</v>
      </c>
    </row>
    <row r="339" spans="1:1">
      <c r="A339" t="s">
        <v>491</v>
      </c>
    </row>
    <row r="340" spans="1:1">
      <c r="A340" t="s">
        <v>492</v>
      </c>
    </row>
    <row r="341" spans="1:1">
      <c r="A341" t="s">
        <v>493</v>
      </c>
    </row>
    <row r="342" spans="1:1">
      <c r="A342" t="s">
        <v>494</v>
      </c>
    </row>
    <row r="343" spans="1:1">
      <c r="A343" t="s">
        <v>495</v>
      </c>
    </row>
    <row r="344" spans="1:1">
      <c r="A344" t="s">
        <v>496</v>
      </c>
    </row>
    <row r="345" spans="1:1">
      <c r="A345" t="s">
        <v>497</v>
      </c>
    </row>
    <row r="346" spans="1:1">
      <c r="A346" t="s">
        <v>498</v>
      </c>
    </row>
    <row r="347" spans="1:1">
      <c r="A347" t="s">
        <v>499</v>
      </c>
    </row>
    <row r="348" spans="1:1">
      <c r="A348" t="s">
        <v>500</v>
      </c>
    </row>
    <row r="349" spans="1:1">
      <c r="A349" t="s">
        <v>501</v>
      </c>
    </row>
    <row r="350" spans="1:1">
      <c r="A350" t="s">
        <v>502</v>
      </c>
    </row>
    <row r="352" spans="1:1">
      <c r="A352" t="s">
        <v>275</v>
      </c>
    </row>
    <row r="353" spans="1:1">
      <c r="A353" t="s">
        <v>503</v>
      </c>
    </row>
    <row r="354" spans="1:1">
      <c r="A354" t="s">
        <v>504</v>
      </c>
    </row>
    <row r="355" spans="1:1">
      <c r="A355" t="s">
        <v>505</v>
      </c>
    </row>
    <row r="356" spans="1:1">
      <c r="A356" t="s">
        <v>506</v>
      </c>
    </row>
    <row r="357" spans="1:1">
      <c r="A357" t="s">
        <v>507</v>
      </c>
    </row>
    <row r="358" spans="1:1">
      <c r="A358" t="s">
        <v>508</v>
      </c>
    </row>
    <row r="359" spans="1:1">
      <c r="A359" t="s">
        <v>509</v>
      </c>
    </row>
    <row r="360" spans="1:1">
      <c r="A360" t="s">
        <v>510</v>
      </c>
    </row>
    <row r="361" spans="1:1">
      <c r="A361" t="s">
        <v>511</v>
      </c>
    </row>
    <row r="362" spans="1:1">
      <c r="A362" t="s">
        <v>512</v>
      </c>
    </row>
    <row r="363" spans="1:1">
      <c r="A363" t="s">
        <v>513</v>
      </c>
    </row>
    <row r="364" spans="1:1">
      <c r="A364" t="s">
        <v>514</v>
      </c>
    </row>
    <row r="365" spans="1:1">
      <c r="A365" t="s">
        <v>515</v>
      </c>
    </row>
    <row r="366" spans="1:1">
      <c r="A366" t="s">
        <v>516</v>
      </c>
    </row>
    <row r="367" spans="1:1">
      <c r="A367" t="s">
        <v>290</v>
      </c>
    </row>
    <row r="368" spans="1:1">
      <c r="A368" t="s">
        <v>517</v>
      </c>
    </row>
    <row r="373" spans="1:1">
      <c r="A373" t="s">
        <v>518</v>
      </c>
    </row>
    <row r="374" spans="1:1">
      <c r="A374" t="s">
        <v>240</v>
      </c>
    </row>
    <row r="375" spans="1:1">
      <c r="A375" t="s">
        <v>519</v>
      </c>
    </row>
    <row r="376" spans="1:1">
      <c r="A376" t="s">
        <v>520</v>
      </c>
    </row>
    <row r="377" spans="1:1">
      <c r="A377" t="s">
        <v>243</v>
      </c>
    </row>
    <row r="378" spans="1:1">
      <c r="A378" t="s">
        <v>521</v>
      </c>
    </row>
    <row r="379" spans="1:1">
      <c r="A379" t="s">
        <v>245</v>
      </c>
    </row>
    <row r="381" spans="1:1">
      <c r="A381" t="s">
        <v>341</v>
      </c>
    </row>
    <row r="382" spans="1:1">
      <c r="A382" t="s">
        <v>247</v>
      </c>
    </row>
    <row r="383" spans="1:1">
      <c r="A383" t="s">
        <v>522</v>
      </c>
    </row>
    <row r="384" spans="1:1">
      <c r="A384" t="s">
        <v>523</v>
      </c>
    </row>
    <row r="385" spans="1:1">
      <c r="A385" t="s">
        <v>524</v>
      </c>
    </row>
    <row r="386" spans="1:1">
      <c r="A386" t="s">
        <v>525</v>
      </c>
    </row>
    <row r="387" spans="1:1">
      <c r="A387" t="s">
        <v>526</v>
      </c>
    </row>
    <row r="388" spans="1:1">
      <c r="A388" t="s">
        <v>527</v>
      </c>
    </row>
    <row r="389" spans="1:1">
      <c r="A389" t="s">
        <v>528</v>
      </c>
    </row>
    <row r="390" spans="1:1">
      <c r="A390" t="s">
        <v>529</v>
      </c>
    </row>
    <row r="391" spans="1:1">
      <c r="A391" t="s">
        <v>530</v>
      </c>
    </row>
    <row r="392" spans="1:1">
      <c r="A392" t="s">
        <v>531</v>
      </c>
    </row>
    <row r="393" spans="1:1">
      <c r="A393" t="s">
        <v>532</v>
      </c>
    </row>
    <row r="394" spans="1:1">
      <c r="A394" t="s">
        <v>533</v>
      </c>
    </row>
    <row r="395" spans="1:1">
      <c r="A395" t="s">
        <v>534</v>
      </c>
    </row>
    <row r="398" spans="1:1">
      <c r="A398" t="s">
        <v>261</v>
      </c>
    </row>
    <row r="399" spans="1:1">
      <c r="A399" t="s">
        <v>535</v>
      </c>
    </row>
    <row r="400" spans="1:1">
      <c r="A400" t="s">
        <v>536</v>
      </c>
    </row>
    <row r="401" spans="1:1">
      <c r="A401" t="s">
        <v>537</v>
      </c>
    </row>
    <row r="402" spans="1:1">
      <c r="A402" t="s">
        <v>538</v>
      </c>
    </row>
    <row r="403" spans="1:1">
      <c r="A403" t="s">
        <v>539</v>
      </c>
    </row>
    <row r="404" spans="1:1">
      <c r="A404" t="s">
        <v>540</v>
      </c>
    </row>
    <row r="405" spans="1:1">
      <c r="A405" t="s">
        <v>541</v>
      </c>
    </row>
    <row r="406" spans="1:1">
      <c r="A406" t="s">
        <v>542</v>
      </c>
    </row>
    <row r="407" spans="1:1">
      <c r="A407" t="s">
        <v>543</v>
      </c>
    </row>
    <row r="408" spans="1:1">
      <c r="A408" t="s">
        <v>544</v>
      </c>
    </row>
    <row r="410" spans="1:1">
      <c r="A410" t="s">
        <v>275</v>
      </c>
    </row>
    <row r="411" spans="1:1">
      <c r="A411" t="s">
        <v>545</v>
      </c>
    </row>
    <row r="412" spans="1:1">
      <c r="A412" t="s">
        <v>546</v>
      </c>
    </row>
    <row r="413" spans="1:1">
      <c r="A413" t="s">
        <v>547</v>
      </c>
    </row>
    <row r="414" spans="1:1">
      <c r="A414" t="s">
        <v>548</v>
      </c>
    </row>
    <row r="415" spans="1:1">
      <c r="A415" t="s">
        <v>549</v>
      </c>
    </row>
    <row r="416" spans="1:1">
      <c r="A416" t="s">
        <v>550</v>
      </c>
    </row>
    <row r="417" spans="1:1">
      <c r="A417" t="s">
        <v>551</v>
      </c>
    </row>
    <row r="418" spans="1:1">
      <c r="A418" t="s">
        <v>552</v>
      </c>
    </row>
    <row r="419" spans="1:1">
      <c r="A419" t="s">
        <v>553</v>
      </c>
    </row>
    <row r="420" spans="1:1">
      <c r="A420" t="s">
        <v>554</v>
      </c>
    </row>
    <row r="421" spans="1:1">
      <c r="A421" t="s">
        <v>555</v>
      </c>
    </row>
    <row r="422" spans="1:1">
      <c r="A422" t="s">
        <v>556</v>
      </c>
    </row>
    <row r="423" spans="1:1">
      <c r="A423" t="s">
        <v>557</v>
      </c>
    </row>
    <row r="424" spans="1:1">
      <c r="A424" t="s">
        <v>558</v>
      </c>
    </row>
    <row r="425" spans="1:1">
      <c r="A425" t="s">
        <v>290</v>
      </c>
    </row>
    <row r="426" spans="1:1">
      <c r="A426" t="s">
        <v>559</v>
      </c>
    </row>
    <row r="431" spans="1:1">
      <c r="A431" t="s">
        <v>560</v>
      </c>
    </row>
    <row r="432" spans="1:1">
      <c r="A432" t="s">
        <v>240</v>
      </c>
    </row>
    <row r="433" spans="1:1">
      <c r="A433" t="s">
        <v>561</v>
      </c>
    </row>
    <row r="434" spans="1:1">
      <c r="A434" t="s">
        <v>562</v>
      </c>
    </row>
    <row r="435" spans="1:1">
      <c r="A435" t="s">
        <v>243</v>
      </c>
    </row>
    <row r="436" spans="1:1">
      <c r="A436" t="s">
        <v>563</v>
      </c>
    </row>
    <row r="437" spans="1:1">
      <c r="A437" t="s">
        <v>245</v>
      </c>
    </row>
    <row r="439" spans="1:1">
      <c r="A439" t="s">
        <v>341</v>
      </c>
    </row>
    <row r="440" spans="1:1">
      <c r="A440" t="s">
        <v>247</v>
      </c>
    </row>
    <row r="441" spans="1:1">
      <c r="A441" t="s">
        <v>564</v>
      </c>
    </row>
    <row r="442" spans="1:1">
      <c r="A442" t="s">
        <v>565</v>
      </c>
    </row>
    <row r="443" spans="1:1">
      <c r="A443" t="s">
        <v>566</v>
      </c>
    </row>
    <row r="444" spans="1:1">
      <c r="A444" t="s">
        <v>567</v>
      </c>
    </row>
    <row r="445" spans="1:1">
      <c r="A445" t="s">
        <v>568</v>
      </c>
    </row>
    <row r="446" spans="1:1">
      <c r="A446" t="s">
        <v>569</v>
      </c>
    </row>
    <row r="447" spans="1:1">
      <c r="A447" t="s">
        <v>570</v>
      </c>
    </row>
    <row r="448" spans="1:1">
      <c r="A448" t="s">
        <v>571</v>
      </c>
    </row>
    <row r="449" spans="1:1">
      <c r="A449" t="s">
        <v>572</v>
      </c>
    </row>
    <row r="450" spans="1:1">
      <c r="A450" t="s">
        <v>573</v>
      </c>
    </row>
    <row r="451" spans="1:1">
      <c r="A451" t="s">
        <v>574</v>
      </c>
    </row>
    <row r="452" spans="1:1">
      <c r="A452" t="s">
        <v>575</v>
      </c>
    </row>
    <row r="453" spans="1:1">
      <c r="A453" t="s">
        <v>576</v>
      </c>
    </row>
    <row r="456" spans="1:1">
      <c r="A456" t="s">
        <v>261</v>
      </c>
    </row>
    <row r="457" spans="1:1">
      <c r="A457" t="s">
        <v>577</v>
      </c>
    </row>
    <row r="458" spans="1:1">
      <c r="A458" t="s">
        <v>578</v>
      </c>
    </row>
    <row r="459" spans="1:1">
      <c r="A459" t="s">
        <v>579</v>
      </c>
    </row>
    <row r="460" spans="1:1">
      <c r="A460" t="s">
        <v>580</v>
      </c>
    </row>
    <row r="461" spans="1:1">
      <c r="A461" t="s">
        <v>581</v>
      </c>
    </row>
    <row r="462" spans="1:1">
      <c r="A462" t="s">
        <v>582</v>
      </c>
    </row>
    <row r="463" spans="1:1">
      <c r="A463" t="s">
        <v>583</v>
      </c>
    </row>
    <row r="464" spans="1:1">
      <c r="A464" t="s">
        <v>584</v>
      </c>
    </row>
    <row r="465" spans="1:1">
      <c r="A465" t="s">
        <v>585</v>
      </c>
    </row>
    <row r="466" spans="1:1">
      <c r="A466" t="s">
        <v>586</v>
      </c>
    </row>
    <row r="468" spans="1:1">
      <c r="A468" t="s">
        <v>275</v>
      </c>
    </row>
    <row r="469" spans="1:1">
      <c r="A469" t="s">
        <v>587</v>
      </c>
    </row>
    <row r="470" spans="1:1">
      <c r="A470" t="s">
        <v>588</v>
      </c>
    </row>
    <row r="471" spans="1:1">
      <c r="A471" t="s">
        <v>589</v>
      </c>
    </row>
    <row r="472" spans="1:1">
      <c r="A472" t="s">
        <v>590</v>
      </c>
    </row>
    <row r="473" spans="1:1">
      <c r="A473" t="s">
        <v>591</v>
      </c>
    </row>
    <row r="474" spans="1:1">
      <c r="A474" t="s">
        <v>592</v>
      </c>
    </row>
    <row r="475" spans="1:1">
      <c r="A475" t="s">
        <v>593</v>
      </c>
    </row>
    <row r="476" spans="1:1">
      <c r="A476" t="s">
        <v>594</v>
      </c>
    </row>
    <row r="477" spans="1:1">
      <c r="A477" t="s">
        <v>595</v>
      </c>
    </row>
    <row r="478" spans="1:1">
      <c r="A478" t="s">
        <v>596</v>
      </c>
    </row>
    <row r="479" spans="1:1">
      <c r="A479" t="s">
        <v>597</v>
      </c>
    </row>
    <row r="480" spans="1:1">
      <c r="A480" t="s">
        <v>598</v>
      </c>
    </row>
    <row r="481" spans="1:1">
      <c r="A481" t="s">
        <v>599</v>
      </c>
    </row>
    <row r="482" spans="1:1">
      <c r="A482" t="s">
        <v>600</v>
      </c>
    </row>
    <row r="483" spans="1:1">
      <c r="A483" t="s">
        <v>290</v>
      </c>
    </row>
    <row r="484" spans="1:1">
      <c r="A484" t="s">
        <v>601</v>
      </c>
    </row>
    <row r="489" spans="1:1">
      <c r="A489" t="s">
        <v>602</v>
      </c>
    </row>
    <row r="490" spans="1:1">
      <c r="A490" t="s">
        <v>240</v>
      </c>
    </row>
    <row r="491" spans="1:1">
      <c r="A491" t="s">
        <v>603</v>
      </c>
    </row>
    <row r="492" spans="1:1">
      <c r="A492" t="s">
        <v>604</v>
      </c>
    </row>
    <row r="493" spans="1:1">
      <c r="A493" t="s">
        <v>243</v>
      </c>
    </row>
    <row r="494" spans="1:1">
      <c r="A494" t="s">
        <v>605</v>
      </c>
    </row>
    <row r="495" spans="1:1">
      <c r="A495" t="s">
        <v>245</v>
      </c>
    </row>
    <row r="497" spans="1:1">
      <c r="A497" t="s">
        <v>341</v>
      </c>
    </row>
    <row r="498" spans="1:1">
      <c r="A498" t="s">
        <v>247</v>
      </c>
    </row>
    <row r="499" spans="1:1">
      <c r="A499" t="s">
        <v>606</v>
      </c>
    </row>
    <row r="500" spans="1:1">
      <c r="A500" t="s">
        <v>607</v>
      </c>
    </row>
    <row r="501" spans="1:1">
      <c r="A501" t="s">
        <v>608</v>
      </c>
    </row>
    <row r="502" spans="1:1">
      <c r="A502" t="s">
        <v>609</v>
      </c>
    </row>
    <row r="503" spans="1:1">
      <c r="A503" t="s">
        <v>610</v>
      </c>
    </row>
    <row r="504" spans="1:1">
      <c r="A504" t="s">
        <v>611</v>
      </c>
    </row>
    <row r="505" spans="1:1">
      <c r="A505" t="s">
        <v>612</v>
      </c>
    </row>
    <row r="506" spans="1:1">
      <c r="A506" t="s">
        <v>613</v>
      </c>
    </row>
    <row r="507" spans="1:1">
      <c r="A507" t="s">
        <v>614</v>
      </c>
    </row>
    <row r="508" spans="1:1">
      <c r="A508" t="s">
        <v>615</v>
      </c>
    </row>
    <row r="509" spans="1:1">
      <c r="A509" t="s">
        <v>616</v>
      </c>
    </row>
    <row r="510" spans="1:1">
      <c r="A510" t="s">
        <v>617</v>
      </c>
    </row>
    <row r="511" spans="1:1">
      <c r="A511" t="s">
        <v>618</v>
      </c>
    </row>
    <row r="514" spans="1:1">
      <c r="A514" t="s">
        <v>261</v>
      </c>
    </row>
    <row r="515" spans="1:1">
      <c r="A515" t="s">
        <v>619</v>
      </c>
    </row>
    <row r="516" spans="1:1">
      <c r="A516" t="s">
        <v>620</v>
      </c>
    </row>
    <row r="517" spans="1:1">
      <c r="A517" t="s">
        <v>621</v>
      </c>
    </row>
    <row r="518" spans="1:1">
      <c r="A518" t="s">
        <v>622</v>
      </c>
    </row>
    <row r="519" spans="1:1">
      <c r="A519" t="s">
        <v>623</v>
      </c>
    </row>
    <row r="520" spans="1:1">
      <c r="A520" t="s">
        <v>624</v>
      </c>
    </row>
    <row r="521" spans="1:1">
      <c r="A521" t="s">
        <v>625</v>
      </c>
    </row>
    <row r="522" spans="1:1">
      <c r="A522" t="s">
        <v>626</v>
      </c>
    </row>
    <row r="523" spans="1:1">
      <c r="A523" t="s">
        <v>627</v>
      </c>
    </row>
    <row r="524" spans="1:1">
      <c r="A524" t="s">
        <v>628</v>
      </c>
    </row>
    <row r="525" spans="1:1">
      <c r="A525" t="s">
        <v>629</v>
      </c>
    </row>
    <row r="526" spans="1:1">
      <c r="A526" t="s">
        <v>630</v>
      </c>
    </row>
    <row r="527" spans="1:1">
      <c r="A527" t="s">
        <v>631</v>
      </c>
    </row>
    <row r="529" spans="1:1">
      <c r="A529" t="s">
        <v>275</v>
      </c>
    </row>
    <row r="530" spans="1:1">
      <c r="A530" t="s">
        <v>632</v>
      </c>
    </row>
    <row r="531" spans="1:1">
      <c r="A531" t="s">
        <v>633</v>
      </c>
    </row>
    <row r="532" spans="1:1">
      <c r="A532" t="s">
        <v>634</v>
      </c>
    </row>
    <row r="533" spans="1:1">
      <c r="A533" t="s">
        <v>635</v>
      </c>
    </row>
    <row r="534" spans="1:1">
      <c r="A534" t="s">
        <v>636</v>
      </c>
    </row>
    <row r="535" spans="1:1">
      <c r="A535" t="s">
        <v>637</v>
      </c>
    </row>
    <row r="536" spans="1:1">
      <c r="A536" t="s">
        <v>638</v>
      </c>
    </row>
    <row r="537" spans="1:1">
      <c r="A537" t="s">
        <v>639</v>
      </c>
    </row>
    <row r="538" spans="1:1">
      <c r="A538" t="s">
        <v>640</v>
      </c>
    </row>
    <row r="539" spans="1:1">
      <c r="A539" t="s">
        <v>641</v>
      </c>
    </row>
    <row r="540" spans="1:1">
      <c r="A540" t="s">
        <v>642</v>
      </c>
    </row>
    <row r="541" spans="1:1">
      <c r="A541" t="s">
        <v>643</v>
      </c>
    </row>
    <row r="542" spans="1:1">
      <c r="A542" t="s">
        <v>644</v>
      </c>
    </row>
    <row r="543" spans="1:1">
      <c r="A543" t="s">
        <v>645</v>
      </c>
    </row>
    <row r="544" spans="1:1">
      <c r="A544" t="s">
        <v>290</v>
      </c>
    </row>
    <row r="545" spans="1:1">
      <c r="A545" t="s">
        <v>646</v>
      </c>
    </row>
    <row r="550" spans="1:1">
      <c r="A550" t="s">
        <v>647</v>
      </c>
    </row>
    <row r="551" spans="1:1">
      <c r="A551" t="s">
        <v>240</v>
      </c>
    </row>
    <row r="552" spans="1:1">
      <c r="A552" t="s">
        <v>648</v>
      </c>
    </row>
    <row r="553" spans="1:1">
      <c r="A553" t="s">
        <v>649</v>
      </c>
    </row>
    <row r="554" spans="1:1">
      <c r="A554" t="s">
        <v>243</v>
      </c>
    </row>
    <row r="555" spans="1:1">
      <c r="A555" t="s">
        <v>650</v>
      </c>
    </row>
    <row r="556" spans="1:1">
      <c r="A556" t="s">
        <v>245</v>
      </c>
    </row>
    <row r="558" spans="1:1">
      <c r="A558" t="s">
        <v>651</v>
      </c>
    </row>
    <row r="559" spans="1:1">
      <c r="A559" t="s">
        <v>247</v>
      </c>
    </row>
    <row r="560" spans="1:1">
      <c r="A560" t="s">
        <v>652</v>
      </c>
    </row>
    <row r="561" spans="1:1">
      <c r="A561" t="s">
        <v>653</v>
      </c>
    </row>
    <row r="562" spans="1:1">
      <c r="A562" t="s">
        <v>654</v>
      </c>
    </row>
    <row r="563" spans="1:1">
      <c r="A563" t="s">
        <v>655</v>
      </c>
    </row>
    <row r="564" spans="1:1">
      <c r="A564" t="s">
        <v>656</v>
      </c>
    </row>
    <row r="565" spans="1:1">
      <c r="A565" t="s">
        <v>657</v>
      </c>
    </row>
    <row r="566" spans="1:1">
      <c r="A566" t="s">
        <v>658</v>
      </c>
    </row>
    <row r="567" spans="1:1">
      <c r="A567" t="s">
        <v>659</v>
      </c>
    </row>
    <row r="568" spans="1:1">
      <c r="A568" t="s">
        <v>660</v>
      </c>
    </row>
    <row r="569" spans="1:1">
      <c r="A569" t="s">
        <v>661</v>
      </c>
    </row>
    <row r="570" spans="1:1">
      <c r="A570" t="s">
        <v>662</v>
      </c>
    </row>
    <row r="571" spans="1:1">
      <c r="A571" t="s">
        <v>663</v>
      </c>
    </row>
    <row r="572" spans="1:1">
      <c r="A572" t="s">
        <v>664</v>
      </c>
    </row>
    <row r="575" spans="1:1">
      <c r="A575" t="s">
        <v>261</v>
      </c>
    </row>
    <row r="576" spans="1:1">
      <c r="A576" t="s">
        <v>665</v>
      </c>
    </row>
    <row r="577" spans="1:1">
      <c r="A577" t="s">
        <v>666</v>
      </c>
    </row>
    <row r="578" spans="1:1">
      <c r="A578" t="s">
        <v>667</v>
      </c>
    </row>
    <row r="579" spans="1:1">
      <c r="A579" t="s">
        <v>668</v>
      </c>
    </row>
    <row r="580" spans="1:1">
      <c r="A580" t="s">
        <v>669</v>
      </c>
    </row>
    <row r="581" spans="1:1">
      <c r="A581" t="s">
        <v>670</v>
      </c>
    </row>
    <row r="582" spans="1:1">
      <c r="A582" t="s">
        <v>671</v>
      </c>
    </row>
    <row r="583" spans="1:1">
      <c r="A583" t="s">
        <v>672</v>
      </c>
    </row>
    <row r="584" spans="1:1">
      <c r="A584" t="s">
        <v>673</v>
      </c>
    </row>
    <row r="585" spans="1:1">
      <c r="A585" t="s">
        <v>674</v>
      </c>
    </row>
    <row r="586" spans="1:1">
      <c r="A586" t="s">
        <v>675</v>
      </c>
    </row>
    <row r="587" spans="1:1">
      <c r="A587" t="s">
        <v>676</v>
      </c>
    </row>
    <row r="588" spans="1:1">
      <c r="A588" t="s">
        <v>677</v>
      </c>
    </row>
    <row r="590" spans="1:1">
      <c r="A590" t="s">
        <v>275</v>
      </c>
    </row>
    <row r="591" spans="1:1">
      <c r="A591" t="s">
        <v>678</v>
      </c>
    </row>
    <row r="592" spans="1:1">
      <c r="A592" t="s">
        <v>679</v>
      </c>
    </row>
    <row r="593" spans="1:1">
      <c r="A593" t="s">
        <v>680</v>
      </c>
    </row>
    <row r="594" spans="1:1">
      <c r="A594" t="s">
        <v>681</v>
      </c>
    </row>
    <row r="595" spans="1:1">
      <c r="A595" t="s">
        <v>682</v>
      </c>
    </row>
    <row r="596" spans="1:1">
      <c r="A596" t="s">
        <v>683</v>
      </c>
    </row>
    <row r="597" spans="1:1">
      <c r="A597" t="s">
        <v>684</v>
      </c>
    </row>
    <row r="598" spans="1:1">
      <c r="A598" t="s">
        <v>685</v>
      </c>
    </row>
    <row r="599" spans="1:1">
      <c r="A599" t="s">
        <v>686</v>
      </c>
    </row>
    <row r="600" spans="1:1">
      <c r="A600" t="s">
        <v>687</v>
      </c>
    </row>
    <row r="601" spans="1:1">
      <c r="A601" t="s">
        <v>688</v>
      </c>
    </row>
    <row r="602" spans="1:1">
      <c r="A602" t="s">
        <v>689</v>
      </c>
    </row>
    <row r="603" spans="1:1">
      <c r="A603" t="s">
        <v>690</v>
      </c>
    </row>
    <row r="604" spans="1:1">
      <c r="A604" t="s">
        <v>691</v>
      </c>
    </row>
    <row r="605" spans="1:1">
      <c r="A605" t="s">
        <v>290</v>
      </c>
    </row>
    <row r="606" spans="1:1">
      <c r="A606" t="s">
        <v>692</v>
      </c>
    </row>
    <row r="611" spans="1:1">
      <c r="A611" t="s">
        <v>693</v>
      </c>
    </row>
    <row r="612" spans="1:1">
      <c r="A612" t="s">
        <v>240</v>
      </c>
    </row>
    <row r="613" spans="1:1">
      <c r="A613" t="s">
        <v>694</v>
      </c>
    </row>
    <row r="614" spans="1:1">
      <c r="A614" t="s">
        <v>695</v>
      </c>
    </row>
    <row r="615" spans="1:1">
      <c r="A615" t="s">
        <v>243</v>
      </c>
    </row>
    <row r="616" spans="1:1">
      <c r="A616" t="s">
        <v>696</v>
      </c>
    </row>
    <row r="617" spans="1:1">
      <c r="A617" t="s">
        <v>245</v>
      </c>
    </row>
    <row r="619" spans="1:1">
      <c r="A619" t="s">
        <v>651</v>
      </c>
    </row>
    <row r="620" spans="1:1">
      <c r="A620" t="s">
        <v>247</v>
      </c>
    </row>
    <row r="621" spans="1:1">
      <c r="A621" t="s">
        <v>697</v>
      </c>
    </row>
    <row r="622" spans="1:1">
      <c r="A622" t="s">
        <v>698</v>
      </c>
    </row>
    <row r="623" spans="1:1">
      <c r="A623" t="s">
        <v>699</v>
      </c>
    </row>
    <row r="624" spans="1:1">
      <c r="A624" t="s">
        <v>700</v>
      </c>
    </row>
    <row r="625" spans="1:1">
      <c r="A625" t="s">
        <v>701</v>
      </c>
    </row>
    <row r="626" spans="1:1">
      <c r="A626" t="s">
        <v>702</v>
      </c>
    </row>
    <row r="627" spans="1:1">
      <c r="A627" t="s">
        <v>703</v>
      </c>
    </row>
    <row r="628" spans="1:1">
      <c r="A628" t="s">
        <v>704</v>
      </c>
    </row>
    <row r="629" spans="1:1">
      <c r="A629" t="s">
        <v>705</v>
      </c>
    </row>
    <row r="630" spans="1:1">
      <c r="A630" t="s">
        <v>706</v>
      </c>
    </row>
    <row r="631" spans="1:1">
      <c r="A631" t="s">
        <v>707</v>
      </c>
    </row>
    <row r="632" spans="1:1">
      <c r="A632" t="s">
        <v>708</v>
      </c>
    </row>
    <row r="633" spans="1:1">
      <c r="A633" t="s">
        <v>709</v>
      </c>
    </row>
    <row r="636" spans="1:1">
      <c r="A636" t="s">
        <v>261</v>
      </c>
    </row>
    <row r="637" spans="1:1">
      <c r="A637" t="s">
        <v>710</v>
      </c>
    </row>
    <row r="638" spans="1:1">
      <c r="A638" t="s">
        <v>711</v>
      </c>
    </row>
    <row r="639" spans="1:1">
      <c r="A639" t="s">
        <v>712</v>
      </c>
    </row>
    <row r="640" spans="1:1">
      <c r="A640" t="s">
        <v>713</v>
      </c>
    </row>
    <row r="641" spans="1:1">
      <c r="A641" t="s">
        <v>714</v>
      </c>
    </row>
    <row r="642" spans="1:1">
      <c r="A642" t="s">
        <v>715</v>
      </c>
    </row>
    <row r="643" spans="1:1">
      <c r="A643" t="s">
        <v>716</v>
      </c>
    </row>
    <row r="644" spans="1:1">
      <c r="A644" t="s">
        <v>717</v>
      </c>
    </row>
    <row r="645" spans="1:1">
      <c r="A645" t="s">
        <v>718</v>
      </c>
    </row>
    <row r="646" spans="1:1">
      <c r="A646" t="s">
        <v>719</v>
      </c>
    </row>
    <row r="647" spans="1:1">
      <c r="A647" t="s">
        <v>720</v>
      </c>
    </row>
    <row r="648" spans="1:1">
      <c r="A648" t="s">
        <v>721</v>
      </c>
    </row>
    <row r="649" spans="1:1">
      <c r="A649" t="s">
        <v>722</v>
      </c>
    </row>
    <row r="651" spans="1:1">
      <c r="A651" t="s">
        <v>275</v>
      </c>
    </row>
    <row r="652" spans="1:1">
      <c r="A652" t="s">
        <v>723</v>
      </c>
    </row>
    <row r="653" spans="1:1">
      <c r="A653" t="s">
        <v>724</v>
      </c>
    </row>
    <row r="654" spans="1:1">
      <c r="A654" t="s">
        <v>725</v>
      </c>
    </row>
    <row r="655" spans="1:1">
      <c r="A655" t="s">
        <v>726</v>
      </c>
    </row>
    <row r="656" spans="1:1">
      <c r="A656" t="s">
        <v>727</v>
      </c>
    </row>
    <row r="657" spans="1:1">
      <c r="A657" t="s">
        <v>728</v>
      </c>
    </row>
    <row r="658" spans="1:1">
      <c r="A658" t="s">
        <v>729</v>
      </c>
    </row>
    <row r="659" spans="1:1">
      <c r="A659" t="s">
        <v>730</v>
      </c>
    </row>
    <row r="660" spans="1:1">
      <c r="A660" t="s">
        <v>731</v>
      </c>
    </row>
    <row r="661" spans="1:1">
      <c r="A661" t="s">
        <v>732</v>
      </c>
    </row>
    <row r="662" spans="1:1">
      <c r="A662" t="s">
        <v>733</v>
      </c>
    </row>
    <row r="663" spans="1:1">
      <c r="A663" t="s">
        <v>734</v>
      </c>
    </row>
    <row r="664" spans="1:1">
      <c r="A664" t="s">
        <v>735</v>
      </c>
    </row>
    <row r="665" spans="1:1">
      <c r="A665" t="s">
        <v>736</v>
      </c>
    </row>
    <row r="666" spans="1:1">
      <c r="A666" t="s">
        <v>290</v>
      </c>
    </row>
    <row r="667" spans="1:1">
      <c r="A667" t="s">
        <v>737</v>
      </c>
    </row>
    <row r="672" spans="1:1">
      <c r="A672" t="s">
        <v>738</v>
      </c>
    </row>
    <row r="673" spans="1:1">
      <c r="A673" t="s">
        <v>240</v>
      </c>
    </row>
    <row r="674" spans="1:1">
      <c r="A674" t="s">
        <v>739</v>
      </c>
    </row>
    <row r="675" spans="1:1">
      <c r="A675" t="s">
        <v>740</v>
      </c>
    </row>
    <row r="676" spans="1:1">
      <c r="A676" t="s">
        <v>243</v>
      </c>
    </row>
    <row r="677" spans="1:1">
      <c r="A677" t="s">
        <v>741</v>
      </c>
    </row>
    <row r="678" spans="1:1">
      <c r="A678" t="s">
        <v>245</v>
      </c>
    </row>
    <row r="680" spans="1:1">
      <c r="A680" t="s">
        <v>651</v>
      </c>
    </row>
    <row r="681" spans="1:1">
      <c r="A681" t="s">
        <v>247</v>
      </c>
    </row>
    <row r="682" spans="1:1">
      <c r="A682" t="s">
        <v>742</v>
      </c>
    </row>
    <row r="683" spans="1:1">
      <c r="A683" t="s">
        <v>743</v>
      </c>
    </row>
    <row r="684" spans="1:1">
      <c r="A684" t="s">
        <v>744</v>
      </c>
    </row>
    <row r="685" spans="1:1">
      <c r="A685" t="s">
        <v>745</v>
      </c>
    </row>
    <row r="686" spans="1:1">
      <c r="A686" t="s">
        <v>746</v>
      </c>
    </row>
    <row r="687" spans="1:1">
      <c r="A687" t="s">
        <v>747</v>
      </c>
    </row>
    <row r="688" spans="1:1">
      <c r="A688" t="s">
        <v>748</v>
      </c>
    </row>
    <row r="689" spans="1:1">
      <c r="A689" t="s">
        <v>749</v>
      </c>
    </row>
    <row r="690" spans="1:1">
      <c r="A690" t="s">
        <v>750</v>
      </c>
    </row>
    <row r="691" spans="1:1">
      <c r="A691" t="s">
        <v>751</v>
      </c>
    </row>
    <row r="692" spans="1:1">
      <c r="A692" t="s">
        <v>752</v>
      </c>
    </row>
    <row r="693" spans="1:1">
      <c r="A693" t="s">
        <v>753</v>
      </c>
    </row>
    <row r="694" spans="1:1">
      <c r="A694" t="s">
        <v>754</v>
      </c>
    </row>
    <row r="697" spans="1:1">
      <c r="A697" t="s">
        <v>261</v>
      </c>
    </row>
    <row r="698" spans="1:1">
      <c r="A698" t="s">
        <v>755</v>
      </c>
    </row>
    <row r="699" spans="1:1">
      <c r="A699" t="s">
        <v>756</v>
      </c>
    </row>
    <row r="700" spans="1:1">
      <c r="A700" t="s">
        <v>757</v>
      </c>
    </row>
    <row r="701" spans="1:1">
      <c r="A701" t="s">
        <v>758</v>
      </c>
    </row>
    <row r="702" spans="1:1">
      <c r="A702" t="s">
        <v>759</v>
      </c>
    </row>
    <row r="703" spans="1:1">
      <c r="A703" t="s">
        <v>760</v>
      </c>
    </row>
    <row r="704" spans="1:1">
      <c r="A704" t="s">
        <v>761</v>
      </c>
    </row>
    <row r="705" spans="1:1">
      <c r="A705" t="s">
        <v>762</v>
      </c>
    </row>
    <row r="706" spans="1:1">
      <c r="A706" t="s">
        <v>763</v>
      </c>
    </row>
    <row r="707" spans="1:1">
      <c r="A707" t="s">
        <v>764</v>
      </c>
    </row>
    <row r="708" spans="1:1">
      <c r="A708" t="s">
        <v>765</v>
      </c>
    </row>
    <row r="709" spans="1:1">
      <c r="A709" t="s">
        <v>766</v>
      </c>
    </row>
    <row r="710" spans="1:1">
      <c r="A710" t="s">
        <v>767</v>
      </c>
    </row>
    <row r="712" spans="1:1">
      <c r="A712" t="s">
        <v>275</v>
      </c>
    </row>
    <row r="713" spans="1:1">
      <c r="A713" t="s">
        <v>768</v>
      </c>
    </row>
    <row r="714" spans="1:1">
      <c r="A714" t="s">
        <v>769</v>
      </c>
    </row>
    <row r="715" spans="1:1">
      <c r="A715" t="s">
        <v>770</v>
      </c>
    </row>
    <row r="716" spans="1:1">
      <c r="A716" t="s">
        <v>771</v>
      </c>
    </row>
    <row r="717" spans="1:1">
      <c r="A717" t="s">
        <v>772</v>
      </c>
    </row>
    <row r="718" spans="1:1">
      <c r="A718" t="s">
        <v>773</v>
      </c>
    </row>
    <row r="719" spans="1:1">
      <c r="A719" t="s">
        <v>774</v>
      </c>
    </row>
    <row r="720" spans="1:1">
      <c r="A720" t="s">
        <v>775</v>
      </c>
    </row>
    <row r="721" spans="1:1">
      <c r="A721" t="s">
        <v>776</v>
      </c>
    </row>
    <row r="722" spans="1:1">
      <c r="A722" t="s">
        <v>777</v>
      </c>
    </row>
    <row r="723" spans="1:1">
      <c r="A723" t="s">
        <v>778</v>
      </c>
    </row>
    <row r="724" spans="1:1">
      <c r="A724" t="s">
        <v>779</v>
      </c>
    </row>
    <row r="725" spans="1:1">
      <c r="A725" t="s">
        <v>780</v>
      </c>
    </row>
    <row r="726" spans="1:1">
      <c r="A726" t="s">
        <v>781</v>
      </c>
    </row>
    <row r="727" spans="1:1">
      <c r="A727" t="s">
        <v>290</v>
      </c>
    </row>
    <row r="728" spans="1:1">
      <c r="A728" t="s">
        <v>782</v>
      </c>
    </row>
    <row r="733" spans="1:1">
      <c r="A733" t="s">
        <v>783</v>
      </c>
    </row>
    <row r="734" spans="1:1">
      <c r="A734" t="s">
        <v>240</v>
      </c>
    </row>
    <row r="735" spans="1:1">
      <c r="A735" t="s">
        <v>784</v>
      </c>
    </row>
    <row r="736" spans="1:1">
      <c r="A736" t="s">
        <v>785</v>
      </c>
    </row>
    <row r="737" spans="1:1">
      <c r="A737" t="s">
        <v>243</v>
      </c>
    </row>
    <row r="738" spans="1:1">
      <c r="A738" t="s">
        <v>786</v>
      </c>
    </row>
    <row r="739" spans="1:1">
      <c r="A739" t="s">
        <v>245</v>
      </c>
    </row>
    <row r="741" spans="1:1">
      <c r="A741" t="s">
        <v>651</v>
      </c>
    </row>
    <row r="742" spans="1:1">
      <c r="A742" t="s">
        <v>247</v>
      </c>
    </row>
    <row r="743" spans="1:1">
      <c r="A743" t="s">
        <v>787</v>
      </c>
    </row>
    <row r="744" spans="1:1">
      <c r="A744" t="s">
        <v>788</v>
      </c>
    </row>
    <row r="745" spans="1:1">
      <c r="A745" t="s">
        <v>789</v>
      </c>
    </row>
    <row r="746" spans="1:1">
      <c r="A746" t="s">
        <v>790</v>
      </c>
    </row>
    <row r="747" spans="1:1">
      <c r="A747" t="s">
        <v>791</v>
      </c>
    </row>
    <row r="748" spans="1:1">
      <c r="A748" t="s">
        <v>792</v>
      </c>
    </row>
    <row r="749" spans="1:1">
      <c r="A749" t="s">
        <v>793</v>
      </c>
    </row>
    <row r="750" spans="1:1">
      <c r="A750" t="s">
        <v>794</v>
      </c>
    </row>
    <row r="751" spans="1:1">
      <c r="A751" t="s">
        <v>795</v>
      </c>
    </row>
    <row r="752" spans="1:1">
      <c r="A752" t="s">
        <v>796</v>
      </c>
    </row>
    <row r="753" spans="1:1">
      <c r="A753" t="s">
        <v>797</v>
      </c>
    </row>
    <row r="754" spans="1:1">
      <c r="A754" t="s">
        <v>798</v>
      </c>
    </row>
    <row r="755" spans="1:1">
      <c r="A755" t="s">
        <v>799</v>
      </c>
    </row>
    <row r="758" spans="1:1">
      <c r="A758" t="s">
        <v>261</v>
      </c>
    </row>
    <row r="759" spans="1:1">
      <c r="A759" t="s">
        <v>800</v>
      </c>
    </row>
    <row r="760" spans="1:1">
      <c r="A760" t="s">
        <v>801</v>
      </c>
    </row>
    <row r="761" spans="1:1">
      <c r="A761" t="s">
        <v>802</v>
      </c>
    </row>
    <row r="762" spans="1:1">
      <c r="A762" t="s">
        <v>803</v>
      </c>
    </row>
    <row r="763" spans="1:1">
      <c r="A763" t="s">
        <v>804</v>
      </c>
    </row>
    <row r="764" spans="1:1">
      <c r="A764" t="s">
        <v>805</v>
      </c>
    </row>
    <row r="765" spans="1:1">
      <c r="A765" t="s">
        <v>806</v>
      </c>
    </row>
    <row r="766" spans="1:1">
      <c r="A766" t="s">
        <v>807</v>
      </c>
    </row>
    <row r="767" spans="1:1">
      <c r="A767" t="s">
        <v>808</v>
      </c>
    </row>
    <row r="768" spans="1:1">
      <c r="A768" t="s">
        <v>809</v>
      </c>
    </row>
    <row r="769" spans="1:1">
      <c r="A769" t="s">
        <v>810</v>
      </c>
    </row>
    <row r="770" spans="1:1">
      <c r="A770" t="s">
        <v>811</v>
      </c>
    </row>
    <row r="771" spans="1:1">
      <c r="A771" t="s">
        <v>812</v>
      </c>
    </row>
    <row r="773" spans="1:1">
      <c r="A773" t="s">
        <v>275</v>
      </c>
    </row>
    <row r="774" spans="1:1">
      <c r="A774" t="s">
        <v>813</v>
      </c>
    </row>
    <row r="775" spans="1:1">
      <c r="A775" t="s">
        <v>814</v>
      </c>
    </row>
    <row r="776" spans="1:1">
      <c r="A776" t="s">
        <v>815</v>
      </c>
    </row>
    <row r="777" spans="1:1">
      <c r="A777" t="s">
        <v>816</v>
      </c>
    </row>
    <row r="778" spans="1:1">
      <c r="A778" t="s">
        <v>817</v>
      </c>
    </row>
    <row r="779" spans="1:1">
      <c r="A779" t="s">
        <v>818</v>
      </c>
    </row>
    <row r="780" spans="1:1">
      <c r="A780" t="s">
        <v>819</v>
      </c>
    </row>
    <row r="781" spans="1:1">
      <c r="A781" t="s">
        <v>820</v>
      </c>
    </row>
    <row r="782" spans="1:1">
      <c r="A782" t="s">
        <v>821</v>
      </c>
    </row>
    <row r="783" spans="1:1">
      <c r="A783" t="s">
        <v>822</v>
      </c>
    </row>
    <row r="784" spans="1:1">
      <c r="A784" t="s">
        <v>823</v>
      </c>
    </row>
    <row r="785" spans="1:1">
      <c r="A785" t="s">
        <v>824</v>
      </c>
    </row>
    <row r="786" spans="1:1">
      <c r="A786" t="s">
        <v>825</v>
      </c>
    </row>
    <row r="787" spans="1:1">
      <c r="A787" t="s">
        <v>826</v>
      </c>
    </row>
    <row r="788" spans="1:1">
      <c r="A788" t="s">
        <v>290</v>
      </c>
    </row>
    <row r="789" spans="1:1">
      <c r="A789" t="s">
        <v>827</v>
      </c>
    </row>
    <row r="794" spans="1:1">
      <c r="A794" t="s">
        <v>828</v>
      </c>
    </row>
    <row r="795" spans="1:1">
      <c r="A795" t="s">
        <v>240</v>
      </c>
    </row>
    <row r="796" spans="1:1">
      <c r="A796" t="s">
        <v>829</v>
      </c>
    </row>
    <row r="797" spans="1:1">
      <c r="A797" t="s">
        <v>830</v>
      </c>
    </row>
    <row r="798" spans="1:1">
      <c r="A798" t="s">
        <v>243</v>
      </c>
    </row>
    <row r="799" spans="1:1">
      <c r="A799" t="s">
        <v>831</v>
      </c>
    </row>
    <row r="800" spans="1:1">
      <c r="A800" t="s">
        <v>245</v>
      </c>
    </row>
    <row r="802" spans="1:1">
      <c r="A802" t="s">
        <v>651</v>
      </c>
    </row>
    <row r="803" spans="1:1">
      <c r="A803" t="s">
        <v>247</v>
      </c>
    </row>
    <row r="804" spans="1:1">
      <c r="A804" t="s">
        <v>832</v>
      </c>
    </row>
    <row r="805" spans="1:1">
      <c r="A805" t="s">
        <v>833</v>
      </c>
    </row>
    <row r="806" spans="1:1">
      <c r="A806" t="s">
        <v>834</v>
      </c>
    </row>
    <row r="807" spans="1:1">
      <c r="A807" t="s">
        <v>835</v>
      </c>
    </row>
    <row r="808" spans="1:1">
      <c r="A808" t="s">
        <v>836</v>
      </c>
    </row>
    <row r="809" spans="1:1">
      <c r="A809" t="s">
        <v>837</v>
      </c>
    </row>
    <row r="810" spans="1:1">
      <c r="A810" t="s">
        <v>838</v>
      </c>
    </row>
    <row r="811" spans="1:1">
      <c r="A811" t="s">
        <v>839</v>
      </c>
    </row>
    <row r="812" spans="1:1">
      <c r="A812" t="s">
        <v>840</v>
      </c>
    </row>
    <row r="813" spans="1:1">
      <c r="A813" t="s">
        <v>841</v>
      </c>
    </row>
    <row r="814" spans="1:1">
      <c r="A814" t="s">
        <v>842</v>
      </c>
    </row>
    <row r="815" spans="1:1">
      <c r="A815" t="s">
        <v>843</v>
      </c>
    </row>
    <row r="816" spans="1:1">
      <c r="A816" t="s">
        <v>844</v>
      </c>
    </row>
    <row r="819" spans="1:1">
      <c r="A819" t="s">
        <v>261</v>
      </c>
    </row>
    <row r="820" spans="1:1">
      <c r="A820" t="s">
        <v>845</v>
      </c>
    </row>
    <row r="821" spans="1:1">
      <c r="A821" t="s">
        <v>846</v>
      </c>
    </row>
    <row r="822" spans="1:1">
      <c r="A822" t="s">
        <v>847</v>
      </c>
    </row>
    <row r="823" spans="1:1">
      <c r="A823" t="s">
        <v>848</v>
      </c>
    </row>
    <row r="824" spans="1:1">
      <c r="A824" t="s">
        <v>849</v>
      </c>
    </row>
    <row r="825" spans="1:1">
      <c r="A825" t="s">
        <v>850</v>
      </c>
    </row>
    <row r="826" spans="1:1">
      <c r="A826" t="s">
        <v>851</v>
      </c>
    </row>
    <row r="827" spans="1:1">
      <c r="A827" t="s">
        <v>852</v>
      </c>
    </row>
    <row r="828" spans="1:1">
      <c r="A828" t="s">
        <v>853</v>
      </c>
    </row>
    <row r="829" spans="1:1">
      <c r="A829" t="s">
        <v>854</v>
      </c>
    </row>
    <row r="830" spans="1:1">
      <c r="A830" t="s">
        <v>855</v>
      </c>
    </row>
    <row r="831" spans="1:1">
      <c r="A831" t="s">
        <v>856</v>
      </c>
    </row>
    <row r="832" spans="1:1">
      <c r="A832" t="s">
        <v>857</v>
      </c>
    </row>
    <row r="834" spans="1:1">
      <c r="A834" t="s">
        <v>275</v>
      </c>
    </row>
    <row r="835" spans="1:1">
      <c r="A835" t="s">
        <v>858</v>
      </c>
    </row>
    <row r="836" spans="1:1">
      <c r="A836" t="s">
        <v>859</v>
      </c>
    </row>
    <row r="837" spans="1:1">
      <c r="A837" t="s">
        <v>860</v>
      </c>
    </row>
    <row r="838" spans="1:1">
      <c r="A838" t="s">
        <v>861</v>
      </c>
    </row>
    <row r="839" spans="1:1">
      <c r="A839" t="s">
        <v>862</v>
      </c>
    </row>
    <row r="840" spans="1:1">
      <c r="A840" t="s">
        <v>863</v>
      </c>
    </row>
    <row r="841" spans="1:1">
      <c r="A841" t="s">
        <v>864</v>
      </c>
    </row>
    <row r="842" spans="1:1">
      <c r="A842" t="s">
        <v>865</v>
      </c>
    </row>
    <row r="843" spans="1:1">
      <c r="A843" t="s">
        <v>866</v>
      </c>
    </row>
    <row r="844" spans="1:1">
      <c r="A844" t="s">
        <v>867</v>
      </c>
    </row>
    <row r="845" spans="1:1">
      <c r="A845" t="s">
        <v>868</v>
      </c>
    </row>
    <row r="846" spans="1:1">
      <c r="A846" t="s">
        <v>869</v>
      </c>
    </row>
    <row r="847" spans="1:1">
      <c r="A847" t="s">
        <v>870</v>
      </c>
    </row>
    <row r="848" spans="1:1">
      <c r="A848" t="s">
        <v>871</v>
      </c>
    </row>
    <row r="849" spans="1:1">
      <c r="A849" t="s">
        <v>290</v>
      </c>
    </row>
    <row r="850" spans="1:1">
      <c r="A850" t="s">
        <v>872</v>
      </c>
    </row>
    <row r="855" spans="1:1">
      <c r="A855" t="s">
        <v>873</v>
      </c>
    </row>
    <row r="856" spans="1:1">
      <c r="A856" t="s">
        <v>240</v>
      </c>
    </row>
    <row r="857" spans="1:1">
      <c r="A857" t="s">
        <v>874</v>
      </c>
    </row>
    <row r="858" spans="1:1">
      <c r="A858" t="s">
        <v>875</v>
      </c>
    </row>
    <row r="859" spans="1:1">
      <c r="A859" t="s">
        <v>243</v>
      </c>
    </row>
    <row r="860" spans="1:1">
      <c r="A860" t="s">
        <v>876</v>
      </c>
    </row>
    <row r="861" spans="1:1">
      <c r="A861" t="s">
        <v>245</v>
      </c>
    </row>
    <row r="863" spans="1:1">
      <c r="A863" t="s">
        <v>651</v>
      </c>
    </row>
    <row r="864" spans="1:1">
      <c r="A864" t="s">
        <v>247</v>
      </c>
    </row>
    <row r="865" spans="1:1">
      <c r="A865" t="s">
        <v>877</v>
      </c>
    </row>
    <row r="866" spans="1:1">
      <c r="A866" t="s">
        <v>878</v>
      </c>
    </row>
    <row r="867" spans="1:1">
      <c r="A867" t="s">
        <v>879</v>
      </c>
    </row>
    <row r="868" spans="1:1">
      <c r="A868" t="s">
        <v>880</v>
      </c>
    </row>
    <row r="869" spans="1:1">
      <c r="A869" t="s">
        <v>881</v>
      </c>
    </row>
    <row r="870" spans="1:1">
      <c r="A870" t="s">
        <v>882</v>
      </c>
    </row>
    <row r="871" spans="1:1">
      <c r="A871" t="s">
        <v>883</v>
      </c>
    </row>
    <row r="872" spans="1:1">
      <c r="A872" t="s">
        <v>884</v>
      </c>
    </row>
    <row r="873" spans="1:1">
      <c r="A873" t="s">
        <v>885</v>
      </c>
    </row>
    <row r="874" spans="1:1">
      <c r="A874" t="s">
        <v>886</v>
      </c>
    </row>
    <row r="875" spans="1:1">
      <c r="A875" t="s">
        <v>887</v>
      </c>
    </row>
    <row r="876" spans="1:1">
      <c r="A876" t="s">
        <v>888</v>
      </c>
    </row>
    <row r="877" spans="1:1">
      <c r="A877" t="s">
        <v>889</v>
      </c>
    </row>
    <row r="880" spans="1:1">
      <c r="A880" t="s">
        <v>261</v>
      </c>
    </row>
    <row r="881" spans="1:1">
      <c r="A881" t="s">
        <v>890</v>
      </c>
    </row>
    <row r="882" spans="1:1">
      <c r="A882" t="s">
        <v>891</v>
      </c>
    </row>
    <row r="883" spans="1:1">
      <c r="A883" t="s">
        <v>892</v>
      </c>
    </row>
    <row r="884" spans="1:1">
      <c r="A884" t="s">
        <v>893</v>
      </c>
    </row>
    <row r="885" spans="1:1">
      <c r="A885" t="s">
        <v>894</v>
      </c>
    </row>
    <row r="886" spans="1:1">
      <c r="A886" t="s">
        <v>895</v>
      </c>
    </row>
    <row r="887" spans="1:1">
      <c r="A887" t="s">
        <v>896</v>
      </c>
    </row>
    <row r="888" spans="1:1">
      <c r="A888" t="s">
        <v>897</v>
      </c>
    </row>
    <row r="889" spans="1:1">
      <c r="A889" t="s">
        <v>898</v>
      </c>
    </row>
    <row r="890" spans="1:1">
      <c r="A890" t="s">
        <v>899</v>
      </c>
    </row>
    <row r="891" spans="1:1">
      <c r="A891" t="s">
        <v>900</v>
      </c>
    </row>
    <row r="892" spans="1:1">
      <c r="A892" t="s">
        <v>901</v>
      </c>
    </row>
    <row r="893" spans="1:1">
      <c r="A893" t="s">
        <v>902</v>
      </c>
    </row>
    <row r="895" spans="1:1">
      <c r="A895" t="s">
        <v>275</v>
      </c>
    </row>
    <row r="896" spans="1:1">
      <c r="A896" t="s">
        <v>903</v>
      </c>
    </row>
    <row r="897" spans="1:1">
      <c r="A897" t="s">
        <v>904</v>
      </c>
    </row>
    <row r="898" spans="1:1">
      <c r="A898" t="s">
        <v>905</v>
      </c>
    </row>
    <row r="899" spans="1:1">
      <c r="A899" t="s">
        <v>906</v>
      </c>
    </row>
    <row r="900" spans="1:1">
      <c r="A900" t="s">
        <v>907</v>
      </c>
    </row>
    <row r="901" spans="1:1">
      <c r="A901" t="s">
        <v>908</v>
      </c>
    </row>
    <row r="902" spans="1:1">
      <c r="A902" t="s">
        <v>909</v>
      </c>
    </row>
    <row r="903" spans="1:1">
      <c r="A903" t="s">
        <v>910</v>
      </c>
    </row>
    <row r="904" spans="1:1">
      <c r="A904" t="s">
        <v>911</v>
      </c>
    </row>
    <row r="905" spans="1:1">
      <c r="A905" t="s">
        <v>912</v>
      </c>
    </row>
    <row r="906" spans="1:1">
      <c r="A906" t="s">
        <v>913</v>
      </c>
    </row>
    <row r="907" spans="1:1">
      <c r="A907" t="s">
        <v>914</v>
      </c>
    </row>
    <row r="908" spans="1:1">
      <c r="A908" t="s">
        <v>915</v>
      </c>
    </row>
    <row r="909" spans="1:1">
      <c r="A909" t="s">
        <v>916</v>
      </c>
    </row>
    <row r="910" spans="1:1">
      <c r="A910" t="s">
        <v>290</v>
      </c>
    </row>
    <row r="911" spans="1:1">
      <c r="A911" t="s">
        <v>917</v>
      </c>
    </row>
    <row r="916" spans="1:1">
      <c r="A916" t="s">
        <v>918</v>
      </c>
    </row>
    <row r="917" spans="1:1">
      <c r="A917" t="s">
        <v>240</v>
      </c>
    </row>
    <row r="918" spans="1:1">
      <c r="A918" t="s">
        <v>919</v>
      </c>
    </row>
    <row r="919" spans="1:1">
      <c r="A919" t="s">
        <v>920</v>
      </c>
    </row>
    <row r="920" spans="1:1">
      <c r="A920" t="s">
        <v>243</v>
      </c>
    </row>
    <row r="921" spans="1:1">
      <c r="A921" t="s">
        <v>921</v>
      </c>
    </row>
    <row r="922" spans="1:1">
      <c r="A922" t="s">
        <v>245</v>
      </c>
    </row>
    <row r="924" spans="1:1">
      <c r="A924" t="s">
        <v>651</v>
      </c>
    </row>
    <row r="925" spans="1:1">
      <c r="A925" t="s">
        <v>247</v>
      </c>
    </row>
    <row r="926" spans="1:1">
      <c r="A926" t="s">
        <v>922</v>
      </c>
    </row>
    <row r="927" spans="1:1">
      <c r="A927" t="s">
        <v>923</v>
      </c>
    </row>
    <row r="928" spans="1:1">
      <c r="A928" t="s">
        <v>924</v>
      </c>
    </row>
    <row r="929" spans="1:1">
      <c r="A929" t="s">
        <v>925</v>
      </c>
    </row>
    <row r="930" spans="1:1">
      <c r="A930" t="s">
        <v>926</v>
      </c>
    </row>
    <row r="931" spans="1:1">
      <c r="A931" t="s">
        <v>927</v>
      </c>
    </row>
    <row r="932" spans="1:1">
      <c r="A932" t="s">
        <v>928</v>
      </c>
    </row>
    <row r="933" spans="1:1">
      <c r="A933" t="s">
        <v>929</v>
      </c>
    </row>
    <row r="934" spans="1:1">
      <c r="A934" t="s">
        <v>930</v>
      </c>
    </row>
    <row r="935" spans="1:1">
      <c r="A935" t="s">
        <v>931</v>
      </c>
    </row>
    <row r="936" spans="1:1">
      <c r="A936" t="s">
        <v>932</v>
      </c>
    </row>
    <row r="937" spans="1:1">
      <c r="A937" t="s">
        <v>933</v>
      </c>
    </row>
    <row r="938" spans="1:1">
      <c r="A938" t="s">
        <v>934</v>
      </c>
    </row>
    <row r="941" spans="1:1">
      <c r="A941" t="s">
        <v>261</v>
      </c>
    </row>
    <row r="942" spans="1:1">
      <c r="A942" t="s">
        <v>935</v>
      </c>
    </row>
    <row r="943" spans="1:1">
      <c r="A943" t="s">
        <v>936</v>
      </c>
    </row>
    <row r="944" spans="1:1">
      <c r="A944" t="s">
        <v>937</v>
      </c>
    </row>
    <row r="945" spans="1:1">
      <c r="A945" t="s">
        <v>938</v>
      </c>
    </row>
    <row r="946" spans="1:1">
      <c r="A946" t="s">
        <v>939</v>
      </c>
    </row>
    <row r="947" spans="1:1">
      <c r="A947" t="s">
        <v>940</v>
      </c>
    </row>
    <row r="948" spans="1:1">
      <c r="A948" t="s">
        <v>941</v>
      </c>
    </row>
    <row r="949" spans="1:1">
      <c r="A949" t="s">
        <v>942</v>
      </c>
    </row>
    <row r="950" spans="1:1">
      <c r="A950" t="s">
        <v>943</v>
      </c>
    </row>
    <row r="951" spans="1:1">
      <c r="A951" t="s">
        <v>944</v>
      </c>
    </row>
    <row r="952" spans="1:1">
      <c r="A952" t="s">
        <v>945</v>
      </c>
    </row>
    <row r="953" spans="1:1">
      <c r="A953" t="s">
        <v>946</v>
      </c>
    </row>
    <row r="954" spans="1:1">
      <c r="A954" t="s">
        <v>947</v>
      </c>
    </row>
    <row r="956" spans="1:1">
      <c r="A956" t="s">
        <v>275</v>
      </c>
    </row>
    <row r="957" spans="1:1">
      <c r="A957" t="s">
        <v>948</v>
      </c>
    </row>
    <row r="958" spans="1:1">
      <c r="A958" t="s">
        <v>949</v>
      </c>
    </row>
    <row r="959" spans="1:1">
      <c r="A959" t="s">
        <v>950</v>
      </c>
    </row>
    <row r="960" spans="1:1">
      <c r="A960" t="s">
        <v>951</v>
      </c>
    </row>
    <row r="961" spans="1:1">
      <c r="A961" t="s">
        <v>952</v>
      </c>
    </row>
    <row r="962" spans="1:1">
      <c r="A962" t="s">
        <v>953</v>
      </c>
    </row>
    <row r="963" spans="1:1">
      <c r="A963" t="s">
        <v>954</v>
      </c>
    </row>
    <row r="964" spans="1:1">
      <c r="A964" t="s">
        <v>955</v>
      </c>
    </row>
    <row r="965" spans="1:1">
      <c r="A965" t="s">
        <v>956</v>
      </c>
    </row>
    <row r="966" spans="1:1">
      <c r="A966" t="s">
        <v>957</v>
      </c>
    </row>
    <row r="967" spans="1:1">
      <c r="A967" t="s">
        <v>958</v>
      </c>
    </row>
    <row r="968" spans="1:1">
      <c r="A968" t="s">
        <v>959</v>
      </c>
    </row>
    <row r="969" spans="1:1">
      <c r="A969" t="s">
        <v>960</v>
      </c>
    </row>
    <row r="970" spans="1:1">
      <c r="A970" t="s">
        <v>961</v>
      </c>
    </row>
    <row r="971" spans="1:1">
      <c r="A971" t="s">
        <v>290</v>
      </c>
    </row>
    <row r="972" spans="1:1">
      <c r="A972" t="s">
        <v>962</v>
      </c>
    </row>
    <row r="977" spans="1:1">
      <c r="A977" t="s">
        <v>963</v>
      </c>
    </row>
    <row r="978" spans="1:1">
      <c r="A978" t="s">
        <v>240</v>
      </c>
    </row>
    <row r="979" spans="1:1">
      <c r="A979" t="s">
        <v>964</v>
      </c>
    </row>
    <row r="980" spans="1:1">
      <c r="A980" t="s">
        <v>965</v>
      </c>
    </row>
    <row r="981" spans="1:1">
      <c r="A981" t="s">
        <v>243</v>
      </c>
    </row>
    <row r="982" spans="1:1">
      <c r="A982" t="s">
        <v>966</v>
      </c>
    </row>
    <row r="983" spans="1:1">
      <c r="A983" t="s">
        <v>245</v>
      </c>
    </row>
    <row r="985" spans="1:1">
      <c r="A985" t="s">
        <v>651</v>
      </c>
    </row>
    <row r="986" spans="1:1">
      <c r="A986" t="s">
        <v>247</v>
      </c>
    </row>
    <row r="987" spans="1:1">
      <c r="A987" t="s">
        <v>967</v>
      </c>
    </row>
    <row r="988" spans="1:1">
      <c r="A988" t="s">
        <v>968</v>
      </c>
    </row>
    <row r="989" spans="1:1">
      <c r="A989" t="s">
        <v>969</v>
      </c>
    </row>
    <row r="990" spans="1:1">
      <c r="A990" t="s">
        <v>970</v>
      </c>
    </row>
    <row r="991" spans="1:1">
      <c r="A991" t="s">
        <v>971</v>
      </c>
    </row>
    <row r="992" spans="1:1">
      <c r="A992" t="s">
        <v>972</v>
      </c>
    </row>
    <row r="993" spans="1:1">
      <c r="A993" t="s">
        <v>973</v>
      </c>
    </row>
    <row r="994" spans="1:1">
      <c r="A994" t="s">
        <v>974</v>
      </c>
    </row>
    <row r="995" spans="1:1">
      <c r="A995" t="s">
        <v>975</v>
      </c>
    </row>
    <row r="996" spans="1:1">
      <c r="A996" t="s">
        <v>976</v>
      </c>
    </row>
    <row r="997" spans="1:1">
      <c r="A997" t="s">
        <v>977</v>
      </c>
    </row>
    <row r="998" spans="1:1">
      <c r="A998" t="s">
        <v>978</v>
      </c>
    </row>
    <row r="999" spans="1:1">
      <c r="A999" t="s">
        <v>979</v>
      </c>
    </row>
    <row r="1002" spans="1:1">
      <c r="A1002" t="s">
        <v>261</v>
      </c>
    </row>
    <row r="1003" spans="1:1">
      <c r="A1003" t="s">
        <v>980</v>
      </c>
    </row>
    <row r="1004" spans="1:1">
      <c r="A1004" t="s">
        <v>981</v>
      </c>
    </row>
    <row r="1005" spans="1:1">
      <c r="A1005" t="s">
        <v>982</v>
      </c>
    </row>
    <row r="1006" spans="1:1">
      <c r="A1006" t="s">
        <v>983</v>
      </c>
    </row>
    <row r="1007" spans="1:1">
      <c r="A1007" t="s">
        <v>984</v>
      </c>
    </row>
    <row r="1008" spans="1:1">
      <c r="A1008" t="s">
        <v>985</v>
      </c>
    </row>
    <row r="1009" spans="1:1">
      <c r="A1009" t="s">
        <v>986</v>
      </c>
    </row>
    <row r="1010" spans="1:1">
      <c r="A1010" t="s">
        <v>987</v>
      </c>
    </row>
    <row r="1011" spans="1:1">
      <c r="A1011" t="s">
        <v>988</v>
      </c>
    </row>
    <row r="1012" spans="1:1">
      <c r="A1012" t="s">
        <v>989</v>
      </c>
    </row>
    <row r="1013" spans="1:1">
      <c r="A1013" t="s">
        <v>990</v>
      </c>
    </row>
    <row r="1014" spans="1:1">
      <c r="A1014" t="s">
        <v>991</v>
      </c>
    </row>
    <row r="1015" spans="1:1">
      <c r="A1015" t="s">
        <v>992</v>
      </c>
    </row>
    <row r="1017" spans="1:1">
      <c r="A1017" t="s">
        <v>275</v>
      </c>
    </row>
    <row r="1018" spans="1:1">
      <c r="A1018" t="s">
        <v>993</v>
      </c>
    </row>
    <row r="1019" spans="1:1">
      <c r="A1019" t="s">
        <v>994</v>
      </c>
    </row>
    <row r="1020" spans="1:1">
      <c r="A1020" t="s">
        <v>995</v>
      </c>
    </row>
    <row r="1021" spans="1:1">
      <c r="A1021" t="s">
        <v>996</v>
      </c>
    </row>
    <row r="1022" spans="1:1">
      <c r="A1022" t="s">
        <v>997</v>
      </c>
    </row>
    <row r="1023" spans="1:1">
      <c r="A1023" t="s">
        <v>998</v>
      </c>
    </row>
    <row r="1024" spans="1:1">
      <c r="A1024" t="s">
        <v>999</v>
      </c>
    </row>
    <row r="1025" spans="1:1">
      <c r="A1025" t="s">
        <v>1000</v>
      </c>
    </row>
    <row r="1026" spans="1:1">
      <c r="A1026" t="s">
        <v>1001</v>
      </c>
    </row>
    <row r="1027" spans="1:1">
      <c r="A1027" t="s">
        <v>1002</v>
      </c>
    </row>
    <row r="1028" spans="1:1">
      <c r="A1028" t="s">
        <v>1003</v>
      </c>
    </row>
    <row r="1029" spans="1:1">
      <c r="A1029" t="s">
        <v>1004</v>
      </c>
    </row>
    <row r="1030" spans="1:1">
      <c r="A1030" t="s">
        <v>1005</v>
      </c>
    </row>
    <row r="1031" spans="1:1">
      <c r="A1031" t="s">
        <v>1006</v>
      </c>
    </row>
    <row r="1032" spans="1:1">
      <c r="A1032" t="s">
        <v>290</v>
      </c>
    </row>
    <row r="1033" spans="1:1">
      <c r="A1033" t="s">
        <v>1007</v>
      </c>
    </row>
    <row r="1038" spans="1:1">
      <c r="A1038" t="s">
        <v>1008</v>
      </c>
    </row>
    <row r="1039" spans="1:1">
      <c r="A1039" t="s">
        <v>240</v>
      </c>
    </row>
    <row r="1040" spans="1:1">
      <c r="A1040" t="s">
        <v>1009</v>
      </c>
    </row>
    <row r="1041" spans="1:1">
      <c r="A1041" t="s">
        <v>1010</v>
      </c>
    </row>
    <row r="1042" spans="1:1">
      <c r="A1042" t="s">
        <v>243</v>
      </c>
    </row>
    <row r="1043" spans="1:1">
      <c r="A1043" t="s">
        <v>1011</v>
      </c>
    </row>
    <row r="1044" spans="1:1">
      <c r="A1044" t="s">
        <v>245</v>
      </c>
    </row>
    <row r="1046" spans="1:1">
      <c r="A1046" t="s">
        <v>651</v>
      </c>
    </row>
    <row r="1047" spans="1:1">
      <c r="A1047" t="s">
        <v>247</v>
      </c>
    </row>
    <row r="1048" spans="1:1">
      <c r="A1048" t="s">
        <v>1012</v>
      </c>
    </row>
    <row r="1049" spans="1:1">
      <c r="A1049" t="s">
        <v>1013</v>
      </c>
    </row>
    <row r="1050" spans="1:1">
      <c r="A1050" t="s">
        <v>1014</v>
      </c>
    </row>
    <row r="1051" spans="1:1">
      <c r="A1051" t="s">
        <v>1015</v>
      </c>
    </row>
    <row r="1052" spans="1:1">
      <c r="A1052" t="s">
        <v>1016</v>
      </c>
    </row>
    <row r="1053" spans="1:1">
      <c r="A1053" t="s">
        <v>1017</v>
      </c>
    </row>
    <row r="1054" spans="1:1">
      <c r="A1054" t="s">
        <v>1018</v>
      </c>
    </row>
    <row r="1055" spans="1:1">
      <c r="A1055" t="s">
        <v>1019</v>
      </c>
    </row>
    <row r="1056" spans="1:1">
      <c r="A1056" t="s">
        <v>1020</v>
      </c>
    </row>
    <row r="1057" spans="1:1">
      <c r="A1057" t="s">
        <v>1021</v>
      </c>
    </row>
    <row r="1058" spans="1:1">
      <c r="A1058" t="s">
        <v>1022</v>
      </c>
    </row>
    <row r="1059" spans="1:1">
      <c r="A1059" t="s">
        <v>1023</v>
      </c>
    </row>
    <row r="1060" spans="1:1">
      <c r="A1060" t="s">
        <v>1024</v>
      </c>
    </row>
    <row r="1063" spans="1:1">
      <c r="A1063" t="s">
        <v>261</v>
      </c>
    </row>
    <row r="1064" spans="1:1">
      <c r="A1064" t="s">
        <v>1025</v>
      </c>
    </row>
    <row r="1065" spans="1:1">
      <c r="A1065" t="s">
        <v>1026</v>
      </c>
    </row>
    <row r="1066" spans="1:1">
      <c r="A1066" t="s">
        <v>1027</v>
      </c>
    </row>
    <row r="1067" spans="1:1">
      <c r="A1067" t="s">
        <v>1028</v>
      </c>
    </row>
    <row r="1068" spans="1:1">
      <c r="A1068" t="s">
        <v>1029</v>
      </c>
    </row>
    <row r="1069" spans="1:1">
      <c r="A1069" t="s">
        <v>1030</v>
      </c>
    </row>
    <row r="1070" spans="1:1">
      <c r="A1070" t="s">
        <v>1031</v>
      </c>
    </row>
    <row r="1071" spans="1:1">
      <c r="A1071" t="s">
        <v>1032</v>
      </c>
    </row>
    <row r="1072" spans="1:1">
      <c r="A1072" t="s">
        <v>1033</v>
      </c>
    </row>
    <row r="1073" spans="1:1">
      <c r="A1073" t="s">
        <v>1034</v>
      </c>
    </row>
    <row r="1074" spans="1:1">
      <c r="A1074" t="s">
        <v>1035</v>
      </c>
    </row>
    <row r="1075" spans="1:1">
      <c r="A1075" t="s">
        <v>1036</v>
      </c>
    </row>
    <row r="1076" spans="1:1">
      <c r="A1076" t="s">
        <v>1037</v>
      </c>
    </row>
    <row r="1078" spans="1:1">
      <c r="A1078" t="s">
        <v>275</v>
      </c>
    </row>
    <row r="1079" spans="1:1">
      <c r="A1079" t="s">
        <v>1038</v>
      </c>
    </row>
    <row r="1080" spans="1:1">
      <c r="A1080" t="s">
        <v>1039</v>
      </c>
    </row>
    <row r="1081" spans="1:1">
      <c r="A1081" t="s">
        <v>1040</v>
      </c>
    </row>
    <row r="1082" spans="1:1">
      <c r="A1082" t="s">
        <v>1041</v>
      </c>
    </row>
    <row r="1083" spans="1:1">
      <c r="A1083" t="s">
        <v>1042</v>
      </c>
    </row>
    <row r="1084" spans="1:1">
      <c r="A1084" t="s">
        <v>1043</v>
      </c>
    </row>
    <row r="1085" spans="1:1">
      <c r="A1085" t="s">
        <v>1044</v>
      </c>
    </row>
    <row r="1086" spans="1:1">
      <c r="A1086" t="s">
        <v>1045</v>
      </c>
    </row>
    <row r="1087" spans="1:1">
      <c r="A1087" t="s">
        <v>1046</v>
      </c>
    </row>
    <row r="1088" spans="1:1">
      <c r="A1088" t="s">
        <v>1047</v>
      </c>
    </row>
    <row r="1089" spans="1:1">
      <c r="A1089" t="s">
        <v>1048</v>
      </c>
    </row>
    <row r="1090" spans="1:1">
      <c r="A1090" t="s">
        <v>1049</v>
      </c>
    </row>
    <row r="1091" spans="1:1">
      <c r="A1091" t="s">
        <v>1050</v>
      </c>
    </row>
    <row r="1092" spans="1:1">
      <c r="A1092" t="s">
        <v>1051</v>
      </c>
    </row>
    <row r="1093" spans="1:1">
      <c r="A1093" t="s">
        <v>290</v>
      </c>
    </row>
    <row r="1094" spans="1:1">
      <c r="A1094" t="s">
        <v>1052</v>
      </c>
    </row>
    <row r="1099" spans="1:1">
      <c r="A1099" t="s">
        <v>1053</v>
      </c>
    </row>
    <row r="1100" spans="1:1">
      <c r="A1100" t="s">
        <v>240</v>
      </c>
    </row>
    <row r="1101" spans="1:1">
      <c r="A1101" t="s">
        <v>1054</v>
      </c>
    </row>
    <row r="1102" spans="1:1">
      <c r="A1102" t="s">
        <v>1055</v>
      </c>
    </row>
    <row r="1103" spans="1:1">
      <c r="A1103" t="s">
        <v>243</v>
      </c>
    </row>
    <row r="1104" spans="1:1">
      <c r="A1104" t="s">
        <v>1056</v>
      </c>
    </row>
    <row r="1105" spans="1:1">
      <c r="A1105" t="s">
        <v>245</v>
      </c>
    </row>
    <row r="1107" spans="1:1">
      <c r="A1107" t="s">
        <v>651</v>
      </c>
    </row>
    <row r="1108" spans="1:1">
      <c r="A1108" t="s">
        <v>247</v>
      </c>
    </row>
    <row r="1109" spans="1:1">
      <c r="A1109" t="s">
        <v>1057</v>
      </c>
    </row>
    <row r="1110" spans="1:1">
      <c r="A1110" t="s">
        <v>1058</v>
      </c>
    </row>
    <row r="1111" spans="1:1">
      <c r="A1111" t="s">
        <v>1059</v>
      </c>
    </row>
    <row r="1112" spans="1:1">
      <c r="A1112" t="s">
        <v>1060</v>
      </c>
    </row>
    <row r="1113" spans="1:1">
      <c r="A1113" t="s">
        <v>1061</v>
      </c>
    </row>
    <row r="1114" spans="1:1">
      <c r="A1114" t="s">
        <v>1062</v>
      </c>
    </row>
    <row r="1115" spans="1:1">
      <c r="A1115" t="s">
        <v>1063</v>
      </c>
    </row>
    <row r="1116" spans="1:1">
      <c r="A1116" t="s">
        <v>1064</v>
      </c>
    </row>
    <row r="1117" spans="1:1">
      <c r="A1117" t="s">
        <v>1065</v>
      </c>
    </row>
    <row r="1118" spans="1:1">
      <c r="A1118" t="s">
        <v>1066</v>
      </c>
    </row>
    <row r="1119" spans="1:1">
      <c r="A1119" t="s">
        <v>1067</v>
      </c>
    </row>
    <row r="1120" spans="1:1">
      <c r="A1120" t="s">
        <v>1068</v>
      </c>
    </row>
    <row r="1121" spans="1:1">
      <c r="A1121" t="s">
        <v>1069</v>
      </c>
    </row>
    <row r="1124" spans="1:1">
      <c r="A1124" t="s">
        <v>261</v>
      </c>
    </row>
    <row r="1125" spans="1:1">
      <c r="A1125" t="s">
        <v>1070</v>
      </c>
    </row>
    <row r="1126" spans="1:1">
      <c r="A1126" t="s">
        <v>1071</v>
      </c>
    </row>
    <row r="1127" spans="1:1">
      <c r="A1127" t="s">
        <v>1072</v>
      </c>
    </row>
    <row r="1128" spans="1:1">
      <c r="A1128" t="s">
        <v>1073</v>
      </c>
    </row>
    <row r="1129" spans="1:1">
      <c r="A1129" t="s">
        <v>1074</v>
      </c>
    </row>
    <row r="1130" spans="1:1">
      <c r="A1130" t="s">
        <v>1075</v>
      </c>
    </row>
    <row r="1131" spans="1:1">
      <c r="A1131" t="s">
        <v>1076</v>
      </c>
    </row>
    <row r="1132" spans="1:1">
      <c r="A1132" t="s">
        <v>1077</v>
      </c>
    </row>
    <row r="1133" spans="1:1">
      <c r="A1133" t="s">
        <v>1078</v>
      </c>
    </row>
    <row r="1134" spans="1:1">
      <c r="A1134" t="s">
        <v>1079</v>
      </c>
    </row>
    <row r="1135" spans="1:1">
      <c r="A1135" t="s">
        <v>1080</v>
      </c>
    </row>
    <row r="1136" spans="1:1">
      <c r="A1136" t="s">
        <v>1081</v>
      </c>
    </row>
    <row r="1137" spans="1:1">
      <c r="A1137" t="s">
        <v>1082</v>
      </c>
    </row>
    <row r="1139" spans="1:1">
      <c r="A1139" t="s">
        <v>275</v>
      </c>
    </row>
    <row r="1140" spans="1:1">
      <c r="A1140" t="s">
        <v>1083</v>
      </c>
    </row>
    <row r="1141" spans="1:1">
      <c r="A1141" t="s">
        <v>1084</v>
      </c>
    </row>
    <row r="1142" spans="1:1">
      <c r="A1142" t="s">
        <v>1085</v>
      </c>
    </row>
    <row r="1143" spans="1:1">
      <c r="A1143" t="s">
        <v>1086</v>
      </c>
    </row>
    <row r="1144" spans="1:1">
      <c r="A1144" t="s">
        <v>1087</v>
      </c>
    </row>
    <row r="1145" spans="1:1">
      <c r="A1145" t="s">
        <v>1088</v>
      </c>
    </row>
    <row r="1146" spans="1:1">
      <c r="A1146" t="s">
        <v>1089</v>
      </c>
    </row>
    <row r="1147" spans="1:1">
      <c r="A1147" t="s">
        <v>1090</v>
      </c>
    </row>
    <row r="1148" spans="1:1">
      <c r="A1148" t="s">
        <v>1091</v>
      </c>
    </row>
    <row r="1149" spans="1:1">
      <c r="A1149" t="s">
        <v>1092</v>
      </c>
    </row>
    <row r="1150" spans="1:1">
      <c r="A1150" t="s">
        <v>1093</v>
      </c>
    </row>
    <row r="1151" spans="1:1">
      <c r="A1151" t="s">
        <v>1094</v>
      </c>
    </row>
    <row r="1152" spans="1:1">
      <c r="A1152" t="s">
        <v>1095</v>
      </c>
    </row>
    <row r="1153" spans="1:1">
      <c r="A1153" t="s">
        <v>1096</v>
      </c>
    </row>
    <row r="1154" spans="1:1">
      <c r="A1154" t="s">
        <v>290</v>
      </c>
    </row>
    <row r="1155" spans="1:1">
      <c r="A1155" t="s">
        <v>1097</v>
      </c>
    </row>
    <row r="1160" spans="1:1">
      <c r="A1160" t="s">
        <v>1098</v>
      </c>
    </row>
    <row r="1161" spans="1:1">
      <c r="A1161" t="s">
        <v>240</v>
      </c>
    </row>
    <row r="1162" spans="1:1">
      <c r="A1162" t="s">
        <v>1099</v>
      </c>
    </row>
    <row r="1163" spans="1:1">
      <c r="A1163" t="s">
        <v>1100</v>
      </c>
    </row>
    <row r="1164" spans="1:1">
      <c r="A1164" t="s">
        <v>243</v>
      </c>
    </row>
    <row r="1165" spans="1:1">
      <c r="A1165" t="s">
        <v>1101</v>
      </c>
    </row>
    <row r="1166" spans="1:1">
      <c r="A1166" t="s">
        <v>245</v>
      </c>
    </row>
    <row r="1168" spans="1:1">
      <c r="A1168" t="s">
        <v>651</v>
      </c>
    </row>
    <row r="1169" spans="1:1">
      <c r="A1169" t="s">
        <v>247</v>
      </c>
    </row>
    <row r="1170" spans="1:1">
      <c r="A1170" t="s">
        <v>1102</v>
      </c>
    </row>
    <row r="1171" spans="1:1">
      <c r="A1171" t="s">
        <v>1103</v>
      </c>
    </row>
    <row r="1172" spans="1:1">
      <c r="A1172" t="s">
        <v>1104</v>
      </c>
    </row>
    <row r="1173" spans="1:1">
      <c r="A1173" t="s">
        <v>1105</v>
      </c>
    </row>
    <row r="1174" spans="1:1">
      <c r="A1174" t="s">
        <v>1106</v>
      </c>
    </row>
    <row r="1175" spans="1:1">
      <c r="A1175" t="s">
        <v>1107</v>
      </c>
    </row>
    <row r="1176" spans="1:1">
      <c r="A1176" t="s">
        <v>1108</v>
      </c>
    </row>
    <row r="1177" spans="1:1">
      <c r="A1177" t="s">
        <v>1109</v>
      </c>
    </row>
    <row r="1178" spans="1:1">
      <c r="A1178" t="s">
        <v>1110</v>
      </c>
    </row>
    <row r="1179" spans="1:1">
      <c r="A1179" t="s">
        <v>1111</v>
      </c>
    </row>
    <row r="1180" spans="1:1">
      <c r="A1180" t="s">
        <v>1112</v>
      </c>
    </row>
    <row r="1181" spans="1:1">
      <c r="A1181" t="s">
        <v>1113</v>
      </c>
    </row>
    <row r="1182" spans="1:1">
      <c r="A1182" t="s">
        <v>1114</v>
      </c>
    </row>
    <row r="1185" spans="1:1">
      <c r="A1185" t="s">
        <v>261</v>
      </c>
    </row>
    <row r="1186" spans="1:1">
      <c r="A1186" t="s">
        <v>1115</v>
      </c>
    </row>
    <row r="1187" spans="1:1">
      <c r="A1187" t="s">
        <v>1116</v>
      </c>
    </row>
    <row r="1188" spans="1:1">
      <c r="A1188" t="s">
        <v>1117</v>
      </c>
    </row>
    <row r="1189" spans="1:1">
      <c r="A1189" t="s">
        <v>1118</v>
      </c>
    </row>
    <row r="1190" spans="1:1">
      <c r="A1190" t="s">
        <v>1119</v>
      </c>
    </row>
    <row r="1191" spans="1:1">
      <c r="A1191" t="s">
        <v>1120</v>
      </c>
    </row>
    <row r="1192" spans="1:1">
      <c r="A1192" t="s">
        <v>1121</v>
      </c>
    </row>
    <row r="1193" spans="1:1">
      <c r="A1193" t="s">
        <v>1122</v>
      </c>
    </row>
    <row r="1194" spans="1:1">
      <c r="A1194" t="s">
        <v>1123</v>
      </c>
    </row>
    <row r="1195" spans="1:1">
      <c r="A1195" t="s">
        <v>1124</v>
      </c>
    </row>
    <row r="1196" spans="1:1">
      <c r="A1196" t="s">
        <v>1125</v>
      </c>
    </row>
    <row r="1197" spans="1:1">
      <c r="A1197" t="s">
        <v>1126</v>
      </c>
    </row>
    <row r="1198" spans="1:1">
      <c r="A1198" t="s">
        <v>1127</v>
      </c>
    </row>
    <row r="1200" spans="1:1">
      <c r="A1200" t="s">
        <v>275</v>
      </c>
    </row>
    <row r="1201" spans="1:1">
      <c r="A1201" t="s">
        <v>1128</v>
      </c>
    </row>
    <row r="1202" spans="1:1">
      <c r="A1202" t="s">
        <v>1129</v>
      </c>
    </row>
    <row r="1203" spans="1:1">
      <c r="A1203" t="s">
        <v>1130</v>
      </c>
    </row>
    <row r="1204" spans="1:1">
      <c r="A1204" t="s">
        <v>1131</v>
      </c>
    </row>
    <row r="1205" spans="1:1">
      <c r="A1205" t="s">
        <v>1132</v>
      </c>
    </row>
    <row r="1206" spans="1:1">
      <c r="A1206" t="s">
        <v>1133</v>
      </c>
    </row>
    <row r="1207" spans="1:1">
      <c r="A1207" t="s">
        <v>1134</v>
      </c>
    </row>
    <row r="1208" spans="1:1">
      <c r="A1208" t="s">
        <v>1135</v>
      </c>
    </row>
    <row r="1209" spans="1:1">
      <c r="A1209" t="s">
        <v>1136</v>
      </c>
    </row>
    <row r="1210" spans="1:1">
      <c r="A1210" t="s">
        <v>1137</v>
      </c>
    </row>
    <row r="1211" spans="1:1">
      <c r="A1211" t="s">
        <v>1138</v>
      </c>
    </row>
    <row r="1212" spans="1:1">
      <c r="A1212" t="s">
        <v>1139</v>
      </c>
    </row>
    <row r="1213" spans="1:1">
      <c r="A1213" t="s">
        <v>1140</v>
      </c>
    </row>
    <row r="1214" spans="1:1">
      <c r="A1214" t="s">
        <v>1141</v>
      </c>
    </row>
    <row r="1215" spans="1:1">
      <c r="A1215" t="s">
        <v>290</v>
      </c>
    </row>
    <row r="1216" spans="1:1">
      <c r="A1216" t="s">
        <v>1142</v>
      </c>
    </row>
    <row r="1221" spans="1:1">
      <c r="A1221" t="s">
        <v>1143</v>
      </c>
    </row>
    <row r="1222" spans="1:1">
      <c r="A1222" t="s">
        <v>240</v>
      </c>
    </row>
    <row r="1223" spans="1:1">
      <c r="A1223" t="s">
        <v>1144</v>
      </c>
    </row>
    <row r="1224" spans="1:1">
      <c r="A1224" t="s">
        <v>1145</v>
      </c>
    </row>
    <row r="1225" spans="1:1">
      <c r="A1225" t="s">
        <v>243</v>
      </c>
    </row>
    <row r="1226" spans="1:1">
      <c r="A1226" t="s">
        <v>1146</v>
      </c>
    </row>
    <row r="1227" spans="1:1">
      <c r="A1227" t="s">
        <v>245</v>
      </c>
    </row>
    <row r="1229" spans="1:1">
      <c r="A1229" t="s">
        <v>651</v>
      </c>
    </row>
    <row r="1230" spans="1:1">
      <c r="A1230" t="s">
        <v>247</v>
      </c>
    </row>
    <row r="1231" spans="1:1">
      <c r="A1231" t="s">
        <v>1147</v>
      </c>
    </row>
    <row r="1232" spans="1:1">
      <c r="A1232" t="s">
        <v>1148</v>
      </c>
    </row>
    <row r="1233" spans="1:1">
      <c r="A1233" t="s">
        <v>1149</v>
      </c>
    </row>
    <row r="1234" spans="1:1">
      <c r="A1234" t="s">
        <v>1150</v>
      </c>
    </row>
    <row r="1235" spans="1:1">
      <c r="A1235" t="s">
        <v>1151</v>
      </c>
    </row>
    <row r="1236" spans="1:1">
      <c r="A1236" t="s">
        <v>1152</v>
      </c>
    </row>
    <row r="1237" spans="1:1">
      <c r="A1237" t="s">
        <v>1153</v>
      </c>
    </row>
    <row r="1238" spans="1:1">
      <c r="A1238" t="s">
        <v>1154</v>
      </c>
    </row>
    <row r="1239" spans="1:1">
      <c r="A1239" t="s">
        <v>1155</v>
      </c>
    </row>
    <row r="1240" spans="1:1">
      <c r="A1240" t="s">
        <v>1156</v>
      </c>
    </row>
    <row r="1241" spans="1:1">
      <c r="A1241" t="s">
        <v>1157</v>
      </c>
    </row>
    <row r="1242" spans="1:1">
      <c r="A1242" t="s">
        <v>1158</v>
      </c>
    </row>
    <row r="1243" spans="1:1">
      <c r="A1243" t="s">
        <v>1159</v>
      </c>
    </row>
    <row r="1246" spans="1:1">
      <c r="A1246" t="s">
        <v>261</v>
      </c>
    </row>
    <row r="1247" spans="1:1">
      <c r="A1247" t="s">
        <v>1160</v>
      </c>
    </row>
    <row r="1248" spans="1:1">
      <c r="A1248" t="s">
        <v>1161</v>
      </c>
    </row>
    <row r="1249" spans="1:1">
      <c r="A1249" t="s">
        <v>1162</v>
      </c>
    </row>
    <row r="1250" spans="1:1">
      <c r="A1250" t="s">
        <v>1163</v>
      </c>
    </row>
    <row r="1251" spans="1:1">
      <c r="A1251" t="s">
        <v>1164</v>
      </c>
    </row>
    <row r="1252" spans="1:1">
      <c r="A1252" t="s">
        <v>1165</v>
      </c>
    </row>
    <row r="1253" spans="1:1">
      <c r="A1253" t="s">
        <v>1166</v>
      </c>
    </row>
    <row r="1254" spans="1:1">
      <c r="A1254" t="s">
        <v>1167</v>
      </c>
    </row>
    <row r="1255" spans="1:1">
      <c r="A1255" t="s">
        <v>1168</v>
      </c>
    </row>
    <row r="1256" spans="1:1">
      <c r="A1256" t="s">
        <v>1169</v>
      </c>
    </row>
    <row r="1257" spans="1:1">
      <c r="A1257" t="s">
        <v>1170</v>
      </c>
    </row>
    <row r="1258" spans="1:1">
      <c r="A1258" t="s">
        <v>1171</v>
      </c>
    </row>
    <row r="1259" spans="1:1">
      <c r="A1259" t="s">
        <v>1172</v>
      </c>
    </row>
    <row r="1261" spans="1:1">
      <c r="A1261" t="s">
        <v>275</v>
      </c>
    </row>
    <row r="1262" spans="1:1">
      <c r="A1262" t="s">
        <v>1173</v>
      </c>
    </row>
    <row r="1263" spans="1:1">
      <c r="A1263" t="s">
        <v>1174</v>
      </c>
    </row>
    <row r="1264" spans="1:1">
      <c r="A1264" t="s">
        <v>1175</v>
      </c>
    </row>
    <row r="1265" spans="1:1">
      <c r="A1265" t="s">
        <v>1176</v>
      </c>
    </row>
    <row r="1266" spans="1:1">
      <c r="A1266" t="s">
        <v>1177</v>
      </c>
    </row>
    <row r="1267" spans="1:1">
      <c r="A1267" t="s">
        <v>1178</v>
      </c>
    </row>
    <row r="1268" spans="1:1">
      <c r="A1268" t="s">
        <v>1179</v>
      </c>
    </row>
    <row r="1269" spans="1:1">
      <c r="A1269" t="s">
        <v>1180</v>
      </c>
    </row>
    <row r="1270" spans="1:1">
      <c r="A1270" t="s">
        <v>1181</v>
      </c>
    </row>
    <row r="1271" spans="1:1">
      <c r="A1271" t="s">
        <v>1182</v>
      </c>
    </row>
    <row r="1272" spans="1:1">
      <c r="A1272" t="s">
        <v>1183</v>
      </c>
    </row>
    <row r="1273" spans="1:1">
      <c r="A1273" t="s">
        <v>1184</v>
      </c>
    </row>
    <row r="1274" spans="1:1">
      <c r="A1274" t="s">
        <v>1185</v>
      </c>
    </row>
    <row r="1275" spans="1:1">
      <c r="A1275" t="s">
        <v>1186</v>
      </c>
    </row>
    <row r="1276" spans="1:1">
      <c r="A1276" t="s">
        <v>290</v>
      </c>
    </row>
    <row r="1277" spans="1:1">
      <c r="A1277" t="s">
        <v>1187</v>
      </c>
    </row>
    <row r="1282" spans="1:1">
      <c r="A1282" t="s">
        <v>1188</v>
      </c>
    </row>
    <row r="1283" spans="1:1">
      <c r="A1283" t="s">
        <v>240</v>
      </c>
    </row>
    <row r="1284" spans="1:1">
      <c r="A1284" t="s">
        <v>1189</v>
      </c>
    </row>
    <row r="1285" spans="1:1">
      <c r="A1285" t="s">
        <v>1190</v>
      </c>
    </row>
    <row r="1286" spans="1:1">
      <c r="A1286" t="s">
        <v>243</v>
      </c>
    </row>
    <row r="1287" spans="1:1">
      <c r="A1287" t="s">
        <v>1191</v>
      </c>
    </row>
    <row r="1288" spans="1:1">
      <c r="A1288" t="s">
        <v>245</v>
      </c>
    </row>
    <row r="1290" spans="1:1">
      <c r="A1290" t="s">
        <v>1192</v>
      </c>
    </row>
    <row r="1291" spans="1:1">
      <c r="A1291" t="s">
        <v>247</v>
      </c>
    </row>
    <row r="1292" spans="1:1">
      <c r="A1292" t="s">
        <v>1193</v>
      </c>
    </row>
    <row r="1293" spans="1:1">
      <c r="A1293" t="s">
        <v>1194</v>
      </c>
    </row>
    <row r="1294" spans="1:1">
      <c r="A1294" t="s">
        <v>1195</v>
      </c>
    </row>
    <row r="1295" spans="1:1">
      <c r="A1295" t="s">
        <v>1196</v>
      </c>
    </row>
    <row r="1296" spans="1:1">
      <c r="A1296" t="s">
        <v>1197</v>
      </c>
    </row>
    <row r="1297" spans="1:1">
      <c r="A1297" t="s">
        <v>1198</v>
      </c>
    </row>
    <row r="1298" spans="1:1">
      <c r="A1298" t="s">
        <v>1199</v>
      </c>
    </row>
    <row r="1299" spans="1:1">
      <c r="A1299" t="s">
        <v>1200</v>
      </c>
    </row>
    <row r="1300" spans="1:1">
      <c r="A1300" t="s">
        <v>1201</v>
      </c>
    </row>
    <row r="1301" spans="1:1">
      <c r="A1301" t="s">
        <v>1202</v>
      </c>
    </row>
    <row r="1302" spans="1:1">
      <c r="A1302" t="s">
        <v>1203</v>
      </c>
    </row>
    <row r="1303" spans="1:1">
      <c r="A1303" t="s">
        <v>1204</v>
      </c>
    </row>
    <row r="1304" spans="1:1">
      <c r="A1304" t="s">
        <v>1205</v>
      </c>
    </row>
    <row r="1307" spans="1:1">
      <c r="A1307" t="s">
        <v>261</v>
      </c>
    </row>
    <row r="1308" spans="1:1">
      <c r="A1308" t="s">
        <v>1206</v>
      </c>
    </row>
    <row r="1309" spans="1:1">
      <c r="A1309" t="s">
        <v>1207</v>
      </c>
    </row>
    <row r="1310" spans="1:1">
      <c r="A1310" t="s">
        <v>1208</v>
      </c>
    </row>
    <row r="1311" spans="1:1">
      <c r="A1311" t="s">
        <v>1209</v>
      </c>
    </row>
    <row r="1312" spans="1:1">
      <c r="A1312" t="s">
        <v>1210</v>
      </c>
    </row>
    <row r="1313" spans="1:1">
      <c r="A1313" t="s">
        <v>1211</v>
      </c>
    </row>
    <row r="1314" spans="1:1">
      <c r="A1314" t="s">
        <v>1212</v>
      </c>
    </row>
    <row r="1315" spans="1:1">
      <c r="A1315" t="s">
        <v>1213</v>
      </c>
    </row>
    <row r="1316" spans="1:1">
      <c r="A1316" t="s">
        <v>1214</v>
      </c>
    </row>
    <row r="1317" spans="1:1">
      <c r="A1317" t="s">
        <v>1215</v>
      </c>
    </row>
    <row r="1318" spans="1:1">
      <c r="A1318" t="s">
        <v>1216</v>
      </c>
    </row>
    <row r="1319" spans="1:1">
      <c r="A1319" t="s">
        <v>1217</v>
      </c>
    </row>
    <row r="1320" spans="1:1">
      <c r="A1320" t="s">
        <v>1218</v>
      </c>
    </row>
    <row r="1322" spans="1:1">
      <c r="A1322" t="s">
        <v>275</v>
      </c>
    </row>
    <row r="1323" spans="1:1">
      <c r="A1323" t="s">
        <v>1219</v>
      </c>
    </row>
    <row r="1324" spans="1:1">
      <c r="A1324" t="s">
        <v>1220</v>
      </c>
    </row>
    <row r="1325" spans="1:1">
      <c r="A1325" t="s">
        <v>1221</v>
      </c>
    </row>
    <row r="1326" spans="1:1">
      <c r="A1326" t="s">
        <v>1222</v>
      </c>
    </row>
    <row r="1327" spans="1:1">
      <c r="A1327" t="s">
        <v>1223</v>
      </c>
    </row>
    <row r="1328" spans="1:1">
      <c r="A1328" t="s">
        <v>1224</v>
      </c>
    </row>
    <row r="1329" spans="1:1">
      <c r="A1329" t="s">
        <v>1225</v>
      </c>
    </row>
    <row r="1330" spans="1:1">
      <c r="A1330" t="s">
        <v>1226</v>
      </c>
    </row>
    <row r="1331" spans="1:1">
      <c r="A1331" t="s">
        <v>1227</v>
      </c>
    </row>
    <row r="1332" spans="1:1">
      <c r="A1332" t="s">
        <v>1228</v>
      </c>
    </row>
    <row r="1333" spans="1:1">
      <c r="A1333" t="s">
        <v>1229</v>
      </c>
    </row>
    <row r="1334" spans="1:1">
      <c r="A1334" t="s">
        <v>1230</v>
      </c>
    </row>
    <row r="1335" spans="1:1">
      <c r="A1335" t="s">
        <v>1231</v>
      </c>
    </row>
    <row r="1336" spans="1:1">
      <c r="A1336" t="s">
        <v>1232</v>
      </c>
    </row>
    <row r="1337" spans="1:1">
      <c r="A1337" t="s">
        <v>290</v>
      </c>
    </row>
    <row r="1338" spans="1:1">
      <c r="A1338" t="s">
        <v>1233</v>
      </c>
    </row>
    <row r="1343" spans="1:1">
      <c r="A1343" t="s">
        <v>1234</v>
      </c>
    </row>
    <row r="1344" spans="1:1">
      <c r="A1344" t="s">
        <v>240</v>
      </c>
    </row>
    <row r="1345" spans="1:1">
      <c r="A1345" t="s">
        <v>1235</v>
      </c>
    </row>
    <row r="1346" spans="1:1">
      <c r="A1346" t="s">
        <v>1236</v>
      </c>
    </row>
    <row r="1347" spans="1:1">
      <c r="A1347" t="s">
        <v>243</v>
      </c>
    </row>
    <row r="1348" spans="1:1">
      <c r="A1348" t="s">
        <v>1237</v>
      </c>
    </row>
    <row r="1349" spans="1:1">
      <c r="A1349" t="s">
        <v>245</v>
      </c>
    </row>
    <row r="1351" spans="1:1">
      <c r="A1351" t="s">
        <v>651</v>
      </c>
    </row>
    <row r="1352" spans="1:1">
      <c r="A1352" t="s">
        <v>247</v>
      </c>
    </row>
    <row r="1353" spans="1:1">
      <c r="A1353" t="s">
        <v>1238</v>
      </c>
    </row>
    <row r="1354" spans="1:1">
      <c r="A1354" t="s">
        <v>1239</v>
      </c>
    </row>
    <row r="1355" spans="1:1">
      <c r="A1355" t="s">
        <v>1240</v>
      </c>
    </row>
    <row r="1356" spans="1:1">
      <c r="A1356" t="s">
        <v>1241</v>
      </c>
    </row>
    <row r="1357" spans="1:1">
      <c r="A1357" t="s">
        <v>1242</v>
      </c>
    </row>
    <row r="1358" spans="1:1">
      <c r="A1358" t="s">
        <v>1243</v>
      </c>
    </row>
    <row r="1359" spans="1:1">
      <c r="A1359" t="s">
        <v>1244</v>
      </c>
    </row>
    <row r="1360" spans="1:1">
      <c r="A1360" t="s">
        <v>1245</v>
      </c>
    </row>
    <row r="1361" spans="1:1">
      <c r="A1361" t="s">
        <v>1246</v>
      </c>
    </row>
    <row r="1362" spans="1:1">
      <c r="A1362" t="s">
        <v>1247</v>
      </c>
    </row>
    <row r="1363" spans="1:1">
      <c r="A1363" t="s">
        <v>1248</v>
      </c>
    </row>
    <row r="1364" spans="1:1">
      <c r="A1364" t="s">
        <v>1249</v>
      </c>
    </row>
    <row r="1365" spans="1:1">
      <c r="A1365" t="s">
        <v>1250</v>
      </c>
    </row>
    <row r="1368" spans="1:1">
      <c r="A1368" t="s">
        <v>261</v>
      </c>
    </row>
    <row r="1369" spans="1:1">
      <c r="A1369" t="s">
        <v>1251</v>
      </c>
    </row>
    <row r="1370" spans="1:1">
      <c r="A1370" t="s">
        <v>1252</v>
      </c>
    </row>
    <row r="1371" spans="1:1">
      <c r="A1371" t="s">
        <v>1253</v>
      </c>
    </row>
    <row r="1372" spans="1:1">
      <c r="A1372" t="s">
        <v>1254</v>
      </c>
    </row>
    <row r="1373" spans="1:1">
      <c r="A1373" t="s">
        <v>1255</v>
      </c>
    </row>
    <row r="1374" spans="1:1">
      <c r="A1374" t="s">
        <v>1256</v>
      </c>
    </row>
    <row r="1375" spans="1:1">
      <c r="A1375" t="s">
        <v>1257</v>
      </c>
    </row>
    <row r="1376" spans="1:1">
      <c r="A1376" t="s">
        <v>1258</v>
      </c>
    </row>
    <row r="1377" spans="1:1">
      <c r="A1377" t="s">
        <v>1259</v>
      </c>
    </row>
    <row r="1378" spans="1:1">
      <c r="A1378" t="s">
        <v>1260</v>
      </c>
    </row>
    <row r="1379" spans="1:1">
      <c r="A1379" t="s">
        <v>1261</v>
      </c>
    </row>
    <row r="1380" spans="1:1">
      <c r="A1380" t="s">
        <v>1262</v>
      </c>
    </row>
    <row r="1381" spans="1:1">
      <c r="A1381" t="s">
        <v>1263</v>
      </c>
    </row>
    <row r="1383" spans="1:1">
      <c r="A1383" t="s">
        <v>275</v>
      </c>
    </row>
    <row r="1384" spans="1:1">
      <c r="A1384" t="s">
        <v>1264</v>
      </c>
    </row>
    <row r="1385" spans="1:1">
      <c r="A1385" t="s">
        <v>1265</v>
      </c>
    </row>
    <row r="1386" spans="1:1">
      <c r="A1386" t="s">
        <v>1266</v>
      </c>
    </row>
    <row r="1387" spans="1:1">
      <c r="A1387" t="s">
        <v>1267</v>
      </c>
    </row>
    <row r="1388" spans="1:1">
      <c r="A1388" t="s">
        <v>1268</v>
      </c>
    </row>
    <row r="1389" spans="1:1">
      <c r="A1389" t="s">
        <v>1269</v>
      </c>
    </row>
    <row r="1390" spans="1:1">
      <c r="A1390" t="s">
        <v>1270</v>
      </c>
    </row>
    <row r="1391" spans="1:1">
      <c r="A1391" t="s">
        <v>1271</v>
      </c>
    </row>
    <row r="1392" spans="1:1">
      <c r="A1392" t="s">
        <v>1272</v>
      </c>
    </row>
    <row r="1393" spans="1:1">
      <c r="A1393" t="s">
        <v>1273</v>
      </c>
    </row>
    <row r="1394" spans="1:1">
      <c r="A1394" t="s">
        <v>1274</v>
      </c>
    </row>
    <row r="1395" spans="1:1">
      <c r="A1395" t="s">
        <v>1275</v>
      </c>
    </row>
    <row r="1396" spans="1:1">
      <c r="A1396" t="s">
        <v>1276</v>
      </c>
    </row>
    <row r="1397" spans="1:1">
      <c r="A1397" t="s">
        <v>1277</v>
      </c>
    </row>
    <row r="1398" spans="1:1">
      <c r="A1398" t="s">
        <v>290</v>
      </c>
    </row>
    <row r="1399" spans="1:1">
      <c r="A1399" t="s">
        <v>1278</v>
      </c>
    </row>
    <row r="1404" spans="1:1">
      <c r="A1404" t="s">
        <v>1279</v>
      </c>
    </row>
    <row r="1405" spans="1:1">
      <c r="A1405" t="s">
        <v>240</v>
      </c>
    </row>
    <row r="1406" spans="1:1">
      <c r="A1406" t="s">
        <v>1280</v>
      </c>
    </row>
    <row r="1407" spans="1:1">
      <c r="A1407" t="s">
        <v>1281</v>
      </c>
    </row>
    <row r="1408" spans="1:1">
      <c r="A1408" t="s">
        <v>243</v>
      </c>
    </row>
    <row r="1409" spans="1:1">
      <c r="A1409" t="s">
        <v>1282</v>
      </c>
    </row>
    <row r="1410" spans="1:1">
      <c r="A1410" t="s">
        <v>245</v>
      </c>
    </row>
    <row r="1412" spans="1:1">
      <c r="A1412" t="s">
        <v>1192</v>
      </c>
    </row>
    <row r="1413" spans="1:1">
      <c r="A1413" t="s">
        <v>247</v>
      </c>
    </row>
    <row r="1414" spans="1:1">
      <c r="A1414" t="s">
        <v>1283</v>
      </c>
    </row>
    <row r="1415" spans="1:1">
      <c r="A1415" t="s">
        <v>1284</v>
      </c>
    </row>
    <row r="1416" spans="1:1">
      <c r="A1416" t="s">
        <v>1285</v>
      </c>
    </row>
    <row r="1417" spans="1:1">
      <c r="A1417" t="s">
        <v>1286</v>
      </c>
    </row>
    <row r="1418" spans="1:1">
      <c r="A1418" t="s">
        <v>1287</v>
      </c>
    </row>
    <row r="1419" spans="1:1">
      <c r="A1419" t="s">
        <v>1288</v>
      </c>
    </row>
    <row r="1420" spans="1:1">
      <c r="A1420" t="s">
        <v>1289</v>
      </c>
    </row>
    <row r="1421" spans="1:1">
      <c r="A1421" t="s">
        <v>1290</v>
      </c>
    </row>
    <row r="1422" spans="1:1">
      <c r="A1422" t="s">
        <v>1291</v>
      </c>
    </row>
    <row r="1423" spans="1:1">
      <c r="A1423" t="s">
        <v>1292</v>
      </c>
    </row>
    <row r="1424" spans="1:1">
      <c r="A1424" t="s">
        <v>1293</v>
      </c>
    </row>
    <row r="1425" spans="1:1">
      <c r="A1425" t="s">
        <v>1294</v>
      </c>
    </row>
    <row r="1426" spans="1:1">
      <c r="A1426" t="s">
        <v>1295</v>
      </c>
    </row>
    <row r="1429" spans="1:1">
      <c r="A1429" t="s">
        <v>261</v>
      </c>
    </row>
    <row r="1430" spans="1:1">
      <c r="A1430" t="s">
        <v>1296</v>
      </c>
    </row>
    <row r="1431" spans="1:1">
      <c r="A1431" t="s">
        <v>1297</v>
      </c>
    </row>
    <row r="1432" spans="1:1">
      <c r="A1432" t="s">
        <v>1298</v>
      </c>
    </row>
    <row r="1433" spans="1:1">
      <c r="A1433" t="s">
        <v>1299</v>
      </c>
    </row>
    <row r="1434" spans="1:1">
      <c r="A1434" t="s">
        <v>1300</v>
      </c>
    </row>
    <row r="1435" spans="1:1">
      <c r="A1435" t="s">
        <v>1301</v>
      </c>
    </row>
    <row r="1436" spans="1:1">
      <c r="A1436" t="s">
        <v>1302</v>
      </c>
    </row>
    <row r="1437" spans="1:1">
      <c r="A1437" t="s">
        <v>1303</v>
      </c>
    </row>
    <row r="1438" spans="1:1">
      <c r="A1438" t="s">
        <v>1304</v>
      </c>
    </row>
    <row r="1439" spans="1:1">
      <c r="A1439" t="s">
        <v>1305</v>
      </c>
    </row>
    <row r="1440" spans="1:1">
      <c r="A1440" t="s">
        <v>1306</v>
      </c>
    </row>
    <row r="1441" spans="1:1">
      <c r="A1441" t="s">
        <v>1307</v>
      </c>
    </row>
    <row r="1442" spans="1:1">
      <c r="A1442" t="s">
        <v>1308</v>
      </c>
    </row>
    <row r="1444" spans="1:1">
      <c r="A1444" t="s">
        <v>275</v>
      </c>
    </row>
    <row r="1445" spans="1:1">
      <c r="A1445" t="s">
        <v>1309</v>
      </c>
    </row>
    <row r="1446" spans="1:1">
      <c r="A1446" t="s">
        <v>1310</v>
      </c>
    </row>
    <row r="1447" spans="1:1">
      <c r="A1447" t="s">
        <v>1311</v>
      </c>
    </row>
    <row r="1448" spans="1:1">
      <c r="A1448" t="s">
        <v>1312</v>
      </c>
    </row>
    <row r="1449" spans="1:1">
      <c r="A1449" t="s">
        <v>1313</v>
      </c>
    </row>
    <row r="1450" spans="1:1">
      <c r="A1450" t="s">
        <v>1314</v>
      </c>
    </row>
    <row r="1451" spans="1:1">
      <c r="A1451" t="s">
        <v>1315</v>
      </c>
    </row>
    <row r="1452" spans="1:1">
      <c r="A1452" t="s">
        <v>1316</v>
      </c>
    </row>
    <row r="1453" spans="1:1">
      <c r="A1453" t="s">
        <v>1317</v>
      </c>
    </row>
    <row r="1454" spans="1:1">
      <c r="A1454" t="s">
        <v>1318</v>
      </c>
    </row>
    <row r="1455" spans="1:1">
      <c r="A1455" t="s">
        <v>1319</v>
      </c>
    </row>
    <row r="1456" spans="1:1">
      <c r="A1456" t="s">
        <v>1320</v>
      </c>
    </row>
    <row r="1457" spans="1:1">
      <c r="A1457" t="s">
        <v>1321</v>
      </c>
    </row>
    <row r="1458" spans="1:1">
      <c r="A1458" t="s">
        <v>1322</v>
      </c>
    </row>
    <row r="1459" spans="1:1">
      <c r="A1459" t="s">
        <v>290</v>
      </c>
    </row>
    <row r="1460" spans="1:1">
      <c r="A1460" t="s">
        <v>1323</v>
      </c>
    </row>
    <row r="1465" spans="1:1">
      <c r="A1465" t="s">
        <v>1324</v>
      </c>
    </row>
    <row r="1466" spans="1:1">
      <c r="A1466" t="s">
        <v>240</v>
      </c>
    </row>
    <row r="1467" spans="1:1">
      <c r="A1467" t="s">
        <v>1325</v>
      </c>
    </row>
    <row r="1468" spans="1:1">
      <c r="A1468" t="s">
        <v>1326</v>
      </c>
    </row>
    <row r="1469" spans="1:1">
      <c r="A1469" t="s">
        <v>243</v>
      </c>
    </row>
    <row r="1470" spans="1:1">
      <c r="A1470" t="s">
        <v>1327</v>
      </c>
    </row>
    <row r="1471" spans="1:1">
      <c r="A1471" t="s">
        <v>245</v>
      </c>
    </row>
    <row r="1473" spans="1:1">
      <c r="A1473" t="s">
        <v>1192</v>
      </c>
    </row>
    <row r="1474" spans="1:1">
      <c r="A1474" t="s">
        <v>247</v>
      </c>
    </row>
    <row r="1475" spans="1:1">
      <c r="A1475" t="s">
        <v>1328</v>
      </c>
    </row>
    <row r="1476" spans="1:1">
      <c r="A1476" t="s">
        <v>1329</v>
      </c>
    </row>
    <row r="1477" spans="1:1">
      <c r="A1477" t="s">
        <v>1330</v>
      </c>
    </row>
    <row r="1478" spans="1:1">
      <c r="A1478" t="s">
        <v>1331</v>
      </c>
    </row>
    <row r="1479" spans="1:1">
      <c r="A1479" t="s">
        <v>1332</v>
      </c>
    </row>
    <row r="1480" spans="1:1">
      <c r="A1480" t="s">
        <v>1333</v>
      </c>
    </row>
    <row r="1481" spans="1:1">
      <c r="A1481" t="s">
        <v>1334</v>
      </c>
    </row>
    <row r="1482" spans="1:1">
      <c r="A1482" t="s">
        <v>1335</v>
      </c>
    </row>
    <row r="1483" spans="1:1">
      <c r="A1483" t="s">
        <v>1336</v>
      </c>
    </row>
    <row r="1484" spans="1:1">
      <c r="A1484" t="s">
        <v>1337</v>
      </c>
    </row>
    <row r="1485" spans="1:1">
      <c r="A1485" t="s">
        <v>1338</v>
      </c>
    </row>
    <row r="1486" spans="1:1">
      <c r="A1486" t="s">
        <v>1339</v>
      </c>
    </row>
    <row r="1487" spans="1:1">
      <c r="A1487" t="s">
        <v>1340</v>
      </c>
    </row>
    <row r="1490" spans="1:1">
      <c r="A1490" t="s">
        <v>261</v>
      </c>
    </row>
    <row r="1491" spans="1:1">
      <c r="A1491" t="s">
        <v>1341</v>
      </c>
    </row>
    <row r="1492" spans="1:1">
      <c r="A1492" t="s">
        <v>1342</v>
      </c>
    </row>
    <row r="1493" spans="1:1">
      <c r="A1493" t="s">
        <v>1343</v>
      </c>
    </row>
    <row r="1494" spans="1:1">
      <c r="A1494" t="s">
        <v>1344</v>
      </c>
    </row>
    <row r="1495" spans="1:1">
      <c r="A1495" t="s">
        <v>1345</v>
      </c>
    </row>
    <row r="1496" spans="1:1">
      <c r="A1496" t="s">
        <v>1346</v>
      </c>
    </row>
    <row r="1497" spans="1:1">
      <c r="A1497" t="s">
        <v>1347</v>
      </c>
    </row>
    <row r="1498" spans="1:1">
      <c r="A1498" t="s">
        <v>1348</v>
      </c>
    </row>
    <row r="1499" spans="1:1">
      <c r="A1499" t="s">
        <v>1349</v>
      </c>
    </row>
    <row r="1500" spans="1:1">
      <c r="A1500" t="s">
        <v>1350</v>
      </c>
    </row>
    <row r="1501" spans="1:1">
      <c r="A1501" t="s">
        <v>1351</v>
      </c>
    </row>
    <row r="1502" spans="1:1">
      <c r="A1502" t="s">
        <v>1352</v>
      </c>
    </row>
    <row r="1503" spans="1:1">
      <c r="A1503" t="s">
        <v>1353</v>
      </c>
    </row>
    <row r="1505" spans="1:1">
      <c r="A1505" t="s">
        <v>275</v>
      </c>
    </row>
    <row r="1506" spans="1:1">
      <c r="A1506" t="s">
        <v>1354</v>
      </c>
    </row>
    <row r="1507" spans="1:1">
      <c r="A1507" t="s">
        <v>1355</v>
      </c>
    </row>
    <row r="1508" spans="1:1">
      <c r="A1508" t="s">
        <v>1356</v>
      </c>
    </row>
    <row r="1509" spans="1:1">
      <c r="A1509" t="s">
        <v>1357</v>
      </c>
    </row>
    <row r="1510" spans="1:1">
      <c r="A1510" t="s">
        <v>1358</v>
      </c>
    </row>
    <row r="1511" spans="1:1">
      <c r="A1511" t="s">
        <v>1359</v>
      </c>
    </row>
    <row r="1512" spans="1:1">
      <c r="A1512" t="s">
        <v>1360</v>
      </c>
    </row>
    <row r="1513" spans="1:1">
      <c r="A1513" t="s">
        <v>1361</v>
      </c>
    </row>
    <row r="1514" spans="1:1">
      <c r="A1514" t="s">
        <v>1362</v>
      </c>
    </row>
    <row r="1515" spans="1:1">
      <c r="A1515" t="s">
        <v>1363</v>
      </c>
    </row>
    <row r="1516" spans="1:1">
      <c r="A1516" t="s">
        <v>1364</v>
      </c>
    </row>
    <row r="1517" spans="1:1">
      <c r="A1517" t="s">
        <v>1365</v>
      </c>
    </row>
    <row r="1518" spans="1:1">
      <c r="A1518" t="s">
        <v>1366</v>
      </c>
    </row>
    <row r="1519" spans="1:1">
      <c r="A1519" t="s">
        <v>1367</v>
      </c>
    </row>
    <row r="1520" spans="1:1">
      <c r="A1520" t="s">
        <v>290</v>
      </c>
    </row>
    <row r="1521" spans="1:1">
      <c r="A1521" t="s">
        <v>1368</v>
      </c>
    </row>
    <row r="1526" spans="1:1">
      <c r="A1526" t="s">
        <v>1369</v>
      </c>
    </row>
    <row r="1527" spans="1:1">
      <c r="A1527" t="s">
        <v>240</v>
      </c>
    </row>
    <row r="1528" spans="1:1">
      <c r="A1528" t="s">
        <v>1370</v>
      </c>
    </row>
    <row r="1529" spans="1:1">
      <c r="A1529" t="s">
        <v>1371</v>
      </c>
    </row>
    <row r="1530" spans="1:1">
      <c r="A1530" t="s">
        <v>243</v>
      </c>
    </row>
    <row r="1531" spans="1:1">
      <c r="A1531" t="s">
        <v>1372</v>
      </c>
    </row>
    <row r="1532" spans="1:1">
      <c r="A1532" t="s">
        <v>245</v>
      </c>
    </row>
    <row r="1534" spans="1:1">
      <c r="A1534" t="s">
        <v>1192</v>
      </c>
    </row>
    <row r="1535" spans="1:1">
      <c r="A1535" t="s">
        <v>247</v>
      </c>
    </row>
    <row r="1536" spans="1:1">
      <c r="A1536" t="s">
        <v>1373</v>
      </c>
    </row>
    <row r="1537" spans="1:1">
      <c r="A1537" t="s">
        <v>1374</v>
      </c>
    </row>
    <row r="1538" spans="1:1">
      <c r="A1538" t="s">
        <v>1375</v>
      </c>
    </row>
    <row r="1539" spans="1:1">
      <c r="A1539" t="s">
        <v>1376</v>
      </c>
    </row>
    <row r="1540" spans="1:1">
      <c r="A1540" t="s">
        <v>1377</v>
      </c>
    </row>
    <row r="1541" spans="1:1">
      <c r="A1541" t="s">
        <v>1378</v>
      </c>
    </row>
    <row r="1542" spans="1:1">
      <c r="A1542" t="s">
        <v>1379</v>
      </c>
    </row>
    <row r="1543" spans="1:1">
      <c r="A1543" t="s">
        <v>1380</v>
      </c>
    </row>
    <row r="1544" spans="1:1">
      <c r="A1544" t="s">
        <v>1381</v>
      </c>
    </row>
    <row r="1545" spans="1:1">
      <c r="A1545" t="s">
        <v>1382</v>
      </c>
    </row>
    <row r="1546" spans="1:1">
      <c r="A1546" t="s">
        <v>1383</v>
      </c>
    </row>
    <row r="1547" spans="1:1">
      <c r="A1547" t="s">
        <v>1384</v>
      </c>
    </row>
    <row r="1548" spans="1:1">
      <c r="A1548" t="s">
        <v>1385</v>
      </c>
    </row>
    <row r="1551" spans="1:1">
      <c r="A1551" t="s">
        <v>261</v>
      </c>
    </row>
    <row r="1552" spans="1:1">
      <c r="A1552" t="s">
        <v>1386</v>
      </c>
    </row>
    <row r="1553" spans="1:1">
      <c r="A1553" t="s">
        <v>1387</v>
      </c>
    </row>
    <row r="1554" spans="1:1">
      <c r="A1554" t="s">
        <v>1388</v>
      </c>
    </row>
    <row r="1555" spans="1:1">
      <c r="A1555" t="s">
        <v>1389</v>
      </c>
    </row>
    <row r="1556" spans="1:1">
      <c r="A1556" t="s">
        <v>1390</v>
      </c>
    </row>
    <row r="1557" spans="1:1">
      <c r="A1557" t="s">
        <v>1391</v>
      </c>
    </row>
    <row r="1558" spans="1:1">
      <c r="A1558" t="s">
        <v>1392</v>
      </c>
    </row>
    <row r="1559" spans="1:1">
      <c r="A1559" t="s">
        <v>1393</v>
      </c>
    </row>
    <row r="1560" spans="1:1">
      <c r="A1560" t="s">
        <v>1394</v>
      </c>
    </row>
    <row r="1561" spans="1:1">
      <c r="A1561" t="s">
        <v>1395</v>
      </c>
    </row>
    <row r="1562" spans="1:1">
      <c r="A1562" t="s">
        <v>1396</v>
      </c>
    </row>
    <row r="1563" spans="1:1">
      <c r="A1563" t="s">
        <v>1397</v>
      </c>
    </row>
    <row r="1564" spans="1:1">
      <c r="A1564" t="s">
        <v>1398</v>
      </c>
    </row>
    <row r="1566" spans="1:1">
      <c r="A1566" t="s">
        <v>275</v>
      </c>
    </row>
    <row r="1567" spans="1:1">
      <c r="A1567" t="s">
        <v>1399</v>
      </c>
    </row>
    <row r="1568" spans="1:1">
      <c r="A1568" t="s">
        <v>1400</v>
      </c>
    </row>
    <row r="1569" spans="1:1">
      <c r="A1569" t="s">
        <v>1401</v>
      </c>
    </row>
    <row r="1570" spans="1:1">
      <c r="A1570" t="s">
        <v>1402</v>
      </c>
    </row>
    <row r="1571" spans="1:1">
      <c r="A1571" t="s">
        <v>1403</v>
      </c>
    </row>
    <row r="1572" spans="1:1">
      <c r="A1572" t="s">
        <v>1404</v>
      </c>
    </row>
    <row r="1573" spans="1:1">
      <c r="A1573" t="s">
        <v>1405</v>
      </c>
    </row>
    <row r="1574" spans="1:1">
      <c r="A1574" t="s">
        <v>1406</v>
      </c>
    </row>
    <row r="1575" spans="1:1">
      <c r="A1575" t="s">
        <v>1407</v>
      </c>
    </row>
    <row r="1576" spans="1:1">
      <c r="A1576" t="s">
        <v>1408</v>
      </c>
    </row>
    <row r="1577" spans="1:1">
      <c r="A1577" t="s">
        <v>1409</v>
      </c>
    </row>
    <row r="1578" spans="1:1">
      <c r="A1578" t="s">
        <v>1410</v>
      </c>
    </row>
    <row r="1579" spans="1:1">
      <c r="A1579" t="s">
        <v>1411</v>
      </c>
    </row>
    <row r="1580" spans="1:1">
      <c r="A1580" t="s">
        <v>1412</v>
      </c>
    </row>
    <row r="1581" spans="1:1">
      <c r="A1581" t="s">
        <v>290</v>
      </c>
    </row>
    <row r="1582" spans="1:1">
      <c r="A1582" t="s">
        <v>1413</v>
      </c>
    </row>
    <row r="1587" spans="1:1">
      <c r="A1587" t="s">
        <v>1414</v>
      </c>
    </row>
    <row r="1588" spans="1:1">
      <c r="A1588" t="s">
        <v>240</v>
      </c>
    </row>
    <row r="1589" spans="1:1">
      <c r="A1589" t="s">
        <v>1415</v>
      </c>
    </row>
    <row r="1590" spans="1:1">
      <c r="A1590" t="s">
        <v>1416</v>
      </c>
    </row>
    <row r="1591" spans="1:1">
      <c r="A1591" t="s">
        <v>243</v>
      </c>
    </row>
    <row r="1592" spans="1:1">
      <c r="A1592" t="s">
        <v>1417</v>
      </c>
    </row>
    <row r="1593" spans="1:1">
      <c r="A1593" t="s">
        <v>245</v>
      </c>
    </row>
    <row r="1595" spans="1:1">
      <c r="A1595" t="s">
        <v>1192</v>
      </c>
    </row>
    <row r="1596" spans="1:1">
      <c r="A1596" t="s">
        <v>247</v>
      </c>
    </row>
    <row r="1597" spans="1:1">
      <c r="A1597" t="s">
        <v>1418</v>
      </c>
    </row>
    <row r="1598" spans="1:1">
      <c r="A1598" t="s">
        <v>1419</v>
      </c>
    </row>
    <row r="1599" spans="1:1">
      <c r="A1599" t="s">
        <v>1420</v>
      </c>
    </row>
    <row r="1600" spans="1:1">
      <c r="A1600" t="s">
        <v>1421</v>
      </c>
    </row>
    <row r="1601" spans="1:1">
      <c r="A1601" t="s">
        <v>1422</v>
      </c>
    </row>
    <row r="1602" spans="1:1">
      <c r="A1602" t="s">
        <v>1423</v>
      </c>
    </row>
    <row r="1603" spans="1:1">
      <c r="A1603" t="s">
        <v>1424</v>
      </c>
    </row>
    <row r="1604" spans="1:1">
      <c r="A1604" t="s">
        <v>1425</v>
      </c>
    </row>
    <row r="1605" spans="1:1">
      <c r="A1605" t="s">
        <v>1426</v>
      </c>
    </row>
    <row r="1606" spans="1:1">
      <c r="A1606" t="s">
        <v>1427</v>
      </c>
    </row>
    <row r="1607" spans="1:1">
      <c r="A1607" t="s">
        <v>1428</v>
      </c>
    </row>
    <row r="1608" spans="1:1">
      <c r="A1608" t="s">
        <v>1429</v>
      </c>
    </row>
    <row r="1609" spans="1:1">
      <c r="A1609" t="s">
        <v>1430</v>
      </c>
    </row>
    <row r="1612" spans="1:1">
      <c r="A1612" t="s">
        <v>261</v>
      </c>
    </row>
    <row r="1613" spans="1:1">
      <c r="A1613" t="s">
        <v>1431</v>
      </c>
    </row>
    <row r="1614" spans="1:1">
      <c r="A1614" t="s">
        <v>1432</v>
      </c>
    </row>
    <row r="1615" spans="1:1">
      <c r="A1615" t="s">
        <v>1433</v>
      </c>
    </row>
    <row r="1616" spans="1:1">
      <c r="A1616" t="s">
        <v>1434</v>
      </c>
    </row>
    <row r="1617" spans="1:1">
      <c r="A1617" t="s">
        <v>1435</v>
      </c>
    </row>
    <row r="1618" spans="1:1">
      <c r="A1618" t="s">
        <v>1436</v>
      </c>
    </row>
    <row r="1619" spans="1:1">
      <c r="A1619" t="s">
        <v>1437</v>
      </c>
    </row>
    <row r="1620" spans="1:1">
      <c r="A1620" t="s">
        <v>1438</v>
      </c>
    </row>
    <row r="1621" spans="1:1">
      <c r="A1621" t="s">
        <v>1439</v>
      </c>
    </row>
    <row r="1622" spans="1:1">
      <c r="A1622" t="s">
        <v>1440</v>
      </c>
    </row>
    <row r="1623" spans="1:1">
      <c r="A1623" t="s">
        <v>1441</v>
      </c>
    </row>
    <row r="1624" spans="1:1">
      <c r="A1624" t="s">
        <v>1442</v>
      </c>
    </row>
    <row r="1625" spans="1:1">
      <c r="A1625" t="s">
        <v>1443</v>
      </c>
    </row>
    <row r="1627" spans="1:1">
      <c r="A1627" t="s">
        <v>275</v>
      </c>
    </row>
    <row r="1628" spans="1:1">
      <c r="A1628" t="s">
        <v>1444</v>
      </c>
    </row>
    <row r="1629" spans="1:1">
      <c r="A1629" t="s">
        <v>1445</v>
      </c>
    </row>
    <row r="1630" spans="1:1">
      <c r="A1630" t="s">
        <v>1446</v>
      </c>
    </row>
    <row r="1631" spans="1:1">
      <c r="A1631" t="s">
        <v>1447</v>
      </c>
    </row>
    <row r="1632" spans="1:1">
      <c r="A1632" t="s">
        <v>1448</v>
      </c>
    </row>
    <row r="1633" spans="1:1">
      <c r="A1633" t="s">
        <v>1449</v>
      </c>
    </row>
    <row r="1634" spans="1:1">
      <c r="A1634" t="s">
        <v>1450</v>
      </c>
    </row>
    <row r="1635" spans="1:1">
      <c r="A1635" t="s">
        <v>1451</v>
      </c>
    </row>
    <row r="1636" spans="1:1">
      <c r="A1636" t="s">
        <v>1452</v>
      </c>
    </row>
    <row r="1637" spans="1:1">
      <c r="A1637" t="s">
        <v>1453</v>
      </c>
    </row>
    <row r="1638" spans="1:1">
      <c r="A1638" t="s">
        <v>1454</v>
      </c>
    </row>
    <row r="1639" spans="1:1">
      <c r="A1639" t="s">
        <v>1455</v>
      </c>
    </row>
    <row r="1640" spans="1:1">
      <c r="A1640" t="s">
        <v>1456</v>
      </c>
    </row>
    <row r="1641" spans="1:1">
      <c r="A1641" t="s">
        <v>1457</v>
      </c>
    </row>
    <row r="1642" spans="1:1">
      <c r="A1642" t="s">
        <v>290</v>
      </c>
    </row>
    <row r="1643" spans="1:1">
      <c r="A1643" t="s">
        <v>1458</v>
      </c>
    </row>
    <row r="1648" spans="1:1">
      <c r="A1648" t="s">
        <v>1459</v>
      </c>
    </row>
    <row r="1649" spans="1:1">
      <c r="A1649" t="s">
        <v>240</v>
      </c>
    </row>
    <row r="1650" spans="1:1">
      <c r="A1650" t="s">
        <v>1460</v>
      </c>
    </row>
    <row r="1651" spans="1:1">
      <c r="A1651" t="s">
        <v>1461</v>
      </c>
    </row>
    <row r="1652" spans="1:1">
      <c r="A1652" t="s">
        <v>243</v>
      </c>
    </row>
    <row r="1653" spans="1:1">
      <c r="A1653" t="s">
        <v>1462</v>
      </c>
    </row>
    <row r="1654" spans="1:1">
      <c r="A1654" t="s">
        <v>245</v>
      </c>
    </row>
    <row r="1656" spans="1:1">
      <c r="A1656" t="s">
        <v>1192</v>
      </c>
    </row>
    <row r="1657" spans="1:1">
      <c r="A1657" t="s">
        <v>247</v>
      </c>
    </row>
    <row r="1658" spans="1:1">
      <c r="A1658" t="s">
        <v>1463</v>
      </c>
    </row>
    <row r="1659" spans="1:1">
      <c r="A1659" t="s">
        <v>1464</v>
      </c>
    </row>
    <row r="1660" spans="1:1">
      <c r="A1660" t="s">
        <v>1465</v>
      </c>
    </row>
    <row r="1661" spans="1:1">
      <c r="A1661" t="s">
        <v>1466</v>
      </c>
    </row>
    <row r="1662" spans="1:1">
      <c r="A1662" t="s">
        <v>1467</v>
      </c>
    </row>
    <row r="1663" spans="1:1">
      <c r="A1663" t="s">
        <v>1468</v>
      </c>
    </row>
    <row r="1664" spans="1:1">
      <c r="A1664" t="s">
        <v>1469</v>
      </c>
    </row>
    <row r="1665" spans="1:1">
      <c r="A1665" t="s">
        <v>1470</v>
      </c>
    </row>
    <row r="1666" spans="1:1">
      <c r="A1666" t="s">
        <v>1471</v>
      </c>
    </row>
    <row r="1667" spans="1:1">
      <c r="A1667" t="s">
        <v>1472</v>
      </c>
    </row>
    <row r="1668" spans="1:1">
      <c r="A1668" t="s">
        <v>1473</v>
      </c>
    </row>
    <row r="1669" spans="1:1">
      <c r="A1669" t="s">
        <v>1474</v>
      </c>
    </row>
    <row r="1670" spans="1:1">
      <c r="A1670" t="s">
        <v>1475</v>
      </c>
    </row>
    <row r="1673" spans="1:1">
      <c r="A1673" t="s">
        <v>261</v>
      </c>
    </row>
    <row r="1674" spans="1:1">
      <c r="A1674" t="s">
        <v>1476</v>
      </c>
    </row>
    <row r="1675" spans="1:1">
      <c r="A1675" t="s">
        <v>1477</v>
      </c>
    </row>
    <row r="1676" spans="1:1">
      <c r="A1676" t="s">
        <v>1478</v>
      </c>
    </row>
    <row r="1677" spans="1:1">
      <c r="A1677" t="s">
        <v>1479</v>
      </c>
    </row>
    <row r="1678" spans="1:1">
      <c r="A1678" t="s">
        <v>1480</v>
      </c>
    </row>
    <row r="1679" spans="1:1">
      <c r="A1679" t="s">
        <v>1481</v>
      </c>
    </row>
    <row r="1680" spans="1:1">
      <c r="A1680" t="s">
        <v>1482</v>
      </c>
    </row>
    <row r="1681" spans="1:1">
      <c r="A1681" t="s">
        <v>1483</v>
      </c>
    </row>
    <row r="1682" spans="1:1">
      <c r="A1682" t="s">
        <v>1484</v>
      </c>
    </row>
    <row r="1683" spans="1:1">
      <c r="A1683" t="s">
        <v>1485</v>
      </c>
    </row>
    <row r="1684" spans="1:1">
      <c r="A1684" t="s">
        <v>1486</v>
      </c>
    </row>
    <row r="1685" spans="1:1">
      <c r="A1685" t="s">
        <v>1487</v>
      </c>
    </row>
    <row r="1686" spans="1:1">
      <c r="A1686" t="s">
        <v>1488</v>
      </c>
    </row>
    <row r="1688" spans="1:1">
      <c r="A1688" t="s">
        <v>275</v>
      </c>
    </row>
    <row r="1689" spans="1:1">
      <c r="A1689" t="s">
        <v>1489</v>
      </c>
    </row>
    <row r="1690" spans="1:1">
      <c r="A1690" t="s">
        <v>1490</v>
      </c>
    </row>
    <row r="1691" spans="1:1">
      <c r="A1691" t="s">
        <v>1491</v>
      </c>
    </row>
    <row r="1692" spans="1:1">
      <c r="A1692" t="s">
        <v>1492</v>
      </c>
    </row>
    <row r="1693" spans="1:1">
      <c r="A1693" t="s">
        <v>1493</v>
      </c>
    </row>
    <row r="1694" spans="1:1">
      <c r="A1694" t="s">
        <v>1494</v>
      </c>
    </row>
    <row r="1695" spans="1:1">
      <c r="A1695" t="s">
        <v>1495</v>
      </c>
    </row>
    <row r="1696" spans="1:1">
      <c r="A1696" t="s">
        <v>1496</v>
      </c>
    </row>
    <row r="1697" spans="1:1">
      <c r="A1697" t="s">
        <v>1497</v>
      </c>
    </row>
    <row r="1698" spans="1:1">
      <c r="A1698" t="s">
        <v>1498</v>
      </c>
    </row>
    <row r="1699" spans="1:1">
      <c r="A1699" t="s">
        <v>1499</v>
      </c>
    </row>
    <row r="1700" spans="1:1">
      <c r="A1700" t="s">
        <v>1500</v>
      </c>
    </row>
    <row r="1701" spans="1:1">
      <c r="A1701" t="s">
        <v>1501</v>
      </c>
    </row>
    <row r="1702" spans="1:1">
      <c r="A1702" t="s">
        <v>1502</v>
      </c>
    </row>
    <row r="1703" spans="1:1">
      <c r="A1703" t="s">
        <v>290</v>
      </c>
    </row>
    <row r="1704" spans="1:1">
      <c r="A1704" t="s">
        <v>1503</v>
      </c>
    </row>
    <row r="1709" spans="1:1">
      <c r="A1709" t="s">
        <v>1504</v>
      </c>
    </row>
    <row r="1710" spans="1:1">
      <c r="A1710" t="s">
        <v>240</v>
      </c>
    </row>
    <row r="1711" spans="1:1">
      <c r="A1711" t="s">
        <v>1505</v>
      </c>
    </row>
    <row r="1712" spans="1:1">
      <c r="A1712" t="s">
        <v>1506</v>
      </c>
    </row>
    <row r="1713" spans="1:1">
      <c r="A1713" t="s">
        <v>243</v>
      </c>
    </row>
    <row r="1714" spans="1:1">
      <c r="A1714" t="s">
        <v>1507</v>
      </c>
    </row>
    <row r="1715" spans="1:1">
      <c r="A1715" t="s">
        <v>245</v>
      </c>
    </row>
    <row r="1717" spans="1:1">
      <c r="A1717" t="s">
        <v>1192</v>
      </c>
    </row>
    <row r="1718" spans="1:1">
      <c r="A1718" t="s">
        <v>247</v>
      </c>
    </row>
    <row r="1719" spans="1:1">
      <c r="A1719" t="s">
        <v>1508</v>
      </c>
    </row>
    <row r="1720" spans="1:1">
      <c r="A1720" t="s">
        <v>1509</v>
      </c>
    </row>
    <row r="1721" spans="1:1">
      <c r="A1721" t="s">
        <v>1510</v>
      </c>
    </row>
    <row r="1722" spans="1:1">
      <c r="A1722" t="s">
        <v>1511</v>
      </c>
    </row>
    <row r="1723" spans="1:1">
      <c r="A1723" t="s">
        <v>1512</v>
      </c>
    </row>
    <row r="1724" spans="1:1">
      <c r="A1724" t="s">
        <v>1513</v>
      </c>
    </row>
    <row r="1725" spans="1:1">
      <c r="A1725" t="s">
        <v>1514</v>
      </c>
    </row>
    <row r="1726" spans="1:1">
      <c r="A1726" t="s">
        <v>1515</v>
      </c>
    </row>
    <row r="1727" spans="1:1">
      <c r="A1727" t="s">
        <v>1516</v>
      </c>
    </row>
    <row r="1728" spans="1:1">
      <c r="A1728" t="s">
        <v>1517</v>
      </c>
    </row>
    <row r="1729" spans="1:1">
      <c r="A1729" t="s">
        <v>1518</v>
      </c>
    </row>
    <row r="1730" spans="1:1">
      <c r="A1730" t="s">
        <v>1519</v>
      </c>
    </row>
    <row r="1731" spans="1:1">
      <c r="A1731" t="s">
        <v>1520</v>
      </c>
    </row>
    <row r="1734" spans="1:1">
      <c r="A1734" t="s">
        <v>261</v>
      </c>
    </row>
    <row r="1735" spans="1:1">
      <c r="A1735" t="s">
        <v>1521</v>
      </c>
    </row>
    <row r="1736" spans="1:1">
      <c r="A1736" t="s">
        <v>1522</v>
      </c>
    </row>
    <row r="1737" spans="1:1">
      <c r="A1737" t="s">
        <v>1523</v>
      </c>
    </row>
    <row r="1738" spans="1:1">
      <c r="A1738" t="s">
        <v>1524</v>
      </c>
    </row>
    <row r="1739" spans="1:1">
      <c r="A1739" t="s">
        <v>1525</v>
      </c>
    </row>
    <row r="1740" spans="1:1">
      <c r="A1740" t="s">
        <v>1526</v>
      </c>
    </row>
    <row r="1741" spans="1:1">
      <c r="A1741" t="s">
        <v>1527</v>
      </c>
    </row>
    <row r="1742" spans="1:1">
      <c r="A1742" t="s">
        <v>1528</v>
      </c>
    </row>
    <row r="1743" spans="1:1">
      <c r="A1743" t="s">
        <v>1529</v>
      </c>
    </row>
    <row r="1744" spans="1:1">
      <c r="A1744" t="s">
        <v>1530</v>
      </c>
    </row>
    <row r="1745" spans="1:1">
      <c r="A1745" t="s">
        <v>1531</v>
      </c>
    </row>
    <row r="1746" spans="1:1">
      <c r="A1746" t="s">
        <v>1532</v>
      </c>
    </row>
    <row r="1747" spans="1:1">
      <c r="A1747" t="s">
        <v>1533</v>
      </c>
    </row>
    <row r="1749" spans="1:1">
      <c r="A1749" t="s">
        <v>275</v>
      </c>
    </row>
    <row r="1750" spans="1:1">
      <c r="A1750" t="s">
        <v>1534</v>
      </c>
    </row>
    <row r="1751" spans="1:1">
      <c r="A1751" t="s">
        <v>1535</v>
      </c>
    </row>
    <row r="1752" spans="1:1">
      <c r="A1752" t="s">
        <v>1536</v>
      </c>
    </row>
    <row r="1753" spans="1:1">
      <c r="A1753" t="s">
        <v>1537</v>
      </c>
    </row>
    <row r="1754" spans="1:1">
      <c r="A1754" t="s">
        <v>1538</v>
      </c>
    </row>
    <row r="1755" spans="1:1">
      <c r="A1755" t="s">
        <v>1539</v>
      </c>
    </row>
    <row r="1756" spans="1:1">
      <c r="A1756" t="s">
        <v>1540</v>
      </c>
    </row>
    <row r="1757" spans="1:1">
      <c r="A1757" t="s">
        <v>1541</v>
      </c>
    </row>
    <row r="1758" spans="1:1">
      <c r="A1758" t="s">
        <v>1542</v>
      </c>
    </row>
    <row r="1759" spans="1:1">
      <c r="A1759" t="s">
        <v>1543</v>
      </c>
    </row>
    <row r="1760" spans="1:1">
      <c r="A1760" t="s">
        <v>1544</v>
      </c>
    </row>
    <row r="1761" spans="1:1">
      <c r="A1761" t="s">
        <v>1545</v>
      </c>
    </row>
    <row r="1762" spans="1:1">
      <c r="A1762" t="s">
        <v>1546</v>
      </c>
    </row>
    <row r="1763" spans="1:1">
      <c r="A1763" t="s">
        <v>1547</v>
      </c>
    </row>
    <row r="1764" spans="1:1">
      <c r="A1764" t="s">
        <v>290</v>
      </c>
    </row>
    <row r="1765" spans="1:1">
      <c r="A1765" t="s">
        <v>1548</v>
      </c>
    </row>
    <row r="1770" spans="1:1">
      <c r="A1770" t="s">
        <v>1549</v>
      </c>
    </row>
    <row r="1771" spans="1:1">
      <c r="A1771" t="s">
        <v>240</v>
      </c>
    </row>
    <row r="1772" spans="1:1">
      <c r="A1772" t="s">
        <v>1550</v>
      </c>
    </row>
    <row r="1773" spans="1:1">
      <c r="A1773" t="s">
        <v>1551</v>
      </c>
    </row>
    <row r="1774" spans="1:1">
      <c r="A1774" t="s">
        <v>243</v>
      </c>
    </row>
    <row r="1775" spans="1:1">
      <c r="A1775" t="s">
        <v>1552</v>
      </c>
    </row>
    <row r="1776" spans="1:1">
      <c r="A1776" t="s">
        <v>245</v>
      </c>
    </row>
    <row r="1778" spans="1:1">
      <c r="A1778" t="s">
        <v>1553</v>
      </c>
    </row>
    <row r="1779" spans="1:1">
      <c r="A1779" t="s">
        <v>247</v>
      </c>
    </row>
    <row r="1780" spans="1:1">
      <c r="A1780" t="s">
        <v>1554</v>
      </c>
    </row>
    <row r="1781" spans="1:1">
      <c r="A1781" t="s">
        <v>1555</v>
      </c>
    </row>
    <row r="1782" spans="1:1">
      <c r="A1782" t="s">
        <v>1556</v>
      </c>
    </row>
    <row r="1783" spans="1:1">
      <c r="A1783" t="s">
        <v>1557</v>
      </c>
    </row>
    <row r="1784" spans="1:1">
      <c r="A1784" t="s">
        <v>1558</v>
      </c>
    </row>
    <row r="1785" spans="1:1">
      <c r="A1785" t="s">
        <v>1559</v>
      </c>
    </row>
    <row r="1786" spans="1:1">
      <c r="A1786" t="s">
        <v>1560</v>
      </c>
    </row>
    <row r="1787" spans="1:1">
      <c r="A1787" t="s">
        <v>1561</v>
      </c>
    </row>
    <row r="1788" spans="1:1">
      <c r="A1788" t="s">
        <v>1562</v>
      </c>
    </row>
    <row r="1789" spans="1:1">
      <c r="A1789" t="s">
        <v>1563</v>
      </c>
    </row>
    <row r="1790" spans="1:1">
      <c r="A1790" t="s">
        <v>1564</v>
      </c>
    </row>
    <row r="1791" spans="1:1">
      <c r="A1791" t="s">
        <v>1565</v>
      </c>
    </row>
    <row r="1792" spans="1:1">
      <c r="A1792" t="s">
        <v>1566</v>
      </c>
    </row>
    <row r="1795" spans="1:1">
      <c r="A1795" t="s">
        <v>261</v>
      </c>
    </row>
    <row r="1796" spans="1:1">
      <c r="A1796" t="s">
        <v>1567</v>
      </c>
    </row>
    <row r="1797" spans="1:1">
      <c r="A1797" t="s">
        <v>1568</v>
      </c>
    </row>
    <row r="1798" spans="1:1">
      <c r="A1798" t="s">
        <v>1478</v>
      </c>
    </row>
    <row r="1799" spans="1:1">
      <c r="A1799" t="s">
        <v>1569</v>
      </c>
    </row>
    <row r="1800" spans="1:1">
      <c r="A1800" t="s">
        <v>1570</v>
      </c>
    </row>
    <row r="1801" spans="1:1">
      <c r="A1801" t="s">
        <v>1571</v>
      </c>
    </row>
    <row r="1802" spans="1:1">
      <c r="A1802" t="s">
        <v>1572</v>
      </c>
    </row>
    <row r="1803" spans="1:1">
      <c r="A1803" t="s">
        <v>1573</v>
      </c>
    </row>
    <row r="1804" spans="1:1">
      <c r="A1804" t="s">
        <v>1574</v>
      </c>
    </row>
    <row r="1805" spans="1:1">
      <c r="A1805" t="s">
        <v>1575</v>
      </c>
    </row>
    <row r="1806" spans="1:1">
      <c r="A1806" t="s">
        <v>1576</v>
      </c>
    </row>
    <row r="1807" spans="1:1">
      <c r="A1807" t="s">
        <v>1577</v>
      </c>
    </row>
    <row r="1808" spans="1:1">
      <c r="A1808" t="s">
        <v>1578</v>
      </c>
    </row>
    <row r="1810" spans="1:1">
      <c r="A1810" t="s">
        <v>275</v>
      </c>
    </row>
    <row r="1811" spans="1:1">
      <c r="A1811" t="s">
        <v>1579</v>
      </c>
    </row>
    <row r="1812" spans="1:1">
      <c r="A1812" t="s">
        <v>1580</v>
      </c>
    </row>
    <row r="1813" spans="1:1">
      <c r="A1813" t="s">
        <v>1581</v>
      </c>
    </row>
    <row r="1814" spans="1:1">
      <c r="A1814" t="s">
        <v>1582</v>
      </c>
    </row>
    <row r="1815" spans="1:1">
      <c r="A1815" t="s">
        <v>1583</v>
      </c>
    </row>
    <row r="1816" spans="1:1">
      <c r="A1816" t="s">
        <v>1584</v>
      </c>
    </row>
    <row r="1817" spans="1:1">
      <c r="A1817" t="s">
        <v>1585</v>
      </c>
    </row>
    <row r="1818" spans="1:1">
      <c r="A1818" t="s">
        <v>1586</v>
      </c>
    </row>
    <row r="1819" spans="1:1">
      <c r="A1819" t="s">
        <v>1587</v>
      </c>
    </row>
    <row r="1820" spans="1:1">
      <c r="A1820" t="s">
        <v>1588</v>
      </c>
    </row>
    <row r="1821" spans="1:1">
      <c r="A1821" t="s">
        <v>1589</v>
      </c>
    </row>
    <row r="1822" spans="1:1">
      <c r="A1822" t="s">
        <v>1590</v>
      </c>
    </row>
    <row r="1823" spans="1:1">
      <c r="A1823" t="s">
        <v>1591</v>
      </c>
    </row>
    <row r="1824" spans="1:1">
      <c r="A1824" t="s">
        <v>1592</v>
      </c>
    </row>
    <row r="1825" spans="1:1">
      <c r="A1825" t="s">
        <v>290</v>
      </c>
    </row>
    <row r="1826" spans="1:1">
      <c r="A1826" t="s">
        <v>1593</v>
      </c>
    </row>
    <row r="1831" spans="1:1">
      <c r="A1831" t="s">
        <v>1594</v>
      </c>
    </row>
    <row r="1832" spans="1:1">
      <c r="A1832" t="s">
        <v>240</v>
      </c>
    </row>
    <row r="1833" spans="1:1">
      <c r="A1833" t="s">
        <v>1595</v>
      </c>
    </row>
    <row r="1834" spans="1:1">
      <c r="A1834" t="s">
        <v>1596</v>
      </c>
    </row>
    <row r="1835" spans="1:1">
      <c r="A1835" t="s">
        <v>243</v>
      </c>
    </row>
    <row r="1836" spans="1:1">
      <c r="A1836" t="s">
        <v>1597</v>
      </c>
    </row>
    <row r="1837" spans="1:1">
      <c r="A1837" t="s">
        <v>245</v>
      </c>
    </row>
    <row r="1839" spans="1:1">
      <c r="A1839" t="s">
        <v>1553</v>
      </c>
    </row>
    <row r="1840" spans="1:1">
      <c r="A1840" t="s">
        <v>247</v>
      </c>
    </row>
    <row r="1841" spans="1:1">
      <c r="A1841" t="s">
        <v>1598</v>
      </c>
    </row>
    <row r="1842" spans="1:1">
      <c r="A1842" t="s">
        <v>1599</v>
      </c>
    </row>
    <row r="1843" spans="1:1">
      <c r="A1843" t="s">
        <v>1600</v>
      </c>
    </row>
    <row r="1844" spans="1:1">
      <c r="A1844" t="s">
        <v>1601</v>
      </c>
    </row>
    <row r="1845" spans="1:1">
      <c r="A1845" t="s">
        <v>1602</v>
      </c>
    </row>
    <row r="1846" spans="1:1">
      <c r="A1846" t="s">
        <v>1603</v>
      </c>
    </row>
    <row r="1847" spans="1:1">
      <c r="A1847" t="s">
        <v>1604</v>
      </c>
    </row>
    <row r="1848" spans="1:1">
      <c r="A1848" t="s">
        <v>1605</v>
      </c>
    </row>
    <row r="1849" spans="1:1">
      <c r="A1849" t="s">
        <v>1606</v>
      </c>
    </row>
    <row r="1850" spans="1:1">
      <c r="A1850" t="s">
        <v>1607</v>
      </c>
    </row>
    <row r="1851" spans="1:1">
      <c r="A1851" t="s">
        <v>1608</v>
      </c>
    </row>
    <row r="1852" spans="1:1">
      <c r="A1852" t="s">
        <v>1609</v>
      </c>
    </row>
    <row r="1853" spans="1:1">
      <c r="A1853" t="s">
        <v>1610</v>
      </c>
    </row>
    <row r="1856" spans="1:1">
      <c r="A1856" t="s">
        <v>261</v>
      </c>
    </row>
    <row r="1857" spans="1:1">
      <c r="A1857" t="s">
        <v>1611</v>
      </c>
    </row>
    <row r="1858" spans="1:1">
      <c r="A1858" t="s">
        <v>1612</v>
      </c>
    </row>
    <row r="1859" spans="1:1">
      <c r="A1859" t="s">
        <v>1613</v>
      </c>
    </row>
    <row r="1860" spans="1:1">
      <c r="A1860" t="s">
        <v>1614</v>
      </c>
    </row>
    <row r="1861" spans="1:1">
      <c r="A1861" t="s">
        <v>1615</v>
      </c>
    </row>
    <row r="1862" spans="1:1">
      <c r="A1862" t="s">
        <v>1616</v>
      </c>
    </row>
    <row r="1863" spans="1:1">
      <c r="A1863" t="s">
        <v>1617</v>
      </c>
    </row>
    <row r="1864" spans="1:1">
      <c r="A1864" t="s">
        <v>1618</v>
      </c>
    </row>
    <row r="1865" spans="1:1">
      <c r="A1865" t="s">
        <v>1619</v>
      </c>
    </row>
    <row r="1866" spans="1:1">
      <c r="A1866" t="s">
        <v>1620</v>
      </c>
    </row>
    <row r="1867" spans="1:1">
      <c r="A1867" t="s">
        <v>1621</v>
      </c>
    </row>
    <row r="1868" spans="1:1">
      <c r="A1868" t="s">
        <v>1622</v>
      </c>
    </row>
    <row r="1869" spans="1:1">
      <c r="A1869" t="s">
        <v>1623</v>
      </c>
    </row>
    <row r="1871" spans="1:1">
      <c r="A1871" t="s">
        <v>275</v>
      </c>
    </row>
    <row r="1872" spans="1:1">
      <c r="A1872" t="s">
        <v>1624</v>
      </c>
    </row>
    <row r="1873" spans="1:1">
      <c r="A1873" t="s">
        <v>1625</v>
      </c>
    </row>
    <row r="1874" spans="1:1">
      <c r="A1874" t="s">
        <v>1626</v>
      </c>
    </row>
    <row r="1875" spans="1:1">
      <c r="A1875" t="s">
        <v>1627</v>
      </c>
    </row>
    <row r="1876" spans="1:1">
      <c r="A1876" t="s">
        <v>1628</v>
      </c>
    </row>
    <row r="1877" spans="1:1">
      <c r="A1877" t="s">
        <v>1629</v>
      </c>
    </row>
    <row r="1878" spans="1:1">
      <c r="A1878" t="s">
        <v>1630</v>
      </c>
    </row>
    <row r="1879" spans="1:1">
      <c r="A1879" t="s">
        <v>1631</v>
      </c>
    </row>
    <row r="1880" spans="1:1">
      <c r="A1880" t="s">
        <v>1632</v>
      </c>
    </row>
    <row r="1881" spans="1:1">
      <c r="A1881" t="s">
        <v>1633</v>
      </c>
    </row>
    <row r="1882" spans="1:1">
      <c r="A1882" t="s">
        <v>1634</v>
      </c>
    </row>
    <row r="1883" spans="1:1">
      <c r="A1883" t="s">
        <v>1635</v>
      </c>
    </row>
    <row r="1884" spans="1:1">
      <c r="A1884" t="s">
        <v>1636</v>
      </c>
    </row>
    <row r="1885" spans="1:1">
      <c r="A1885" t="s">
        <v>1637</v>
      </c>
    </row>
    <row r="1886" spans="1:1">
      <c r="A1886" t="s">
        <v>290</v>
      </c>
    </row>
    <row r="1887" spans="1:1">
      <c r="A1887" t="s">
        <v>1638</v>
      </c>
    </row>
    <row r="1892" spans="1:1">
      <c r="A1892" t="s">
        <v>1639</v>
      </c>
    </row>
    <row r="1893" spans="1:1">
      <c r="A1893" t="s">
        <v>240</v>
      </c>
    </row>
    <row r="1894" spans="1:1">
      <c r="A1894" t="s">
        <v>1640</v>
      </c>
    </row>
    <row r="1895" spans="1:1">
      <c r="A1895" t="s">
        <v>1641</v>
      </c>
    </row>
    <row r="1896" spans="1:1">
      <c r="A1896" t="s">
        <v>243</v>
      </c>
    </row>
    <row r="1897" spans="1:1">
      <c r="A1897" t="s">
        <v>1642</v>
      </c>
    </row>
    <row r="1898" spans="1:1">
      <c r="A1898" t="s">
        <v>245</v>
      </c>
    </row>
    <row r="1900" spans="1:1">
      <c r="A1900" t="s">
        <v>1553</v>
      </c>
    </row>
    <row r="1901" spans="1:1">
      <c r="A1901" t="s">
        <v>247</v>
      </c>
    </row>
    <row r="1902" spans="1:1">
      <c r="A1902" t="s">
        <v>1643</v>
      </c>
    </row>
    <row r="1903" spans="1:1">
      <c r="A1903" t="s">
        <v>1644</v>
      </c>
    </row>
    <row r="1904" spans="1:1">
      <c r="A1904" t="s">
        <v>1645</v>
      </c>
    </row>
    <row r="1905" spans="1:1">
      <c r="A1905" t="s">
        <v>1646</v>
      </c>
    </row>
    <row r="1906" spans="1:1">
      <c r="A1906" t="s">
        <v>1647</v>
      </c>
    </row>
    <row r="1907" spans="1:1">
      <c r="A1907" t="s">
        <v>1648</v>
      </c>
    </row>
    <row r="1908" spans="1:1">
      <c r="A1908" t="s">
        <v>1649</v>
      </c>
    </row>
    <row r="1909" spans="1:1">
      <c r="A1909" t="s">
        <v>1650</v>
      </c>
    </row>
    <row r="1910" spans="1:1">
      <c r="A1910" t="s">
        <v>1651</v>
      </c>
    </row>
    <row r="1911" spans="1:1">
      <c r="A1911" t="s">
        <v>1652</v>
      </c>
    </row>
    <row r="1912" spans="1:1">
      <c r="A1912" t="s">
        <v>1653</v>
      </c>
    </row>
    <row r="1913" spans="1:1">
      <c r="A1913" t="s">
        <v>1654</v>
      </c>
    </row>
    <row r="1914" spans="1:1">
      <c r="A1914" t="s">
        <v>1655</v>
      </c>
    </row>
    <row r="1917" spans="1:1">
      <c r="A1917" t="s">
        <v>261</v>
      </c>
    </row>
    <row r="1918" spans="1:1">
      <c r="A1918" t="s">
        <v>1656</v>
      </c>
    </row>
    <row r="1919" spans="1:1">
      <c r="A1919" t="s">
        <v>1657</v>
      </c>
    </row>
    <row r="1920" spans="1:1">
      <c r="A1920" t="s">
        <v>1658</v>
      </c>
    </row>
    <row r="1921" spans="1:1">
      <c r="A1921" t="s">
        <v>1659</v>
      </c>
    </row>
    <row r="1922" spans="1:1">
      <c r="A1922" t="s">
        <v>1660</v>
      </c>
    </row>
    <row r="1923" spans="1:1">
      <c r="A1923" t="s">
        <v>1661</v>
      </c>
    </row>
    <row r="1924" spans="1:1">
      <c r="A1924" t="s">
        <v>1662</v>
      </c>
    </row>
    <row r="1925" spans="1:1">
      <c r="A1925" t="s">
        <v>1663</v>
      </c>
    </row>
    <row r="1926" spans="1:1">
      <c r="A1926" t="s">
        <v>1664</v>
      </c>
    </row>
    <row r="1927" spans="1:1">
      <c r="A1927" t="s">
        <v>1665</v>
      </c>
    </row>
    <row r="1928" spans="1:1">
      <c r="A1928" t="s">
        <v>1666</v>
      </c>
    </row>
    <row r="1929" spans="1:1">
      <c r="A1929" t="s">
        <v>1667</v>
      </c>
    </row>
    <row r="1930" spans="1:1">
      <c r="A1930" t="s">
        <v>1668</v>
      </c>
    </row>
    <row r="1932" spans="1:1">
      <c r="A1932" t="s">
        <v>275</v>
      </c>
    </row>
    <row r="1933" spans="1:1">
      <c r="A1933" t="s">
        <v>1669</v>
      </c>
    </row>
    <row r="1934" spans="1:1">
      <c r="A1934" t="s">
        <v>1670</v>
      </c>
    </row>
    <row r="1935" spans="1:1">
      <c r="A1935" t="s">
        <v>1671</v>
      </c>
    </row>
    <row r="1936" spans="1:1">
      <c r="A1936" t="s">
        <v>1672</v>
      </c>
    </row>
    <row r="1937" spans="1:1">
      <c r="A1937" t="s">
        <v>1673</v>
      </c>
    </row>
    <row r="1938" spans="1:1">
      <c r="A1938" t="s">
        <v>1674</v>
      </c>
    </row>
    <row r="1939" spans="1:1">
      <c r="A1939" t="s">
        <v>1675</v>
      </c>
    </row>
    <row r="1940" spans="1:1">
      <c r="A1940" t="s">
        <v>1676</v>
      </c>
    </row>
    <row r="1941" spans="1:1">
      <c r="A1941" t="s">
        <v>1677</v>
      </c>
    </row>
    <row r="1942" spans="1:1">
      <c r="A1942" t="s">
        <v>1678</v>
      </c>
    </row>
    <row r="1943" spans="1:1">
      <c r="A1943" t="s">
        <v>1679</v>
      </c>
    </row>
    <row r="1944" spans="1:1">
      <c r="A1944" t="s">
        <v>1680</v>
      </c>
    </row>
    <row r="1945" spans="1:1">
      <c r="A1945" t="s">
        <v>1681</v>
      </c>
    </row>
    <row r="1946" spans="1:1">
      <c r="A1946" t="s">
        <v>1682</v>
      </c>
    </row>
    <row r="1947" spans="1:1">
      <c r="A1947" t="s">
        <v>290</v>
      </c>
    </row>
    <row r="1948" spans="1:1">
      <c r="A1948" t="s">
        <v>1683</v>
      </c>
    </row>
    <row r="1953" spans="1:1">
      <c r="A1953" t="s">
        <v>1684</v>
      </c>
    </row>
    <row r="1954" spans="1:1">
      <c r="A1954" t="s">
        <v>240</v>
      </c>
    </row>
    <row r="1955" spans="1:1">
      <c r="A1955" t="s">
        <v>1685</v>
      </c>
    </row>
    <row r="1956" spans="1:1">
      <c r="A1956" t="s">
        <v>1686</v>
      </c>
    </row>
    <row r="1957" spans="1:1">
      <c r="A1957" t="s">
        <v>243</v>
      </c>
    </row>
    <row r="1958" spans="1:1">
      <c r="A1958" t="s">
        <v>1687</v>
      </c>
    </row>
    <row r="1959" spans="1:1">
      <c r="A1959" t="s">
        <v>245</v>
      </c>
    </row>
    <row r="1961" spans="1:1">
      <c r="A1961" t="s">
        <v>1192</v>
      </c>
    </row>
    <row r="1962" spans="1:1">
      <c r="A1962" t="s">
        <v>247</v>
      </c>
    </row>
    <row r="1963" spans="1:1">
      <c r="A1963" t="s">
        <v>1688</v>
      </c>
    </row>
    <row r="1964" spans="1:1">
      <c r="A1964" t="s">
        <v>1689</v>
      </c>
    </row>
    <row r="1965" spans="1:1">
      <c r="A1965" t="s">
        <v>1690</v>
      </c>
    </row>
    <row r="1966" spans="1:1">
      <c r="A1966" t="s">
        <v>1691</v>
      </c>
    </row>
    <row r="1967" spans="1:1">
      <c r="A1967" t="s">
        <v>1692</v>
      </c>
    </row>
    <row r="1968" spans="1:1">
      <c r="A1968" t="s">
        <v>1693</v>
      </c>
    </row>
    <row r="1969" spans="1:1">
      <c r="A1969" t="s">
        <v>1694</v>
      </c>
    </row>
    <row r="1970" spans="1:1">
      <c r="A1970" t="s">
        <v>1695</v>
      </c>
    </row>
    <row r="1971" spans="1:1">
      <c r="A1971" t="s">
        <v>1696</v>
      </c>
    </row>
    <row r="1972" spans="1:1">
      <c r="A1972" t="s">
        <v>1697</v>
      </c>
    </row>
    <row r="1973" spans="1:1">
      <c r="A1973" t="s">
        <v>1698</v>
      </c>
    </row>
    <row r="1974" spans="1:1">
      <c r="A1974" t="s">
        <v>1699</v>
      </c>
    </row>
    <row r="1975" spans="1:1">
      <c r="A1975" t="s">
        <v>1700</v>
      </c>
    </row>
    <row r="1978" spans="1:1">
      <c r="A1978" t="s">
        <v>261</v>
      </c>
    </row>
    <row r="1979" spans="1:1">
      <c r="A1979" t="s">
        <v>1701</v>
      </c>
    </row>
    <row r="1980" spans="1:1">
      <c r="A1980" t="s">
        <v>1702</v>
      </c>
    </row>
    <row r="1981" spans="1:1">
      <c r="A1981" t="s">
        <v>1703</v>
      </c>
    </row>
    <row r="1982" spans="1:1">
      <c r="A1982" t="s">
        <v>1704</v>
      </c>
    </row>
    <row r="1983" spans="1:1">
      <c r="A1983" t="s">
        <v>1705</v>
      </c>
    </row>
    <row r="1984" spans="1:1">
      <c r="A1984" t="s">
        <v>1706</v>
      </c>
    </row>
    <row r="1985" spans="1:1">
      <c r="A1985" t="s">
        <v>1707</v>
      </c>
    </row>
    <row r="1986" spans="1:1">
      <c r="A1986" t="s">
        <v>1708</v>
      </c>
    </row>
    <row r="1987" spans="1:1">
      <c r="A1987" t="s">
        <v>1709</v>
      </c>
    </row>
    <row r="1988" spans="1:1">
      <c r="A1988" t="s">
        <v>1710</v>
      </c>
    </row>
    <row r="1989" spans="1:1">
      <c r="A1989" t="s">
        <v>1711</v>
      </c>
    </row>
    <row r="1990" spans="1:1">
      <c r="A1990" t="s">
        <v>1712</v>
      </c>
    </row>
    <row r="1991" spans="1:1">
      <c r="A1991" t="s">
        <v>1713</v>
      </c>
    </row>
    <row r="1993" spans="1:1">
      <c r="A1993" t="s">
        <v>275</v>
      </c>
    </row>
    <row r="1994" spans="1:1">
      <c r="A1994" t="s">
        <v>1714</v>
      </c>
    </row>
    <row r="1995" spans="1:1">
      <c r="A1995" t="s">
        <v>1715</v>
      </c>
    </row>
    <row r="1996" spans="1:1">
      <c r="A1996" t="s">
        <v>1716</v>
      </c>
    </row>
    <row r="1997" spans="1:1">
      <c r="A1997" t="s">
        <v>1717</v>
      </c>
    </row>
    <row r="1998" spans="1:1">
      <c r="A1998" t="s">
        <v>1718</v>
      </c>
    </row>
    <row r="1999" spans="1:1">
      <c r="A1999" t="s">
        <v>1719</v>
      </c>
    </row>
    <row r="2000" spans="1:1">
      <c r="A2000" t="s">
        <v>1720</v>
      </c>
    </row>
    <row r="2001" spans="1:1">
      <c r="A2001" t="s">
        <v>1721</v>
      </c>
    </row>
    <row r="2002" spans="1:1">
      <c r="A2002" t="s">
        <v>1722</v>
      </c>
    </row>
    <row r="2003" spans="1:1">
      <c r="A2003" t="s">
        <v>1723</v>
      </c>
    </row>
    <row r="2004" spans="1:1">
      <c r="A2004" t="s">
        <v>1724</v>
      </c>
    </row>
    <row r="2005" spans="1:1">
      <c r="A2005" t="s">
        <v>1725</v>
      </c>
    </row>
    <row r="2006" spans="1:1">
      <c r="A2006" t="s">
        <v>1726</v>
      </c>
    </row>
    <row r="2007" spans="1:1">
      <c r="A2007" t="s">
        <v>1727</v>
      </c>
    </row>
    <row r="2008" spans="1:1">
      <c r="A2008" t="s">
        <v>290</v>
      </c>
    </row>
    <row r="2009" spans="1:1">
      <c r="A2009" t="s">
        <v>1728</v>
      </c>
    </row>
    <row r="2014" spans="1:1">
      <c r="A2014" t="s">
        <v>1729</v>
      </c>
    </row>
    <row r="2015" spans="1:1">
      <c r="A2015" t="s">
        <v>240</v>
      </c>
    </row>
    <row r="2016" spans="1:1">
      <c r="A2016" t="s">
        <v>1730</v>
      </c>
    </row>
    <row r="2017" spans="1:1">
      <c r="A2017" t="s">
        <v>1731</v>
      </c>
    </row>
    <row r="2018" spans="1:1">
      <c r="A2018" t="s">
        <v>243</v>
      </c>
    </row>
    <row r="2019" spans="1:1">
      <c r="A2019" t="s">
        <v>1732</v>
      </c>
    </row>
    <row r="2020" spans="1:1">
      <c r="A2020" t="s">
        <v>245</v>
      </c>
    </row>
    <row r="2022" spans="1:1">
      <c r="A2022" t="s">
        <v>1553</v>
      </c>
    </row>
    <row r="2023" spans="1:1">
      <c r="A2023" t="s">
        <v>247</v>
      </c>
    </row>
    <row r="2024" spans="1:1">
      <c r="A2024" t="s">
        <v>1733</v>
      </c>
    </row>
    <row r="2025" spans="1:1">
      <c r="A2025" t="s">
        <v>1734</v>
      </c>
    </row>
    <row r="2026" spans="1:1">
      <c r="A2026" t="s">
        <v>1735</v>
      </c>
    </row>
    <row r="2027" spans="1:1">
      <c r="A2027" t="s">
        <v>1736</v>
      </c>
    </row>
    <row r="2028" spans="1:1">
      <c r="A2028" t="s">
        <v>1737</v>
      </c>
    </row>
    <row r="2029" spans="1:1">
      <c r="A2029" t="s">
        <v>1738</v>
      </c>
    </row>
    <row r="2030" spans="1:1">
      <c r="A2030" t="s">
        <v>1739</v>
      </c>
    </row>
    <row r="2031" spans="1:1">
      <c r="A2031" t="s">
        <v>1740</v>
      </c>
    </row>
    <row r="2032" spans="1:1">
      <c r="A2032" t="s">
        <v>1741</v>
      </c>
    </row>
    <row r="2033" spans="1:1">
      <c r="A2033" t="s">
        <v>1742</v>
      </c>
    </row>
    <row r="2034" spans="1:1">
      <c r="A2034" t="s">
        <v>1743</v>
      </c>
    </row>
    <row r="2035" spans="1:1">
      <c r="A2035" t="s">
        <v>1744</v>
      </c>
    </row>
    <row r="2036" spans="1:1">
      <c r="A2036" t="s">
        <v>1745</v>
      </c>
    </row>
    <row r="2039" spans="1:1">
      <c r="A2039" t="s">
        <v>261</v>
      </c>
    </row>
    <row r="2040" spans="1:1">
      <c r="A2040" t="s">
        <v>1746</v>
      </c>
    </row>
    <row r="2041" spans="1:1">
      <c r="A2041" t="s">
        <v>1747</v>
      </c>
    </row>
    <row r="2042" spans="1:1">
      <c r="A2042" t="s">
        <v>1748</v>
      </c>
    </row>
    <row r="2043" spans="1:1">
      <c r="A2043" t="s">
        <v>1749</v>
      </c>
    </row>
    <row r="2044" spans="1:1">
      <c r="A2044" t="s">
        <v>1750</v>
      </c>
    </row>
    <row r="2045" spans="1:1">
      <c r="A2045" t="s">
        <v>1751</v>
      </c>
    </row>
    <row r="2046" spans="1:1">
      <c r="A2046" t="s">
        <v>1752</v>
      </c>
    </row>
    <row r="2047" spans="1:1">
      <c r="A2047" t="s">
        <v>1753</v>
      </c>
    </row>
    <row r="2048" spans="1:1">
      <c r="A2048" t="s">
        <v>1754</v>
      </c>
    </row>
    <row r="2049" spans="1:1">
      <c r="A2049" t="s">
        <v>1755</v>
      </c>
    </row>
    <row r="2050" spans="1:1">
      <c r="A2050" t="s">
        <v>1756</v>
      </c>
    </row>
    <row r="2051" spans="1:1">
      <c r="A2051" t="s">
        <v>1757</v>
      </c>
    </row>
    <row r="2052" spans="1:1">
      <c r="A2052" t="s">
        <v>1758</v>
      </c>
    </row>
    <row r="2054" spans="1:1">
      <c r="A2054" t="s">
        <v>275</v>
      </c>
    </row>
    <row r="2055" spans="1:1">
      <c r="A2055" t="s">
        <v>1759</v>
      </c>
    </row>
    <row r="2056" spans="1:1">
      <c r="A2056" t="s">
        <v>1760</v>
      </c>
    </row>
    <row r="2057" spans="1:1">
      <c r="A2057" t="s">
        <v>1761</v>
      </c>
    </row>
    <row r="2058" spans="1:1">
      <c r="A2058" t="s">
        <v>1762</v>
      </c>
    </row>
    <row r="2059" spans="1:1">
      <c r="A2059" t="s">
        <v>1763</v>
      </c>
    </row>
    <row r="2060" spans="1:1">
      <c r="A2060" t="s">
        <v>1764</v>
      </c>
    </row>
    <row r="2061" spans="1:1">
      <c r="A2061" t="s">
        <v>1765</v>
      </c>
    </row>
    <row r="2062" spans="1:1">
      <c r="A2062" t="s">
        <v>1766</v>
      </c>
    </row>
    <row r="2063" spans="1:1">
      <c r="A2063" t="s">
        <v>1767</v>
      </c>
    </row>
    <row r="2064" spans="1:1">
      <c r="A2064" t="s">
        <v>1768</v>
      </c>
    </row>
    <row r="2065" spans="1:1">
      <c r="A2065" t="s">
        <v>1769</v>
      </c>
    </row>
    <row r="2066" spans="1:1">
      <c r="A2066" t="s">
        <v>1770</v>
      </c>
    </row>
    <row r="2067" spans="1:1">
      <c r="A2067" t="s">
        <v>1771</v>
      </c>
    </row>
    <row r="2068" spans="1:1">
      <c r="A2068" t="s">
        <v>1772</v>
      </c>
    </row>
    <row r="2069" spans="1:1">
      <c r="A2069" t="s">
        <v>290</v>
      </c>
    </row>
    <row r="2070" spans="1:1">
      <c r="A2070" t="s">
        <v>1773</v>
      </c>
    </row>
    <row r="2075" spans="1:1">
      <c r="A2075" t="s">
        <v>1774</v>
      </c>
    </row>
    <row r="2076" spans="1:1">
      <c r="A2076" t="s">
        <v>240</v>
      </c>
    </row>
    <row r="2077" spans="1:1">
      <c r="A2077" t="s">
        <v>1775</v>
      </c>
    </row>
    <row r="2078" spans="1:1">
      <c r="A2078" t="s">
        <v>1776</v>
      </c>
    </row>
    <row r="2079" spans="1:1">
      <c r="A2079" t="s">
        <v>243</v>
      </c>
    </row>
    <row r="2080" spans="1:1">
      <c r="A2080" t="s">
        <v>1777</v>
      </c>
    </row>
    <row r="2081" spans="1:1">
      <c r="A2081" t="s">
        <v>245</v>
      </c>
    </row>
    <row r="2083" spans="1:1">
      <c r="A2083" t="s">
        <v>1553</v>
      </c>
    </row>
    <row r="2084" spans="1:1">
      <c r="A2084" t="s">
        <v>247</v>
      </c>
    </row>
    <row r="2085" spans="1:1">
      <c r="A2085" t="s">
        <v>1778</v>
      </c>
    </row>
    <row r="2086" spans="1:1">
      <c r="A2086" t="s">
        <v>1779</v>
      </c>
    </row>
    <row r="2087" spans="1:1">
      <c r="A2087" t="s">
        <v>1780</v>
      </c>
    </row>
    <row r="2088" spans="1:1">
      <c r="A2088" t="s">
        <v>1781</v>
      </c>
    </row>
    <row r="2089" spans="1:1">
      <c r="A2089" t="s">
        <v>1782</v>
      </c>
    </row>
    <row r="2090" spans="1:1">
      <c r="A2090" t="s">
        <v>1783</v>
      </c>
    </row>
    <row r="2091" spans="1:1">
      <c r="A2091" t="s">
        <v>1784</v>
      </c>
    </row>
    <row r="2092" spans="1:1">
      <c r="A2092" t="s">
        <v>1785</v>
      </c>
    </row>
    <row r="2093" spans="1:1">
      <c r="A2093" t="s">
        <v>1786</v>
      </c>
    </row>
    <row r="2094" spans="1:1">
      <c r="A2094" t="s">
        <v>1787</v>
      </c>
    </row>
    <row r="2095" spans="1:1">
      <c r="A2095" t="s">
        <v>1788</v>
      </c>
    </row>
    <row r="2096" spans="1:1">
      <c r="A2096" t="s">
        <v>1789</v>
      </c>
    </row>
    <row r="2097" spans="1:1">
      <c r="A2097" t="s">
        <v>1790</v>
      </c>
    </row>
    <row r="2100" spans="1:1">
      <c r="A2100" t="s">
        <v>261</v>
      </c>
    </row>
    <row r="2101" spans="1:1">
      <c r="A2101" t="s">
        <v>1791</v>
      </c>
    </row>
    <row r="2102" spans="1:1">
      <c r="A2102" t="s">
        <v>1792</v>
      </c>
    </row>
    <row r="2103" spans="1:1">
      <c r="A2103" t="s">
        <v>1793</v>
      </c>
    </row>
    <row r="2104" spans="1:1">
      <c r="A2104" t="s">
        <v>1794</v>
      </c>
    </row>
    <row r="2105" spans="1:1">
      <c r="A2105" t="s">
        <v>1795</v>
      </c>
    </row>
    <row r="2106" spans="1:1">
      <c r="A2106" t="s">
        <v>1796</v>
      </c>
    </row>
    <row r="2107" spans="1:1">
      <c r="A2107" t="s">
        <v>1797</v>
      </c>
    </row>
    <row r="2108" spans="1:1">
      <c r="A2108" t="s">
        <v>1798</v>
      </c>
    </row>
    <row r="2109" spans="1:1">
      <c r="A2109" t="s">
        <v>1799</v>
      </c>
    </row>
    <row r="2110" spans="1:1">
      <c r="A2110" t="s">
        <v>1800</v>
      </c>
    </row>
    <row r="2111" spans="1:1">
      <c r="A2111" t="s">
        <v>1801</v>
      </c>
    </row>
    <row r="2112" spans="1:1">
      <c r="A2112" t="s">
        <v>1802</v>
      </c>
    </row>
    <row r="2113" spans="1:1">
      <c r="A2113" t="s">
        <v>1803</v>
      </c>
    </row>
    <row r="2115" spans="1:1">
      <c r="A2115" t="s">
        <v>275</v>
      </c>
    </row>
    <row r="2116" spans="1:1">
      <c r="A2116" t="s">
        <v>1804</v>
      </c>
    </row>
    <row r="2117" spans="1:1">
      <c r="A2117" t="s">
        <v>1805</v>
      </c>
    </row>
    <row r="2118" spans="1:1">
      <c r="A2118" t="s">
        <v>1806</v>
      </c>
    </row>
    <row r="2119" spans="1:1">
      <c r="A2119" t="s">
        <v>1807</v>
      </c>
    </row>
    <row r="2120" spans="1:1">
      <c r="A2120" t="s">
        <v>1808</v>
      </c>
    </row>
    <row r="2121" spans="1:1">
      <c r="A2121" t="s">
        <v>1809</v>
      </c>
    </row>
    <row r="2122" spans="1:1">
      <c r="A2122" t="s">
        <v>1810</v>
      </c>
    </row>
    <row r="2123" spans="1:1">
      <c r="A2123" t="s">
        <v>1811</v>
      </c>
    </row>
    <row r="2124" spans="1:1">
      <c r="A2124" t="s">
        <v>1812</v>
      </c>
    </row>
    <row r="2125" spans="1:1">
      <c r="A2125" t="s">
        <v>1813</v>
      </c>
    </row>
    <row r="2126" spans="1:1">
      <c r="A2126" t="s">
        <v>1814</v>
      </c>
    </row>
    <row r="2127" spans="1:1">
      <c r="A2127" t="s">
        <v>1815</v>
      </c>
    </row>
    <row r="2128" spans="1:1">
      <c r="A2128" t="s">
        <v>1816</v>
      </c>
    </row>
    <row r="2129" spans="1:1">
      <c r="A2129" t="s">
        <v>1817</v>
      </c>
    </row>
    <row r="2130" spans="1:1">
      <c r="A2130" t="s">
        <v>290</v>
      </c>
    </row>
    <row r="2131" spans="1:1">
      <c r="A2131" t="s">
        <v>1818</v>
      </c>
    </row>
    <row r="2136" spans="1:1">
      <c r="A2136" t="s">
        <v>1819</v>
      </c>
    </row>
    <row r="2137" spans="1:1">
      <c r="A2137" t="s">
        <v>240</v>
      </c>
    </row>
    <row r="2138" spans="1:1">
      <c r="A2138" t="s">
        <v>1820</v>
      </c>
    </row>
    <row r="2139" spans="1:1">
      <c r="A2139" t="s">
        <v>1821</v>
      </c>
    </row>
    <row r="2140" spans="1:1">
      <c r="A2140" t="s">
        <v>243</v>
      </c>
    </row>
    <row r="2141" spans="1:1">
      <c r="A2141" t="s">
        <v>1822</v>
      </c>
    </row>
    <row r="2142" spans="1:1">
      <c r="A2142" t="s">
        <v>245</v>
      </c>
    </row>
    <row r="2144" spans="1:1">
      <c r="A2144" t="s">
        <v>1553</v>
      </c>
    </row>
    <row r="2145" spans="1:1">
      <c r="A2145" t="s">
        <v>247</v>
      </c>
    </row>
    <row r="2146" spans="1:1">
      <c r="A2146" t="s">
        <v>1823</v>
      </c>
    </row>
    <row r="2147" spans="1:1">
      <c r="A2147" t="s">
        <v>1824</v>
      </c>
    </row>
    <row r="2148" spans="1:1">
      <c r="A2148" t="s">
        <v>1825</v>
      </c>
    </row>
    <row r="2149" spans="1:1">
      <c r="A2149" t="s">
        <v>1826</v>
      </c>
    </row>
    <row r="2150" spans="1:1">
      <c r="A2150" t="s">
        <v>1827</v>
      </c>
    </row>
    <row r="2151" spans="1:1">
      <c r="A2151" t="s">
        <v>1828</v>
      </c>
    </row>
    <row r="2152" spans="1:1">
      <c r="A2152" t="s">
        <v>1829</v>
      </c>
    </row>
    <row r="2153" spans="1:1">
      <c r="A2153" t="s">
        <v>1830</v>
      </c>
    </row>
    <row r="2154" spans="1:1">
      <c r="A2154" t="s">
        <v>1831</v>
      </c>
    </row>
    <row r="2155" spans="1:1">
      <c r="A2155" t="s">
        <v>1832</v>
      </c>
    </row>
    <row r="2156" spans="1:1">
      <c r="A2156" t="s">
        <v>1833</v>
      </c>
    </row>
    <row r="2157" spans="1:1">
      <c r="A2157" t="s">
        <v>1834</v>
      </c>
    </row>
    <row r="2158" spans="1:1">
      <c r="A2158" t="s">
        <v>1835</v>
      </c>
    </row>
    <row r="2161" spans="1:1">
      <c r="A2161" t="s">
        <v>261</v>
      </c>
    </row>
    <row r="2162" spans="1:1">
      <c r="A2162" t="s">
        <v>1836</v>
      </c>
    </row>
    <row r="2163" spans="1:1">
      <c r="A2163" t="s">
        <v>1837</v>
      </c>
    </row>
    <row r="2164" spans="1:1">
      <c r="A2164" t="s">
        <v>1838</v>
      </c>
    </row>
    <row r="2165" spans="1:1">
      <c r="A2165" t="s">
        <v>1839</v>
      </c>
    </row>
    <row r="2166" spans="1:1">
      <c r="A2166" t="s">
        <v>1840</v>
      </c>
    </row>
    <row r="2167" spans="1:1">
      <c r="A2167" t="s">
        <v>1841</v>
      </c>
    </row>
    <row r="2168" spans="1:1">
      <c r="A2168" t="s">
        <v>1842</v>
      </c>
    </row>
    <row r="2169" spans="1:1">
      <c r="A2169" t="s">
        <v>1843</v>
      </c>
    </row>
    <row r="2170" spans="1:1">
      <c r="A2170" t="s">
        <v>1844</v>
      </c>
    </row>
    <row r="2171" spans="1:1">
      <c r="A2171" t="s">
        <v>1845</v>
      </c>
    </row>
    <row r="2172" spans="1:1">
      <c r="A2172" t="s">
        <v>1846</v>
      </c>
    </row>
    <row r="2173" spans="1:1">
      <c r="A2173" t="s">
        <v>1847</v>
      </c>
    </row>
    <row r="2174" spans="1:1">
      <c r="A2174" t="s">
        <v>1848</v>
      </c>
    </row>
    <row r="2176" spans="1:1">
      <c r="A2176" t="s">
        <v>275</v>
      </c>
    </row>
    <row r="2177" spans="1:1">
      <c r="A2177" t="s">
        <v>1849</v>
      </c>
    </row>
    <row r="2178" spans="1:1">
      <c r="A2178" t="s">
        <v>1850</v>
      </c>
    </row>
    <row r="2179" spans="1:1">
      <c r="A2179" t="s">
        <v>1851</v>
      </c>
    </row>
    <row r="2180" spans="1:1">
      <c r="A2180" t="s">
        <v>1852</v>
      </c>
    </row>
    <row r="2181" spans="1:1">
      <c r="A2181" t="s">
        <v>1853</v>
      </c>
    </row>
    <row r="2182" spans="1:1">
      <c r="A2182" t="s">
        <v>1854</v>
      </c>
    </row>
    <row r="2183" spans="1:1">
      <c r="A2183" t="s">
        <v>1855</v>
      </c>
    </row>
    <row r="2184" spans="1:1">
      <c r="A2184" t="s">
        <v>1856</v>
      </c>
    </row>
    <row r="2185" spans="1:1">
      <c r="A2185" t="s">
        <v>1857</v>
      </c>
    </row>
    <row r="2186" spans="1:1">
      <c r="A2186" t="s">
        <v>1858</v>
      </c>
    </row>
    <row r="2187" spans="1:1">
      <c r="A2187" t="s">
        <v>1859</v>
      </c>
    </row>
    <row r="2188" spans="1:1">
      <c r="A2188" t="s">
        <v>1860</v>
      </c>
    </row>
    <row r="2189" spans="1:1">
      <c r="A2189" t="s">
        <v>1861</v>
      </c>
    </row>
    <row r="2190" spans="1:1">
      <c r="A2190" t="s">
        <v>1862</v>
      </c>
    </row>
    <row r="2191" spans="1:1">
      <c r="A2191" t="s">
        <v>290</v>
      </c>
    </row>
    <row r="2192" spans="1:1">
      <c r="A2192" t="s">
        <v>1863</v>
      </c>
    </row>
    <row r="2197" spans="1:1">
      <c r="A2197" t="s">
        <v>1864</v>
      </c>
    </row>
    <row r="2198" spans="1:1">
      <c r="A2198" t="s">
        <v>240</v>
      </c>
    </row>
    <row r="2199" spans="1:1">
      <c r="A2199" t="s">
        <v>1865</v>
      </c>
    </row>
    <row r="2200" spans="1:1">
      <c r="A2200" t="s">
        <v>1866</v>
      </c>
    </row>
    <row r="2201" spans="1:1">
      <c r="A2201" t="s">
        <v>243</v>
      </c>
    </row>
    <row r="2202" spans="1:1">
      <c r="A2202" t="s">
        <v>1867</v>
      </c>
    </row>
    <row r="2203" spans="1:1">
      <c r="A2203" t="s">
        <v>245</v>
      </c>
    </row>
    <row r="2205" spans="1:1">
      <c r="A2205" t="s">
        <v>1553</v>
      </c>
    </row>
    <row r="2206" spans="1:1">
      <c r="A2206" t="s">
        <v>247</v>
      </c>
    </row>
    <row r="2207" spans="1:1">
      <c r="A2207" t="s">
        <v>1868</v>
      </c>
    </row>
    <row r="2208" spans="1:1">
      <c r="A2208" t="s">
        <v>1869</v>
      </c>
    </row>
    <row r="2209" spans="1:1">
      <c r="A2209" t="s">
        <v>1870</v>
      </c>
    </row>
    <row r="2210" spans="1:1">
      <c r="A2210" t="s">
        <v>1871</v>
      </c>
    </row>
    <row r="2211" spans="1:1">
      <c r="A2211" t="s">
        <v>1872</v>
      </c>
    </row>
    <row r="2212" spans="1:1">
      <c r="A2212" t="s">
        <v>1873</v>
      </c>
    </row>
    <row r="2213" spans="1:1">
      <c r="A2213" t="s">
        <v>1874</v>
      </c>
    </row>
    <row r="2214" spans="1:1">
      <c r="A2214" t="s">
        <v>1875</v>
      </c>
    </row>
    <row r="2215" spans="1:1">
      <c r="A2215" t="s">
        <v>1876</v>
      </c>
    </row>
    <row r="2216" spans="1:1">
      <c r="A2216" t="s">
        <v>1877</v>
      </c>
    </row>
    <row r="2217" spans="1:1">
      <c r="A2217" t="s">
        <v>1878</v>
      </c>
    </row>
    <row r="2218" spans="1:1">
      <c r="A2218" t="s">
        <v>1879</v>
      </c>
    </row>
    <row r="2219" spans="1:1">
      <c r="A2219" t="s">
        <v>1880</v>
      </c>
    </row>
    <row r="2222" spans="1:1">
      <c r="A2222" t="s">
        <v>261</v>
      </c>
    </row>
    <row r="2223" spans="1:1">
      <c r="A2223" t="s">
        <v>1881</v>
      </c>
    </row>
    <row r="2224" spans="1:1">
      <c r="A2224" t="s">
        <v>1882</v>
      </c>
    </row>
    <row r="2225" spans="1:1">
      <c r="A2225" t="s">
        <v>1883</v>
      </c>
    </row>
    <row r="2226" spans="1:1">
      <c r="A2226" t="s">
        <v>1884</v>
      </c>
    </row>
    <row r="2227" spans="1:1">
      <c r="A2227" t="s">
        <v>1885</v>
      </c>
    </row>
    <row r="2228" spans="1:1">
      <c r="A2228" t="s">
        <v>1886</v>
      </c>
    </row>
    <row r="2229" spans="1:1">
      <c r="A2229" t="s">
        <v>1887</v>
      </c>
    </row>
    <row r="2230" spans="1:1">
      <c r="A2230" t="s">
        <v>1888</v>
      </c>
    </row>
    <row r="2231" spans="1:1">
      <c r="A2231" t="s">
        <v>1889</v>
      </c>
    </row>
    <row r="2232" spans="1:1">
      <c r="A2232" t="s">
        <v>1890</v>
      </c>
    </row>
    <row r="2233" spans="1:1">
      <c r="A2233" t="s">
        <v>1891</v>
      </c>
    </row>
    <row r="2234" spans="1:1">
      <c r="A2234" t="s">
        <v>1892</v>
      </c>
    </row>
    <row r="2235" spans="1:1">
      <c r="A2235" t="s">
        <v>1893</v>
      </c>
    </row>
    <row r="2237" spans="1:1">
      <c r="A2237" t="s">
        <v>275</v>
      </c>
    </row>
    <row r="2238" spans="1:1">
      <c r="A2238" t="s">
        <v>1894</v>
      </c>
    </row>
    <row r="2239" spans="1:1">
      <c r="A2239" t="s">
        <v>1895</v>
      </c>
    </row>
    <row r="2240" spans="1:1">
      <c r="A2240" t="s">
        <v>1896</v>
      </c>
    </row>
    <row r="2241" spans="1:1">
      <c r="A2241" t="s">
        <v>1897</v>
      </c>
    </row>
    <row r="2242" spans="1:1">
      <c r="A2242" t="s">
        <v>1898</v>
      </c>
    </row>
    <row r="2243" spans="1:1">
      <c r="A2243" t="s">
        <v>1899</v>
      </c>
    </row>
    <row r="2244" spans="1:1">
      <c r="A2244" t="s">
        <v>1900</v>
      </c>
    </row>
    <row r="2245" spans="1:1">
      <c r="A2245" t="s">
        <v>1901</v>
      </c>
    </row>
    <row r="2246" spans="1:1">
      <c r="A2246" t="s">
        <v>1902</v>
      </c>
    </row>
    <row r="2247" spans="1:1">
      <c r="A2247" t="s">
        <v>1903</v>
      </c>
    </row>
    <row r="2248" spans="1:1">
      <c r="A2248" t="s">
        <v>1904</v>
      </c>
    </row>
    <row r="2249" spans="1:1">
      <c r="A2249" t="s">
        <v>1905</v>
      </c>
    </row>
    <row r="2250" spans="1:1">
      <c r="A2250" t="s">
        <v>1906</v>
      </c>
    </row>
    <row r="2251" spans="1:1">
      <c r="A2251" t="s">
        <v>1907</v>
      </c>
    </row>
    <row r="2252" spans="1:1">
      <c r="A2252" t="s">
        <v>290</v>
      </c>
    </row>
    <row r="2253" spans="1:1">
      <c r="A2253" t="s">
        <v>1908</v>
      </c>
    </row>
    <row r="2258" spans="1:1">
      <c r="A2258" t="s">
        <v>1909</v>
      </c>
    </row>
    <row r="2259" spans="1:1">
      <c r="A2259" t="s">
        <v>240</v>
      </c>
    </row>
    <row r="2260" spans="1:1">
      <c r="A2260" t="s">
        <v>1910</v>
      </c>
    </row>
    <row r="2261" spans="1:1">
      <c r="A2261" t="s">
        <v>1911</v>
      </c>
    </row>
    <row r="2262" spans="1:1">
      <c r="A2262" t="s">
        <v>243</v>
      </c>
    </row>
    <row r="2263" spans="1:1">
      <c r="A2263" t="s">
        <v>1912</v>
      </c>
    </row>
    <row r="2264" spans="1:1">
      <c r="A2264" t="s">
        <v>245</v>
      </c>
    </row>
    <row r="2266" spans="1:1">
      <c r="A2266" t="s">
        <v>1553</v>
      </c>
    </row>
    <row r="2267" spans="1:1">
      <c r="A2267" t="s">
        <v>247</v>
      </c>
    </row>
    <row r="2268" spans="1:1">
      <c r="A2268" t="s">
        <v>1913</v>
      </c>
    </row>
    <row r="2269" spans="1:1">
      <c r="A2269" t="s">
        <v>1914</v>
      </c>
    </row>
    <row r="2270" spans="1:1">
      <c r="A2270" t="s">
        <v>1915</v>
      </c>
    </row>
    <row r="2271" spans="1:1">
      <c r="A2271" t="s">
        <v>1916</v>
      </c>
    </row>
    <row r="2272" spans="1:1">
      <c r="A2272" t="s">
        <v>1917</v>
      </c>
    </row>
    <row r="2273" spans="1:1">
      <c r="A2273" t="s">
        <v>1918</v>
      </c>
    </row>
    <row r="2274" spans="1:1">
      <c r="A2274" t="s">
        <v>1919</v>
      </c>
    </row>
    <row r="2275" spans="1:1">
      <c r="A2275" t="s">
        <v>1920</v>
      </c>
    </row>
    <row r="2276" spans="1:1">
      <c r="A2276" t="s">
        <v>1921</v>
      </c>
    </row>
    <row r="2277" spans="1:1">
      <c r="A2277" t="s">
        <v>1922</v>
      </c>
    </row>
    <row r="2278" spans="1:1">
      <c r="A2278" t="s">
        <v>1923</v>
      </c>
    </row>
    <row r="2279" spans="1:1">
      <c r="A2279" t="s">
        <v>1924</v>
      </c>
    </row>
    <row r="2280" spans="1:1">
      <c r="A2280" t="s">
        <v>1925</v>
      </c>
    </row>
    <row r="2283" spans="1:1">
      <c r="A2283" t="s">
        <v>261</v>
      </c>
    </row>
    <row r="2284" spans="1:1">
      <c r="A2284" t="s">
        <v>1926</v>
      </c>
    </row>
    <row r="2285" spans="1:1">
      <c r="A2285" t="s">
        <v>1927</v>
      </c>
    </row>
    <row r="2286" spans="1:1">
      <c r="A2286" t="s">
        <v>1928</v>
      </c>
    </row>
    <row r="2287" spans="1:1">
      <c r="A2287" t="s">
        <v>1929</v>
      </c>
    </row>
    <row r="2288" spans="1:1">
      <c r="A2288" t="s">
        <v>1930</v>
      </c>
    </row>
    <row r="2289" spans="1:1">
      <c r="A2289" t="s">
        <v>1931</v>
      </c>
    </row>
    <row r="2290" spans="1:1">
      <c r="A2290" t="s">
        <v>1932</v>
      </c>
    </row>
    <row r="2291" spans="1:1">
      <c r="A2291" t="s">
        <v>1933</v>
      </c>
    </row>
    <row r="2292" spans="1:1">
      <c r="A2292" t="s">
        <v>1934</v>
      </c>
    </row>
    <row r="2293" spans="1:1">
      <c r="A2293" t="s">
        <v>1935</v>
      </c>
    </row>
    <row r="2294" spans="1:1">
      <c r="A2294" t="s">
        <v>1936</v>
      </c>
    </row>
    <row r="2295" spans="1:1">
      <c r="A2295" t="s">
        <v>1937</v>
      </c>
    </row>
    <row r="2296" spans="1:1">
      <c r="A2296" t="s">
        <v>1938</v>
      </c>
    </row>
    <row r="2298" spans="1:1">
      <c r="A2298" t="s">
        <v>275</v>
      </c>
    </row>
    <row r="2299" spans="1:1">
      <c r="A2299" t="s">
        <v>1939</v>
      </c>
    </row>
    <row r="2300" spans="1:1">
      <c r="A2300" t="s">
        <v>1940</v>
      </c>
    </row>
    <row r="2301" spans="1:1">
      <c r="A2301" t="s">
        <v>1941</v>
      </c>
    </row>
    <row r="2302" spans="1:1">
      <c r="A2302" t="s">
        <v>1942</v>
      </c>
    </row>
    <row r="2303" spans="1:1">
      <c r="A2303" t="s">
        <v>1943</v>
      </c>
    </row>
    <row r="2304" spans="1:1">
      <c r="A2304" t="s">
        <v>1944</v>
      </c>
    </row>
    <row r="2305" spans="1:1">
      <c r="A2305" t="s">
        <v>1945</v>
      </c>
    </row>
    <row r="2306" spans="1:1">
      <c r="A2306" t="s">
        <v>1946</v>
      </c>
    </row>
    <row r="2307" spans="1:1">
      <c r="A2307" t="s">
        <v>1947</v>
      </c>
    </row>
    <row r="2308" spans="1:1">
      <c r="A2308" t="s">
        <v>1948</v>
      </c>
    </row>
    <row r="2309" spans="1:1">
      <c r="A2309" t="s">
        <v>1949</v>
      </c>
    </row>
    <row r="2310" spans="1:1">
      <c r="A2310" t="s">
        <v>1950</v>
      </c>
    </row>
    <row r="2311" spans="1:1">
      <c r="A2311" t="s">
        <v>1951</v>
      </c>
    </row>
    <row r="2312" spans="1:1">
      <c r="A2312" t="s">
        <v>1952</v>
      </c>
    </row>
    <row r="2313" spans="1:1">
      <c r="A2313" t="s">
        <v>290</v>
      </c>
    </row>
    <row r="2314" spans="1:1">
      <c r="A2314" t="s">
        <v>1953</v>
      </c>
    </row>
    <row r="2319" spans="1:1">
      <c r="A2319" t="s">
        <v>1954</v>
      </c>
    </row>
    <row r="2320" spans="1:1">
      <c r="A2320" t="s">
        <v>240</v>
      </c>
    </row>
    <row r="2321" spans="1:1">
      <c r="A2321" t="s">
        <v>1955</v>
      </c>
    </row>
    <row r="2322" spans="1:1">
      <c r="A2322" t="s">
        <v>1956</v>
      </c>
    </row>
    <row r="2323" spans="1:1">
      <c r="A2323" t="s">
        <v>243</v>
      </c>
    </row>
    <row r="2324" spans="1:1">
      <c r="A2324" t="s">
        <v>1957</v>
      </c>
    </row>
    <row r="2325" spans="1:1">
      <c r="A2325" t="s">
        <v>245</v>
      </c>
    </row>
    <row r="2327" spans="1:1">
      <c r="A2327" t="s">
        <v>1553</v>
      </c>
    </row>
    <row r="2328" spans="1:1">
      <c r="A2328" t="s">
        <v>247</v>
      </c>
    </row>
    <row r="2329" spans="1:1">
      <c r="A2329" t="s">
        <v>1958</v>
      </c>
    </row>
    <row r="2330" spans="1:1">
      <c r="A2330" t="s">
        <v>1959</v>
      </c>
    </row>
    <row r="2331" spans="1:1">
      <c r="A2331" t="s">
        <v>1960</v>
      </c>
    </row>
    <row r="2332" spans="1:1">
      <c r="A2332" t="s">
        <v>1961</v>
      </c>
    </row>
    <row r="2333" spans="1:1">
      <c r="A2333" t="s">
        <v>1962</v>
      </c>
    </row>
    <row r="2334" spans="1:1">
      <c r="A2334" t="s">
        <v>1963</v>
      </c>
    </row>
    <row r="2335" spans="1:1">
      <c r="A2335" t="s">
        <v>1964</v>
      </c>
    </row>
    <row r="2336" spans="1:1">
      <c r="A2336" t="s">
        <v>1965</v>
      </c>
    </row>
    <row r="2337" spans="1:1">
      <c r="A2337" t="s">
        <v>1966</v>
      </c>
    </row>
    <row r="2338" spans="1:1">
      <c r="A2338" t="s">
        <v>1967</v>
      </c>
    </row>
    <row r="2339" spans="1:1">
      <c r="A2339" t="s">
        <v>1968</v>
      </c>
    </row>
    <row r="2340" spans="1:1">
      <c r="A2340" t="s">
        <v>1969</v>
      </c>
    </row>
    <row r="2341" spans="1:1">
      <c r="A2341" t="s">
        <v>1970</v>
      </c>
    </row>
    <row r="2344" spans="1:1">
      <c r="A2344" t="s">
        <v>261</v>
      </c>
    </row>
    <row r="2345" spans="1:1">
      <c r="A2345" t="s">
        <v>1971</v>
      </c>
    </row>
    <row r="2346" spans="1:1">
      <c r="A2346" t="s">
        <v>1972</v>
      </c>
    </row>
    <row r="2347" spans="1:1">
      <c r="A2347" t="s">
        <v>1973</v>
      </c>
    </row>
    <row r="2348" spans="1:1">
      <c r="A2348" t="s">
        <v>1974</v>
      </c>
    </row>
    <row r="2349" spans="1:1">
      <c r="A2349" t="s">
        <v>1975</v>
      </c>
    </row>
    <row r="2350" spans="1:1">
      <c r="A2350" t="s">
        <v>1976</v>
      </c>
    </row>
    <row r="2351" spans="1:1">
      <c r="A2351" t="s">
        <v>1977</v>
      </c>
    </row>
    <row r="2352" spans="1:1">
      <c r="A2352" t="s">
        <v>1978</v>
      </c>
    </row>
    <row r="2353" spans="1:1">
      <c r="A2353" t="s">
        <v>1979</v>
      </c>
    </row>
    <row r="2354" spans="1:1">
      <c r="A2354" t="s">
        <v>1980</v>
      </c>
    </row>
    <row r="2355" spans="1:1">
      <c r="A2355" t="s">
        <v>1981</v>
      </c>
    </row>
    <row r="2356" spans="1:1">
      <c r="A2356" t="s">
        <v>1982</v>
      </c>
    </row>
    <row r="2357" spans="1:1">
      <c r="A2357" t="s">
        <v>1983</v>
      </c>
    </row>
    <row r="2359" spans="1:1">
      <c r="A2359" t="s">
        <v>275</v>
      </c>
    </row>
    <row r="2360" spans="1:1">
      <c r="A2360" t="s">
        <v>1984</v>
      </c>
    </row>
    <row r="2361" spans="1:1">
      <c r="A2361" t="s">
        <v>1985</v>
      </c>
    </row>
    <row r="2362" spans="1:1">
      <c r="A2362" t="s">
        <v>1986</v>
      </c>
    </row>
    <row r="2363" spans="1:1">
      <c r="A2363" t="s">
        <v>1987</v>
      </c>
    </row>
    <row r="2364" spans="1:1">
      <c r="A2364" t="s">
        <v>1988</v>
      </c>
    </row>
    <row r="2365" spans="1:1">
      <c r="A2365" t="s">
        <v>1989</v>
      </c>
    </row>
    <row r="2366" spans="1:1">
      <c r="A2366" t="s">
        <v>1990</v>
      </c>
    </row>
    <row r="2367" spans="1:1">
      <c r="A2367" t="s">
        <v>1991</v>
      </c>
    </row>
    <row r="2368" spans="1:1">
      <c r="A2368" t="s">
        <v>1992</v>
      </c>
    </row>
    <row r="2369" spans="1:1">
      <c r="A2369" t="s">
        <v>1993</v>
      </c>
    </row>
    <row r="2370" spans="1:1">
      <c r="A2370" t="s">
        <v>1994</v>
      </c>
    </row>
    <row r="2371" spans="1:1">
      <c r="A2371" t="s">
        <v>1995</v>
      </c>
    </row>
    <row r="2372" spans="1:1">
      <c r="A2372" t="s">
        <v>1996</v>
      </c>
    </row>
    <row r="2373" spans="1:1">
      <c r="A2373" t="s">
        <v>1997</v>
      </c>
    </row>
    <row r="2374" spans="1:1">
      <c r="A2374" t="s">
        <v>290</v>
      </c>
    </row>
    <row r="2375" spans="1:1">
      <c r="A2375" t="s">
        <v>1998</v>
      </c>
    </row>
    <row r="2380" spans="1:1">
      <c r="A2380" t="s">
        <v>1999</v>
      </c>
    </row>
    <row r="2381" spans="1:1">
      <c r="A2381" t="s">
        <v>240</v>
      </c>
    </row>
    <row r="2382" spans="1:1">
      <c r="A2382" t="s">
        <v>2000</v>
      </c>
    </row>
    <row r="2383" spans="1:1">
      <c r="A2383" t="s">
        <v>2001</v>
      </c>
    </row>
    <row r="2384" spans="1:1">
      <c r="A2384" t="s">
        <v>243</v>
      </c>
    </row>
    <row r="2385" spans="1:1">
      <c r="A2385" t="s">
        <v>2002</v>
      </c>
    </row>
    <row r="2386" spans="1:1">
      <c r="A2386" t="s">
        <v>245</v>
      </c>
    </row>
    <row r="2388" spans="1:1">
      <c r="A2388" t="s">
        <v>1553</v>
      </c>
    </row>
    <row r="2389" spans="1:1">
      <c r="A2389" t="s">
        <v>247</v>
      </c>
    </row>
    <row r="2390" spans="1:1">
      <c r="A2390" t="s">
        <v>2003</v>
      </c>
    </row>
    <row r="2391" spans="1:1">
      <c r="A2391" t="s">
        <v>2004</v>
      </c>
    </row>
    <row r="2392" spans="1:1">
      <c r="A2392" t="s">
        <v>2005</v>
      </c>
    </row>
    <row r="2393" spans="1:1">
      <c r="A2393" t="s">
        <v>2006</v>
      </c>
    </row>
    <row r="2394" spans="1:1">
      <c r="A2394" t="s">
        <v>2007</v>
      </c>
    </row>
    <row r="2395" spans="1:1">
      <c r="A2395" t="s">
        <v>2008</v>
      </c>
    </row>
    <row r="2396" spans="1:1">
      <c r="A2396" t="s">
        <v>2009</v>
      </c>
    </row>
    <row r="2397" spans="1:1">
      <c r="A2397" t="s">
        <v>2010</v>
      </c>
    </row>
    <row r="2398" spans="1:1">
      <c r="A2398" t="s">
        <v>2011</v>
      </c>
    </row>
    <row r="2399" spans="1:1">
      <c r="A2399" t="s">
        <v>2012</v>
      </c>
    </row>
    <row r="2400" spans="1:1">
      <c r="A2400" t="s">
        <v>2013</v>
      </c>
    </row>
    <row r="2401" spans="1:1">
      <c r="A2401" t="s">
        <v>2014</v>
      </c>
    </row>
    <row r="2402" spans="1:1">
      <c r="A2402" t="s">
        <v>2015</v>
      </c>
    </row>
    <row r="2405" spans="1:1">
      <c r="A2405" t="s">
        <v>261</v>
      </c>
    </row>
    <row r="2406" spans="1:1">
      <c r="A2406" t="s">
        <v>2016</v>
      </c>
    </row>
    <row r="2407" spans="1:1">
      <c r="A2407" t="s">
        <v>2017</v>
      </c>
    </row>
    <row r="2408" spans="1:1">
      <c r="A2408" t="s">
        <v>2018</v>
      </c>
    </row>
    <row r="2409" spans="1:1">
      <c r="A2409" t="s">
        <v>2019</v>
      </c>
    </row>
    <row r="2410" spans="1:1">
      <c r="A2410" t="s">
        <v>2020</v>
      </c>
    </row>
    <row r="2411" spans="1:1">
      <c r="A2411" t="s">
        <v>2021</v>
      </c>
    </row>
    <row r="2412" spans="1:1">
      <c r="A2412" t="s">
        <v>2022</v>
      </c>
    </row>
    <row r="2413" spans="1:1">
      <c r="A2413" t="s">
        <v>2023</v>
      </c>
    </row>
    <row r="2414" spans="1:1">
      <c r="A2414" t="s">
        <v>2024</v>
      </c>
    </row>
    <row r="2415" spans="1:1">
      <c r="A2415" t="s">
        <v>2025</v>
      </c>
    </row>
    <row r="2416" spans="1:1">
      <c r="A2416" t="s">
        <v>2026</v>
      </c>
    </row>
    <row r="2417" spans="1:1">
      <c r="A2417" t="s">
        <v>2027</v>
      </c>
    </row>
    <row r="2418" spans="1:1">
      <c r="A2418" t="s">
        <v>2028</v>
      </c>
    </row>
    <row r="2420" spans="1:1">
      <c r="A2420" t="s">
        <v>275</v>
      </c>
    </row>
    <row r="2421" spans="1:1">
      <c r="A2421" t="s">
        <v>2029</v>
      </c>
    </row>
    <row r="2422" spans="1:1">
      <c r="A2422" t="s">
        <v>2030</v>
      </c>
    </row>
    <row r="2423" spans="1:1">
      <c r="A2423" t="s">
        <v>2031</v>
      </c>
    </row>
    <row r="2424" spans="1:1">
      <c r="A2424" t="s">
        <v>2032</v>
      </c>
    </row>
    <row r="2425" spans="1:1">
      <c r="A2425" t="s">
        <v>2033</v>
      </c>
    </row>
    <row r="2426" spans="1:1">
      <c r="A2426" t="s">
        <v>2034</v>
      </c>
    </row>
    <row r="2427" spans="1:1">
      <c r="A2427" t="s">
        <v>2035</v>
      </c>
    </row>
    <row r="2428" spans="1:1">
      <c r="A2428" t="s">
        <v>2036</v>
      </c>
    </row>
    <row r="2429" spans="1:1">
      <c r="A2429" t="s">
        <v>2037</v>
      </c>
    </row>
    <row r="2430" spans="1:1">
      <c r="A2430" t="s">
        <v>2038</v>
      </c>
    </row>
    <row r="2431" spans="1:1">
      <c r="A2431" t="s">
        <v>2039</v>
      </c>
    </row>
    <row r="2432" spans="1:1">
      <c r="A2432" t="s">
        <v>2040</v>
      </c>
    </row>
    <row r="2433" spans="1:1">
      <c r="A2433" t="s">
        <v>2041</v>
      </c>
    </row>
    <row r="2434" spans="1:1">
      <c r="A2434" t="s">
        <v>2042</v>
      </c>
    </row>
    <row r="2435" spans="1:1">
      <c r="A2435" t="s">
        <v>290</v>
      </c>
    </row>
    <row r="2436" spans="1:1">
      <c r="A2436" t="s">
        <v>2043</v>
      </c>
    </row>
    <row r="2441" spans="1:1">
      <c r="A2441" t="s">
        <v>2044</v>
      </c>
    </row>
    <row r="2442" spans="1:1">
      <c r="A2442" t="s">
        <v>240</v>
      </c>
    </row>
    <row r="2443" spans="1:1">
      <c r="A2443" t="s">
        <v>2045</v>
      </c>
    </row>
    <row r="2444" spans="1:1">
      <c r="A2444" t="s">
        <v>2046</v>
      </c>
    </row>
    <row r="2445" spans="1:1">
      <c r="A2445" t="s">
        <v>243</v>
      </c>
    </row>
    <row r="2446" spans="1:1">
      <c r="A2446" t="s">
        <v>2047</v>
      </c>
    </row>
    <row r="2447" spans="1:1">
      <c r="A2447" t="s">
        <v>245</v>
      </c>
    </row>
    <row r="2449" spans="1:1">
      <c r="A2449" t="s">
        <v>1553</v>
      </c>
    </row>
    <row r="2450" spans="1:1">
      <c r="A2450" t="s">
        <v>247</v>
      </c>
    </row>
    <row r="2451" spans="1:1">
      <c r="A2451" t="s">
        <v>2048</v>
      </c>
    </row>
    <row r="2452" spans="1:1">
      <c r="A2452" t="s">
        <v>2049</v>
      </c>
    </row>
    <row r="2453" spans="1:1">
      <c r="A2453" t="s">
        <v>2050</v>
      </c>
    </row>
    <row r="2454" spans="1:1">
      <c r="A2454" t="s">
        <v>2051</v>
      </c>
    </row>
    <row r="2455" spans="1:1">
      <c r="A2455" t="s">
        <v>2052</v>
      </c>
    </row>
    <row r="2456" spans="1:1">
      <c r="A2456" t="s">
        <v>2053</v>
      </c>
    </row>
    <row r="2457" spans="1:1">
      <c r="A2457" t="s">
        <v>2054</v>
      </c>
    </row>
    <row r="2458" spans="1:1">
      <c r="A2458" t="s">
        <v>2055</v>
      </c>
    </row>
    <row r="2459" spans="1:1">
      <c r="A2459" t="s">
        <v>2056</v>
      </c>
    </row>
    <row r="2460" spans="1:1">
      <c r="A2460" t="s">
        <v>2057</v>
      </c>
    </row>
    <row r="2461" spans="1:1">
      <c r="A2461" t="s">
        <v>2058</v>
      </c>
    </row>
    <row r="2462" spans="1:1">
      <c r="A2462" t="s">
        <v>2059</v>
      </c>
    </row>
    <row r="2463" spans="1:1">
      <c r="A2463" t="s">
        <v>2060</v>
      </c>
    </row>
    <row r="2466" spans="1:1">
      <c r="A2466" t="s">
        <v>261</v>
      </c>
    </row>
    <row r="2467" spans="1:1">
      <c r="A2467" t="s">
        <v>2061</v>
      </c>
    </row>
    <row r="2468" spans="1:1">
      <c r="A2468" t="s">
        <v>2062</v>
      </c>
    </row>
    <row r="2469" spans="1:1">
      <c r="A2469" t="s">
        <v>2063</v>
      </c>
    </row>
    <row r="2470" spans="1:1">
      <c r="A2470" t="s">
        <v>2064</v>
      </c>
    </row>
    <row r="2471" spans="1:1">
      <c r="A2471" t="s">
        <v>2065</v>
      </c>
    </row>
    <row r="2472" spans="1:1">
      <c r="A2472" t="s">
        <v>2066</v>
      </c>
    </row>
    <row r="2473" spans="1:1">
      <c r="A2473" t="s">
        <v>2067</v>
      </c>
    </row>
    <row r="2474" spans="1:1">
      <c r="A2474" t="s">
        <v>2068</v>
      </c>
    </row>
    <row r="2475" spans="1:1">
      <c r="A2475" t="s">
        <v>2069</v>
      </c>
    </row>
    <row r="2476" spans="1:1">
      <c r="A2476" t="s">
        <v>2070</v>
      </c>
    </row>
    <row r="2477" spans="1:1">
      <c r="A2477" t="s">
        <v>2071</v>
      </c>
    </row>
    <row r="2478" spans="1:1">
      <c r="A2478" t="s">
        <v>2072</v>
      </c>
    </row>
    <row r="2479" spans="1:1">
      <c r="A2479" t="s">
        <v>2073</v>
      </c>
    </row>
    <row r="2481" spans="1:1">
      <c r="A2481" t="s">
        <v>275</v>
      </c>
    </row>
    <row r="2482" spans="1:1">
      <c r="A2482" t="s">
        <v>2074</v>
      </c>
    </row>
    <row r="2483" spans="1:1">
      <c r="A2483" t="s">
        <v>2075</v>
      </c>
    </row>
    <row r="2484" spans="1:1">
      <c r="A2484" t="s">
        <v>2076</v>
      </c>
    </row>
    <row r="2485" spans="1:1">
      <c r="A2485" t="s">
        <v>2077</v>
      </c>
    </row>
    <row r="2486" spans="1:1">
      <c r="A2486" t="s">
        <v>2078</v>
      </c>
    </row>
    <row r="2487" spans="1:1">
      <c r="A2487" t="s">
        <v>2079</v>
      </c>
    </row>
    <row r="2488" spans="1:1">
      <c r="A2488" t="s">
        <v>2080</v>
      </c>
    </row>
    <row r="2489" spans="1:1">
      <c r="A2489" t="s">
        <v>2081</v>
      </c>
    </row>
    <row r="2490" spans="1:1">
      <c r="A2490" t="s">
        <v>2082</v>
      </c>
    </row>
    <row r="2491" spans="1:1">
      <c r="A2491" t="s">
        <v>2083</v>
      </c>
    </row>
    <row r="2492" spans="1:1">
      <c r="A2492" t="s">
        <v>2084</v>
      </c>
    </row>
    <row r="2493" spans="1:1">
      <c r="A2493" t="s">
        <v>2085</v>
      </c>
    </row>
    <row r="2494" spans="1:1">
      <c r="A2494" t="s">
        <v>2086</v>
      </c>
    </row>
    <row r="2495" spans="1:1">
      <c r="A2495" t="s">
        <v>2087</v>
      </c>
    </row>
    <row r="2496" spans="1:1">
      <c r="A2496" t="s">
        <v>290</v>
      </c>
    </row>
    <row r="2497" spans="1:1">
      <c r="A2497" t="s">
        <v>2088</v>
      </c>
    </row>
    <row r="2502" spans="1:1">
      <c r="A2502" t="s">
        <v>2089</v>
      </c>
    </row>
    <row r="2503" spans="1:1">
      <c r="A2503" t="s">
        <v>240</v>
      </c>
    </row>
    <row r="2504" spans="1:1">
      <c r="A2504" t="s">
        <v>2090</v>
      </c>
    </row>
    <row r="2505" spans="1:1">
      <c r="A2505" t="s">
        <v>2091</v>
      </c>
    </row>
    <row r="2506" spans="1:1">
      <c r="A2506" t="s">
        <v>243</v>
      </c>
    </row>
    <row r="2507" spans="1:1">
      <c r="A2507" t="s">
        <v>2092</v>
      </c>
    </row>
    <row r="2508" spans="1:1">
      <c r="A2508" t="s">
        <v>245</v>
      </c>
    </row>
    <row r="2510" spans="1:1">
      <c r="A2510" t="s">
        <v>1553</v>
      </c>
    </row>
    <row r="2511" spans="1:1">
      <c r="A2511" t="s">
        <v>247</v>
      </c>
    </row>
    <row r="2512" spans="1:1">
      <c r="A2512" t="s">
        <v>2093</v>
      </c>
    </row>
    <row r="2513" spans="1:1">
      <c r="A2513" t="s">
        <v>2094</v>
      </c>
    </row>
    <row r="2514" spans="1:1">
      <c r="A2514" t="s">
        <v>2095</v>
      </c>
    </row>
    <row r="2515" spans="1:1">
      <c r="A2515" t="s">
        <v>2096</v>
      </c>
    </row>
    <row r="2516" spans="1:1">
      <c r="A2516" t="s">
        <v>2097</v>
      </c>
    </row>
    <row r="2517" spans="1:1">
      <c r="A2517" t="s">
        <v>2098</v>
      </c>
    </row>
    <row r="2518" spans="1:1">
      <c r="A2518" t="s">
        <v>2099</v>
      </c>
    </row>
    <row r="2519" spans="1:1">
      <c r="A2519" t="s">
        <v>2100</v>
      </c>
    </row>
    <row r="2520" spans="1:1">
      <c r="A2520" t="s">
        <v>2101</v>
      </c>
    </row>
    <row r="2521" spans="1:1">
      <c r="A2521" t="s">
        <v>2102</v>
      </c>
    </row>
    <row r="2522" spans="1:1">
      <c r="A2522" t="s">
        <v>2103</v>
      </c>
    </row>
    <row r="2523" spans="1:1">
      <c r="A2523" t="s">
        <v>2104</v>
      </c>
    </row>
    <row r="2524" spans="1:1">
      <c r="A2524" t="s">
        <v>2105</v>
      </c>
    </row>
    <row r="2527" spans="1:1">
      <c r="A2527" t="s">
        <v>261</v>
      </c>
    </row>
    <row r="2528" spans="1:1">
      <c r="A2528" t="s">
        <v>2106</v>
      </c>
    </row>
    <row r="2529" spans="1:1">
      <c r="A2529" t="s">
        <v>2107</v>
      </c>
    </row>
    <row r="2530" spans="1:1">
      <c r="A2530" t="s">
        <v>2108</v>
      </c>
    </row>
    <row r="2531" spans="1:1">
      <c r="A2531" t="s">
        <v>2109</v>
      </c>
    </row>
    <row r="2532" spans="1:1">
      <c r="A2532" t="s">
        <v>2110</v>
      </c>
    </row>
    <row r="2533" spans="1:1">
      <c r="A2533" t="s">
        <v>2111</v>
      </c>
    </row>
    <row r="2534" spans="1:1">
      <c r="A2534" t="s">
        <v>2112</v>
      </c>
    </row>
    <row r="2535" spans="1:1">
      <c r="A2535" t="s">
        <v>2113</v>
      </c>
    </row>
    <row r="2536" spans="1:1">
      <c r="A2536" t="s">
        <v>2114</v>
      </c>
    </row>
    <row r="2537" spans="1:1">
      <c r="A2537" t="s">
        <v>2115</v>
      </c>
    </row>
    <row r="2538" spans="1:1">
      <c r="A2538" t="s">
        <v>2116</v>
      </c>
    </row>
    <row r="2539" spans="1:1">
      <c r="A2539" t="s">
        <v>2117</v>
      </c>
    </row>
    <row r="2540" spans="1:1">
      <c r="A2540" t="s">
        <v>2118</v>
      </c>
    </row>
    <row r="2542" spans="1:1">
      <c r="A2542" t="s">
        <v>275</v>
      </c>
    </row>
    <row r="2543" spans="1:1">
      <c r="A2543" t="s">
        <v>2119</v>
      </c>
    </row>
    <row r="2544" spans="1:1">
      <c r="A2544" t="s">
        <v>2120</v>
      </c>
    </row>
    <row r="2545" spans="1:1">
      <c r="A2545" t="s">
        <v>2121</v>
      </c>
    </row>
    <row r="2546" spans="1:1">
      <c r="A2546" t="s">
        <v>2122</v>
      </c>
    </row>
    <row r="2547" spans="1:1">
      <c r="A2547" t="s">
        <v>2123</v>
      </c>
    </row>
    <row r="2548" spans="1:1">
      <c r="A2548" t="s">
        <v>2124</v>
      </c>
    </row>
    <row r="2549" spans="1:1">
      <c r="A2549" t="s">
        <v>2125</v>
      </c>
    </row>
    <row r="2550" spans="1:1">
      <c r="A2550" t="s">
        <v>2126</v>
      </c>
    </row>
    <row r="2551" spans="1:1">
      <c r="A2551" t="s">
        <v>2127</v>
      </c>
    </row>
    <row r="2552" spans="1:1">
      <c r="A2552" t="s">
        <v>2128</v>
      </c>
    </row>
    <row r="2553" spans="1:1">
      <c r="A2553" t="s">
        <v>2129</v>
      </c>
    </row>
    <row r="2554" spans="1:1">
      <c r="A2554" t="s">
        <v>2130</v>
      </c>
    </row>
    <row r="2555" spans="1:1">
      <c r="A2555" t="s">
        <v>2131</v>
      </c>
    </row>
    <row r="2556" spans="1:1">
      <c r="A2556" t="s">
        <v>2132</v>
      </c>
    </row>
    <row r="2557" spans="1:1">
      <c r="A2557" t="s">
        <v>290</v>
      </c>
    </row>
    <row r="2558" spans="1:1">
      <c r="A2558" t="s">
        <v>2133</v>
      </c>
    </row>
    <row r="2563" spans="1:1">
      <c r="A2563" t="s">
        <v>2134</v>
      </c>
    </row>
    <row r="2564" spans="1:1">
      <c r="A2564" t="s">
        <v>240</v>
      </c>
    </row>
    <row r="2565" spans="1:1">
      <c r="A2565" t="s">
        <v>2135</v>
      </c>
    </row>
    <row r="2566" spans="1:1">
      <c r="A2566" t="s">
        <v>2136</v>
      </c>
    </row>
    <row r="2567" spans="1:1">
      <c r="A2567" t="s">
        <v>243</v>
      </c>
    </row>
    <row r="2568" spans="1:1">
      <c r="A2568" t="s">
        <v>2137</v>
      </c>
    </row>
    <row r="2569" spans="1:1">
      <c r="A2569" t="s">
        <v>245</v>
      </c>
    </row>
    <row r="2571" spans="1:1">
      <c r="A2571" t="s">
        <v>1553</v>
      </c>
    </row>
    <row r="2572" spans="1:1">
      <c r="A2572" t="s">
        <v>247</v>
      </c>
    </row>
    <row r="2573" spans="1:1">
      <c r="A2573" t="s">
        <v>2138</v>
      </c>
    </row>
    <row r="2574" spans="1:1">
      <c r="A2574" t="s">
        <v>2139</v>
      </c>
    </row>
    <row r="2575" spans="1:1">
      <c r="A2575" t="s">
        <v>2140</v>
      </c>
    </row>
    <row r="2576" spans="1:1">
      <c r="A2576" t="s">
        <v>2141</v>
      </c>
    </row>
    <row r="2577" spans="1:1">
      <c r="A2577" t="s">
        <v>2142</v>
      </c>
    </row>
    <row r="2578" spans="1:1">
      <c r="A2578" t="s">
        <v>2143</v>
      </c>
    </row>
    <row r="2579" spans="1:1">
      <c r="A2579" t="s">
        <v>2144</v>
      </c>
    </row>
    <row r="2580" spans="1:1">
      <c r="A2580" t="s">
        <v>2145</v>
      </c>
    </row>
    <row r="2581" spans="1:1">
      <c r="A2581" t="s">
        <v>2146</v>
      </c>
    </row>
    <row r="2582" spans="1:1">
      <c r="A2582" t="s">
        <v>2147</v>
      </c>
    </row>
    <row r="2583" spans="1:1">
      <c r="A2583" t="s">
        <v>2148</v>
      </c>
    </row>
    <row r="2584" spans="1:1">
      <c r="A2584" t="s">
        <v>2149</v>
      </c>
    </row>
    <row r="2585" spans="1:1">
      <c r="A2585" t="s">
        <v>2150</v>
      </c>
    </row>
    <row r="2588" spans="1:1">
      <c r="A2588" t="s">
        <v>261</v>
      </c>
    </row>
    <row r="2589" spans="1:1">
      <c r="A2589" t="s">
        <v>2151</v>
      </c>
    </row>
    <row r="2590" spans="1:1">
      <c r="A2590" t="s">
        <v>2152</v>
      </c>
    </row>
    <row r="2591" spans="1:1">
      <c r="A2591" t="s">
        <v>2153</v>
      </c>
    </row>
    <row r="2592" spans="1:1">
      <c r="A2592" t="s">
        <v>2154</v>
      </c>
    </row>
    <row r="2593" spans="1:1">
      <c r="A2593" t="s">
        <v>2155</v>
      </c>
    </row>
    <row r="2594" spans="1:1">
      <c r="A2594" t="s">
        <v>2156</v>
      </c>
    </row>
    <row r="2595" spans="1:1">
      <c r="A2595" t="s">
        <v>2157</v>
      </c>
    </row>
    <row r="2596" spans="1:1">
      <c r="A2596" t="s">
        <v>2158</v>
      </c>
    </row>
    <row r="2597" spans="1:1">
      <c r="A2597" t="s">
        <v>2159</v>
      </c>
    </row>
    <row r="2598" spans="1:1">
      <c r="A2598" t="s">
        <v>2160</v>
      </c>
    </row>
    <row r="2599" spans="1:1">
      <c r="A2599" t="s">
        <v>2161</v>
      </c>
    </row>
    <row r="2600" spans="1:1">
      <c r="A2600" t="s">
        <v>2162</v>
      </c>
    </row>
    <row r="2601" spans="1:1">
      <c r="A2601" t="s">
        <v>2163</v>
      </c>
    </row>
    <row r="2603" spans="1:1">
      <c r="A2603" t="s">
        <v>275</v>
      </c>
    </row>
    <row r="2604" spans="1:1">
      <c r="A2604" t="s">
        <v>2164</v>
      </c>
    </row>
    <row r="2605" spans="1:1">
      <c r="A2605" t="s">
        <v>2165</v>
      </c>
    </row>
    <row r="2606" spans="1:1">
      <c r="A2606" t="s">
        <v>2166</v>
      </c>
    </row>
    <row r="2607" spans="1:1">
      <c r="A2607" t="s">
        <v>2167</v>
      </c>
    </row>
    <row r="2608" spans="1:1">
      <c r="A2608" t="s">
        <v>2168</v>
      </c>
    </row>
    <row r="2609" spans="1:1">
      <c r="A2609" t="s">
        <v>2169</v>
      </c>
    </row>
    <row r="2610" spans="1:1">
      <c r="A2610" t="s">
        <v>2170</v>
      </c>
    </row>
    <row r="2611" spans="1:1">
      <c r="A2611" t="s">
        <v>2171</v>
      </c>
    </row>
    <row r="2612" spans="1:1">
      <c r="A2612" t="s">
        <v>2172</v>
      </c>
    </row>
    <row r="2613" spans="1:1">
      <c r="A2613" t="s">
        <v>2173</v>
      </c>
    </row>
    <row r="2614" spans="1:1">
      <c r="A2614" t="s">
        <v>2174</v>
      </c>
    </row>
    <row r="2615" spans="1:1">
      <c r="A2615" t="s">
        <v>2175</v>
      </c>
    </row>
    <row r="2616" spans="1:1">
      <c r="A2616" t="s">
        <v>2176</v>
      </c>
    </row>
    <row r="2617" spans="1:1">
      <c r="A2617" t="s">
        <v>2177</v>
      </c>
    </row>
    <row r="2618" spans="1:1">
      <c r="A2618" t="s">
        <v>290</v>
      </c>
    </row>
    <row r="2619" spans="1:1">
      <c r="A2619" t="s">
        <v>2178</v>
      </c>
    </row>
    <row r="2624" spans="1:1">
      <c r="A2624" t="s">
        <v>2179</v>
      </c>
    </row>
    <row r="2625" spans="1:1">
      <c r="A2625" t="s">
        <v>240</v>
      </c>
    </row>
    <row r="2626" spans="1:1">
      <c r="A2626" t="s">
        <v>2180</v>
      </c>
    </row>
    <row r="2627" spans="1:1">
      <c r="A2627" t="s">
        <v>2181</v>
      </c>
    </row>
    <row r="2628" spans="1:1">
      <c r="A2628" t="s">
        <v>243</v>
      </c>
    </row>
    <row r="2629" spans="1:1">
      <c r="A2629" t="s">
        <v>2182</v>
      </c>
    </row>
    <row r="2630" spans="1:1">
      <c r="A2630" t="s">
        <v>245</v>
      </c>
    </row>
    <row r="2632" spans="1:1">
      <c r="A2632" t="s">
        <v>1553</v>
      </c>
    </row>
    <row r="2633" spans="1:1">
      <c r="A2633" t="s">
        <v>247</v>
      </c>
    </row>
    <row r="2634" spans="1:1">
      <c r="A2634" t="s">
        <v>2183</v>
      </c>
    </row>
    <row r="2635" spans="1:1">
      <c r="A2635" t="s">
        <v>2184</v>
      </c>
    </row>
    <row r="2636" spans="1:1">
      <c r="A2636" t="s">
        <v>2185</v>
      </c>
    </row>
    <row r="2637" spans="1:1">
      <c r="A2637" t="s">
        <v>2186</v>
      </c>
    </row>
    <row r="2638" spans="1:1">
      <c r="A2638" t="s">
        <v>2187</v>
      </c>
    </row>
    <row r="2639" spans="1:1">
      <c r="A2639" t="s">
        <v>2188</v>
      </c>
    </row>
    <row r="2640" spans="1:1">
      <c r="A2640" t="s">
        <v>2189</v>
      </c>
    </row>
    <row r="2641" spans="1:1">
      <c r="A2641" t="s">
        <v>2190</v>
      </c>
    </row>
    <row r="2642" spans="1:1">
      <c r="A2642" t="s">
        <v>2191</v>
      </c>
    </row>
    <row r="2643" spans="1:1">
      <c r="A2643" t="s">
        <v>2192</v>
      </c>
    </row>
    <row r="2644" spans="1:1">
      <c r="A2644" t="s">
        <v>2193</v>
      </c>
    </row>
    <row r="2645" spans="1:1">
      <c r="A2645" t="s">
        <v>2194</v>
      </c>
    </row>
    <row r="2646" spans="1:1">
      <c r="A2646" t="s">
        <v>2195</v>
      </c>
    </row>
    <row r="2649" spans="1:1">
      <c r="A2649" t="s">
        <v>261</v>
      </c>
    </row>
    <row r="2650" spans="1:1">
      <c r="A2650" t="s">
        <v>2196</v>
      </c>
    </row>
    <row r="2651" spans="1:1">
      <c r="A2651" t="s">
        <v>2197</v>
      </c>
    </row>
    <row r="2652" spans="1:1">
      <c r="A2652" t="s">
        <v>2198</v>
      </c>
    </row>
    <row r="2653" spans="1:1">
      <c r="A2653" t="s">
        <v>2199</v>
      </c>
    </row>
    <row r="2654" spans="1:1">
      <c r="A2654" t="s">
        <v>2200</v>
      </c>
    </row>
    <row r="2655" spans="1:1">
      <c r="A2655" t="s">
        <v>2201</v>
      </c>
    </row>
    <row r="2656" spans="1:1">
      <c r="A2656" t="s">
        <v>2202</v>
      </c>
    </row>
    <row r="2657" spans="1:1">
      <c r="A2657" t="s">
        <v>2203</v>
      </c>
    </row>
    <row r="2658" spans="1:1">
      <c r="A2658" t="s">
        <v>2204</v>
      </c>
    </row>
    <row r="2659" spans="1:1">
      <c r="A2659" t="s">
        <v>2205</v>
      </c>
    </row>
    <row r="2660" spans="1:1">
      <c r="A2660" t="s">
        <v>2206</v>
      </c>
    </row>
    <row r="2661" spans="1:1">
      <c r="A2661" t="s">
        <v>2207</v>
      </c>
    </row>
    <row r="2662" spans="1:1">
      <c r="A2662" t="s">
        <v>2208</v>
      </c>
    </row>
    <row r="2664" spans="1:1">
      <c r="A2664" t="s">
        <v>275</v>
      </c>
    </row>
    <row r="2665" spans="1:1">
      <c r="A2665" t="s">
        <v>2209</v>
      </c>
    </row>
    <row r="2666" spans="1:1">
      <c r="A2666" t="s">
        <v>2210</v>
      </c>
    </row>
    <row r="2667" spans="1:1">
      <c r="A2667" t="s">
        <v>2211</v>
      </c>
    </row>
    <row r="2668" spans="1:1">
      <c r="A2668" t="s">
        <v>2212</v>
      </c>
    </row>
    <row r="2669" spans="1:1">
      <c r="A2669" t="s">
        <v>2213</v>
      </c>
    </row>
    <row r="2670" spans="1:1">
      <c r="A2670" t="s">
        <v>2214</v>
      </c>
    </row>
    <row r="2671" spans="1:1">
      <c r="A2671" t="s">
        <v>2215</v>
      </c>
    </row>
    <row r="2672" spans="1:1">
      <c r="A2672" t="s">
        <v>2216</v>
      </c>
    </row>
    <row r="2673" spans="1:1">
      <c r="A2673" t="s">
        <v>2217</v>
      </c>
    </row>
    <row r="2674" spans="1:1">
      <c r="A2674" t="s">
        <v>2218</v>
      </c>
    </row>
    <row r="2675" spans="1:1">
      <c r="A2675" t="s">
        <v>2219</v>
      </c>
    </row>
    <row r="2676" spans="1:1">
      <c r="A2676" t="s">
        <v>2220</v>
      </c>
    </row>
    <row r="2677" spans="1:1">
      <c r="A2677" t="s">
        <v>2221</v>
      </c>
    </row>
    <row r="2678" spans="1:1">
      <c r="A2678" t="s">
        <v>2222</v>
      </c>
    </row>
    <row r="2679" spans="1:1">
      <c r="A2679" t="s">
        <v>290</v>
      </c>
    </row>
    <row r="2680" spans="1:1">
      <c r="A2680" t="s">
        <v>2223</v>
      </c>
    </row>
    <row r="2685" spans="1:1">
      <c r="A2685" t="s">
        <v>2224</v>
      </c>
    </row>
    <row r="2686" spans="1:1">
      <c r="A2686" t="s">
        <v>240</v>
      </c>
    </row>
    <row r="2687" spans="1:1">
      <c r="A2687" t="s">
        <v>2225</v>
      </c>
    </row>
    <row r="2688" spans="1:1">
      <c r="A2688" t="s">
        <v>2226</v>
      </c>
    </row>
    <row r="2689" spans="1:1">
      <c r="A2689" t="s">
        <v>243</v>
      </c>
    </row>
    <row r="2690" spans="1:1">
      <c r="A2690" t="s">
        <v>2227</v>
      </c>
    </row>
    <row r="2691" spans="1:1">
      <c r="A2691" t="s">
        <v>245</v>
      </c>
    </row>
    <row r="2693" spans="1:1">
      <c r="A2693" t="s">
        <v>2228</v>
      </c>
    </row>
    <row r="2694" spans="1:1">
      <c r="A2694" t="s">
        <v>247</v>
      </c>
    </row>
    <row r="2695" spans="1:1">
      <c r="A2695" t="s">
        <v>2229</v>
      </c>
    </row>
    <row r="2696" spans="1:1">
      <c r="A2696" t="s">
        <v>2230</v>
      </c>
    </row>
    <row r="2697" spans="1:1">
      <c r="A2697" t="s">
        <v>2231</v>
      </c>
    </row>
    <row r="2698" spans="1:1">
      <c r="A2698" t="s">
        <v>2232</v>
      </c>
    </row>
    <row r="2699" spans="1:1">
      <c r="A2699" t="s">
        <v>2233</v>
      </c>
    </row>
    <row r="2700" spans="1:1">
      <c r="A2700" t="s">
        <v>2234</v>
      </c>
    </row>
    <row r="2701" spans="1:1">
      <c r="A2701" t="s">
        <v>2235</v>
      </c>
    </row>
    <row r="2702" spans="1:1">
      <c r="A2702" t="s">
        <v>2236</v>
      </c>
    </row>
    <row r="2703" spans="1:1">
      <c r="A2703" t="s">
        <v>2237</v>
      </c>
    </row>
    <row r="2704" spans="1:1">
      <c r="A2704" t="s">
        <v>2238</v>
      </c>
    </row>
    <row r="2705" spans="1:1">
      <c r="A2705" t="s">
        <v>2239</v>
      </c>
    </row>
    <row r="2706" spans="1:1">
      <c r="A2706" t="s">
        <v>2240</v>
      </c>
    </row>
    <row r="2707" spans="1:1">
      <c r="A2707" t="s">
        <v>2241</v>
      </c>
    </row>
    <row r="2710" spans="1:1">
      <c r="A2710" t="s">
        <v>261</v>
      </c>
    </row>
    <row r="2711" spans="1:1">
      <c r="A2711" t="s">
        <v>2242</v>
      </c>
    </row>
    <row r="2712" spans="1:1">
      <c r="A2712" t="s">
        <v>2243</v>
      </c>
    </row>
    <row r="2713" spans="1:1">
      <c r="A2713" t="s">
        <v>2244</v>
      </c>
    </row>
    <row r="2714" spans="1:1">
      <c r="A2714" t="s">
        <v>2245</v>
      </c>
    </row>
    <row r="2715" spans="1:1">
      <c r="A2715" t="s">
        <v>2246</v>
      </c>
    </row>
    <row r="2716" spans="1:1">
      <c r="A2716" t="s">
        <v>2247</v>
      </c>
    </row>
    <row r="2717" spans="1:1">
      <c r="A2717" t="s">
        <v>2248</v>
      </c>
    </row>
    <row r="2718" spans="1:1">
      <c r="A2718" t="s">
        <v>2249</v>
      </c>
    </row>
    <row r="2719" spans="1:1">
      <c r="A2719" t="s">
        <v>2250</v>
      </c>
    </row>
    <row r="2720" spans="1:1">
      <c r="A2720" t="s">
        <v>2251</v>
      </c>
    </row>
    <row r="2721" spans="1:1">
      <c r="A2721" t="s">
        <v>2252</v>
      </c>
    </row>
    <row r="2722" spans="1:1">
      <c r="A2722" t="s">
        <v>2253</v>
      </c>
    </row>
    <row r="2723" spans="1:1">
      <c r="A2723" t="s">
        <v>2254</v>
      </c>
    </row>
    <row r="2725" spans="1:1">
      <c r="A2725" t="s">
        <v>275</v>
      </c>
    </row>
    <row r="2726" spans="1:1">
      <c r="A2726" t="s">
        <v>2255</v>
      </c>
    </row>
    <row r="2727" spans="1:1">
      <c r="A2727" t="s">
        <v>2256</v>
      </c>
    </row>
    <row r="2728" spans="1:1">
      <c r="A2728" t="s">
        <v>2257</v>
      </c>
    </row>
    <row r="2729" spans="1:1">
      <c r="A2729" t="s">
        <v>2258</v>
      </c>
    </row>
    <row r="2730" spans="1:1">
      <c r="A2730" t="s">
        <v>2259</v>
      </c>
    </row>
    <row r="2731" spans="1:1">
      <c r="A2731" t="s">
        <v>2260</v>
      </c>
    </row>
    <row r="2732" spans="1:1">
      <c r="A2732" t="s">
        <v>2261</v>
      </c>
    </row>
    <row r="2733" spans="1:1">
      <c r="A2733" t="s">
        <v>2262</v>
      </c>
    </row>
    <row r="2734" spans="1:1">
      <c r="A2734" t="s">
        <v>2263</v>
      </c>
    </row>
    <row r="2735" spans="1:1">
      <c r="A2735" t="s">
        <v>2264</v>
      </c>
    </row>
    <row r="2736" spans="1:1">
      <c r="A2736" t="s">
        <v>2265</v>
      </c>
    </row>
    <row r="2737" spans="1:1">
      <c r="A2737" t="s">
        <v>2266</v>
      </c>
    </row>
    <row r="2738" spans="1:1">
      <c r="A2738" t="s">
        <v>2267</v>
      </c>
    </row>
    <row r="2739" spans="1:1">
      <c r="A2739" t="s">
        <v>2268</v>
      </c>
    </row>
    <row r="2740" spans="1:1">
      <c r="A2740" t="s">
        <v>290</v>
      </c>
    </row>
    <row r="2741" spans="1:1">
      <c r="A2741" t="s">
        <v>2269</v>
      </c>
    </row>
    <row r="2746" spans="1:1">
      <c r="A2746" t="s">
        <v>2270</v>
      </c>
    </row>
    <row r="2747" spans="1:1">
      <c r="A2747" t="s">
        <v>240</v>
      </c>
    </row>
    <row r="2748" spans="1:1">
      <c r="A2748" t="s">
        <v>2271</v>
      </c>
    </row>
    <row r="2749" spans="1:1">
      <c r="A2749" t="s">
        <v>2272</v>
      </c>
    </row>
    <row r="2750" spans="1:1">
      <c r="A2750" t="s">
        <v>243</v>
      </c>
    </row>
    <row r="2751" spans="1:1">
      <c r="A2751" t="s">
        <v>2273</v>
      </c>
    </row>
    <row r="2752" spans="1:1">
      <c r="A2752" t="s">
        <v>245</v>
      </c>
    </row>
    <row r="2754" spans="1:1">
      <c r="A2754" t="s">
        <v>2228</v>
      </c>
    </row>
    <row r="2755" spans="1:1">
      <c r="A2755" t="s">
        <v>247</v>
      </c>
    </row>
    <row r="2756" spans="1:1">
      <c r="A2756" t="s">
        <v>2274</v>
      </c>
    </row>
    <row r="2757" spans="1:1">
      <c r="A2757" t="s">
        <v>2275</v>
      </c>
    </row>
    <row r="2758" spans="1:1">
      <c r="A2758" t="s">
        <v>2276</v>
      </c>
    </row>
    <row r="2759" spans="1:1">
      <c r="A2759" t="s">
        <v>2277</v>
      </c>
    </row>
    <row r="2760" spans="1:1">
      <c r="A2760" t="s">
        <v>2278</v>
      </c>
    </row>
    <row r="2761" spans="1:1">
      <c r="A2761" t="s">
        <v>2279</v>
      </c>
    </row>
    <row r="2762" spans="1:1">
      <c r="A2762" t="s">
        <v>2280</v>
      </c>
    </row>
    <row r="2763" spans="1:1">
      <c r="A2763" t="s">
        <v>2281</v>
      </c>
    </row>
    <row r="2764" spans="1:1">
      <c r="A2764" t="s">
        <v>2282</v>
      </c>
    </row>
    <row r="2765" spans="1:1">
      <c r="A2765" t="s">
        <v>2283</v>
      </c>
    </row>
    <row r="2766" spans="1:1">
      <c r="A2766" t="s">
        <v>2284</v>
      </c>
    </row>
    <row r="2767" spans="1:1">
      <c r="A2767" t="s">
        <v>2285</v>
      </c>
    </row>
    <row r="2768" spans="1:1">
      <c r="A2768" t="s">
        <v>2286</v>
      </c>
    </row>
    <row r="2771" spans="1:1">
      <c r="A2771" t="s">
        <v>261</v>
      </c>
    </row>
    <row r="2772" spans="1:1">
      <c r="A2772" t="s">
        <v>2287</v>
      </c>
    </row>
    <row r="2773" spans="1:1">
      <c r="A2773" t="s">
        <v>2288</v>
      </c>
    </row>
    <row r="2774" spans="1:1">
      <c r="A2774" t="s">
        <v>2289</v>
      </c>
    </row>
    <row r="2775" spans="1:1">
      <c r="A2775" t="s">
        <v>2290</v>
      </c>
    </row>
    <row r="2776" spans="1:1">
      <c r="A2776" t="s">
        <v>2291</v>
      </c>
    </row>
    <row r="2777" spans="1:1">
      <c r="A2777" t="s">
        <v>2292</v>
      </c>
    </row>
    <row r="2778" spans="1:1">
      <c r="A2778" t="s">
        <v>2293</v>
      </c>
    </row>
    <row r="2779" spans="1:1">
      <c r="A2779" t="s">
        <v>2294</v>
      </c>
    </row>
    <row r="2780" spans="1:1">
      <c r="A2780" t="s">
        <v>2295</v>
      </c>
    </row>
    <row r="2781" spans="1:1">
      <c r="A2781" t="s">
        <v>2296</v>
      </c>
    </row>
    <row r="2782" spans="1:1">
      <c r="A2782" t="s">
        <v>2297</v>
      </c>
    </row>
    <row r="2783" spans="1:1">
      <c r="A2783" t="s">
        <v>2298</v>
      </c>
    </row>
    <row r="2784" spans="1:1">
      <c r="A2784" t="s">
        <v>2299</v>
      </c>
    </row>
    <row r="2786" spans="1:1">
      <c r="A2786" t="s">
        <v>275</v>
      </c>
    </row>
    <row r="2787" spans="1:1">
      <c r="A2787" t="s">
        <v>2300</v>
      </c>
    </row>
    <row r="2788" spans="1:1">
      <c r="A2788" t="s">
        <v>2301</v>
      </c>
    </row>
    <row r="2789" spans="1:1">
      <c r="A2789" t="s">
        <v>2302</v>
      </c>
    </row>
    <row r="2790" spans="1:1">
      <c r="A2790" t="s">
        <v>2303</v>
      </c>
    </row>
    <row r="2791" spans="1:1">
      <c r="A2791" t="s">
        <v>2304</v>
      </c>
    </row>
    <row r="2792" spans="1:1">
      <c r="A2792" t="s">
        <v>2305</v>
      </c>
    </row>
    <row r="2793" spans="1:1">
      <c r="A2793" t="s">
        <v>2306</v>
      </c>
    </row>
    <row r="2794" spans="1:1">
      <c r="A2794" t="s">
        <v>2307</v>
      </c>
    </row>
    <row r="2795" spans="1:1">
      <c r="A2795" t="s">
        <v>2308</v>
      </c>
    </row>
    <row r="2796" spans="1:1">
      <c r="A2796" t="s">
        <v>2309</v>
      </c>
    </row>
    <row r="2797" spans="1:1">
      <c r="A2797" t="s">
        <v>2310</v>
      </c>
    </row>
    <row r="2798" spans="1:1">
      <c r="A2798" t="s">
        <v>2311</v>
      </c>
    </row>
    <row r="2799" spans="1:1">
      <c r="A2799" t="s">
        <v>2312</v>
      </c>
    </row>
    <row r="2800" spans="1:1">
      <c r="A2800" t="s">
        <v>2313</v>
      </c>
    </row>
    <row r="2801" spans="1:1">
      <c r="A2801" t="s">
        <v>290</v>
      </c>
    </row>
    <row r="2802" spans="1:1">
      <c r="A2802" t="s">
        <v>2314</v>
      </c>
    </row>
    <row r="2807" spans="1:1">
      <c r="A2807" t="s">
        <v>2315</v>
      </c>
    </row>
    <row r="2808" spans="1:1">
      <c r="A2808" t="s">
        <v>240</v>
      </c>
    </row>
    <row r="2809" spans="1:1">
      <c r="A2809" t="s">
        <v>2316</v>
      </c>
    </row>
    <row r="2810" spans="1:1">
      <c r="A2810" t="s">
        <v>2317</v>
      </c>
    </row>
    <row r="2811" spans="1:1">
      <c r="A2811" t="s">
        <v>243</v>
      </c>
    </row>
    <row r="2812" spans="1:1">
      <c r="A2812" t="s">
        <v>2318</v>
      </c>
    </row>
    <row r="2813" spans="1:1">
      <c r="A2813" t="s">
        <v>245</v>
      </c>
    </row>
    <row r="2815" spans="1:1">
      <c r="A2815" t="s">
        <v>1553</v>
      </c>
    </row>
    <row r="2816" spans="1:1">
      <c r="A2816" t="s">
        <v>247</v>
      </c>
    </row>
    <row r="2817" spans="1:1">
      <c r="A2817" t="s">
        <v>2319</v>
      </c>
    </row>
    <row r="2818" spans="1:1">
      <c r="A2818" t="s">
        <v>2320</v>
      </c>
    </row>
    <row r="2819" spans="1:1">
      <c r="A2819" t="s">
        <v>2321</v>
      </c>
    </row>
    <row r="2820" spans="1:1">
      <c r="A2820" t="s">
        <v>2322</v>
      </c>
    </row>
    <row r="2821" spans="1:1">
      <c r="A2821" t="s">
        <v>2323</v>
      </c>
    </row>
    <row r="2822" spans="1:1">
      <c r="A2822" t="s">
        <v>2324</v>
      </c>
    </row>
    <row r="2823" spans="1:1">
      <c r="A2823" t="s">
        <v>2325</v>
      </c>
    </row>
    <row r="2824" spans="1:1">
      <c r="A2824" t="s">
        <v>2326</v>
      </c>
    </row>
    <row r="2825" spans="1:1">
      <c r="A2825" t="s">
        <v>2327</v>
      </c>
    </row>
    <row r="2826" spans="1:1">
      <c r="A2826" t="s">
        <v>2328</v>
      </c>
    </row>
    <row r="2827" spans="1:1">
      <c r="A2827" t="s">
        <v>2329</v>
      </c>
    </row>
    <row r="2828" spans="1:1">
      <c r="A2828" t="s">
        <v>2330</v>
      </c>
    </row>
    <row r="2829" spans="1:1">
      <c r="A2829" t="s">
        <v>2331</v>
      </c>
    </row>
    <row r="2832" spans="1:1">
      <c r="A2832" t="s">
        <v>261</v>
      </c>
    </row>
    <row r="2833" spans="1:1">
      <c r="A2833" t="s">
        <v>2332</v>
      </c>
    </row>
    <row r="2834" spans="1:1">
      <c r="A2834" t="s">
        <v>2333</v>
      </c>
    </row>
    <row r="2835" spans="1:1">
      <c r="A2835" t="s">
        <v>2334</v>
      </c>
    </row>
    <row r="2836" spans="1:1">
      <c r="A2836" t="s">
        <v>2335</v>
      </c>
    </row>
    <row r="2837" spans="1:1">
      <c r="A2837" t="s">
        <v>2336</v>
      </c>
    </row>
    <row r="2838" spans="1:1">
      <c r="A2838" t="s">
        <v>2337</v>
      </c>
    </row>
    <row r="2839" spans="1:1">
      <c r="A2839" t="s">
        <v>2338</v>
      </c>
    </row>
    <row r="2840" spans="1:1">
      <c r="A2840" t="s">
        <v>2339</v>
      </c>
    </row>
    <row r="2841" spans="1:1">
      <c r="A2841" t="s">
        <v>2340</v>
      </c>
    </row>
    <row r="2842" spans="1:1">
      <c r="A2842" t="s">
        <v>2341</v>
      </c>
    </row>
    <row r="2843" spans="1:1">
      <c r="A2843" t="s">
        <v>2342</v>
      </c>
    </row>
    <row r="2844" spans="1:1">
      <c r="A2844" t="s">
        <v>2343</v>
      </c>
    </row>
    <row r="2845" spans="1:1">
      <c r="A2845" t="s">
        <v>2344</v>
      </c>
    </row>
    <row r="2847" spans="1:1">
      <c r="A2847" t="s">
        <v>275</v>
      </c>
    </row>
    <row r="2848" spans="1:1">
      <c r="A2848" t="s">
        <v>2345</v>
      </c>
    </row>
    <row r="2849" spans="1:1">
      <c r="A2849" t="s">
        <v>2346</v>
      </c>
    </row>
    <row r="2850" spans="1:1">
      <c r="A2850" t="s">
        <v>2347</v>
      </c>
    </row>
    <row r="2851" spans="1:1">
      <c r="A2851" t="s">
        <v>2348</v>
      </c>
    </row>
    <row r="2852" spans="1:1">
      <c r="A2852" t="s">
        <v>2349</v>
      </c>
    </row>
    <row r="2853" spans="1:1">
      <c r="A2853" t="s">
        <v>2350</v>
      </c>
    </row>
    <row r="2854" spans="1:1">
      <c r="A2854" t="s">
        <v>2351</v>
      </c>
    </row>
    <row r="2855" spans="1:1">
      <c r="A2855" t="s">
        <v>2352</v>
      </c>
    </row>
    <row r="2856" spans="1:1">
      <c r="A2856" t="s">
        <v>2353</v>
      </c>
    </row>
    <row r="2857" spans="1:1">
      <c r="A2857" t="s">
        <v>2354</v>
      </c>
    </row>
    <row r="2858" spans="1:1">
      <c r="A2858" t="s">
        <v>2355</v>
      </c>
    </row>
    <row r="2859" spans="1:1">
      <c r="A2859" t="s">
        <v>2356</v>
      </c>
    </row>
    <row r="2860" spans="1:1">
      <c r="A2860" t="s">
        <v>2357</v>
      </c>
    </row>
    <row r="2861" spans="1:1">
      <c r="A2861" t="s">
        <v>2358</v>
      </c>
    </row>
    <row r="2862" spans="1:1">
      <c r="A2862" t="s">
        <v>290</v>
      </c>
    </row>
    <row r="2863" spans="1:1">
      <c r="A2863" t="s">
        <v>2359</v>
      </c>
    </row>
    <row r="2868" spans="1:1">
      <c r="A2868" t="s">
        <v>2360</v>
      </c>
    </row>
    <row r="2869" spans="1:1">
      <c r="A2869" t="s">
        <v>240</v>
      </c>
    </row>
    <row r="2870" spans="1:1">
      <c r="A2870" t="s">
        <v>2361</v>
      </c>
    </row>
    <row r="2871" spans="1:1">
      <c r="A2871" t="s">
        <v>2362</v>
      </c>
    </row>
    <row r="2872" spans="1:1">
      <c r="A2872" t="s">
        <v>243</v>
      </c>
    </row>
    <row r="2873" spans="1:1">
      <c r="A2873" t="s">
        <v>2363</v>
      </c>
    </row>
    <row r="2874" spans="1:1">
      <c r="A2874" t="s">
        <v>245</v>
      </c>
    </row>
    <row r="2876" spans="1:1">
      <c r="A2876" t="s">
        <v>2228</v>
      </c>
    </row>
    <row r="2877" spans="1:1">
      <c r="A2877" t="s">
        <v>247</v>
      </c>
    </row>
    <row r="2878" spans="1:1">
      <c r="A2878" t="s">
        <v>2364</v>
      </c>
    </row>
    <row r="2879" spans="1:1">
      <c r="A2879" t="s">
        <v>2365</v>
      </c>
    </row>
    <row r="2880" spans="1:1">
      <c r="A2880" t="s">
        <v>2366</v>
      </c>
    </row>
    <row r="2881" spans="1:1">
      <c r="A2881" t="s">
        <v>2367</v>
      </c>
    </row>
    <row r="2882" spans="1:1">
      <c r="A2882" t="s">
        <v>2368</v>
      </c>
    </row>
    <row r="2883" spans="1:1">
      <c r="A2883" t="s">
        <v>2369</v>
      </c>
    </row>
    <row r="2884" spans="1:1">
      <c r="A2884" t="s">
        <v>2370</v>
      </c>
    </row>
    <row r="2885" spans="1:1">
      <c r="A2885" t="s">
        <v>2371</v>
      </c>
    </row>
    <row r="2886" spans="1:1">
      <c r="A2886" t="s">
        <v>2372</v>
      </c>
    </row>
    <row r="2887" spans="1:1">
      <c r="A2887" t="s">
        <v>2373</v>
      </c>
    </row>
    <row r="2888" spans="1:1">
      <c r="A2888" t="s">
        <v>2374</v>
      </c>
    </row>
    <row r="2889" spans="1:1">
      <c r="A2889" t="s">
        <v>2375</v>
      </c>
    </row>
    <row r="2890" spans="1:1">
      <c r="A2890" t="s">
        <v>2376</v>
      </c>
    </row>
    <row r="2893" spans="1:1">
      <c r="A2893" t="s">
        <v>261</v>
      </c>
    </row>
    <row r="2894" spans="1:1">
      <c r="A2894" t="s">
        <v>2377</v>
      </c>
    </row>
    <row r="2895" spans="1:1">
      <c r="A2895" t="s">
        <v>2378</v>
      </c>
    </row>
    <row r="2896" spans="1:1">
      <c r="A2896" t="s">
        <v>2379</v>
      </c>
    </row>
    <row r="2897" spans="1:1">
      <c r="A2897" t="s">
        <v>2380</v>
      </c>
    </row>
    <row r="2898" spans="1:1">
      <c r="A2898" t="s">
        <v>2381</v>
      </c>
    </row>
    <row r="2899" spans="1:1">
      <c r="A2899" t="s">
        <v>2382</v>
      </c>
    </row>
    <row r="2900" spans="1:1">
      <c r="A2900" t="s">
        <v>2383</v>
      </c>
    </row>
    <row r="2901" spans="1:1">
      <c r="A2901" t="s">
        <v>2384</v>
      </c>
    </row>
    <row r="2902" spans="1:1">
      <c r="A2902" t="s">
        <v>2385</v>
      </c>
    </row>
    <row r="2903" spans="1:1">
      <c r="A2903" t="s">
        <v>2386</v>
      </c>
    </row>
    <row r="2904" spans="1:1">
      <c r="A2904" t="s">
        <v>2387</v>
      </c>
    </row>
    <row r="2905" spans="1:1">
      <c r="A2905" t="s">
        <v>2388</v>
      </c>
    </row>
    <row r="2906" spans="1:1">
      <c r="A2906" t="s">
        <v>2389</v>
      </c>
    </row>
    <row r="2908" spans="1:1">
      <c r="A2908" t="s">
        <v>275</v>
      </c>
    </row>
    <row r="2909" spans="1:1">
      <c r="A2909" t="s">
        <v>2390</v>
      </c>
    </row>
    <row r="2910" spans="1:1">
      <c r="A2910" t="s">
        <v>2391</v>
      </c>
    </row>
    <row r="2911" spans="1:1">
      <c r="A2911" t="s">
        <v>2392</v>
      </c>
    </row>
    <row r="2912" spans="1:1">
      <c r="A2912" t="s">
        <v>2393</v>
      </c>
    </row>
    <row r="2913" spans="1:1">
      <c r="A2913" t="s">
        <v>2394</v>
      </c>
    </row>
    <row r="2914" spans="1:1">
      <c r="A2914" t="s">
        <v>2395</v>
      </c>
    </row>
    <row r="2915" spans="1:1">
      <c r="A2915" t="s">
        <v>2396</v>
      </c>
    </row>
    <row r="2916" spans="1:1">
      <c r="A2916" t="s">
        <v>2397</v>
      </c>
    </row>
    <row r="2917" spans="1:1">
      <c r="A2917" t="s">
        <v>2398</v>
      </c>
    </row>
    <row r="2918" spans="1:1">
      <c r="A2918" t="s">
        <v>2399</v>
      </c>
    </row>
    <row r="2919" spans="1:1">
      <c r="A2919" t="s">
        <v>2400</v>
      </c>
    </row>
    <row r="2920" spans="1:1">
      <c r="A2920" t="s">
        <v>2401</v>
      </c>
    </row>
    <row r="2921" spans="1:1">
      <c r="A2921" t="s">
        <v>2402</v>
      </c>
    </row>
    <row r="2922" spans="1:1">
      <c r="A2922" t="s">
        <v>2403</v>
      </c>
    </row>
    <row r="2923" spans="1:1">
      <c r="A2923" t="s">
        <v>290</v>
      </c>
    </row>
    <row r="2924" spans="1:1">
      <c r="A2924" t="s">
        <v>2404</v>
      </c>
    </row>
    <row r="2929" spans="1:1">
      <c r="A2929" t="s">
        <v>2405</v>
      </c>
    </row>
    <row r="2930" spans="1:1">
      <c r="A2930" t="s">
        <v>240</v>
      </c>
    </row>
    <row r="2931" spans="1:1">
      <c r="A2931" t="s">
        <v>2406</v>
      </c>
    </row>
    <row r="2932" spans="1:1">
      <c r="A2932" t="s">
        <v>2407</v>
      </c>
    </row>
    <row r="2933" spans="1:1">
      <c r="A2933" t="s">
        <v>243</v>
      </c>
    </row>
    <row r="2934" spans="1:1">
      <c r="A2934" t="s">
        <v>2408</v>
      </c>
    </row>
    <row r="2935" spans="1:1">
      <c r="A2935" t="s">
        <v>245</v>
      </c>
    </row>
    <row r="2937" spans="1:1">
      <c r="A2937" t="s">
        <v>2228</v>
      </c>
    </row>
    <row r="2938" spans="1:1">
      <c r="A2938" t="s">
        <v>247</v>
      </c>
    </row>
    <row r="2939" spans="1:1">
      <c r="A2939" t="s">
        <v>2409</v>
      </c>
    </row>
    <row r="2940" spans="1:1">
      <c r="A2940" t="s">
        <v>2410</v>
      </c>
    </row>
    <row r="2941" spans="1:1">
      <c r="A2941" t="s">
        <v>2411</v>
      </c>
    </row>
    <row r="2942" spans="1:1">
      <c r="A2942" t="s">
        <v>2412</v>
      </c>
    </row>
    <row r="2943" spans="1:1">
      <c r="A2943" t="s">
        <v>2413</v>
      </c>
    </row>
    <row r="2944" spans="1:1">
      <c r="A2944" t="s">
        <v>2414</v>
      </c>
    </row>
    <row r="2945" spans="1:1">
      <c r="A2945" t="s">
        <v>2415</v>
      </c>
    </row>
    <row r="2946" spans="1:1">
      <c r="A2946" t="s">
        <v>2416</v>
      </c>
    </row>
    <row r="2947" spans="1:1">
      <c r="A2947" t="s">
        <v>2417</v>
      </c>
    </row>
    <row r="2948" spans="1:1">
      <c r="A2948" t="s">
        <v>2418</v>
      </c>
    </row>
    <row r="2949" spans="1:1">
      <c r="A2949" t="s">
        <v>2419</v>
      </c>
    </row>
    <row r="2950" spans="1:1">
      <c r="A2950" t="s">
        <v>2420</v>
      </c>
    </row>
    <row r="2951" spans="1:1">
      <c r="A2951" t="s">
        <v>2421</v>
      </c>
    </row>
    <row r="2954" spans="1:1">
      <c r="A2954" t="s">
        <v>261</v>
      </c>
    </row>
    <row r="2955" spans="1:1">
      <c r="A2955" t="s">
        <v>2422</v>
      </c>
    </row>
    <row r="2956" spans="1:1">
      <c r="A2956" t="s">
        <v>2423</v>
      </c>
    </row>
    <row r="2957" spans="1:1">
      <c r="A2957" t="s">
        <v>2424</v>
      </c>
    </row>
    <row r="2958" spans="1:1">
      <c r="A2958" t="s">
        <v>2425</v>
      </c>
    </row>
    <row r="2959" spans="1:1">
      <c r="A2959" t="s">
        <v>2426</v>
      </c>
    </row>
    <row r="2960" spans="1:1">
      <c r="A2960" t="s">
        <v>2427</v>
      </c>
    </row>
    <row r="2961" spans="1:1">
      <c r="A2961" t="s">
        <v>2428</v>
      </c>
    </row>
    <row r="2962" spans="1:1">
      <c r="A2962" t="s">
        <v>2429</v>
      </c>
    </row>
    <row r="2963" spans="1:1">
      <c r="A2963" t="s">
        <v>2430</v>
      </c>
    </row>
    <row r="2964" spans="1:1">
      <c r="A2964" t="s">
        <v>2431</v>
      </c>
    </row>
    <row r="2966" spans="1:1">
      <c r="A2966" t="s">
        <v>275</v>
      </c>
    </row>
    <row r="2967" spans="1:1">
      <c r="A2967" t="s">
        <v>2432</v>
      </c>
    </row>
    <row r="2968" spans="1:1">
      <c r="A2968" t="s">
        <v>2433</v>
      </c>
    </row>
    <row r="2969" spans="1:1">
      <c r="A2969" t="s">
        <v>2434</v>
      </c>
    </row>
    <row r="2970" spans="1:1">
      <c r="A2970" t="s">
        <v>2435</v>
      </c>
    </row>
    <row r="2971" spans="1:1">
      <c r="A2971" t="s">
        <v>2436</v>
      </c>
    </row>
    <row r="2972" spans="1:1">
      <c r="A2972" t="s">
        <v>2437</v>
      </c>
    </row>
    <row r="2973" spans="1:1">
      <c r="A2973" t="s">
        <v>2438</v>
      </c>
    </row>
    <row r="2974" spans="1:1">
      <c r="A2974" t="s">
        <v>2439</v>
      </c>
    </row>
    <row r="2975" spans="1:1">
      <c r="A2975" t="s">
        <v>2440</v>
      </c>
    </row>
    <row r="2976" spans="1:1">
      <c r="A2976" t="s">
        <v>2441</v>
      </c>
    </row>
    <row r="2977" spans="1:1">
      <c r="A2977" t="s">
        <v>2442</v>
      </c>
    </row>
    <row r="2978" spans="1:1">
      <c r="A2978" t="s">
        <v>2443</v>
      </c>
    </row>
    <row r="2979" spans="1:1">
      <c r="A2979" t="s">
        <v>2444</v>
      </c>
    </row>
    <row r="2980" spans="1:1">
      <c r="A2980" t="s">
        <v>2445</v>
      </c>
    </row>
    <row r="2981" spans="1:1">
      <c r="A2981" t="s">
        <v>290</v>
      </c>
    </row>
    <row r="2982" spans="1:1">
      <c r="A2982" t="s">
        <v>2446</v>
      </c>
    </row>
    <row r="2987" spans="1:1">
      <c r="A2987" t="s">
        <v>2447</v>
      </c>
    </row>
    <row r="2988" spans="1:1">
      <c r="A2988" t="s">
        <v>240</v>
      </c>
    </row>
    <row r="2989" spans="1:1">
      <c r="A2989" t="s">
        <v>2448</v>
      </c>
    </row>
    <row r="2990" spans="1:1">
      <c r="A2990" t="s">
        <v>2449</v>
      </c>
    </row>
    <row r="2991" spans="1:1">
      <c r="A2991" t="s">
        <v>243</v>
      </c>
    </row>
    <row r="2992" spans="1:1">
      <c r="A2992" t="s">
        <v>2450</v>
      </c>
    </row>
    <row r="2993" spans="1:1">
      <c r="A2993" t="s">
        <v>245</v>
      </c>
    </row>
    <row r="2995" spans="1:1">
      <c r="A2995" t="s">
        <v>2228</v>
      </c>
    </row>
    <row r="2996" spans="1:1">
      <c r="A2996" t="s">
        <v>247</v>
      </c>
    </row>
    <row r="2997" spans="1:1">
      <c r="A2997" t="s">
        <v>2451</v>
      </c>
    </row>
    <row r="2998" spans="1:1">
      <c r="A2998" t="s">
        <v>2452</v>
      </c>
    </row>
    <row r="2999" spans="1:1">
      <c r="A2999" t="s">
        <v>2453</v>
      </c>
    </row>
    <row r="3000" spans="1:1">
      <c r="A3000" t="s">
        <v>2454</v>
      </c>
    </row>
    <row r="3001" spans="1:1">
      <c r="A3001" t="s">
        <v>2455</v>
      </c>
    </row>
    <row r="3002" spans="1:1">
      <c r="A3002" t="s">
        <v>2456</v>
      </c>
    </row>
    <row r="3003" spans="1:1">
      <c r="A3003" t="s">
        <v>2457</v>
      </c>
    </row>
    <row r="3004" spans="1:1">
      <c r="A3004" t="s">
        <v>2458</v>
      </c>
    </row>
    <row r="3005" spans="1:1">
      <c r="A3005" t="s">
        <v>2459</v>
      </c>
    </row>
    <row r="3006" spans="1:1">
      <c r="A3006" t="s">
        <v>2460</v>
      </c>
    </row>
    <row r="3007" spans="1:1">
      <c r="A3007" t="s">
        <v>2461</v>
      </c>
    </row>
    <row r="3008" spans="1:1">
      <c r="A3008" t="s">
        <v>2462</v>
      </c>
    </row>
    <row r="3009" spans="1:1">
      <c r="A3009" t="s">
        <v>2463</v>
      </c>
    </row>
    <row r="3012" spans="1:1">
      <c r="A3012" t="s">
        <v>261</v>
      </c>
    </row>
    <row r="3013" spans="1:1">
      <c r="A3013" t="s">
        <v>2464</v>
      </c>
    </row>
    <row r="3014" spans="1:1">
      <c r="A3014" t="s">
        <v>2465</v>
      </c>
    </row>
    <row r="3015" spans="1:1">
      <c r="A3015" t="s">
        <v>2466</v>
      </c>
    </row>
    <row r="3016" spans="1:1">
      <c r="A3016" t="s">
        <v>2467</v>
      </c>
    </row>
    <row r="3017" spans="1:1">
      <c r="A3017" t="s">
        <v>2468</v>
      </c>
    </row>
    <row r="3018" spans="1:1">
      <c r="A3018" t="s">
        <v>2469</v>
      </c>
    </row>
    <row r="3019" spans="1:1">
      <c r="A3019" t="s">
        <v>2470</v>
      </c>
    </row>
    <row r="3020" spans="1:1">
      <c r="A3020" t="s">
        <v>2471</v>
      </c>
    </row>
    <row r="3021" spans="1:1">
      <c r="A3021" t="s">
        <v>2472</v>
      </c>
    </row>
    <row r="3022" spans="1:1">
      <c r="A3022" t="s">
        <v>2473</v>
      </c>
    </row>
    <row r="3023" spans="1:1">
      <c r="A3023" t="s">
        <v>2474</v>
      </c>
    </row>
    <row r="3024" spans="1:1">
      <c r="A3024" t="s">
        <v>2475</v>
      </c>
    </row>
    <row r="3025" spans="1:1">
      <c r="A3025" t="s">
        <v>2476</v>
      </c>
    </row>
    <row r="3027" spans="1:1">
      <c r="A3027" t="s">
        <v>275</v>
      </c>
    </row>
    <row r="3028" spans="1:1">
      <c r="A3028" t="s">
        <v>2477</v>
      </c>
    </row>
    <row r="3029" spans="1:1">
      <c r="A3029" t="s">
        <v>2478</v>
      </c>
    </row>
    <row r="3030" spans="1:1">
      <c r="A3030" t="s">
        <v>2479</v>
      </c>
    </row>
    <row r="3031" spans="1:1">
      <c r="A3031" t="s">
        <v>2480</v>
      </c>
    </row>
    <row r="3032" spans="1:1">
      <c r="A3032" t="s">
        <v>2481</v>
      </c>
    </row>
    <row r="3033" spans="1:1">
      <c r="A3033" t="s">
        <v>2482</v>
      </c>
    </row>
    <row r="3034" spans="1:1">
      <c r="A3034" t="s">
        <v>2483</v>
      </c>
    </row>
    <row r="3035" spans="1:1">
      <c r="A3035" t="s">
        <v>2484</v>
      </c>
    </row>
    <row r="3036" spans="1:1">
      <c r="A3036" t="s">
        <v>2485</v>
      </c>
    </row>
    <row r="3037" spans="1:1">
      <c r="A3037" t="s">
        <v>2486</v>
      </c>
    </row>
    <row r="3038" spans="1:1">
      <c r="A3038" t="s">
        <v>2487</v>
      </c>
    </row>
    <row r="3039" spans="1:1">
      <c r="A3039" t="s">
        <v>2488</v>
      </c>
    </row>
    <row r="3040" spans="1:1">
      <c r="A3040" t="s">
        <v>2489</v>
      </c>
    </row>
    <row r="3041" spans="1:1">
      <c r="A3041" t="s">
        <v>2490</v>
      </c>
    </row>
    <row r="3042" spans="1:1">
      <c r="A3042" t="s">
        <v>290</v>
      </c>
    </row>
    <row r="3043" spans="1:1">
      <c r="A3043" t="s">
        <v>2491</v>
      </c>
    </row>
    <row r="3048" spans="1:1">
      <c r="A3048" t="s">
        <v>2492</v>
      </c>
    </row>
    <row r="3049" spans="1:1">
      <c r="A3049" t="s">
        <v>240</v>
      </c>
    </row>
    <row r="3050" spans="1:1">
      <c r="A3050" t="s">
        <v>2493</v>
      </c>
    </row>
    <row r="3051" spans="1:1">
      <c r="A3051" t="s">
        <v>2494</v>
      </c>
    </row>
    <row r="3052" spans="1:1">
      <c r="A3052" t="s">
        <v>243</v>
      </c>
    </row>
    <row r="3053" spans="1:1">
      <c r="A3053" t="s">
        <v>2495</v>
      </c>
    </row>
    <row r="3054" spans="1:1">
      <c r="A3054" t="s">
        <v>245</v>
      </c>
    </row>
    <row r="3056" spans="1:1">
      <c r="A3056" t="s">
        <v>2228</v>
      </c>
    </row>
    <row r="3057" spans="1:1">
      <c r="A3057" t="s">
        <v>247</v>
      </c>
    </row>
    <row r="3058" spans="1:1">
      <c r="A3058" t="s">
        <v>2496</v>
      </c>
    </row>
    <row r="3059" spans="1:1">
      <c r="A3059" t="s">
        <v>2497</v>
      </c>
    </row>
    <row r="3060" spans="1:1">
      <c r="A3060" t="s">
        <v>2498</v>
      </c>
    </row>
    <row r="3061" spans="1:1">
      <c r="A3061" t="s">
        <v>2499</v>
      </c>
    </row>
    <row r="3062" spans="1:1">
      <c r="A3062" t="s">
        <v>2500</v>
      </c>
    </row>
    <row r="3063" spans="1:1">
      <c r="A3063" t="s">
        <v>2501</v>
      </c>
    </row>
    <row r="3064" spans="1:1">
      <c r="A3064" t="s">
        <v>2502</v>
      </c>
    </row>
    <row r="3065" spans="1:1">
      <c r="A3065" t="s">
        <v>2503</v>
      </c>
    </row>
    <row r="3066" spans="1:1">
      <c r="A3066" t="s">
        <v>2504</v>
      </c>
    </row>
    <row r="3067" spans="1:1">
      <c r="A3067" t="s">
        <v>2505</v>
      </c>
    </row>
    <row r="3068" spans="1:1">
      <c r="A3068" t="s">
        <v>2506</v>
      </c>
    </row>
    <row r="3069" spans="1:1">
      <c r="A3069" t="s">
        <v>2507</v>
      </c>
    </row>
    <row r="3070" spans="1:1">
      <c r="A3070" t="s">
        <v>2508</v>
      </c>
    </row>
    <row r="3073" spans="1:1">
      <c r="A3073" t="s">
        <v>261</v>
      </c>
    </row>
    <row r="3074" spans="1:1">
      <c r="A3074" t="s">
        <v>2509</v>
      </c>
    </row>
    <row r="3075" spans="1:1">
      <c r="A3075" t="s">
        <v>2510</v>
      </c>
    </row>
    <row r="3076" spans="1:1">
      <c r="A3076" t="s">
        <v>2511</v>
      </c>
    </row>
    <row r="3077" spans="1:1">
      <c r="A3077" t="s">
        <v>2512</v>
      </c>
    </row>
    <row r="3078" spans="1:1">
      <c r="A3078" t="s">
        <v>2513</v>
      </c>
    </row>
    <row r="3079" spans="1:1">
      <c r="A3079" t="s">
        <v>2514</v>
      </c>
    </row>
    <row r="3080" spans="1:1">
      <c r="A3080" t="s">
        <v>2515</v>
      </c>
    </row>
    <row r="3081" spans="1:1">
      <c r="A3081" t="s">
        <v>2516</v>
      </c>
    </row>
    <row r="3082" spans="1:1">
      <c r="A3082" t="s">
        <v>2517</v>
      </c>
    </row>
    <row r="3083" spans="1:1">
      <c r="A3083" t="s">
        <v>2518</v>
      </c>
    </row>
    <row r="3084" spans="1:1">
      <c r="A3084" t="s">
        <v>2519</v>
      </c>
    </row>
    <row r="3085" spans="1:1">
      <c r="A3085" t="s">
        <v>2520</v>
      </c>
    </row>
    <row r="3086" spans="1:1">
      <c r="A3086" t="s">
        <v>2521</v>
      </c>
    </row>
    <row r="3088" spans="1:1">
      <c r="A3088" t="s">
        <v>275</v>
      </c>
    </row>
    <row r="3089" spans="1:1">
      <c r="A3089" t="s">
        <v>2522</v>
      </c>
    </row>
    <row r="3090" spans="1:1">
      <c r="A3090" t="s">
        <v>2523</v>
      </c>
    </row>
    <row r="3091" spans="1:1">
      <c r="A3091" t="s">
        <v>2524</v>
      </c>
    </row>
    <row r="3092" spans="1:1">
      <c r="A3092" t="s">
        <v>2525</v>
      </c>
    </row>
    <row r="3093" spans="1:1">
      <c r="A3093" t="s">
        <v>2526</v>
      </c>
    </row>
    <row r="3094" spans="1:1">
      <c r="A3094" t="s">
        <v>2527</v>
      </c>
    </row>
    <row r="3095" spans="1:1">
      <c r="A3095" t="s">
        <v>2528</v>
      </c>
    </row>
    <row r="3096" spans="1:1">
      <c r="A3096" t="s">
        <v>2529</v>
      </c>
    </row>
    <row r="3097" spans="1:1">
      <c r="A3097" t="s">
        <v>2530</v>
      </c>
    </row>
    <row r="3098" spans="1:1">
      <c r="A3098" t="s">
        <v>2531</v>
      </c>
    </row>
    <row r="3099" spans="1:1">
      <c r="A3099" t="s">
        <v>2532</v>
      </c>
    </row>
    <row r="3100" spans="1:1">
      <c r="A3100" t="s">
        <v>2533</v>
      </c>
    </row>
    <row r="3101" spans="1:1">
      <c r="A3101" t="s">
        <v>2534</v>
      </c>
    </row>
    <row r="3102" spans="1:1">
      <c r="A3102" t="s">
        <v>2535</v>
      </c>
    </row>
    <row r="3103" spans="1:1">
      <c r="A3103" t="s">
        <v>290</v>
      </c>
    </row>
    <row r="3104" spans="1:1">
      <c r="A3104" t="s">
        <v>2536</v>
      </c>
    </row>
    <row r="3109" spans="1:1">
      <c r="A3109" t="s">
        <v>2537</v>
      </c>
    </row>
    <row r="3110" spans="1:1">
      <c r="A3110" t="s">
        <v>240</v>
      </c>
    </row>
    <row r="3111" spans="1:1">
      <c r="A3111" t="s">
        <v>2538</v>
      </c>
    </row>
    <row r="3112" spans="1:1">
      <c r="A3112" t="s">
        <v>2539</v>
      </c>
    </row>
    <row r="3113" spans="1:1">
      <c r="A3113" t="s">
        <v>243</v>
      </c>
    </row>
    <row r="3114" spans="1:1">
      <c r="A3114" t="s">
        <v>2540</v>
      </c>
    </row>
    <row r="3115" spans="1:1">
      <c r="A3115" t="s">
        <v>245</v>
      </c>
    </row>
    <row r="3117" spans="1:1">
      <c r="A3117" t="s">
        <v>2228</v>
      </c>
    </row>
    <row r="3118" spans="1:1">
      <c r="A3118" t="s">
        <v>247</v>
      </c>
    </row>
    <row r="3119" spans="1:1">
      <c r="A3119" t="s">
        <v>2541</v>
      </c>
    </row>
    <row r="3120" spans="1:1">
      <c r="A3120" t="s">
        <v>2542</v>
      </c>
    </row>
    <row r="3121" spans="1:1">
      <c r="A3121" t="s">
        <v>2543</v>
      </c>
    </row>
    <row r="3122" spans="1:1">
      <c r="A3122" t="s">
        <v>2544</v>
      </c>
    </row>
    <row r="3123" spans="1:1">
      <c r="A3123" t="s">
        <v>2545</v>
      </c>
    </row>
    <row r="3124" spans="1:1">
      <c r="A3124" t="s">
        <v>2546</v>
      </c>
    </row>
    <row r="3125" spans="1:1">
      <c r="A3125" t="s">
        <v>2547</v>
      </c>
    </row>
    <row r="3126" spans="1:1">
      <c r="A3126" t="s">
        <v>2548</v>
      </c>
    </row>
    <row r="3127" spans="1:1">
      <c r="A3127" t="s">
        <v>2549</v>
      </c>
    </row>
    <row r="3128" spans="1:1">
      <c r="A3128" t="s">
        <v>2550</v>
      </c>
    </row>
    <row r="3129" spans="1:1">
      <c r="A3129" t="s">
        <v>2551</v>
      </c>
    </row>
    <row r="3130" spans="1:1">
      <c r="A3130" t="s">
        <v>2552</v>
      </c>
    </row>
    <row r="3131" spans="1:1">
      <c r="A3131" t="s">
        <v>2553</v>
      </c>
    </row>
    <row r="3134" spans="1:1">
      <c r="A3134" t="s">
        <v>261</v>
      </c>
    </row>
    <row r="3135" spans="1:1">
      <c r="A3135" t="s">
        <v>2554</v>
      </c>
    </row>
    <row r="3136" spans="1:1">
      <c r="A3136" t="s">
        <v>2555</v>
      </c>
    </row>
    <row r="3137" spans="1:1">
      <c r="A3137" t="s">
        <v>2556</v>
      </c>
    </row>
    <row r="3138" spans="1:1">
      <c r="A3138" t="s">
        <v>2557</v>
      </c>
    </row>
    <row r="3139" spans="1:1">
      <c r="A3139" t="s">
        <v>2558</v>
      </c>
    </row>
    <row r="3140" spans="1:1">
      <c r="A3140" t="s">
        <v>2559</v>
      </c>
    </row>
    <row r="3141" spans="1:1">
      <c r="A3141" t="s">
        <v>2560</v>
      </c>
    </row>
    <row r="3142" spans="1:1">
      <c r="A3142" t="s">
        <v>2561</v>
      </c>
    </row>
    <row r="3143" spans="1:1">
      <c r="A3143" t="s">
        <v>2562</v>
      </c>
    </row>
    <row r="3144" spans="1:1">
      <c r="A3144" t="s">
        <v>2563</v>
      </c>
    </row>
    <row r="3145" spans="1:1">
      <c r="A3145" t="s">
        <v>2564</v>
      </c>
    </row>
    <row r="3146" spans="1:1">
      <c r="A3146" t="s">
        <v>2565</v>
      </c>
    </row>
    <row r="3147" spans="1:1">
      <c r="A3147" t="s">
        <v>2566</v>
      </c>
    </row>
    <row r="3149" spans="1:1">
      <c r="A3149" t="s">
        <v>275</v>
      </c>
    </row>
    <row r="3150" spans="1:1">
      <c r="A3150" t="s">
        <v>2567</v>
      </c>
    </row>
    <row r="3151" spans="1:1">
      <c r="A3151" t="s">
        <v>2568</v>
      </c>
    </row>
    <row r="3152" spans="1:1">
      <c r="A3152" t="s">
        <v>2569</v>
      </c>
    </row>
    <row r="3153" spans="1:1">
      <c r="A3153" t="s">
        <v>2570</v>
      </c>
    </row>
    <row r="3154" spans="1:1">
      <c r="A3154" t="s">
        <v>2571</v>
      </c>
    </row>
    <row r="3155" spans="1:1">
      <c r="A3155" t="s">
        <v>2572</v>
      </c>
    </row>
    <row r="3156" spans="1:1">
      <c r="A3156" t="s">
        <v>2573</v>
      </c>
    </row>
    <row r="3157" spans="1:1">
      <c r="A3157" t="s">
        <v>2574</v>
      </c>
    </row>
    <row r="3158" spans="1:1">
      <c r="A3158" t="s">
        <v>2575</v>
      </c>
    </row>
    <row r="3159" spans="1:1">
      <c r="A3159" t="s">
        <v>2576</v>
      </c>
    </row>
    <row r="3160" spans="1:1">
      <c r="A3160" t="s">
        <v>2577</v>
      </c>
    </row>
    <row r="3161" spans="1:1">
      <c r="A3161" t="s">
        <v>2578</v>
      </c>
    </row>
    <row r="3162" spans="1:1">
      <c r="A3162" t="s">
        <v>2579</v>
      </c>
    </row>
    <row r="3163" spans="1:1">
      <c r="A3163" t="s">
        <v>2580</v>
      </c>
    </row>
    <row r="3164" spans="1:1">
      <c r="A3164" t="s">
        <v>290</v>
      </c>
    </row>
    <row r="3165" spans="1:1">
      <c r="A3165" t="s">
        <v>2581</v>
      </c>
    </row>
    <row r="3170" spans="1:1">
      <c r="A3170" t="s">
        <v>2582</v>
      </c>
    </row>
    <row r="3171" spans="1:1">
      <c r="A3171" t="s">
        <v>240</v>
      </c>
    </row>
    <row r="3172" spans="1:1">
      <c r="A3172" t="s">
        <v>2583</v>
      </c>
    </row>
    <row r="3173" spans="1:1">
      <c r="A3173" t="s">
        <v>2584</v>
      </c>
    </row>
    <row r="3174" spans="1:1">
      <c r="A3174" t="s">
        <v>243</v>
      </c>
    </row>
    <row r="3175" spans="1:1">
      <c r="A3175" t="s">
        <v>2585</v>
      </c>
    </row>
    <row r="3176" spans="1:1">
      <c r="A3176" t="s">
        <v>245</v>
      </c>
    </row>
    <row r="3178" spans="1:1">
      <c r="A3178" t="s">
        <v>2228</v>
      </c>
    </row>
    <row r="3179" spans="1:1">
      <c r="A3179" t="s">
        <v>247</v>
      </c>
    </row>
    <row r="3180" spans="1:1">
      <c r="A3180" t="s">
        <v>2586</v>
      </c>
    </row>
    <row r="3181" spans="1:1">
      <c r="A3181" t="s">
        <v>2587</v>
      </c>
    </row>
    <row r="3182" spans="1:1">
      <c r="A3182" t="s">
        <v>2588</v>
      </c>
    </row>
    <row r="3183" spans="1:1">
      <c r="A3183" t="s">
        <v>2589</v>
      </c>
    </row>
    <row r="3184" spans="1:1">
      <c r="A3184" t="s">
        <v>2590</v>
      </c>
    </row>
    <row r="3185" spans="1:1">
      <c r="A3185" t="s">
        <v>2591</v>
      </c>
    </row>
    <row r="3186" spans="1:1">
      <c r="A3186" t="s">
        <v>2592</v>
      </c>
    </row>
    <row r="3187" spans="1:1">
      <c r="A3187" t="s">
        <v>2593</v>
      </c>
    </row>
    <row r="3188" spans="1:1">
      <c r="A3188" t="s">
        <v>2594</v>
      </c>
    </row>
    <row r="3189" spans="1:1">
      <c r="A3189" t="s">
        <v>2595</v>
      </c>
    </row>
    <row r="3190" spans="1:1">
      <c r="A3190" t="s">
        <v>2596</v>
      </c>
    </row>
    <row r="3191" spans="1:1">
      <c r="A3191" t="s">
        <v>2597</v>
      </c>
    </row>
    <row r="3192" spans="1:1">
      <c r="A3192" t="s">
        <v>2598</v>
      </c>
    </row>
    <row r="3195" spans="1:1">
      <c r="A3195" t="s">
        <v>261</v>
      </c>
    </row>
    <row r="3196" spans="1:1">
      <c r="A3196" t="s">
        <v>2599</v>
      </c>
    </row>
    <row r="3197" spans="1:1">
      <c r="A3197" t="s">
        <v>2600</v>
      </c>
    </row>
    <row r="3198" spans="1:1">
      <c r="A3198" t="s">
        <v>2601</v>
      </c>
    </row>
    <row r="3199" spans="1:1">
      <c r="A3199" t="s">
        <v>2602</v>
      </c>
    </row>
    <row r="3200" spans="1:1">
      <c r="A3200" t="s">
        <v>2603</v>
      </c>
    </row>
    <row r="3201" spans="1:1">
      <c r="A3201" t="s">
        <v>2604</v>
      </c>
    </row>
    <row r="3202" spans="1:1">
      <c r="A3202" t="s">
        <v>2605</v>
      </c>
    </row>
    <row r="3203" spans="1:1">
      <c r="A3203" t="s">
        <v>2606</v>
      </c>
    </row>
    <row r="3204" spans="1:1">
      <c r="A3204" t="s">
        <v>2607</v>
      </c>
    </row>
    <row r="3205" spans="1:1">
      <c r="A3205" t="s">
        <v>2608</v>
      </c>
    </row>
    <row r="3206" spans="1:1">
      <c r="A3206" t="s">
        <v>2609</v>
      </c>
    </row>
    <row r="3207" spans="1:1">
      <c r="A3207" t="s">
        <v>2610</v>
      </c>
    </row>
    <row r="3208" spans="1:1">
      <c r="A3208" t="s">
        <v>2611</v>
      </c>
    </row>
    <row r="3210" spans="1:1">
      <c r="A3210" t="s">
        <v>275</v>
      </c>
    </row>
    <row r="3211" spans="1:1">
      <c r="A3211" t="s">
        <v>2612</v>
      </c>
    </row>
    <row r="3212" spans="1:1">
      <c r="A3212" t="s">
        <v>2613</v>
      </c>
    </row>
    <row r="3213" spans="1:1">
      <c r="A3213" t="s">
        <v>2614</v>
      </c>
    </row>
    <row r="3214" spans="1:1">
      <c r="A3214" t="s">
        <v>2615</v>
      </c>
    </row>
    <row r="3215" spans="1:1">
      <c r="A3215" t="s">
        <v>2616</v>
      </c>
    </row>
    <row r="3216" spans="1:1">
      <c r="A3216" t="s">
        <v>2617</v>
      </c>
    </row>
    <row r="3217" spans="1:1">
      <c r="A3217" t="s">
        <v>2618</v>
      </c>
    </row>
    <row r="3218" spans="1:1">
      <c r="A3218" t="s">
        <v>2619</v>
      </c>
    </row>
    <row r="3219" spans="1:1">
      <c r="A3219" t="s">
        <v>2620</v>
      </c>
    </row>
    <row r="3220" spans="1:1">
      <c r="A3220" t="s">
        <v>2621</v>
      </c>
    </row>
    <row r="3221" spans="1:1">
      <c r="A3221" t="s">
        <v>2622</v>
      </c>
    </row>
    <row r="3222" spans="1:1">
      <c r="A3222" t="s">
        <v>2623</v>
      </c>
    </row>
    <row r="3223" spans="1:1">
      <c r="A3223" t="s">
        <v>2624</v>
      </c>
    </row>
    <row r="3224" spans="1:1">
      <c r="A3224" t="s">
        <v>2625</v>
      </c>
    </row>
    <row r="3225" spans="1:1">
      <c r="A3225" t="s">
        <v>290</v>
      </c>
    </row>
    <row r="3226" spans="1:1">
      <c r="A3226" t="s">
        <v>2626</v>
      </c>
    </row>
    <row r="3231" spans="1:1">
      <c r="A3231" t="s">
        <v>2627</v>
      </c>
    </row>
    <row r="3232" spans="1:1">
      <c r="A3232" t="s">
        <v>240</v>
      </c>
    </row>
    <row r="3233" spans="1:1">
      <c r="A3233" t="s">
        <v>2628</v>
      </c>
    </row>
    <row r="3234" spans="1:1">
      <c r="A3234" t="s">
        <v>2629</v>
      </c>
    </row>
    <row r="3235" spans="1:1">
      <c r="A3235" t="s">
        <v>243</v>
      </c>
    </row>
    <row r="3236" spans="1:1">
      <c r="A3236" t="s">
        <v>2630</v>
      </c>
    </row>
    <row r="3237" spans="1:1">
      <c r="A3237" t="s">
        <v>245</v>
      </c>
    </row>
    <row r="3239" spans="1:1">
      <c r="A3239" t="s">
        <v>2228</v>
      </c>
    </row>
    <row r="3240" spans="1:1">
      <c r="A3240" t="s">
        <v>247</v>
      </c>
    </row>
    <row r="3241" spans="1:1">
      <c r="A3241" t="s">
        <v>2631</v>
      </c>
    </row>
    <row r="3242" spans="1:1">
      <c r="A3242" t="s">
        <v>2632</v>
      </c>
    </row>
    <row r="3243" spans="1:1">
      <c r="A3243" t="s">
        <v>2633</v>
      </c>
    </row>
    <row r="3244" spans="1:1">
      <c r="A3244" t="s">
        <v>2634</v>
      </c>
    </row>
    <row r="3245" spans="1:1">
      <c r="A3245" t="s">
        <v>2635</v>
      </c>
    </row>
    <row r="3246" spans="1:1">
      <c r="A3246" t="s">
        <v>2636</v>
      </c>
    </row>
    <row r="3247" spans="1:1">
      <c r="A3247" t="s">
        <v>2637</v>
      </c>
    </row>
    <row r="3248" spans="1:1">
      <c r="A3248" t="s">
        <v>2638</v>
      </c>
    </row>
    <row r="3249" spans="1:1">
      <c r="A3249" t="s">
        <v>2639</v>
      </c>
    </row>
    <row r="3250" spans="1:1">
      <c r="A3250" t="s">
        <v>2640</v>
      </c>
    </row>
    <row r="3251" spans="1:1">
      <c r="A3251" t="s">
        <v>2641</v>
      </c>
    </row>
    <row r="3252" spans="1:1">
      <c r="A3252" t="s">
        <v>2642</v>
      </c>
    </row>
    <row r="3253" spans="1:1">
      <c r="A3253" t="s">
        <v>2643</v>
      </c>
    </row>
    <row r="3256" spans="1:1">
      <c r="A3256" t="s">
        <v>261</v>
      </c>
    </row>
    <row r="3257" spans="1:1">
      <c r="A3257" t="s">
        <v>2644</v>
      </c>
    </row>
    <row r="3258" spans="1:1">
      <c r="A3258" t="s">
        <v>2645</v>
      </c>
    </row>
    <row r="3259" spans="1:1">
      <c r="A3259" t="s">
        <v>2646</v>
      </c>
    </row>
    <row r="3260" spans="1:1">
      <c r="A3260" t="s">
        <v>2647</v>
      </c>
    </row>
    <row r="3261" spans="1:1">
      <c r="A3261" t="s">
        <v>2648</v>
      </c>
    </row>
    <row r="3262" spans="1:1">
      <c r="A3262" t="s">
        <v>2649</v>
      </c>
    </row>
    <row r="3263" spans="1:1">
      <c r="A3263" t="s">
        <v>2650</v>
      </c>
    </row>
    <row r="3264" spans="1:1">
      <c r="A3264" t="s">
        <v>2651</v>
      </c>
    </row>
    <row r="3265" spans="1:1">
      <c r="A3265" t="s">
        <v>2652</v>
      </c>
    </row>
    <row r="3266" spans="1:1">
      <c r="A3266" t="s">
        <v>2653</v>
      </c>
    </row>
    <row r="3267" spans="1:1">
      <c r="A3267" t="s">
        <v>2654</v>
      </c>
    </row>
    <row r="3268" spans="1:1">
      <c r="A3268" t="s">
        <v>2655</v>
      </c>
    </row>
    <row r="3269" spans="1:1">
      <c r="A3269" t="s">
        <v>2656</v>
      </c>
    </row>
    <row r="3271" spans="1:1">
      <c r="A3271" t="s">
        <v>275</v>
      </c>
    </row>
    <row r="3272" spans="1:1">
      <c r="A3272" t="s">
        <v>2657</v>
      </c>
    </row>
    <row r="3273" spans="1:1">
      <c r="A3273" t="s">
        <v>2658</v>
      </c>
    </row>
    <row r="3274" spans="1:1">
      <c r="A3274" t="s">
        <v>2659</v>
      </c>
    </row>
    <row r="3275" spans="1:1">
      <c r="A3275" t="s">
        <v>2660</v>
      </c>
    </row>
    <row r="3276" spans="1:1">
      <c r="A3276" t="s">
        <v>2661</v>
      </c>
    </row>
    <row r="3277" spans="1:1">
      <c r="A3277" t="s">
        <v>2662</v>
      </c>
    </row>
    <row r="3278" spans="1:1">
      <c r="A3278" t="s">
        <v>2663</v>
      </c>
    </row>
    <row r="3279" spans="1:1">
      <c r="A3279" t="s">
        <v>2664</v>
      </c>
    </row>
    <row r="3280" spans="1:1">
      <c r="A3280" t="s">
        <v>2665</v>
      </c>
    </row>
    <row r="3281" spans="1:1">
      <c r="A3281" t="s">
        <v>2666</v>
      </c>
    </row>
    <row r="3282" spans="1:1">
      <c r="A3282" t="s">
        <v>2667</v>
      </c>
    </row>
    <row r="3283" spans="1:1">
      <c r="A3283" t="s">
        <v>2668</v>
      </c>
    </row>
    <row r="3284" spans="1:1">
      <c r="A3284" t="s">
        <v>2669</v>
      </c>
    </row>
    <row r="3285" spans="1:1">
      <c r="A3285" t="s">
        <v>2670</v>
      </c>
    </row>
    <row r="3286" spans="1:1">
      <c r="A3286" t="s">
        <v>290</v>
      </c>
    </row>
    <row r="3287" spans="1:1">
      <c r="A3287" t="s">
        <v>2671</v>
      </c>
    </row>
    <row r="3292" spans="1:1">
      <c r="A3292" t="s">
        <v>2672</v>
      </c>
    </row>
    <row r="3293" spans="1:1">
      <c r="A3293" t="s">
        <v>240</v>
      </c>
    </row>
    <row r="3294" spans="1:1">
      <c r="A3294" t="s">
        <v>2673</v>
      </c>
    </row>
    <row r="3295" spans="1:1">
      <c r="A3295" t="s">
        <v>2674</v>
      </c>
    </row>
    <row r="3296" spans="1:1">
      <c r="A3296" t="s">
        <v>243</v>
      </c>
    </row>
    <row r="3297" spans="1:1">
      <c r="A3297" t="s">
        <v>2675</v>
      </c>
    </row>
    <row r="3298" spans="1:1">
      <c r="A3298" t="s">
        <v>245</v>
      </c>
    </row>
    <row r="3300" spans="1:1">
      <c r="A3300" t="s">
        <v>2676</v>
      </c>
    </row>
    <row r="3301" spans="1:1">
      <c r="A3301" t="s">
        <v>247</v>
      </c>
    </row>
    <row r="3302" spans="1:1">
      <c r="A3302" t="s">
        <v>2677</v>
      </c>
    </row>
    <row r="3303" spans="1:1">
      <c r="A3303" t="s">
        <v>2678</v>
      </c>
    </row>
    <row r="3304" spans="1:1">
      <c r="A3304" t="s">
        <v>2679</v>
      </c>
    </row>
    <row r="3305" spans="1:1">
      <c r="A3305" t="s">
        <v>2680</v>
      </c>
    </row>
    <row r="3306" spans="1:1">
      <c r="A3306" t="s">
        <v>2681</v>
      </c>
    </row>
    <row r="3307" spans="1:1">
      <c r="A3307" t="s">
        <v>2682</v>
      </c>
    </row>
    <row r="3308" spans="1:1">
      <c r="A3308" t="s">
        <v>2683</v>
      </c>
    </row>
    <row r="3309" spans="1:1">
      <c r="A3309" t="s">
        <v>2684</v>
      </c>
    </row>
    <row r="3310" spans="1:1">
      <c r="A3310" t="s">
        <v>2685</v>
      </c>
    </row>
    <row r="3311" spans="1:1">
      <c r="A3311" t="s">
        <v>2686</v>
      </c>
    </row>
    <row r="3312" spans="1:1">
      <c r="A3312" t="s">
        <v>2687</v>
      </c>
    </row>
    <row r="3313" spans="1:1">
      <c r="A3313" t="s">
        <v>2688</v>
      </c>
    </row>
    <row r="3314" spans="1:1">
      <c r="A3314" t="s">
        <v>2689</v>
      </c>
    </row>
    <row r="3317" spans="1:1">
      <c r="A3317" t="s">
        <v>261</v>
      </c>
    </row>
    <row r="3318" spans="1:1">
      <c r="A3318" t="s">
        <v>2690</v>
      </c>
    </row>
    <row r="3319" spans="1:1">
      <c r="A3319" t="s">
        <v>2691</v>
      </c>
    </row>
    <row r="3320" spans="1:1">
      <c r="A3320" t="s">
        <v>2692</v>
      </c>
    </row>
    <row r="3321" spans="1:1">
      <c r="A3321" t="s">
        <v>2693</v>
      </c>
    </row>
    <row r="3322" spans="1:1">
      <c r="A3322" t="s">
        <v>2694</v>
      </c>
    </row>
    <row r="3323" spans="1:1">
      <c r="A3323" t="s">
        <v>2695</v>
      </c>
    </row>
    <row r="3324" spans="1:1">
      <c r="A3324" t="s">
        <v>2696</v>
      </c>
    </row>
    <row r="3325" spans="1:1">
      <c r="A3325" t="s">
        <v>2697</v>
      </c>
    </row>
    <row r="3326" spans="1:1">
      <c r="A3326" t="s">
        <v>2698</v>
      </c>
    </row>
    <row r="3327" spans="1:1">
      <c r="A3327" t="s">
        <v>2699</v>
      </c>
    </row>
    <row r="3328" spans="1:1">
      <c r="A3328" t="s">
        <v>2700</v>
      </c>
    </row>
    <row r="3329" spans="1:1">
      <c r="A3329" t="s">
        <v>2701</v>
      </c>
    </row>
    <row r="3330" spans="1:1">
      <c r="A3330" t="s">
        <v>2702</v>
      </c>
    </row>
    <row r="3332" spans="1:1">
      <c r="A3332" t="s">
        <v>275</v>
      </c>
    </row>
    <row r="3333" spans="1:1">
      <c r="A3333" t="s">
        <v>2703</v>
      </c>
    </row>
    <row r="3334" spans="1:1">
      <c r="A3334" t="s">
        <v>2704</v>
      </c>
    </row>
    <row r="3335" spans="1:1">
      <c r="A3335" t="s">
        <v>2705</v>
      </c>
    </row>
    <row r="3336" spans="1:1">
      <c r="A3336" t="s">
        <v>2706</v>
      </c>
    </row>
    <row r="3337" spans="1:1">
      <c r="A3337" t="s">
        <v>2707</v>
      </c>
    </row>
    <row r="3338" spans="1:1">
      <c r="A3338" t="s">
        <v>2708</v>
      </c>
    </row>
    <row r="3339" spans="1:1">
      <c r="A3339" t="s">
        <v>2709</v>
      </c>
    </row>
    <row r="3340" spans="1:1">
      <c r="A3340" t="s">
        <v>2710</v>
      </c>
    </row>
    <row r="3341" spans="1:1">
      <c r="A3341" t="s">
        <v>2711</v>
      </c>
    </row>
    <row r="3342" spans="1:1">
      <c r="A3342" t="s">
        <v>2712</v>
      </c>
    </row>
    <row r="3343" spans="1:1">
      <c r="A3343" t="s">
        <v>2713</v>
      </c>
    </row>
    <row r="3344" spans="1:1">
      <c r="A3344" t="s">
        <v>2714</v>
      </c>
    </row>
    <row r="3345" spans="1:1">
      <c r="A3345" t="s">
        <v>2715</v>
      </c>
    </row>
    <row r="3346" spans="1:1">
      <c r="A3346" t="s">
        <v>2716</v>
      </c>
    </row>
    <row r="3347" spans="1:1">
      <c r="A3347" t="s">
        <v>290</v>
      </c>
    </row>
    <row r="3348" spans="1:1">
      <c r="A3348" t="s">
        <v>2717</v>
      </c>
    </row>
    <row r="3353" spans="1:1">
      <c r="A3353" t="s">
        <v>2718</v>
      </c>
    </row>
    <row r="3354" spans="1:1">
      <c r="A3354" t="s">
        <v>240</v>
      </c>
    </row>
    <row r="3355" spans="1:1">
      <c r="A3355" t="s">
        <v>2719</v>
      </c>
    </row>
    <row r="3356" spans="1:1">
      <c r="A3356" t="s">
        <v>2720</v>
      </c>
    </row>
    <row r="3357" spans="1:1">
      <c r="A3357" t="s">
        <v>243</v>
      </c>
    </row>
    <row r="3358" spans="1:1">
      <c r="A3358" t="s">
        <v>2721</v>
      </c>
    </row>
    <row r="3359" spans="1:1">
      <c r="A3359" t="s">
        <v>245</v>
      </c>
    </row>
    <row r="3361" spans="1:1">
      <c r="A3361" t="s">
        <v>2676</v>
      </c>
    </row>
    <row r="3362" spans="1:1">
      <c r="A3362" t="s">
        <v>247</v>
      </c>
    </row>
    <row r="3363" spans="1:1">
      <c r="A3363" t="s">
        <v>2722</v>
      </c>
    </row>
    <row r="3364" spans="1:1">
      <c r="A3364" t="s">
        <v>2723</v>
      </c>
    </row>
    <row r="3365" spans="1:1">
      <c r="A3365" t="s">
        <v>2724</v>
      </c>
    </row>
    <row r="3366" spans="1:1">
      <c r="A3366" t="s">
        <v>2725</v>
      </c>
    </row>
    <row r="3367" spans="1:1">
      <c r="A3367" t="s">
        <v>2726</v>
      </c>
    </row>
    <row r="3368" spans="1:1">
      <c r="A3368" t="s">
        <v>2727</v>
      </c>
    </row>
    <row r="3369" spans="1:1">
      <c r="A3369" t="s">
        <v>2728</v>
      </c>
    </row>
    <row r="3370" spans="1:1">
      <c r="A3370" t="s">
        <v>2729</v>
      </c>
    </row>
    <row r="3371" spans="1:1">
      <c r="A3371" t="s">
        <v>2730</v>
      </c>
    </row>
    <row r="3372" spans="1:1">
      <c r="A3372" t="s">
        <v>2731</v>
      </c>
    </row>
    <row r="3373" spans="1:1">
      <c r="A3373" t="s">
        <v>2732</v>
      </c>
    </row>
    <row r="3374" spans="1:1">
      <c r="A3374" t="s">
        <v>2733</v>
      </c>
    </row>
    <row r="3375" spans="1:1">
      <c r="A3375" t="s">
        <v>2734</v>
      </c>
    </row>
    <row r="3378" spans="1:1">
      <c r="A3378" t="s">
        <v>261</v>
      </c>
    </row>
    <row r="3379" spans="1:1">
      <c r="A3379" t="s">
        <v>2735</v>
      </c>
    </row>
    <row r="3380" spans="1:1">
      <c r="A3380" t="s">
        <v>2736</v>
      </c>
    </row>
    <row r="3381" spans="1:1">
      <c r="A3381" t="s">
        <v>2737</v>
      </c>
    </row>
    <row r="3382" spans="1:1">
      <c r="A3382" t="s">
        <v>2738</v>
      </c>
    </row>
    <row r="3383" spans="1:1">
      <c r="A3383" t="s">
        <v>2739</v>
      </c>
    </row>
    <row r="3384" spans="1:1">
      <c r="A3384" t="s">
        <v>2740</v>
      </c>
    </row>
    <row r="3385" spans="1:1">
      <c r="A3385" t="s">
        <v>2741</v>
      </c>
    </row>
    <row r="3386" spans="1:1">
      <c r="A3386" t="s">
        <v>2742</v>
      </c>
    </row>
    <row r="3387" spans="1:1">
      <c r="A3387" t="s">
        <v>2743</v>
      </c>
    </row>
    <row r="3388" spans="1:1">
      <c r="A3388" t="s">
        <v>2744</v>
      </c>
    </row>
    <row r="3389" spans="1:1">
      <c r="A3389" t="s">
        <v>2745</v>
      </c>
    </row>
    <row r="3390" spans="1:1">
      <c r="A3390" t="s">
        <v>2746</v>
      </c>
    </row>
    <row r="3391" spans="1:1">
      <c r="A3391" t="s">
        <v>2747</v>
      </c>
    </row>
    <row r="3393" spans="1:1">
      <c r="A3393" t="s">
        <v>275</v>
      </c>
    </row>
    <row r="3394" spans="1:1">
      <c r="A3394" t="s">
        <v>2748</v>
      </c>
    </row>
    <row r="3395" spans="1:1">
      <c r="A3395" t="s">
        <v>2749</v>
      </c>
    </row>
    <row r="3396" spans="1:1">
      <c r="A3396" t="s">
        <v>2750</v>
      </c>
    </row>
    <row r="3397" spans="1:1">
      <c r="A3397" t="s">
        <v>2751</v>
      </c>
    </row>
    <row r="3398" spans="1:1">
      <c r="A3398" t="s">
        <v>2752</v>
      </c>
    </row>
    <row r="3399" spans="1:1">
      <c r="A3399" t="s">
        <v>2753</v>
      </c>
    </row>
    <row r="3400" spans="1:1">
      <c r="A3400" t="s">
        <v>2754</v>
      </c>
    </row>
    <row r="3401" spans="1:1">
      <c r="A3401" t="s">
        <v>2755</v>
      </c>
    </row>
    <row r="3402" spans="1:1">
      <c r="A3402" t="s">
        <v>2756</v>
      </c>
    </row>
    <row r="3403" spans="1:1">
      <c r="A3403" t="s">
        <v>2757</v>
      </c>
    </row>
    <row r="3404" spans="1:1">
      <c r="A3404" t="s">
        <v>2758</v>
      </c>
    </row>
    <row r="3405" spans="1:1">
      <c r="A3405" t="s">
        <v>2759</v>
      </c>
    </row>
    <row r="3406" spans="1:1">
      <c r="A3406" t="s">
        <v>2760</v>
      </c>
    </row>
    <row r="3407" spans="1:1">
      <c r="A3407" t="s">
        <v>2761</v>
      </c>
    </row>
    <row r="3408" spans="1:1">
      <c r="A3408" t="s">
        <v>290</v>
      </c>
    </row>
    <row r="3409" spans="1:1">
      <c r="A3409" t="s">
        <v>2762</v>
      </c>
    </row>
    <row r="3414" spans="1:1">
      <c r="A3414" t="s">
        <v>2763</v>
      </c>
    </row>
    <row r="3415" spans="1:1">
      <c r="A3415" t="s">
        <v>240</v>
      </c>
    </row>
    <row r="3416" spans="1:1">
      <c r="A3416" t="s">
        <v>2764</v>
      </c>
    </row>
    <row r="3417" spans="1:1">
      <c r="A3417" t="s">
        <v>2765</v>
      </c>
    </row>
    <row r="3418" spans="1:1">
      <c r="A3418" t="s">
        <v>243</v>
      </c>
    </row>
    <row r="3419" spans="1:1">
      <c r="A3419" t="s">
        <v>2766</v>
      </c>
    </row>
    <row r="3420" spans="1:1">
      <c r="A3420" t="s">
        <v>245</v>
      </c>
    </row>
    <row r="3422" spans="1:1">
      <c r="A3422" t="s">
        <v>2676</v>
      </c>
    </row>
    <row r="3423" spans="1:1">
      <c r="A3423" t="s">
        <v>247</v>
      </c>
    </row>
    <row r="3424" spans="1:1">
      <c r="A3424" t="s">
        <v>2767</v>
      </c>
    </row>
    <row r="3425" spans="1:1">
      <c r="A3425" t="s">
        <v>2768</v>
      </c>
    </row>
    <row r="3426" spans="1:1">
      <c r="A3426" t="s">
        <v>2769</v>
      </c>
    </row>
    <row r="3427" spans="1:1">
      <c r="A3427" t="s">
        <v>2770</v>
      </c>
    </row>
    <row r="3428" spans="1:1">
      <c r="A3428" t="s">
        <v>2771</v>
      </c>
    </row>
    <row r="3429" spans="1:1">
      <c r="A3429" t="s">
        <v>2772</v>
      </c>
    </row>
    <row r="3430" spans="1:1">
      <c r="A3430" t="s">
        <v>2773</v>
      </c>
    </row>
    <row r="3431" spans="1:1">
      <c r="A3431" t="s">
        <v>2774</v>
      </c>
    </row>
    <row r="3432" spans="1:1">
      <c r="A3432" t="s">
        <v>2775</v>
      </c>
    </row>
    <row r="3433" spans="1:1">
      <c r="A3433" t="s">
        <v>2776</v>
      </c>
    </row>
    <row r="3434" spans="1:1">
      <c r="A3434" t="s">
        <v>2777</v>
      </c>
    </row>
    <row r="3435" spans="1:1">
      <c r="A3435" t="s">
        <v>2778</v>
      </c>
    </row>
    <row r="3436" spans="1:1">
      <c r="A3436" t="s">
        <v>2779</v>
      </c>
    </row>
    <row r="3439" spans="1:1">
      <c r="A3439" t="s">
        <v>261</v>
      </c>
    </row>
    <row r="3440" spans="1:1">
      <c r="A3440" t="s">
        <v>2780</v>
      </c>
    </row>
    <row r="3441" spans="1:1">
      <c r="A3441" t="s">
        <v>2781</v>
      </c>
    </row>
    <row r="3442" spans="1:1">
      <c r="A3442" t="s">
        <v>2782</v>
      </c>
    </row>
    <row r="3443" spans="1:1">
      <c r="A3443" t="s">
        <v>2783</v>
      </c>
    </row>
    <row r="3444" spans="1:1">
      <c r="A3444" t="s">
        <v>2784</v>
      </c>
    </row>
    <row r="3445" spans="1:1">
      <c r="A3445" t="s">
        <v>2785</v>
      </c>
    </row>
    <row r="3446" spans="1:1">
      <c r="A3446" t="s">
        <v>2786</v>
      </c>
    </row>
    <row r="3447" spans="1:1">
      <c r="A3447" t="s">
        <v>2787</v>
      </c>
    </row>
    <row r="3448" spans="1:1">
      <c r="A3448" t="s">
        <v>2788</v>
      </c>
    </row>
    <row r="3449" spans="1:1">
      <c r="A3449" t="s">
        <v>2789</v>
      </c>
    </row>
    <row r="3450" spans="1:1">
      <c r="A3450" t="s">
        <v>2790</v>
      </c>
    </row>
    <row r="3451" spans="1:1">
      <c r="A3451" t="s">
        <v>2791</v>
      </c>
    </row>
    <row r="3452" spans="1:1">
      <c r="A3452" t="s">
        <v>2792</v>
      </c>
    </row>
    <row r="3454" spans="1:1">
      <c r="A3454" t="s">
        <v>275</v>
      </c>
    </row>
    <row r="3455" spans="1:1">
      <c r="A3455" t="s">
        <v>2793</v>
      </c>
    </row>
    <row r="3456" spans="1:1">
      <c r="A3456" t="s">
        <v>2794</v>
      </c>
    </row>
    <row r="3457" spans="1:1">
      <c r="A3457" t="s">
        <v>2795</v>
      </c>
    </row>
    <row r="3458" spans="1:1">
      <c r="A3458" t="s">
        <v>2796</v>
      </c>
    </row>
    <row r="3459" spans="1:1">
      <c r="A3459" t="s">
        <v>2797</v>
      </c>
    </row>
    <row r="3460" spans="1:1">
      <c r="A3460" t="s">
        <v>2798</v>
      </c>
    </row>
    <row r="3461" spans="1:1">
      <c r="A3461" t="s">
        <v>2799</v>
      </c>
    </row>
    <row r="3462" spans="1:1">
      <c r="A3462" t="s">
        <v>2800</v>
      </c>
    </row>
    <row r="3463" spans="1:1">
      <c r="A3463" t="s">
        <v>2801</v>
      </c>
    </row>
    <row r="3464" spans="1:1">
      <c r="A3464" t="s">
        <v>2802</v>
      </c>
    </row>
    <row r="3465" spans="1:1">
      <c r="A3465" t="s">
        <v>2803</v>
      </c>
    </row>
    <row r="3466" spans="1:1">
      <c r="A3466" t="s">
        <v>2804</v>
      </c>
    </row>
    <row r="3467" spans="1:1">
      <c r="A3467" t="s">
        <v>2805</v>
      </c>
    </row>
    <row r="3468" spans="1:1">
      <c r="A3468" t="s">
        <v>2806</v>
      </c>
    </row>
    <row r="3469" spans="1:1">
      <c r="A3469" t="s">
        <v>290</v>
      </c>
    </row>
    <row r="3470" spans="1:1">
      <c r="A3470" t="s">
        <v>2807</v>
      </c>
    </row>
    <row r="3475" spans="1:1">
      <c r="A3475" t="s">
        <v>2808</v>
      </c>
    </row>
    <row r="3476" spans="1:1">
      <c r="A3476" t="s">
        <v>240</v>
      </c>
    </row>
    <row r="3477" spans="1:1">
      <c r="A3477" t="s">
        <v>2809</v>
      </c>
    </row>
    <row r="3478" spans="1:1">
      <c r="A3478" t="s">
        <v>2810</v>
      </c>
    </row>
    <row r="3479" spans="1:1">
      <c r="A3479" t="s">
        <v>243</v>
      </c>
    </row>
    <row r="3480" spans="1:1">
      <c r="A3480" t="s">
        <v>2811</v>
      </c>
    </row>
    <row r="3481" spans="1:1">
      <c r="A3481" t="s">
        <v>245</v>
      </c>
    </row>
    <row r="3483" spans="1:1">
      <c r="A3483" t="s">
        <v>2676</v>
      </c>
    </row>
    <row r="3484" spans="1:1">
      <c r="A3484" t="s">
        <v>247</v>
      </c>
    </row>
    <row r="3485" spans="1:1">
      <c r="A3485" t="s">
        <v>2812</v>
      </c>
    </row>
    <row r="3486" spans="1:1">
      <c r="A3486" t="s">
        <v>2813</v>
      </c>
    </row>
    <row r="3487" spans="1:1">
      <c r="A3487" t="s">
        <v>2814</v>
      </c>
    </row>
    <row r="3488" spans="1:1">
      <c r="A3488" t="s">
        <v>2815</v>
      </c>
    </row>
    <row r="3489" spans="1:1">
      <c r="A3489" t="s">
        <v>2816</v>
      </c>
    </row>
    <row r="3490" spans="1:1">
      <c r="A3490" t="s">
        <v>2817</v>
      </c>
    </row>
    <row r="3491" spans="1:1">
      <c r="A3491" t="s">
        <v>2818</v>
      </c>
    </row>
    <row r="3492" spans="1:1">
      <c r="A3492" t="s">
        <v>2819</v>
      </c>
    </row>
    <row r="3493" spans="1:1">
      <c r="A3493" t="s">
        <v>2820</v>
      </c>
    </row>
    <row r="3494" spans="1:1">
      <c r="A3494" t="s">
        <v>2821</v>
      </c>
    </row>
    <row r="3495" spans="1:1">
      <c r="A3495" t="s">
        <v>2822</v>
      </c>
    </row>
    <row r="3496" spans="1:1">
      <c r="A3496" t="s">
        <v>2823</v>
      </c>
    </row>
    <row r="3497" spans="1:1">
      <c r="A3497" t="s">
        <v>2824</v>
      </c>
    </row>
    <row r="3500" spans="1:1">
      <c r="A3500" t="s">
        <v>261</v>
      </c>
    </row>
    <row r="3501" spans="1:1">
      <c r="A3501" t="s">
        <v>2825</v>
      </c>
    </row>
    <row r="3502" spans="1:1">
      <c r="A3502" t="s">
        <v>2826</v>
      </c>
    </row>
    <row r="3503" spans="1:1">
      <c r="A3503" t="s">
        <v>2827</v>
      </c>
    </row>
    <row r="3504" spans="1:1">
      <c r="A3504" t="s">
        <v>2828</v>
      </c>
    </row>
    <row r="3505" spans="1:1">
      <c r="A3505" t="s">
        <v>2829</v>
      </c>
    </row>
    <row r="3506" spans="1:1">
      <c r="A3506" t="s">
        <v>2830</v>
      </c>
    </row>
    <row r="3507" spans="1:1">
      <c r="A3507" t="s">
        <v>2831</v>
      </c>
    </row>
    <row r="3508" spans="1:1">
      <c r="A3508" t="s">
        <v>2832</v>
      </c>
    </row>
    <row r="3509" spans="1:1">
      <c r="A3509" t="s">
        <v>2833</v>
      </c>
    </row>
    <row r="3510" spans="1:1">
      <c r="A3510" t="s">
        <v>2834</v>
      </c>
    </row>
    <row r="3511" spans="1:1">
      <c r="A3511" t="s">
        <v>2835</v>
      </c>
    </row>
    <row r="3512" spans="1:1">
      <c r="A3512" t="s">
        <v>2836</v>
      </c>
    </row>
    <row r="3513" spans="1:1">
      <c r="A3513" t="s">
        <v>2837</v>
      </c>
    </row>
    <row r="3515" spans="1:1">
      <c r="A3515" t="s">
        <v>275</v>
      </c>
    </row>
    <row r="3516" spans="1:1">
      <c r="A3516" t="s">
        <v>2838</v>
      </c>
    </row>
    <row r="3517" spans="1:1">
      <c r="A3517" t="s">
        <v>2839</v>
      </c>
    </row>
    <row r="3518" spans="1:1">
      <c r="A3518" t="s">
        <v>2840</v>
      </c>
    </row>
    <row r="3519" spans="1:1">
      <c r="A3519" t="s">
        <v>2841</v>
      </c>
    </row>
    <row r="3520" spans="1:1">
      <c r="A3520" t="s">
        <v>2842</v>
      </c>
    </row>
    <row r="3521" spans="1:1">
      <c r="A3521" t="s">
        <v>2843</v>
      </c>
    </row>
    <row r="3522" spans="1:1">
      <c r="A3522" t="s">
        <v>2844</v>
      </c>
    </row>
    <row r="3523" spans="1:1">
      <c r="A3523" t="s">
        <v>2845</v>
      </c>
    </row>
    <row r="3524" spans="1:1">
      <c r="A3524" t="s">
        <v>2846</v>
      </c>
    </row>
    <row r="3525" spans="1:1">
      <c r="A3525" t="s">
        <v>2847</v>
      </c>
    </row>
    <row r="3526" spans="1:1">
      <c r="A3526" t="s">
        <v>2848</v>
      </c>
    </row>
    <row r="3527" spans="1:1">
      <c r="A3527" t="s">
        <v>2849</v>
      </c>
    </row>
    <row r="3528" spans="1:1">
      <c r="A3528" t="s">
        <v>2850</v>
      </c>
    </row>
    <row r="3529" spans="1:1">
      <c r="A3529" t="s">
        <v>2851</v>
      </c>
    </row>
    <row r="3530" spans="1:1">
      <c r="A3530" t="s">
        <v>290</v>
      </c>
    </row>
    <row r="3531" spans="1:1">
      <c r="A3531" t="s">
        <v>2852</v>
      </c>
    </row>
    <row r="3536" spans="1:1">
      <c r="A3536" t="s">
        <v>2853</v>
      </c>
    </row>
    <row r="3537" spans="1:1">
      <c r="A3537" t="s">
        <v>240</v>
      </c>
    </row>
    <row r="3538" spans="1:1">
      <c r="A3538" t="s">
        <v>2854</v>
      </c>
    </row>
    <row r="3539" spans="1:1">
      <c r="A3539" t="s">
        <v>2855</v>
      </c>
    </row>
    <row r="3540" spans="1:1">
      <c r="A3540" t="s">
        <v>243</v>
      </c>
    </row>
    <row r="3541" spans="1:1">
      <c r="A3541" t="s">
        <v>2856</v>
      </c>
    </row>
    <row r="3542" spans="1:1">
      <c r="A3542" t="s">
        <v>245</v>
      </c>
    </row>
    <row r="3544" spans="1:1">
      <c r="A3544" t="s">
        <v>2228</v>
      </c>
    </row>
    <row r="3545" spans="1:1">
      <c r="A3545" t="s">
        <v>247</v>
      </c>
    </row>
    <row r="3546" spans="1:1">
      <c r="A3546" t="s">
        <v>2857</v>
      </c>
    </row>
    <row r="3547" spans="1:1">
      <c r="A3547" t="s">
        <v>2858</v>
      </c>
    </row>
    <row r="3548" spans="1:1">
      <c r="A3548" t="s">
        <v>2859</v>
      </c>
    </row>
    <row r="3549" spans="1:1">
      <c r="A3549" t="s">
        <v>2860</v>
      </c>
    </row>
    <row r="3550" spans="1:1">
      <c r="A3550" t="s">
        <v>2861</v>
      </c>
    </row>
    <row r="3551" spans="1:1">
      <c r="A3551" t="s">
        <v>2862</v>
      </c>
    </row>
    <row r="3552" spans="1:1">
      <c r="A3552" t="s">
        <v>2863</v>
      </c>
    </row>
    <row r="3553" spans="1:1">
      <c r="A3553" t="s">
        <v>2864</v>
      </c>
    </row>
    <row r="3554" spans="1:1">
      <c r="A3554" t="s">
        <v>2865</v>
      </c>
    </row>
    <row r="3555" spans="1:1">
      <c r="A3555" t="s">
        <v>2866</v>
      </c>
    </row>
    <row r="3556" spans="1:1">
      <c r="A3556" t="s">
        <v>2867</v>
      </c>
    </row>
    <row r="3557" spans="1:1">
      <c r="A3557" t="s">
        <v>2868</v>
      </c>
    </row>
    <row r="3558" spans="1:1">
      <c r="A3558" t="s">
        <v>2869</v>
      </c>
    </row>
    <row r="3561" spans="1:1">
      <c r="A3561" t="s">
        <v>261</v>
      </c>
    </row>
    <row r="3562" spans="1:1">
      <c r="A3562" t="s">
        <v>2870</v>
      </c>
    </row>
    <row r="3563" spans="1:1">
      <c r="A3563" t="s">
        <v>2871</v>
      </c>
    </row>
    <row r="3564" spans="1:1">
      <c r="A3564" t="s">
        <v>2872</v>
      </c>
    </row>
    <row r="3565" spans="1:1">
      <c r="A3565" t="s">
        <v>2873</v>
      </c>
    </row>
    <row r="3566" spans="1:1">
      <c r="A3566" t="s">
        <v>2874</v>
      </c>
    </row>
    <row r="3567" spans="1:1">
      <c r="A3567" t="s">
        <v>2875</v>
      </c>
    </row>
    <row r="3568" spans="1:1">
      <c r="A3568" t="s">
        <v>2876</v>
      </c>
    </row>
    <row r="3569" spans="1:1">
      <c r="A3569" t="s">
        <v>2877</v>
      </c>
    </row>
    <row r="3570" spans="1:1">
      <c r="A3570" t="s">
        <v>2878</v>
      </c>
    </row>
    <row r="3571" spans="1:1">
      <c r="A3571" t="s">
        <v>2879</v>
      </c>
    </row>
    <row r="3572" spans="1:1">
      <c r="A3572" t="s">
        <v>2880</v>
      </c>
    </row>
    <row r="3573" spans="1:1">
      <c r="A3573" t="s">
        <v>2881</v>
      </c>
    </row>
    <row r="3574" spans="1:1">
      <c r="A3574" t="s">
        <v>2882</v>
      </c>
    </row>
    <row r="3576" spans="1:1">
      <c r="A3576" t="s">
        <v>275</v>
      </c>
    </row>
    <row r="3577" spans="1:1">
      <c r="A3577" t="s">
        <v>2883</v>
      </c>
    </row>
    <row r="3578" spans="1:1">
      <c r="A3578" t="s">
        <v>2884</v>
      </c>
    </row>
    <row r="3579" spans="1:1">
      <c r="A3579" t="s">
        <v>2885</v>
      </c>
    </row>
    <row r="3580" spans="1:1">
      <c r="A3580" t="s">
        <v>2886</v>
      </c>
    </row>
    <row r="3581" spans="1:1">
      <c r="A3581" t="s">
        <v>2887</v>
      </c>
    </row>
    <row r="3582" spans="1:1">
      <c r="A3582" t="s">
        <v>2888</v>
      </c>
    </row>
    <row r="3583" spans="1:1">
      <c r="A3583" t="s">
        <v>2889</v>
      </c>
    </row>
    <row r="3584" spans="1:1">
      <c r="A3584" t="s">
        <v>2890</v>
      </c>
    </row>
    <row r="3585" spans="1:1">
      <c r="A3585" t="s">
        <v>2891</v>
      </c>
    </row>
    <row r="3586" spans="1:1">
      <c r="A3586" t="s">
        <v>2892</v>
      </c>
    </row>
    <row r="3587" spans="1:1">
      <c r="A3587" t="s">
        <v>2893</v>
      </c>
    </row>
    <row r="3588" spans="1:1">
      <c r="A3588" t="s">
        <v>2894</v>
      </c>
    </row>
    <row r="3589" spans="1:1">
      <c r="A3589" t="s">
        <v>2895</v>
      </c>
    </row>
    <row r="3590" spans="1:1">
      <c r="A3590" t="s">
        <v>2896</v>
      </c>
    </row>
    <row r="3591" spans="1:1">
      <c r="A3591" t="s">
        <v>290</v>
      </c>
    </row>
    <row r="3592" spans="1:1">
      <c r="A3592" t="s">
        <v>2897</v>
      </c>
    </row>
    <row r="3597" spans="1:1">
      <c r="A3597" t="s">
        <v>2898</v>
      </c>
    </row>
    <row r="3598" spans="1:1">
      <c r="A3598" t="s">
        <v>240</v>
      </c>
    </row>
    <row r="3599" spans="1:1">
      <c r="A3599" t="s">
        <v>2899</v>
      </c>
    </row>
    <row r="3600" spans="1:1">
      <c r="A3600" t="s">
        <v>2900</v>
      </c>
    </row>
    <row r="3601" spans="1:1">
      <c r="A3601" t="s">
        <v>243</v>
      </c>
    </row>
    <row r="3602" spans="1:1">
      <c r="A3602" t="s">
        <v>2901</v>
      </c>
    </row>
    <row r="3603" spans="1:1">
      <c r="A3603" t="s">
        <v>245</v>
      </c>
    </row>
    <row r="3605" spans="1:1">
      <c r="A3605" t="s">
        <v>2676</v>
      </c>
    </row>
    <row r="3606" spans="1:1">
      <c r="A3606" t="s">
        <v>247</v>
      </c>
    </row>
    <row r="3607" spans="1:1">
      <c r="A3607" t="s">
        <v>2902</v>
      </c>
    </row>
    <row r="3608" spans="1:1">
      <c r="A3608" t="s">
        <v>2903</v>
      </c>
    </row>
    <row r="3609" spans="1:1">
      <c r="A3609" t="s">
        <v>2904</v>
      </c>
    </row>
    <row r="3610" spans="1:1">
      <c r="A3610" t="s">
        <v>2905</v>
      </c>
    </row>
    <row r="3611" spans="1:1">
      <c r="A3611" t="s">
        <v>2906</v>
      </c>
    </row>
    <row r="3612" spans="1:1">
      <c r="A3612" t="s">
        <v>2907</v>
      </c>
    </row>
    <row r="3613" spans="1:1">
      <c r="A3613" t="s">
        <v>2908</v>
      </c>
    </row>
    <row r="3614" spans="1:1">
      <c r="A3614" t="s">
        <v>2909</v>
      </c>
    </row>
    <row r="3615" spans="1:1">
      <c r="A3615" t="s">
        <v>2910</v>
      </c>
    </row>
    <row r="3616" spans="1:1">
      <c r="A3616" t="s">
        <v>2911</v>
      </c>
    </row>
    <row r="3617" spans="1:1">
      <c r="A3617" t="s">
        <v>2912</v>
      </c>
    </row>
    <row r="3618" spans="1:1">
      <c r="A3618" t="s">
        <v>2913</v>
      </c>
    </row>
    <row r="3619" spans="1:1">
      <c r="A3619" t="s">
        <v>2914</v>
      </c>
    </row>
    <row r="3622" spans="1:1">
      <c r="A3622" t="s">
        <v>261</v>
      </c>
    </row>
    <row r="3623" spans="1:1">
      <c r="A3623" t="s">
        <v>2915</v>
      </c>
    </row>
    <row r="3624" spans="1:1">
      <c r="A3624" t="s">
        <v>2916</v>
      </c>
    </row>
    <row r="3625" spans="1:1">
      <c r="A3625" t="s">
        <v>2917</v>
      </c>
    </row>
    <row r="3626" spans="1:1">
      <c r="A3626" t="s">
        <v>2918</v>
      </c>
    </row>
    <row r="3627" spans="1:1">
      <c r="A3627" t="s">
        <v>2919</v>
      </c>
    </row>
    <row r="3628" spans="1:1">
      <c r="A3628" t="s">
        <v>582</v>
      </c>
    </row>
    <row r="3629" spans="1:1">
      <c r="A3629" t="s">
        <v>2920</v>
      </c>
    </row>
    <row r="3630" spans="1:1">
      <c r="A3630" t="s">
        <v>2921</v>
      </c>
    </row>
    <row r="3631" spans="1:1">
      <c r="A3631" t="s">
        <v>2922</v>
      </c>
    </row>
    <row r="3632" spans="1:1">
      <c r="A3632" t="s">
        <v>2923</v>
      </c>
    </row>
    <row r="3634" spans="1:1">
      <c r="A3634" t="s">
        <v>275</v>
      </c>
    </row>
    <row r="3635" spans="1:1">
      <c r="A3635" t="s">
        <v>2924</v>
      </c>
    </row>
    <row r="3636" spans="1:1">
      <c r="A3636" t="s">
        <v>2925</v>
      </c>
    </row>
    <row r="3637" spans="1:1">
      <c r="A3637" t="s">
        <v>2926</v>
      </c>
    </row>
    <row r="3638" spans="1:1">
      <c r="A3638" t="s">
        <v>2927</v>
      </c>
    </row>
    <row r="3639" spans="1:1">
      <c r="A3639" t="s">
        <v>2928</v>
      </c>
    </row>
    <row r="3640" spans="1:1">
      <c r="A3640" t="s">
        <v>592</v>
      </c>
    </row>
    <row r="3641" spans="1:1">
      <c r="A3641" t="s">
        <v>2929</v>
      </c>
    </row>
    <row r="3642" spans="1:1">
      <c r="A3642" t="s">
        <v>2930</v>
      </c>
    </row>
    <row r="3643" spans="1:1">
      <c r="A3643" t="s">
        <v>2931</v>
      </c>
    </row>
    <row r="3644" spans="1:1">
      <c r="A3644" t="s">
        <v>2932</v>
      </c>
    </row>
    <row r="3645" spans="1:1">
      <c r="A3645" t="s">
        <v>2933</v>
      </c>
    </row>
    <row r="3646" spans="1:1">
      <c r="A3646" t="s">
        <v>2934</v>
      </c>
    </row>
    <row r="3647" spans="1:1">
      <c r="A3647" t="s">
        <v>2935</v>
      </c>
    </row>
    <row r="3648" spans="1:1">
      <c r="A3648" t="s">
        <v>2936</v>
      </c>
    </row>
    <row r="3649" spans="1:1">
      <c r="A3649" t="s">
        <v>290</v>
      </c>
    </row>
    <row r="3650" spans="1:1">
      <c r="A3650" t="s">
        <v>2937</v>
      </c>
    </row>
    <row r="3655" spans="1:1">
      <c r="A3655" t="s">
        <v>2938</v>
      </c>
    </row>
    <row r="3656" spans="1:1">
      <c r="A3656" t="s">
        <v>240</v>
      </c>
    </row>
    <row r="3657" spans="1:1">
      <c r="A3657" t="s">
        <v>2939</v>
      </c>
    </row>
    <row r="3658" spans="1:1">
      <c r="A3658" t="s">
        <v>2940</v>
      </c>
    </row>
    <row r="3659" spans="1:1">
      <c r="A3659" t="s">
        <v>243</v>
      </c>
    </row>
    <row r="3660" spans="1:1">
      <c r="A3660" t="s">
        <v>2941</v>
      </c>
    </row>
    <row r="3661" spans="1:1">
      <c r="A3661" t="s">
        <v>245</v>
      </c>
    </row>
    <row r="3663" spans="1:1">
      <c r="A3663" t="s">
        <v>2676</v>
      </c>
    </row>
    <row r="3664" spans="1:1">
      <c r="A3664" t="s">
        <v>247</v>
      </c>
    </row>
    <row r="3665" spans="1:1">
      <c r="A3665" t="s">
        <v>2942</v>
      </c>
    </row>
    <row r="3666" spans="1:1">
      <c r="A3666" t="s">
        <v>2943</v>
      </c>
    </row>
    <row r="3667" spans="1:1">
      <c r="A3667" t="s">
        <v>2944</v>
      </c>
    </row>
    <row r="3668" spans="1:1">
      <c r="A3668" t="s">
        <v>2945</v>
      </c>
    </row>
    <row r="3669" spans="1:1">
      <c r="A3669" t="s">
        <v>2946</v>
      </c>
    </row>
    <row r="3670" spans="1:1">
      <c r="A3670" t="s">
        <v>2947</v>
      </c>
    </row>
    <row r="3671" spans="1:1">
      <c r="A3671" t="s">
        <v>2948</v>
      </c>
    </row>
    <row r="3672" spans="1:1">
      <c r="A3672" t="s">
        <v>2949</v>
      </c>
    </row>
    <row r="3673" spans="1:1">
      <c r="A3673" t="s">
        <v>2950</v>
      </c>
    </row>
    <row r="3674" spans="1:1">
      <c r="A3674" t="s">
        <v>2951</v>
      </c>
    </row>
    <row r="3675" spans="1:1">
      <c r="A3675" t="s">
        <v>2952</v>
      </c>
    </row>
    <row r="3676" spans="1:1">
      <c r="A3676" t="s">
        <v>2953</v>
      </c>
    </row>
    <row r="3677" spans="1:1">
      <c r="A3677" t="s">
        <v>2954</v>
      </c>
    </row>
    <row r="3680" spans="1:1">
      <c r="A3680" t="s">
        <v>261</v>
      </c>
    </row>
    <row r="3681" spans="1:1">
      <c r="A3681" t="s">
        <v>2955</v>
      </c>
    </row>
    <row r="3682" spans="1:1">
      <c r="A3682" t="s">
        <v>2956</v>
      </c>
    </row>
    <row r="3683" spans="1:1">
      <c r="A3683" t="s">
        <v>2957</v>
      </c>
    </row>
    <row r="3684" spans="1:1">
      <c r="A3684" t="s">
        <v>2958</v>
      </c>
    </row>
    <row r="3685" spans="1:1">
      <c r="A3685" t="s">
        <v>2959</v>
      </c>
    </row>
    <row r="3686" spans="1:1">
      <c r="A3686" t="s">
        <v>2960</v>
      </c>
    </row>
    <row r="3687" spans="1:1">
      <c r="A3687" t="s">
        <v>2961</v>
      </c>
    </row>
    <row r="3688" spans="1:1">
      <c r="A3688" t="s">
        <v>2962</v>
      </c>
    </row>
    <row r="3689" spans="1:1">
      <c r="A3689" t="s">
        <v>2963</v>
      </c>
    </row>
    <row r="3690" spans="1:1">
      <c r="A3690" t="s">
        <v>2964</v>
      </c>
    </row>
    <row r="3691" spans="1:1">
      <c r="A3691" t="s">
        <v>2965</v>
      </c>
    </row>
    <row r="3693" spans="1:1">
      <c r="A3693" t="s">
        <v>275</v>
      </c>
    </row>
    <row r="3694" spans="1:1">
      <c r="A3694" t="s">
        <v>2966</v>
      </c>
    </row>
    <row r="3695" spans="1:1">
      <c r="A3695" t="s">
        <v>2967</v>
      </c>
    </row>
    <row r="3696" spans="1:1">
      <c r="A3696" t="s">
        <v>2968</v>
      </c>
    </row>
    <row r="3697" spans="1:1">
      <c r="A3697" t="s">
        <v>2969</v>
      </c>
    </row>
    <row r="3698" spans="1:1">
      <c r="A3698" t="s">
        <v>2970</v>
      </c>
    </row>
    <row r="3699" spans="1:1">
      <c r="A3699" t="s">
        <v>2971</v>
      </c>
    </row>
    <row r="3700" spans="1:1">
      <c r="A3700" t="s">
        <v>2972</v>
      </c>
    </row>
    <row r="3701" spans="1:1">
      <c r="A3701" t="s">
        <v>2973</v>
      </c>
    </row>
    <row r="3702" spans="1:1">
      <c r="A3702" t="s">
        <v>2974</v>
      </c>
    </row>
    <row r="3703" spans="1:1">
      <c r="A3703" t="s">
        <v>2975</v>
      </c>
    </row>
    <row r="3704" spans="1:1">
      <c r="A3704" t="s">
        <v>2976</v>
      </c>
    </row>
    <row r="3705" spans="1:1">
      <c r="A3705" t="s">
        <v>2977</v>
      </c>
    </row>
    <row r="3706" spans="1:1">
      <c r="A3706" t="s">
        <v>2978</v>
      </c>
    </row>
    <row r="3707" spans="1:1">
      <c r="A3707" t="s">
        <v>2979</v>
      </c>
    </row>
    <row r="3708" spans="1:1">
      <c r="A3708" t="s">
        <v>290</v>
      </c>
    </row>
    <row r="3709" spans="1:1">
      <c r="A3709" t="s">
        <v>2980</v>
      </c>
    </row>
    <row r="3714" spans="1:1">
      <c r="A3714" t="s">
        <v>2981</v>
      </c>
    </row>
    <row r="3715" spans="1:1">
      <c r="A3715" t="s">
        <v>240</v>
      </c>
    </row>
    <row r="3716" spans="1:1">
      <c r="A3716" t="s">
        <v>2982</v>
      </c>
    </row>
    <row r="3717" spans="1:1">
      <c r="A3717" t="s">
        <v>2983</v>
      </c>
    </row>
    <row r="3718" spans="1:1">
      <c r="A3718" t="s">
        <v>243</v>
      </c>
    </row>
    <row r="3719" spans="1:1">
      <c r="A3719" t="s">
        <v>2984</v>
      </c>
    </row>
    <row r="3720" spans="1:1">
      <c r="A3720" t="s">
        <v>245</v>
      </c>
    </row>
    <row r="3722" spans="1:1">
      <c r="A3722" t="s">
        <v>2676</v>
      </c>
    </row>
    <row r="3723" spans="1:1">
      <c r="A3723" t="s">
        <v>247</v>
      </c>
    </row>
    <row r="3724" spans="1:1">
      <c r="A3724" t="s">
        <v>2985</v>
      </c>
    </row>
    <row r="3725" spans="1:1">
      <c r="A3725" t="s">
        <v>2986</v>
      </c>
    </row>
    <row r="3726" spans="1:1">
      <c r="A3726" t="s">
        <v>2987</v>
      </c>
    </row>
    <row r="3727" spans="1:1">
      <c r="A3727" t="s">
        <v>2988</v>
      </c>
    </row>
    <row r="3728" spans="1:1">
      <c r="A3728" t="s">
        <v>2989</v>
      </c>
    </row>
    <row r="3729" spans="1:1">
      <c r="A3729" t="s">
        <v>2990</v>
      </c>
    </row>
    <row r="3730" spans="1:1">
      <c r="A3730" t="s">
        <v>2991</v>
      </c>
    </row>
    <row r="3731" spans="1:1">
      <c r="A3731" t="s">
        <v>2992</v>
      </c>
    </row>
    <row r="3732" spans="1:1">
      <c r="A3732" t="s">
        <v>2993</v>
      </c>
    </row>
    <row r="3733" spans="1:1">
      <c r="A3733" t="s">
        <v>2994</v>
      </c>
    </row>
    <row r="3734" spans="1:1">
      <c r="A3734" t="s">
        <v>2995</v>
      </c>
    </row>
    <row r="3735" spans="1:1">
      <c r="A3735" t="s">
        <v>2996</v>
      </c>
    </row>
    <row r="3736" spans="1:1">
      <c r="A3736" t="s">
        <v>2997</v>
      </c>
    </row>
    <row r="3739" spans="1:1">
      <c r="A3739" t="s">
        <v>261</v>
      </c>
    </row>
    <row r="3740" spans="1:1">
      <c r="A3740" t="s">
        <v>2998</v>
      </c>
    </row>
    <row r="3741" spans="1:1">
      <c r="A3741" t="s">
        <v>2999</v>
      </c>
    </row>
    <row r="3742" spans="1:1">
      <c r="A3742" t="s">
        <v>3000</v>
      </c>
    </row>
    <row r="3743" spans="1:1">
      <c r="A3743" t="s">
        <v>3001</v>
      </c>
    </row>
    <row r="3744" spans="1:1">
      <c r="A3744" t="s">
        <v>3002</v>
      </c>
    </row>
    <row r="3745" spans="1:1">
      <c r="A3745" t="s">
        <v>3003</v>
      </c>
    </row>
    <row r="3746" spans="1:1">
      <c r="A3746" t="s">
        <v>3004</v>
      </c>
    </row>
    <row r="3747" spans="1:1">
      <c r="A3747" t="s">
        <v>3005</v>
      </c>
    </row>
    <row r="3748" spans="1:1">
      <c r="A3748" t="s">
        <v>3006</v>
      </c>
    </row>
    <row r="3749" spans="1:1">
      <c r="A3749" t="s">
        <v>3007</v>
      </c>
    </row>
    <row r="3750" spans="1:1">
      <c r="A3750" t="s">
        <v>3008</v>
      </c>
    </row>
    <row r="3751" spans="1:1">
      <c r="A3751" t="s">
        <v>3009</v>
      </c>
    </row>
    <row r="3752" spans="1:1">
      <c r="A3752" t="s">
        <v>3010</v>
      </c>
    </row>
    <row r="3754" spans="1:1">
      <c r="A3754" t="s">
        <v>275</v>
      </c>
    </row>
    <row r="3755" spans="1:1">
      <c r="A3755" t="s">
        <v>3011</v>
      </c>
    </row>
    <row r="3756" spans="1:1">
      <c r="A3756" t="s">
        <v>3012</v>
      </c>
    </row>
    <row r="3757" spans="1:1">
      <c r="A3757" t="s">
        <v>3013</v>
      </c>
    </row>
    <row r="3758" spans="1:1">
      <c r="A3758" t="s">
        <v>3014</v>
      </c>
    </row>
    <row r="3759" spans="1:1">
      <c r="A3759" t="s">
        <v>3015</v>
      </c>
    </row>
    <row r="3760" spans="1:1">
      <c r="A3760" t="s">
        <v>3016</v>
      </c>
    </row>
    <row r="3761" spans="1:1">
      <c r="A3761" t="s">
        <v>3017</v>
      </c>
    </row>
    <row r="3762" spans="1:1">
      <c r="A3762" t="s">
        <v>3018</v>
      </c>
    </row>
    <row r="3763" spans="1:1">
      <c r="A3763" t="s">
        <v>3019</v>
      </c>
    </row>
    <row r="3764" spans="1:1">
      <c r="A3764" t="s">
        <v>3020</v>
      </c>
    </row>
    <row r="3765" spans="1:1">
      <c r="A3765" t="s">
        <v>3021</v>
      </c>
    </row>
    <row r="3766" spans="1:1">
      <c r="A3766" t="s">
        <v>3022</v>
      </c>
    </row>
    <row r="3767" spans="1:1">
      <c r="A3767" t="s">
        <v>3023</v>
      </c>
    </row>
    <row r="3768" spans="1:1">
      <c r="A3768" t="s">
        <v>3024</v>
      </c>
    </row>
    <row r="3769" spans="1:1">
      <c r="A3769" t="s">
        <v>290</v>
      </c>
    </row>
    <row r="3770" spans="1:1">
      <c r="A3770" t="s">
        <v>3025</v>
      </c>
    </row>
    <row r="3775" spans="1:1">
      <c r="A3775" t="s">
        <v>3026</v>
      </c>
    </row>
    <row r="3776" spans="1:1">
      <c r="A3776" t="s">
        <v>240</v>
      </c>
    </row>
    <row r="3777" spans="1:1">
      <c r="A3777" t="s">
        <v>3027</v>
      </c>
    </row>
    <row r="3778" spans="1:1">
      <c r="A3778" t="s">
        <v>3028</v>
      </c>
    </row>
    <row r="3779" spans="1:1">
      <c r="A3779" t="s">
        <v>243</v>
      </c>
    </row>
    <row r="3780" spans="1:1">
      <c r="A3780" t="s">
        <v>3029</v>
      </c>
    </row>
    <row r="3781" spans="1:1">
      <c r="A3781" t="s">
        <v>245</v>
      </c>
    </row>
    <row r="3783" spans="1:1">
      <c r="A3783" t="s">
        <v>2228</v>
      </c>
    </row>
    <row r="3784" spans="1:1">
      <c r="A3784" t="s">
        <v>247</v>
      </c>
    </row>
    <row r="3785" spans="1:1">
      <c r="A3785" t="s">
        <v>3030</v>
      </c>
    </row>
    <row r="3786" spans="1:1">
      <c r="A3786" t="s">
        <v>3031</v>
      </c>
    </row>
    <row r="3787" spans="1:1">
      <c r="A3787" t="s">
        <v>3032</v>
      </c>
    </row>
    <row r="3788" spans="1:1">
      <c r="A3788" t="s">
        <v>3033</v>
      </c>
    </row>
    <row r="3789" spans="1:1">
      <c r="A3789" t="s">
        <v>3034</v>
      </c>
    </row>
    <row r="3790" spans="1:1">
      <c r="A3790" t="s">
        <v>3035</v>
      </c>
    </row>
    <row r="3791" spans="1:1">
      <c r="A3791" t="s">
        <v>3036</v>
      </c>
    </row>
    <row r="3792" spans="1:1">
      <c r="A3792" t="s">
        <v>3037</v>
      </c>
    </row>
    <row r="3793" spans="1:1">
      <c r="A3793" t="s">
        <v>3038</v>
      </c>
    </row>
    <row r="3794" spans="1:1">
      <c r="A3794" t="s">
        <v>3039</v>
      </c>
    </row>
    <row r="3795" spans="1:1">
      <c r="A3795" t="s">
        <v>3040</v>
      </c>
    </row>
    <row r="3796" spans="1:1">
      <c r="A3796" t="s">
        <v>3041</v>
      </c>
    </row>
    <row r="3797" spans="1:1">
      <c r="A3797" t="s">
        <v>3042</v>
      </c>
    </row>
    <row r="3800" spans="1:1">
      <c r="A3800" t="s">
        <v>261</v>
      </c>
    </row>
    <row r="3801" spans="1:1">
      <c r="A3801" t="s">
        <v>3043</v>
      </c>
    </row>
    <row r="3802" spans="1:1">
      <c r="A3802" t="s">
        <v>3044</v>
      </c>
    </row>
    <row r="3803" spans="1:1">
      <c r="A3803" t="s">
        <v>3045</v>
      </c>
    </row>
    <row r="3804" spans="1:1">
      <c r="A3804" t="s">
        <v>3046</v>
      </c>
    </row>
    <row r="3805" spans="1:1">
      <c r="A3805" t="s">
        <v>3047</v>
      </c>
    </row>
    <row r="3806" spans="1:1">
      <c r="A3806" t="s">
        <v>3048</v>
      </c>
    </row>
    <row r="3807" spans="1:1">
      <c r="A3807" t="s">
        <v>3049</v>
      </c>
    </row>
    <row r="3808" spans="1:1">
      <c r="A3808" t="s">
        <v>3050</v>
      </c>
    </row>
    <row r="3809" spans="1:1">
      <c r="A3809" t="s">
        <v>3051</v>
      </c>
    </row>
    <row r="3810" spans="1:1">
      <c r="A3810" t="s">
        <v>3052</v>
      </c>
    </row>
    <row r="3811" spans="1:1">
      <c r="A3811" t="s">
        <v>3053</v>
      </c>
    </row>
    <row r="3812" spans="1:1">
      <c r="A3812" t="s">
        <v>3054</v>
      </c>
    </row>
    <row r="3813" spans="1:1">
      <c r="A3813" t="s">
        <v>3055</v>
      </c>
    </row>
    <row r="3815" spans="1:1">
      <c r="A3815" t="s">
        <v>275</v>
      </c>
    </row>
    <row r="3816" spans="1:1">
      <c r="A3816" t="s">
        <v>3056</v>
      </c>
    </row>
    <row r="3817" spans="1:1">
      <c r="A3817" t="s">
        <v>3057</v>
      </c>
    </row>
    <row r="3818" spans="1:1">
      <c r="A3818" t="s">
        <v>3058</v>
      </c>
    </row>
    <row r="3819" spans="1:1">
      <c r="A3819" t="s">
        <v>3059</v>
      </c>
    </row>
    <row r="3820" spans="1:1">
      <c r="A3820" t="s">
        <v>3060</v>
      </c>
    </row>
    <row r="3821" spans="1:1">
      <c r="A3821" t="s">
        <v>3061</v>
      </c>
    </row>
    <row r="3822" spans="1:1">
      <c r="A3822" t="s">
        <v>3062</v>
      </c>
    </row>
    <row r="3823" spans="1:1">
      <c r="A3823" t="s">
        <v>3063</v>
      </c>
    </row>
    <row r="3824" spans="1:1">
      <c r="A3824" t="s">
        <v>3064</v>
      </c>
    </row>
    <row r="3825" spans="1:1">
      <c r="A3825" t="s">
        <v>3065</v>
      </c>
    </row>
    <row r="3826" spans="1:1">
      <c r="A3826" t="s">
        <v>3066</v>
      </c>
    </row>
    <row r="3827" spans="1:1">
      <c r="A3827" t="s">
        <v>3067</v>
      </c>
    </row>
    <row r="3828" spans="1:1">
      <c r="A3828" t="s">
        <v>3068</v>
      </c>
    </row>
    <row r="3829" spans="1:1">
      <c r="A3829" t="s">
        <v>3069</v>
      </c>
    </row>
    <row r="3830" spans="1:1">
      <c r="A3830" t="s">
        <v>290</v>
      </c>
    </row>
    <row r="3831" spans="1:1">
      <c r="A3831" t="s">
        <v>3070</v>
      </c>
    </row>
    <row r="3836" spans="1:1">
      <c r="A3836" t="s">
        <v>3071</v>
      </c>
    </row>
    <row r="3837" spans="1:1">
      <c r="A3837" t="s">
        <v>240</v>
      </c>
    </row>
    <row r="3838" spans="1:1">
      <c r="A3838" t="s">
        <v>3072</v>
      </c>
    </row>
    <row r="3839" spans="1:1">
      <c r="A3839" t="s">
        <v>3073</v>
      </c>
    </row>
    <row r="3840" spans="1:1">
      <c r="A3840" t="s">
        <v>243</v>
      </c>
    </row>
    <row r="3841" spans="1:1">
      <c r="A3841" t="s">
        <v>3074</v>
      </c>
    </row>
    <row r="3842" spans="1:1">
      <c r="A3842" t="s">
        <v>245</v>
      </c>
    </row>
    <row r="3844" spans="1:1">
      <c r="A3844" t="s">
        <v>2676</v>
      </c>
    </row>
    <row r="3845" spans="1:1">
      <c r="A3845" t="s">
        <v>247</v>
      </c>
    </row>
    <row r="3846" spans="1:1">
      <c r="A3846" t="s">
        <v>3075</v>
      </c>
    </row>
    <row r="3847" spans="1:1">
      <c r="A3847" t="s">
        <v>3076</v>
      </c>
    </row>
    <row r="3848" spans="1:1">
      <c r="A3848" t="s">
        <v>3077</v>
      </c>
    </row>
    <row r="3849" spans="1:1">
      <c r="A3849" t="s">
        <v>3078</v>
      </c>
    </row>
    <row r="3850" spans="1:1">
      <c r="A3850" t="s">
        <v>3079</v>
      </c>
    </row>
    <row r="3851" spans="1:1">
      <c r="A3851" t="s">
        <v>3080</v>
      </c>
    </row>
    <row r="3852" spans="1:1">
      <c r="A3852" t="s">
        <v>3081</v>
      </c>
    </row>
    <row r="3853" spans="1:1">
      <c r="A3853" t="s">
        <v>3082</v>
      </c>
    </row>
    <row r="3854" spans="1:1">
      <c r="A3854" t="s">
        <v>3083</v>
      </c>
    </row>
    <row r="3855" spans="1:1">
      <c r="A3855" t="s">
        <v>3084</v>
      </c>
    </row>
    <row r="3856" spans="1:1">
      <c r="A3856" t="s">
        <v>3085</v>
      </c>
    </row>
    <row r="3857" spans="1:1">
      <c r="A3857" t="s">
        <v>3086</v>
      </c>
    </row>
    <row r="3858" spans="1:1">
      <c r="A3858" t="s">
        <v>3087</v>
      </c>
    </row>
    <row r="3861" spans="1:1">
      <c r="A3861" t="s">
        <v>261</v>
      </c>
    </row>
    <row r="3862" spans="1:1">
      <c r="A3862" t="s">
        <v>3088</v>
      </c>
    </row>
    <row r="3863" spans="1:1">
      <c r="A3863" t="s">
        <v>3089</v>
      </c>
    </row>
    <row r="3864" spans="1:1">
      <c r="A3864" t="s">
        <v>3090</v>
      </c>
    </row>
    <row r="3865" spans="1:1">
      <c r="A3865" t="s">
        <v>3091</v>
      </c>
    </row>
    <row r="3866" spans="1:1">
      <c r="A3866" t="s">
        <v>3092</v>
      </c>
    </row>
    <row r="3867" spans="1:1">
      <c r="A3867" t="s">
        <v>3093</v>
      </c>
    </row>
    <row r="3868" spans="1:1">
      <c r="A3868" t="s">
        <v>3094</v>
      </c>
    </row>
    <row r="3869" spans="1:1">
      <c r="A3869" t="s">
        <v>3095</v>
      </c>
    </row>
    <row r="3870" spans="1:1">
      <c r="A3870" t="s">
        <v>3096</v>
      </c>
    </row>
    <row r="3871" spans="1:1">
      <c r="A3871" t="s">
        <v>3097</v>
      </c>
    </row>
    <row r="3872" spans="1:1">
      <c r="A3872" t="s">
        <v>3098</v>
      </c>
    </row>
    <row r="3873" spans="1:1">
      <c r="A3873" t="s">
        <v>3099</v>
      </c>
    </row>
    <row r="3874" spans="1:1">
      <c r="A3874" t="s">
        <v>3100</v>
      </c>
    </row>
    <row r="3876" spans="1:1">
      <c r="A3876" t="s">
        <v>275</v>
      </c>
    </row>
    <row r="3877" spans="1:1">
      <c r="A3877" t="s">
        <v>3101</v>
      </c>
    </row>
    <row r="3878" spans="1:1">
      <c r="A3878" t="s">
        <v>3102</v>
      </c>
    </row>
    <row r="3879" spans="1:1">
      <c r="A3879" t="s">
        <v>3103</v>
      </c>
    </row>
    <row r="3880" spans="1:1">
      <c r="A3880" t="s">
        <v>3104</v>
      </c>
    </row>
    <row r="3881" spans="1:1">
      <c r="A3881" t="s">
        <v>3105</v>
      </c>
    </row>
    <row r="3882" spans="1:1">
      <c r="A3882" t="s">
        <v>3106</v>
      </c>
    </row>
    <row r="3883" spans="1:1">
      <c r="A3883" t="s">
        <v>3107</v>
      </c>
    </row>
    <row r="3884" spans="1:1">
      <c r="A3884" t="s">
        <v>3108</v>
      </c>
    </row>
    <row r="3885" spans="1:1">
      <c r="A3885" t="s">
        <v>3109</v>
      </c>
    </row>
    <row r="3886" spans="1:1">
      <c r="A3886" t="s">
        <v>3110</v>
      </c>
    </row>
    <row r="3887" spans="1:1">
      <c r="A3887" t="s">
        <v>3111</v>
      </c>
    </row>
    <row r="3888" spans="1:1">
      <c r="A3888" t="s">
        <v>3112</v>
      </c>
    </row>
    <row r="3889" spans="1:1">
      <c r="A3889" t="s">
        <v>3113</v>
      </c>
    </row>
    <row r="3890" spans="1:1">
      <c r="A3890" t="s">
        <v>3114</v>
      </c>
    </row>
    <row r="3891" spans="1:1">
      <c r="A3891" t="s">
        <v>290</v>
      </c>
    </row>
    <row r="3892" spans="1:1">
      <c r="A3892" t="s">
        <v>3115</v>
      </c>
    </row>
    <row r="3897" spans="1:1">
      <c r="A3897" t="s">
        <v>3116</v>
      </c>
    </row>
    <row r="3898" spans="1:1">
      <c r="A3898" t="s">
        <v>240</v>
      </c>
    </row>
    <row r="3899" spans="1:1">
      <c r="A3899" t="s">
        <v>3117</v>
      </c>
    </row>
    <row r="3900" spans="1:1">
      <c r="A3900" t="s">
        <v>3118</v>
      </c>
    </row>
    <row r="3901" spans="1:1">
      <c r="A3901" t="s">
        <v>243</v>
      </c>
    </row>
    <row r="3902" spans="1:1">
      <c r="A3902" t="s">
        <v>3119</v>
      </c>
    </row>
    <row r="3903" spans="1:1">
      <c r="A3903" t="s">
        <v>245</v>
      </c>
    </row>
    <row r="3905" spans="1:1">
      <c r="A3905" t="s">
        <v>1553</v>
      </c>
    </row>
    <row r="3906" spans="1:1">
      <c r="A3906" t="s">
        <v>247</v>
      </c>
    </row>
    <row r="3907" spans="1:1">
      <c r="A3907" t="s">
        <v>3120</v>
      </c>
    </row>
    <row r="3908" spans="1:1">
      <c r="A3908" t="s">
        <v>3121</v>
      </c>
    </row>
    <row r="3909" spans="1:1">
      <c r="A3909" t="s">
        <v>3122</v>
      </c>
    </row>
    <row r="3910" spans="1:1">
      <c r="A3910" t="s">
        <v>3123</v>
      </c>
    </row>
    <row r="3911" spans="1:1">
      <c r="A3911" t="s">
        <v>3124</v>
      </c>
    </row>
    <row r="3912" spans="1:1">
      <c r="A3912" t="s">
        <v>3125</v>
      </c>
    </row>
    <row r="3913" spans="1:1">
      <c r="A3913" t="s">
        <v>3126</v>
      </c>
    </row>
    <row r="3914" spans="1:1">
      <c r="A3914" t="s">
        <v>3127</v>
      </c>
    </row>
    <row r="3915" spans="1:1">
      <c r="A3915" t="s">
        <v>3128</v>
      </c>
    </row>
    <row r="3916" spans="1:1">
      <c r="A3916" t="s">
        <v>3129</v>
      </c>
    </row>
    <row r="3917" spans="1:1">
      <c r="A3917" t="s">
        <v>3130</v>
      </c>
    </row>
    <row r="3918" spans="1:1">
      <c r="A3918" t="s">
        <v>3131</v>
      </c>
    </row>
    <row r="3919" spans="1:1">
      <c r="A3919" t="s">
        <v>3132</v>
      </c>
    </row>
    <row r="3922" spans="1:1">
      <c r="A3922" t="s">
        <v>261</v>
      </c>
    </row>
    <row r="3923" spans="1:1">
      <c r="A3923" t="s">
        <v>3133</v>
      </c>
    </row>
    <row r="3924" spans="1:1">
      <c r="A3924" t="s">
        <v>3134</v>
      </c>
    </row>
    <row r="3925" spans="1:1">
      <c r="A3925" t="s">
        <v>3135</v>
      </c>
    </row>
    <row r="3926" spans="1:1">
      <c r="A3926" t="s">
        <v>3136</v>
      </c>
    </row>
    <row r="3927" spans="1:1">
      <c r="A3927" t="s">
        <v>3137</v>
      </c>
    </row>
    <row r="3928" spans="1:1">
      <c r="A3928" t="s">
        <v>3138</v>
      </c>
    </row>
    <row r="3929" spans="1:1">
      <c r="A3929" t="s">
        <v>3139</v>
      </c>
    </row>
    <row r="3930" spans="1:1">
      <c r="A3930" t="s">
        <v>3140</v>
      </c>
    </row>
    <row r="3931" spans="1:1">
      <c r="A3931" t="s">
        <v>3141</v>
      </c>
    </row>
    <row r="3932" spans="1:1">
      <c r="A3932" t="s">
        <v>3142</v>
      </c>
    </row>
    <row r="3933" spans="1:1">
      <c r="A3933" t="s">
        <v>3143</v>
      </c>
    </row>
    <row r="3934" spans="1:1">
      <c r="A3934" t="s">
        <v>3144</v>
      </c>
    </row>
    <row r="3935" spans="1:1">
      <c r="A3935" t="s">
        <v>3145</v>
      </c>
    </row>
    <row r="3937" spans="1:1">
      <c r="A3937" t="s">
        <v>275</v>
      </c>
    </row>
    <row r="3938" spans="1:1">
      <c r="A3938" t="s">
        <v>3146</v>
      </c>
    </row>
    <row r="3939" spans="1:1">
      <c r="A3939" t="s">
        <v>3147</v>
      </c>
    </row>
    <row r="3940" spans="1:1">
      <c r="A3940" t="s">
        <v>3148</v>
      </c>
    </row>
    <row r="3941" spans="1:1">
      <c r="A3941" t="s">
        <v>3149</v>
      </c>
    </row>
    <row r="3942" spans="1:1">
      <c r="A3942" t="s">
        <v>3150</v>
      </c>
    </row>
    <row r="3943" spans="1:1">
      <c r="A3943" t="s">
        <v>3151</v>
      </c>
    </row>
    <row r="3944" spans="1:1">
      <c r="A3944" t="s">
        <v>3152</v>
      </c>
    </row>
    <row r="3945" spans="1:1">
      <c r="A3945" t="s">
        <v>3153</v>
      </c>
    </row>
    <row r="3946" spans="1:1">
      <c r="A3946" t="s">
        <v>3154</v>
      </c>
    </row>
    <row r="3947" spans="1:1">
      <c r="A3947" t="s">
        <v>3155</v>
      </c>
    </row>
    <row r="3948" spans="1:1">
      <c r="A3948" t="s">
        <v>3156</v>
      </c>
    </row>
    <row r="3949" spans="1:1">
      <c r="A3949" t="s">
        <v>3157</v>
      </c>
    </row>
    <row r="3950" spans="1:1">
      <c r="A3950" t="s">
        <v>3158</v>
      </c>
    </row>
    <row r="3951" spans="1:1">
      <c r="A3951" t="s">
        <v>3159</v>
      </c>
    </row>
    <row r="3952" spans="1:1">
      <c r="A3952" t="s">
        <v>290</v>
      </c>
    </row>
    <row r="3953" spans="1:1">
      <c r="A3953" t="s">
        <v>3160</v>
      </c>
    </row>
    <row r="3958" spans="1:1">
      <c r="A3958" t="s">
        <v>3161</v>
      </c>
    </row>
    <row r="3959" spans="1:1">
      <c r="A3959" t="s">
        <v>240</v>
      </c>
    </row>
    <row r="3960" spans="1:1">
      <c r="A3960" t="s">
        <v>3162</v>
      </c>
    </row>
    <row r="3961" spans="1:1">
      <c r="A3961" t="s">
        <v>3163</v>
      </c>
    </row>
    <row r="3962" spans="1:1">
      <c r="A3962" t="s">
        <v>243</v>
      </c>
    </row>
    <row r="3963" spans="1:1">
      <c r="A3963" t="s">
        <v>3164</v>
      </c>
    </row>
    <row r="3964" spans="1:1">
      <c r="A3964" t="s">
        <v>245</v>
      </c>
    </row>
    <row r="3966" spans="1:1">
      <c r="A3966" t="s">
        <v>2228</v>
      </c>
    </row>
    <row r="3967" spans="1:1">
      <c r="A3967" t="s">
        <v>247</v>
      </c>
    </row>
    <row r="3968" spans="1:1">
      <c r="A3968" t="s">
        <v>3165</v>
      </c>
    </row>
    <row r="3969" spans="1:1">
      <c r="A3969" t="s">
        <v>3166</v>
      </c>
    </row>
    <row r="3970" spans="1:1">
      <c r="A3970" t="s">
        <v>3167</v>
      </c>
    </row>
    <row r="3971" spans="1:1">
      <c r="A3971" t="s">
        <v>3168</v>
      </c>
    </row>
    <row r="3972" spans="1:1">
      <c r="A3972" t="s">
        <v>3169</v>
      </c>
    </row>
    <row r="3973" spans="1:1">
      <c r="A3973" t="s">
        <v>3170</v>
      </c>
    </row>
    <row r="3974" spans="1:1">
      <c r="A3974" t="s">
        <v>3171</v>
      </c>
    </row>
    <row r="3975" spans="1:1">
      <c r="A3975" t="s">
        <v>3172</v>
      </c>
    </row>
    <row r="3976" spans="1:1">
      <c r="A3976" t="s">
        <v>3173</v>
      </c>
    </row>
    <row r="3977" spans="1:1">
      <c r="A3977" t="s">
        <v>3174</v>
      </c>
    </row>
    <row r="3978" spans="1:1">
      <c r="A3978" t="s">
        <v>3175</v>
      </c>
    </row>
    <row r="3979" spans="1:1">
      <c r="A3979" t="s">
        <v>3176</v>
      </c>
    </row>
    <row r="3980" spans="1:1">
      <c r="A3980" t="s">
        <v>3177</v>
      </c>
    </row>
    <row r="3983" spans="1:1">
      <c r="A3983" t="s">
        <v>261</v>
      </c>
    </row>
    <row r="3984" spans="1:1">
      <c r="A3984" t="s">
        <v>3178</v>
      </c>
    </row>
    <row r="3985" spans="1:1">
      <c r="A3985" t="s">
        <v>3179</v>
      </c>
    </row>
    <row r="3986" spans="1:1">
      <c r="A3986" t="s">
        <v>3180</v>
      </c>
    </row>
    <row r="3987" spans="1:1">
      <c r="A3987" t="s">
        <v>3181</v>
      </c>
    </row>
    <row r="3988" spans="1:1">
      <c r="A3988" t="s">
        <v>3182</v>
      </c>
    </row>
    <row r="3989" spans="1:1">
      <c r="A3989" t="s">
        <v>3183</v>
      </c>
    </row>
    <row r="3990" spans="1:1">
      <c r="A3990" t="s">
        <v>3184</v>
      </c>
    </row>
    <row r="3991" spans="1:1">
      <c r="A3991" t="s">
        <v>3185</v>
      </c>
    </row>
    <row r="3992" spans="1:1">
      <c r="A3992" t="s">
        <v>3186</v>
      </c>
    </row>
    <row r="3993" spans="1:1">
      <c r="A3993" t="s">
        <v>3187</v>
      </c>
    </row>
    <row r="3994" spans="1:1">
      <c r="A3994" t="s">
        <v>3188</v>
      </c>
    </row>
    <row r="3995" spans="1:1">
      <c r="A3995" t="s">
        <v>3189</v>
      </c>
    </row>
    <row r="3997" spans="1:1">
      <c r="A3997" t="s">
        <v>275</v>
      </c>
    </row>
    <row r="3998" spans="1:1">
      <c r="A3998" t="s">
        <v>3190</v>
      </c>
    </row>
    <row r="3999" spans="1:1">
      <c r="A3999" t="s">
        <v>3191</v>
      </c>
    </row>
    <row r="4000" spans="1:1">
      <c r="A4000" t="s">
        <v>3192</v>
      </c>
    </row>
    <row r="4001" spans="1:1">
      <c r="A4001" t="s">
        <v>3193</v>
      </c>
    </row>
    <row r="4002" spans="1:1">
      <c r="A4002" t="s">
        <v>3194</v>
      </c>
    </row>
    <row r="4003" spans="1:1">
      <c r="A4003" t="s">
        <v>3195</v>
      </c>
    </row>
    <row r="4004" spans="1:1">
      <c r="A4004" t="s">
        <v>3196</v>
      </c>
    </row>
    <row r="4005" spans="1:1">
      <c r="A4005" t="s">
        <v>3197</v>
      </c>
    </row>
    <row r="4006" spans="1:1">
      <c r="A4006" t="s">
        <v>3198</v>
      </c>
    </row>
    <row r="4007" spans="1:1">
      <c r="A4007" t="s">
        <v>3199</v>
      </c>
    </row>
    <row r="4008" spans="1:1">
      <c r="A4008" t="s">
        <v>3200</v>
      </c>
    </row>
    <row r="4009" spans="1:1">
      <c r="A4009" t="s">
        <v>3201</v>
      </c>
    </row>
    <row r="4010" spans="1:1">
      <c r="A4010" t="s">
        <v>3202</v>
      </c>
    </row>
    <row r="4011" spans="1:1">
      <c r="A4011" t="s">
        <v>3203</v>
      </c>
    </row>
    <row r="4012" spans="1:1">
      <c r="A4012" t="s">
        <v>290</v>
      </c>
    </row>
    <row r="4013" spans="1:1">
      <c r="A4013" t="s">
        <v>3204</v>
      </c>
    </row>
    <row r="4018" spans="1:1">
      <c r="A4018" t="s">
        <v>3205</v>
      </c>
    </row>
    <row r="4019" spans="1:1">
      <c r="A4019" t="s">
        <v>240</v>
      </c>
    </row>
    <row r="4020" spans="1:1">
      <c r="A4020" t="s">
        <v>3206</v>
      </c>
    </row>
    <row r="4021" spans="1:1">
      <c r="A4021" t="s">
        <v>3207</v>
      </c>
    </row>
    <row r="4022" spans="1:1">
      <c r="A4022" t="s">
        <v>243</v>
      </c>
    </row>
    <row r="4023" spans="1:1">
      <c r="A4023" t="s">
        <v>3208</v>
      </c>
    </row>
    <row r="4024" spans="1:1">
      <c r="A4024" t="s">
        <v>245</v>
      </c>
    </row>
    <row r="4026" spans="1:1">
      <c r="A4026" t="s">
        <v>2676</v>
      </c>
    </row>
    <row r="4027" spans="1:1">
      <c r="A4027" t="s">
        <v>247</v>
      </c>
    </row>
    <row r="4028" spans="1:1">
      <c r="A4028" t="s">
        <v>3209</v>
      </c>
    </row>
    <row r="4029" spans="1:1">
      <c r="A4029" t="s">
        <v>3210</v>
      </c>
    </row>
    <row r="4030" spans="1:1">
      <c r="A4030" t="s">
        <v>3211</v>
      </c>
    </row>
    <row r="4031" spans="1:1">
      <c r="A4031" t="s">
        <v>3212</v>
      </c>
    </row>
    <row r="4032" spans="1:1">
      <c r="A4032" t="s">
        <v>3213</v>
      </c>
    </row>
    <row r="4033" spans="1:1">
      <c r="A4033" t="s">
        <v>3214</v>
      </c>
    </row>
    <row r="4034" spans="1:1">
      <c r="A4034" t="s">
        <v>3215</v>
      </c>
    </row>
    <row r="4035" spans="1:1">
      <c r="A4035" t="s">
        <v>3216</v>
      </c>
    </row>
    <row r="4036" spans="1:1">
      <c r="A4036" t="s">
        <v>3217</v>
      </c>
    </row>
    <row r="4037" spans="1:1">
      <c r="A4037" t="s">
        <v>3218</v>
      </c>
    </row>
    <row r="4038" spans="1:1">
      <c r="A4038" t="s">
        <v>3219</v>
      </c>
    </row>
    <row r="4039" spans="1:1">
      <c r="A4039" t="s">
        <v>3220</v>
      </c>
    </row>
    <row r="4040" spans="1:1">
      <c r="A4040" t="s">
        <v>3221</v>
      </c>
    </row>
    <row r="4043" spans="1:1">
      <c r="A4043" t="s">
        <v>261</v>
      </c>
    </row>
    <row r="4044" spans="1:1">
      <c r="A4044" t="s">
        <v>3222</v>
      </c>
    </row>
    <row r="4045" spans="1:1">
      <c r="A4045" t="s">
        <v>3223</v>
      </c>
    </row>
    <row r="4046" spans="1:1">
      <c r="A4046" t="s">
        <v>3224</v>
      </c>
    </row>
    <row r="4047" spans="1:1">
      <c r="A4047" t="s">
        <v>3225</v>
      </c>
    </row>
    <row r="4048" spans="1:1">
      <c r="A4048" t="s">
        <v>3226</v>
      </c>
    </row>
    <row r="4049" spans="1:1">
      <c r="A4049" t="s">
        <v>3227</v>
      </c>
    </row>
    <row r="4050" spans="1:1">
      <c r="A4050" t="s">
        <v>3228</v>
      </c>
    </row>
    <row r="4051" spans="1:1">
      <c r="A4051" t="s">
        <v>3229</v>
      </c>
    </row>
    <row r="4052" spans="1:1">
      <c r="A4052" t="s">
        <v>3230</v>
      </c>
    </row>
    <row r="4053" spans="1:1">
      <c r="A4053" t="s">
        <v>3231</v>
      </c>
    </row>
    <row r="4054" spans="1:1">
      <c r="A4054" t="s">
        <v>3232</v>
      </c>
    </row>
    <row r="4055" spans="1:1">
      <c r="A4055" t="s">
        <v>3233</v>
      </c>
    </row>
    <row r="4057" spans="1:1">
      <c r="A4057" t="s">
        <v>275</v>
      </c>
    </row>
    <row r="4058" spans="1:1">
      <c r="A4058" t="s">
        <v>3234</v>
      </c>
    </row>
    <row r="4059" spans="1:1">
      <c r="A4059" t="s">
        <v>3235</v>
      </c>
    </row>
    <row r="4060" spans="1:1">
      <c r="A4060" t="s">
        <v>3236</v>
      </c>
    </row>
    <row r="4061" spans="1:1">
      <c r="A4061" t="s">
        <v>3237</v>
      </c>
    </row>
    <row r="4062" spans="1:1">
      <c r="A4062" t="s">
        <v>3238</v>
      </c>
    </row>
    <row r="4063" spans="1:1">
      <c r="A4063" t="s">
        <v>3239</v>
      </c>
    </row>
    <row r="4064" spans="1:1">
      <c r="A4064" t="s">
        <v>3240</v>
      </c>
    </row>
    <row r="4065" spans="1:1">
      <c r="A4065" t="s">
        <v>3241</v>
      </c>
    </row>
    <row r="4066" spans="1:1">
      <c r="A4066" t="s">
        <v>3242</v>
      </c>
    </row>
    <row r="4067" spans="1:1">
      <c r="A4067" t="s">
        <v>3243</v>
      </c>
    </row>
    <row r="4068" spans="1:1">
      <c r="A4068" t="s">
        <v>3244</v>
      </c>
    </row>
    <row r="4069" spans="1:1">
      <c r="A4069" t="s">
        <v>3245</v>
      </c>
    </row>
    <row r="4070" spans="1:1">
      <c r="A4070" t="s">
        <v>3246</v>
      </c>
    </row>
    <row r="4071" spans="1:1">
      <c r="A4071" t="s">
        <v>3247</v>
      </c>
    </row>
    <row r="4072" spans="1:1">
      <c r="A4072" t="s">
        <v>290</v>
      </c>
    </row>
    <row r="4073" spans="1:1">
      <c r="A4073" t="s">
        <v>3248</v>
      </c>
    </row>
    <row r="4078" spans="1:1">
      <c r="A4078" t="s">
        <v>3249</v>
      </c>
    </row>
    <row r="4079" spans="1:1">
      <c r="A4079" t="s">
        <v>240</v>
      </c>
    </row>
    <row r="4080" spans="1:1">
      <c r="A4080" t="s">
        <v>3250</v>
      </c>
    </row>
    <row r="4081" spans="1:1">
      <c r="A4081" t="s">
        <v>3251</v>
      </c>
    </row>
    <row r="4082" spans="1:1">
      <c r="A4082" t="s">
        <v>243</v>
      </c>
    </row>
    <row r="4083" spans="1:1">
      <c r="A4083" t="s">
        <v>3252</v>
      </c>
    </row>
    <row r="4084" spans="1:1">
      <c r="A4084" t="s">
        <v>245</v>
      </c>
    </row>
    <row r="4086" spans="1:1">
      <c r="A4086" t="s">
        <v>2676</v>
      </c>
    </row>
    <row r="4087" spans="1:1">
      <c r="A4087" t="s">
        <v>247</v>
      </c>
    </row>
    <row r="4088" spans="1:1">
      <c r="A4088" t="s">
        <v>3253</v>
      </c>
    </row>
    <row r="4089" spans="1:1">
      <c r="A4089" t="s">
        <v>3254</v>
      </c>
    </row>
    <row r="4090" spans="1:1">
      <c r="A4090" t="s">
        <v>3255</v>
      </c>
    </row>
    <row r="4091" spans="1:1">
      <c r="A4091" t="s">
        <v>3256</v>
      </c>
    </row>
    <row r="4092" spans="1:1">
      <c r="A4092" t="s">
        <v>3257</v>
      </c>
    </row>
    <row r="4093" spans="1:1">
      <c r="A4093" t="s">
        <v>3258</v>
      </c>
    </row>
    <row r="4094" spans="1:1">
      <c r="A4094" t="s">
        <v>3259</v>
      </c>
    </row>
    <row r="4095" spans="1:1">
      <c r="A4095" t="s">
        <v>3260</v>
      </c>
    </row>
    <row r="4096" spans="1:1">
      <c r="A4096" t="s">
        <v>3261</v>
      </c>
    </row>
    <row r="4097" spans="1:1">
      <c r="A4097" t="s">
        <v>3262</v>
      </c>
    </row>
    <row r="4098" spans="1:1">
      <c r="A4098" t="s">
        <v>3263</v>
      </c>
    </row>
    <row r="4099" spans="1:1">
      <c r="A4099" t="s">
        <v>3264</v>
      </c>
    </row>
    <row r="4100" spans="1:1">
      <c r="A4100" t="s">
        <v>3265</v>
      </c>
    </row>
    <row r="4103" spans="1:1">
      <c r="A4103" t="s">
        <v>261</v>
      </c>
    </row>
    <row r="4104" spans="1:1">
      <c r="A4104" t="s">
        <v>3266</v>
      </c>
    </row>
    <row r="4105" spans="1:1">
      <c r="A4105" t="s">
        <v>3267</v>
      </c>
    </row>
    <row r="4106" spans="1:1">
      <c r="A4106" t="s">
        <v>3268</v>
      </c>
    </row>
    <row r="4107" spans="1:1">
      <c r="A4107" t="s">
        <v>3269</v>
      </c>
    </row>
    <row r="4108" spans="1:1">
      <c r="A4108" t="s">
        <v>3270</v>
      </c>
    </row>
    <row r="4109" spans="1:1">
      <c r="A4109" t="s">
        <v>3271</v>
      </c>
    </row>
    <row r="4110" spans="1:1">
      <c r="A4110" t="s">
        <v>3272</v>
      </c>
    </row>
    <row r="4111" spans="1:1">
      <c r="A4111" t="s">
        <v>3273</v>
      </c>
    </row>
    <row r="4112" spans="1:1">
      <c r="A4112" t="s">
        <v>3274</v>
      </c>
    </row>
    <row r="4113" spans="1:1">
      <c r="A4113" t="s">
        <v>3275</v>
      </c>
    </row>
    <row r="4114" spans="1:1">
      <c r="A4114" t="s">
        <v>3276</v>
      </c>
    </row>
    <row r="4115" spans="1:1">
      <c r="A4115" t="s">
        <v>3277</v>
      </c>
    </row>
    <row r="4116" spans="1:1">
      <c r="A4116" t="s">
        <v>3278</v>
      </c>
    </row>
    <row r="4118" spans="1:1">
      <c r="A4118" t="s">
        <v>275</v>
      </c>
    </row>
    <row r="4119" spans="1:1">
      <c r="A4119" t="s">
        <v>3279</v>
      </c>
    </row>
    <row r="4120" spans="1:1">
      <c r="A4120" t="s">
        <v>3280</v>
      </c>
    </row>
    <row r="4121" spans="1:1">
      <c r="A4121" t="s">
        <v>3281</v>
      </c>
    </row>
    <row r="4122" spans="1:1">
      <c r="A4122" t="s">
        <v>3282</v>
      </c>
    </row>
    <row r="4123" spans="1:1">
      <c r="A4123" t="s">
        <v>3283</v>
      </c>
    </row>
    <row r="4124" spans="1:1">
      <c r="A4124" t="s">
        <v>3284</v>
      </c>
    </row>
    <row r="4125" spans="1:1">
      <c r="A4125" t="s">
        <v>3285</v>
      </c>
    </row>
    <row r="4126" spans="1:1">
      <c r="A4126" t="s">
        <v>3286</v>
      </c>
    </row>
    <row r="4127" spans="1:1">
      <c r="A4127" t="s">
        <v>3287</v>
      </c>
    </row>
    <row r="4128" spans="1:1">
      <c r="A4128" t="s">
        <v>3288</v>
      </c>
    </row>
    <row r="4129" spans="1:1">
      <c r="A4129" t="s">
        <v>3289</v>
      </c>
    </row>
    <row r="4130" spans="1:1">
      <c r="A4130" t="s">
        <v>3290</v>
      </c>
    </row>
    <row r="4131" spans="1:1">
      <c r="A4131" t="s">
        <v>3291</v>
      </c>
    </row>
    <row r="4132" spans="1:1">
      <c r="A4132" t="s">
        <v>3292</v>
      </c>
    </row>
    <row r="4133" spans="1:1">
      <c r="A4133" t="s">
        <v>290</v>
      </c>
    </row>
    <row r="4134" spans="1:1">
      <c r="A4134" t="s">
        <v>3293</v>
      </c>
    </row>
    <row r="4139" spans="1:1">
      <c r="A4139" t="s">
        <v>3294</v>
      </c>
    </row>
    <row r="4140" spans="1:1">
      <c r="A4140" t="s">
        <v>240</v>
      </c>
    </row>
    <row r="4141" spans="1:1">
      <c r="A4141" t="s">
        <v>3295</v>
      </c>
    </row>
    <row r="4142" spans="1:1">
      <c r="A4142" t="s">
        <v>3296</v>
      </c>
    </row>
    <row r="4143" spans="1:1">
      <c r="A4143" t="s">
        <v>243</v>
      </c>
    </row>
    <row r="4144" spans="1:1">
      <c r="A4144" t="s">
        <v>3297</v>
      </c>
    </row>
    <row r="4145" spans="1:1">
      <c r="A4145" t="s">
        <v>245</v>
      </c>
    </row>
    <row r="4147" spans="1:1">
      <c r="A4147" t="s">
        <v>3298</v>
      </c>
    </row>
    <row r="4148" spans="1:1">
      <c r="A4148" t="s">
        <v>247</v>
      </c>
    </row>
    <row r="4149" spans="1:1">
      <c r="A4149" t="s">
        <v>3299</v>
      </c>
    </row>
    <row r="4150" spans="1:1">
      <c r="A4150" t="s">
        <v>3300</v>
      </c>
    </row>
    <row r="4151" spans="1:1">
      <c r="A4151" t="s">
        <v>3301</v>
      </c>
    </row>
    <row r="4152" spans="1:1">
      <c r="A4152" t="s">
        <v>3302</v>
      </c>
    </row>
    <row r="4153" spans="1:1">
      <c r="A4153" t="s">
        <v>3303</v>
      </c>
    </row>
    <row r="4154" spans="1:1">
      <c r="A4154" t="s">
        <v>3304</v>
      </c>
    </row>
    <row r="4155" spans="1:1">
      <c r="A4155" t="s">
        <v>3305</v>
      </c>
    </row>
    <row r="4156" spans="1:1">
      <c r="A4156" t="s">
        <v>3306</v>
      </c>
    </row>
    <row r="4157" spans="1:1">
      <c r="A4157" t="s">
        <v>3307</v>
      </c>
    </row>
    <row r="4158" spans="1:1">
      <c r="A4158" t="s">
        <v>3308</v>
      </c>
    </row>
    <row r="4159" spans="1:1">
      <c r="A4159" t="s">
        <v>3309</v>
      </c>
    </row>
    <row r="4160" spans="1:1">
      <c r="A4160" t="s">
        <v>3310</v>
      </c>
    </row>
    <row r="4161" spans="1:1">
      <c r="A4161" t="s">
        <v>3311</v>
      </c>
    </row>
    <row r="4164" spans="1:1">
      <c r="A4164" t="s">
        <v>261</v>
      </c>
    </row>
    <row r="4165" spans="1:1">
      <c r="A4165" t="s">
        <v>3312</v>
      </c>
    </row>
    <row r="4166" spans="1:1">
      <c r="A4166" t="s">
        <v>3313</v>
      </c>
    </row>
    <row r="4167" spans="1:1">
      <c r="A4167" t="s">
        <v>3314</v>
      </c>
    </row>
    <row r="4168" spans="1:1">
      <c r="A4168" t="s">
        <v>3315</v>
      </c>
    </row>
    <row r="4169" spans="1:1">
      <c r="A4169" t="s">
        <v>3316</v>
      </c>
    </row>
    <row r="4170" spans="1:1">
      <c r="A4170" t="s">
        <v>3317</v>
      </c>
    </row>
    <row r="4171" spans="1:1">
      <c r="A4171" t="s">
        <v>3318</v>
      </c>
    </row>
    <row r="4172" spans="1:1">
      <c r="A4172" t="s">
        <v>3319</v>
      </c>
    </row>
    <row r="4173" spans="1:1">
      <c r="A4173" t="s">
        <v>3320</v>
      </c>
    </row>
    <row r="4174" spans="1:1">
      <c r="A4174" t="s">
        <v>3321</v>
      </c>
    </row>
    <row r="4175" spans="1:1">
      <c r="A4175" t="s">
        <v>3322</v>
      </c>
    </row>
    <row r="4176" spans="1:1">
      <c r="A4176" t="s">
        <v>3323</v>
      </c>
    </row>
    <row r="4177" spans="1:1">
      <c r="A4177" t="s">
        <v>3324</v>
      </c>
    </row>
    <row r="4179" spans="1:1">
      <c r="A4179" t="s">
        <v>275</v>
      </c>
    </row>
    <row r="4180" spans="1:1">
      <c r="A4180" t="s">
        <v>3325</v>
      </c>
    </row>
    <row r="4181" spans="1:1">
      <c r="A4181" t="s">
        <v>3326</v>
      </c>
    </row>
    <row r="4182" spans="1:1">
      <c r="A4182" t="s">
        <v>3327</v>
      </c>
    </row>
    <row r="4183" spans="1:1">
      <c r="A4183" t="s">
        <v>3328</v>
      </c>
    </row>
    <row r="4184" spans="1:1">
      <c r="A4184" t="s">
        <v>3329</v>
      </c>
    </row>
    <row r="4185" spans="1:1">
      <c r="A4185" t="s">
        <v>3330</v>
      </c>
    </row>
    <row r="4186" spans="1:1">
      <c r="A4186" t="s">
        <v>3331</v>
      </c>
    </row>
    <row r="4187" spans="1:1">
      <c r="A4187" t="s">
        <v>3332</v>
      </c>
    </row>
    <row r="4188" spans="1:1">
      <c r="A4188" t="s">
        <v>3333</v>
      </c>
    </row>
    <row r="4189" spans="1:1">
      <c r="A4189" t="s">
        <v>3334</v>
      </c>
    </row>
    <row r="4190" spans="1:1">
      <c r="A4190" t="s">
        <v>3335</v>
      </c>
    </row>
    <row r="4191" spans="1:1">
      <c r="A4191" t="s">
        <v>3336</v>
      </c>
    </row>
    <row r="4192" spans="1:1">
      <c r="A4192" t="s">
        <v>3337</v>
      </c>
    </row>
    <row r="4193" spans="1:1">
      <c r="A4193" t="s">
        <v>3338</v>
      </c>
    </row>
    <row r="4194" spans="1:1">
      <c r="A4194" t="s">
        <v>290</v>
      </c>
    </row>
    <row r="4195" spans="1:1">
      <c r="A4195" t="s">
        <v>3339</v>
      </c>
    </row>
    <row r="4200" spans="1:1">
      <c r="A4200" t="s">
        <v>3340</v>
      </c>
    </row>
    <row r="4201" spans="1:1">
      <c r="A4201" t="s">
        <v>240</v>
      </c>
    </row>
    <row r="4202" spans="1:1">
      <c r="A4202" t="s">
        <v>3341</v>
      </c>
    </row>
    <row r="4203" spans="1:1">
      <c r="A4203" t="s">
        <v>3342</v>
      </c>
    </row>
    <row r="4204" spans="1:1">
      <c r="A4204" t="s">
        <v>243</v>
      </c>
    </row>
    <row r="4205" spans="1:1">
      <c r="A4205" t="s">
        <v>3343</v>
      </c>
    </row>
    <row r="4206" spans="1:1">
      <c r="A4206" t="s">
        <v>245</v>
      </c>
    </row>
    <row r="4208" spans="1:1">
      <c r="A4208" t="s">
        <v>2676</v>
      </c>
    </row>
    <row r="4209" spans="1:1">
      <c r="A4209" t="s">
        <v>247</v>
      </c>
    </row>
    <row r="4210" spans="1:1">
      <c r="A4210" t="s">
        <v>3344</v>
      </c>
    </row>
    <row r="4211" spans="1:1">
      <c r="A4211" t="s">
        <v>3345</v>
      </c>
    </row>
    <row r="4212" spans="1:1">
      <c r="A4212" t="s">
        <v>3346</v>
      </c>
    </row>
    <row r="4213" spans="1:1">
      <c r="A4213" t="s">
        <v>3347</v>
      </c>
    </row>
    <row r="4214" spans="1:1">
      <c r="A4214" t="s">
        <v>3348</v>
      </c>
    </row>
    <row r="4215" spans="1:1">
      <c r="A4215" t="s">
        <v>3349</v>
      </c>
    </row>
    <row r="4216" spans="1:1">
      <c r="A4216" t="s">
        <v>3350</v>
      </c>
    </row>
    <row r="4217" spans="1:1">
      <c r="A4217" t="s">
        <v>3351</v>
      </c>
    </row>
    <row r="4218" spans="1:1">
      <c r="A4218" t="s">
        <v>3352</v>
      </c>
    </row>
    <row r="4219" spans="1:1">
      <c r="A4219" t="s">
        <v>3353</v>
      </c>
    </row>
    <row r="4220" spans="1:1">
      <c r="A4220" t="s">
        <v>3354</v>
      </c>
    </row>
    <row r="4221" spans="1:1">
      <c r="A4221" t="s">
        <v>3355</v>
      </c>
    </row>
    <row r="4222" spans="1:1">
      <c r="A4222" t="s">
        <v>3356</v>
      </c>
    </row>
    <row r="4225" spans="1:1">
      <c r="A4225" t="s">
        <v>261</v>
      </c>
    </row>
    <row r="4226" spans="1:1">
      <c r="A4226" t="s">
        <v>3357</v>
      </c>
    </row>
    <row r="4227" spans="1:1">
      <c r="A4227" t="s">
        <v>3358</v>
      </c>
    </row>
    <row r="4228" spans="1:1">
      <c r="A4228" t="s">
        <v>3359</v>
      </c>
    </row>
    <row r="4229" spans="1:1">
      <c r="A4229" t="s">
        <v>3360</v>
      </c>
    </row>
    <row r="4230" spans="1:1">
      <c r="A4230" t="s">
        <v>3361</v>
      </c>
    </row>
    <row r="4231" spans="1:1">
      <c r="A4231" t="s">
        <v>3362</v>
      </c>
    </row>
    <row r="4232" spans="1:1">
      <c r="A4232" t="s">
        <v>3363</v>
      </c>
    </row>
    <row r="4233" spans="1:1">
      <c r="A4233" t="s">
        <v>3364</v>
      </c>
    </row>
    <row r="4234" spans="1:1">
      <c r="A4234" t="s">
        <v>3365</v>
      </c>
    </row>
    <row r="4235" spans="1:1">
      <c r="A4235" t="s">
        <v>3366</v>
      </c>
    </row>
    <row r="4236" spans="1:1">
      <c r="A4236" t="s">
        <v>3367</v>
      </c>
    </row>
    <row r="4237" spans="1:1">
      <c r="A4237" t="s">
        <v>3368</v>
      </c>
    </row>
    <row r="4238" spans="1:1">
      <c r="A4238" t="s">
        <v>3369</v>
      </c>
    </row>
    <row r="4240" spans="1:1">
      <c r="A4240" t="s">
        <v>275</v>
      </c>
    </row>
    <row r="4241" spans="1:1">
      <c r="A4241" t="s">
        <v>3370</v>
      </c>
    </row>
    <row r="4242" spans="1:1">
      <c r="A4242" t="s">
        <v>3371</v>
      </c>
    </row>
    <row r="4243" spans="1:1">
      <c r="A4243" t="s">
        <v>3372</v>
      </c>
    </row>
    <row r="4244" spans="1:1">
      <c r="A4244" t="s">
        <v>3373</v>
      </c>
    </row>
    <row r="4245" spans="1:1">
      <c r="A4245" t="s">
        <v>3374</v>
      </c>
    </row>
    <row r="4246" spans="1:1">
      <c r="A4246" t="s">
        <v>3375</v>
      </c>
    </row>
    <row r="4247" spans="1:1">
      <c r="A4247" t="s">
        <v>3376</v>
      </c>
    </row>
    <row r="4248" spans="1:1">
      <c r="A4248" t="s">
        <v>3377</v>
      </c>
    </row>
    <row r="4249" spans="1:1">
      <c r="A4249" t="s">
        <v>3378</v>
      </c>
    </row>
    <row r="4250" spans="1:1">
      <c r="A4250" t="s">
        <v>3379</v>
      </c>
    </row>
    <row r="4251" spans="1:1">
      <c r="A4251" t="s">
        <v>3380</v>
      </c>
    </row>
    <row r="4252" spans="1:1">
      <c r="A4252" t="s">
        <v>3381</v>
      </c>
    </row>
    <row r="4253" spans="1:1">
      <c r="A4253" t="s">
        <v>3382</v>
      </c>
    </row>
    <row r="4254" spans="1:1">
      <c r="A4254" t="s">
        <v>3383</v>
      </c>
    </row>
    <row r="4255" spans="1:1">
      <c r="A4255" t="s">
        <v>290</v>
      </c>
    </row>
    <row r="4256" spans="1:1">
      <c r="A4256" t="s">
        <v>3384</v>
      </c>
    </row>
    <row r="4261" spans="1:1">
      <c r="A4261" t="s">
        <v>3385</v>
      </c>
    </row>
    <row r="4262" spans="1:1">
      <c r="A4262" t="s">
        <v>240</v>
      </c>
    </row>
    <row r="4263" spans="1:1">
      <c r="A4263" t="s">
        <v>3386</v>
      </c>
    </row>
    <row r="4264" spans="1:1">
      <c r="A4264" t="s">
        <v>3387</v>
      </c>
    </row>
    <row r="4265" spans="1:1">
      <c r="A4265" t="s">
        <v>243</v>
      </c>
    </row>
    <row r="4266" spans="1:1">
      <c r="A4266" t="s">
        <v>3388</v>
      </c>
    </row>
    <row r="4267" spans="1:1">
      <c r="A4267" t="s">
        <v>245</v>
      </c>
    </row>
    <row r="4269" spans="1:1">
      <c r="A4269" t="s">
        <v>2676</v>
      </c>
    </row>
    <row r="4270" spans="1:1">
      <c r="A4270" t="s">
        <v>247</v>
      </c>
    </row>
    <row r="4271" spans="1:1">
      <c r="A4271" t="s">
        <v>3389</v>
      </c>
    </row>
    <row r="4272" spans="1:1">
      <c r="A4272" t="s">
        <v>3390</v>
      </c>
    </row>
    <row r="4273" spans="1:1">
      <c r="A4273" t="s">
        <v>3391</v>
      </c>
    </row>
    <row r="4274" spans="1:1">
      <c r="A4274" t="s">
        <v>3392</v>
      </c>
    </row>
    <row r="4275" spans="1:1">
      <c r="A4275" t="s">
        <v>3393</v>
      </c>
    </row>
    <row r="4276" spans="1:1">
      <c r="A4276" t="s">
        <v>3394</v>
      </c>
    </row>
    <row r="4277" spans="1:1">
      <c r="A4277" t="s">
        <v>3395</v>
      </c>
    </row>
    <row r="4278" spans="1:1">
      <c r="A4278" t="s">
        <v>3396</v>
      </c>
    </row>
    <row r="4279" spans="1:1">
      <c r="A4279" t="s">
        <v>3397</v>
      </c>
    </row>
    <row r="4280" spans="1:1">
      <c r="A4280" t="s">
        <v>3398</v>
      </c>
    </row>
    <row r="4281" spans="1:1">
      <c r="A4281" t="s">
        <v>3399</v>
      </c>
    </row>
    <row r="4282" spans="1:1">
      <c r="A4282" t="s">
        <v>3400</v>
      </c>
    </row>
    <row r="4283" spans="1:1">
      <c r="A4283" t="s">
        <v>3401</v>
      </c>
    </row>
    <row r="4286" spans="1:1">
      <c r="A4286" t="s">
        <v>261</v>
      </c>
    </row>
    <row r="4287" spans="1:1">
      <c r="A4287" t="s">
        <v>3402</v>
      </c>
    </row>
    <row r="4288" spans="1:1">
      <c r="A4288" t="s">
        <v>3403</v>
      </c>
    </row>
    <row r="4289" spans="1:1">
      <c r="A4289" t="s">
        <v>847</v>
      </c>
    </row>
    <row r="4290" spans="1:1">
      <c r="A4290" t="s">
        <v>3404</v>
      </c>
    </row>
    <row r="4291" spans="1:1">
      <c r="A4291" t="s">
        <v>3405</v>
      </c>
    </row>
    <row r="4292" spans="1:1">
      <c r="A4292" t="s">
        <v>3406</v>
      </c>
    </row>
    <row r="4293" spans="1:1">
      <c r="A4293" t="s">
        <v>3407</v>
      </c>
    </row>
    <row r="4294" spans="1:1">
      <c r="A4294" t="s">
        <v>852</v>
      </c>
    </row>
    <row r="4295" spans="1:1">
      <c r="A4295" t="s">
        <v>3408</v>
      </c>
    </row>
    <row r="4296" spans="1:1">
      <c r="A4296" t="s">
        <v>3409</v>
      </c>
    </row>
    <row r="4297" spans="1:1">
      <c r="A4297" t="s">
        <v>3410</v>
      </c>
    </row>
    <row r="4298" spans="1:1">
      <c r="A4298" t="s">
        <v>3411</v>
      </c>
    </row>
    <row r="4299" spans="1:1">
      <c r="A4299" t="s">
        <v>3412</v>
      </c>
    </row>
    <row r="4301" spans="1:1">
      <c r="A4301" t="s">
        <v>275</v>
      </c>
    </row>
    <row r="4302" spans="1:1">
      <c r="A4302" t="s">
        <v>3413</v>
      </c>
    </row>
    <row r="4303" spans="1:1">
      <c r="A4303" t="s">
        <v>3414</v>
      </c>
    </row>
    <row r="4304" spans="1:1">
      <c r="A4304" t="s">
        <v>3415</v>
      </c>
    </row>
    <row r="4305" spans="1:1">
      <c r="A4305" t="s">
        <v>3416</v>
      </c>
    </row>
    <row r="4306" spans="1:1">
      <c r="A4306" t="s">
        <v>3417</v>
      </c>
    </row>
    <row r="4307" spans="1:1">
      <c r="A4307" t="s">
        <v>3418</v>
      </c>
    </row>
    <row r="4308" spans="1:1">
      <c r="A4308" t="s">
        <v>3419</v>
      </c>
    </row>
    <row r="4309" spans="1:1">
      <c r="A4309" t="s">
        <v>3420</v>
      </c>
    </row>
    <row r="4310" spans="1:1">
      <c r="A4310" t="s">
        <v>3421</v>
      </c>
    </row>
    <row r="4311" spans="1:1">
      <c r="A4311" t="s">
        <v>3422</v>
      </c>
    </row>
    <row r="4312" spans="1:1">
      <c r="A4312" t="s">
        <v>3423</v>
      </c>
    </row>
    <row r="4313" spans="1:1">
      <c r="A4313" t="s">
        <v>3424</v>
      </c>
    </row>
    <row r="4314" spans="1:1">
      <c r="A4314" t="s">
        <v>3425</v>
      </c>
    </row>
    <row r="4315" spans="1:1">
      <c r="A4315" t="s">
        <v>3426</v>
      </c>
    </row>
    <row r="4316" spans="1:1">
      <c r="A4316" t="s">
        <v>290</v>
      </c>
    </row>
    <row r="4317" spans="1:1">
      <c r="A4317" t="s">
        <v>3427</v>
      </c>
    </row>
    <row r="4322" spans="1:1">
      <c r="A4322" t="s">
        <v>3428</v>
      </c>
    </row>
    <row r="4323" spans="1:1">
      <c r="A4323" t="s">
        <v>240</v>
      </c>
    </row>
    <row r="4324" spans="1:1">
      <c r="A4324" t="s">
        <v>3429</v>
      </c>
    </row>
    <row r="4325" spans="1:1">
      <c r="A4325" t="s">
        <v>3430</v>
      </c>
    </row>
    <row r="4326" spans="1:1">
      <c r="A4326" t="s">
        <v>243</v>
      </c>
    </row>
    <row r="4327" spans="1:1">
      <c r="A4327" t="s">
        <v>3431</v>
      </c>
    </row>
    <row r="4328" spans="1:1">
      <c r="A4328" t="s">
        <v>245</v>
      </c>
    </row>
    <row r="4330" spans="1:1">
      <c r="A4330" t="s">
        <v>2676</v>
      </c>
    </row>
    <row r="4331" spans="1:1">
      <c r="A4331" t="s">
        <v>247</v>
      </c>
    </row>
    <row r="4332" spans="1:1">
      <c r="A4332" t="s">
        <v>3432</v>
      </c>
    </row>
    <row r="4333" spans="1:1">
      <c r="A4333" t="s">
        <v>3433</v>
      </c>
    </row>
    <row r="4334" spans="1:1">
      <c r="A4334" t="s">
        <v>3434</v>
      </c>
    </row>
    <row r="4335" spans="1:1">
      <c r="A4335" t="s">
        <v>3435</v>
      </c>
    </row>
    <row r="4336" spans="1:1">
      <c r="A4336" t="s">
        <v>3436</v>
      </c>
    </row>
    <row r="4337" spans="1:1">
      <c r="A4337" t="s">
        <v>3437</v>
      </c>
    </row>
    <row r="4338" spans="1:1">
      <c r="A4338" t="s">
        <v>3438</v>
      </c>
    </row>
    <row r="4339" spans="1:1">
      <c r="A4339" t="s">
        <v>3439</v>
      </c>
    </row>
    <row r="4340" spans="1:1">
      <c r="A4340" t="s">
        <v>3440</v>
      </c>
    </row>
    <row r="4341" spans="1:1">
      <c r="A4341" t="s">
        <v>3441</v>
      </c>
    </row>
    <row r="4342" spans="1:1">
      <c r="A4342" t="s">
        <v>3442</v>
      </c>
    </row>
    <row r="4343" spans="1:1">
      <c r="A4343" t="s">
        <v>3443</v>
      </c>
    </row>
    <row r="4344" spans="1:1">
      <c r="A4344" t="s">
        <v>3444</v>
      </c>
    </row>
    <row r="4347" spans="1:1">
      <c r="A4347" t="s">
        <v>261</v>
      </c>
    </row>
    <row r="4348" spans="1:1">
      <c r="A4348" t="s">
        <v>3445</v>
      </c>
    </row>
    <row r="4349" spans="1:1">
      <c r="A4349" t="s">
        <v>3446</v>
      </c>
    </row>
    <row r="4350" spans="1:1">
      <c r="A4350" t="s">
        <v>3447</v>
      </c>
    </row>
    <row r="4351" spans="1:1">
      <c r="A4351" t="s">
        <v>3448</v>
      </c>
    </row>
    <row r="4352" spans="1:1">
      <c r="A4352" t="s">
        <v>3449</v>
      </c>
    </row>
    <row r="4353" spans="1:1">
      <c r="A4353" t="s">
        <v>3450</v>
      </c>
    </row>
    <row r="4354" spans="1:1">
      <c r="A4354" t="s">
        <v>3451</v>
      </c>
    </row>
    <row r="4355" spans="1:1">
      <c r="A4355" t="s">
        <v>3452</v>
      </c>
    </row>
    <row r="4356" spans="1:1">
      <c r="A4356" t="s">
        <v>3453</v>
      </c>
    </row>
    <row r="4357" spans="1:1">
      <c r="A4357" t="s">
        <v>3454</v>
      </c>
    </row>
    <row r="4358" spans="1:1">
      <c r="A4358" t="s">
        <v>3455</v>
      </c>
    </row>
    <row r="4359" spans="1:1">
      <c r="A4359" t="s">
        <v>3456</v>
      </c>
    </row>
    <row r="4360" spans="1:1">
      <c r="A4360" t="s">
        <v>3457</v>
      </c>
    </row>
    <row r="4362" spans="1:1">
      <c r="A4362" t="s">
        <v>275</v>
      </c>
    </row>
    <row r="4363" spans="1:1">
      <c r="A4363" t="s">
        <v>3458</v>
      </c>
    </row>
    <row r="4364" spans="1:1">
      <c r="A4364" t="s">
        <v>3459</v>
      </c>
    </row>
    <row r="4365" spans="1:1">
      <c r="A4365" t="s">
        <v>3460</v>
      </c>
    </row>
    <row r="4366" spans="1:1">
      <c r="A4366" t="s">
        <v>3461</v>
      </c>
    </row>
    <row r="4367" spans="1:1">
      <c r="A4367" t="s">
        <v>3462</v>
      </c>
    </row>
    <row r="4368" spans="1:1">
      <c r="A4368" t="s">
        <v>3463</v>
      </c>
    </row>
    <row r="4369" spans="1:1">
      <c r="A4369" t="s">
        <v>3464</v>
      </c>
    </row>
    <row r="4370" spans="1:1">
      <c r="A4370" t="s">
        <v>3465</v>
      </c>
    </row>
    <row r="4371" spans="1:1">
      <c r="A4371" t="s">
        <v>3466</v>
      </c>
    </row>
    <row r="4372" spans="1:1">
      <c r="A4372" t="s">
        <v>3467</v>
      </c>
    </row>
    <row r="4373" spans="1:1">
      <c r="A4373" t="s">
        <v>3468</v>
      </c>
    </row>
    <row r="4374" spans="1:1">
      <c r="A4374" t="s">
        <v>3469</v>
      </c>
    </row>
    <row r="4375" spans="1:1">
      <c r="A4375" t="s">
        <v>3470</v>
      </c>
    </row>
    <row r="4376" spans="1:1">
      <c r="A4376" t="s">
        <v>3471</v>
      </c>
    </row>
    <row r="4377" spans="1:1">
      <c r="A4377" t="s">
        <v>290</v>
      </c>
    </row>
    <row r="4378" spans="1:1">
      <c r="A4378" t="s">
        <v>3472</v>
      </c>
    </row>
    <row r="4383" spans="1:1">
      <c r="A4383" t="s">
        <v>3473</v>
      </c>
    </row>
    <row r="4384" spans="1:1">
      <c r="A4384" t="s">
        <v>240</v>
      </c>
    </row>
    <row r="4385" spans="1:1">
      <c r="A4385" t="s">
        <v>3474</v>
      </c>
    </row>
    <row r="4386" spans="1:1">
      <c r="A4386" t="s">
        <v>3475</v>
      </c>
    </row>
    <row r="4387" spans="1:1">
      <c r="A4387" t="s">
        <v>243</v>
      </c>
    </row>
    <row r="4388" spans="1:1">
      <c r="A4388" t="s">
        <v>3476</v>
      </c>
    </row>
    <row r="4389" spans="1:1">
      <c r="A4389" t="s">
        <v>245</v>
      </c>
    </row>
    <row r="4391" spans="1:1">
      <c r="A4391" t="s">
        <v>2676</v>
      </c>
    </row>
    <row r="4392" spans="1:1">
      <c r="A4392" t="s">
        <v>247</v>
      </c>
    </row>
    <row r="4393" spans="1:1">
      <c r="A4393" t="s">
        <v>3477</v>
      </c>
    </row>
    <row r="4394" spans="1:1">
      <c r="A4394" t="s">
        <v>3478</v>
      </c>
    </row>
    <row r="4395" spans="1:1">
      <c r="A4395" t="s">
        <v>3479</v>
      </c>
    </row>
    <row r="4396" spans="1:1">
      <c r="A4396" t="s">
        <v>3480</v>
      </c>
    </row>
    <row r="4397" spans="1:1">
      <c r="A4397" t="s">
        <v>3481</v>
      </c>
    </row>
    <row r="4398" spans="1:1">
      <c r="A4398" t="s">
        <v>3482</v>
      </c>
    </row>
    <row r="4399" spans="1:1">
      <c r="A4399" t="s">
        <v>3483</v>
      </c>
    </row>
    <row r="4400" spans="1:1">
      <c r="A4400" t="s">
        <v>3484</v>
      </c>
    </row>
    <row r="4401" spans="1:1">
      <c r="A4401" t="s">
        <v>3485</v>
      </c>
    </row>
    <row r="4402" spans="1:1">
      <c r="A4402" t="s">
        <v>3486</v>
      </c>
    </row>
    <row r="4403" spans="1:1">
      <c r="A4403" t="s">
        <v>3487</v>
      </c>
    </row>
    <row r="4404" spans="1:1">
      <c r="A4404" t="s">
        <v>3488</v>
      </c>
    </row>
    <row r="4405" spans="1:1">
      <c r="A4405" t="s">
        <v>3489</v>
      </c>
    </row>
    <row r="4408" spans="1:1">
      <c r="A4408" t="s">
        <v>261</v>
      </c>
    </row>
    <row r="4409" spans="1:1">
      <c r="A4409" t="s">
        <v>3490</v>
      </c>
    </row>
    <row r="4410" spans="1:1">
      <c r="A4410" t="s">
        <v>3491</v>
      </c>
    </row>
    <row r="4411" spans="1:1">
      <c r="A4411" t="s">
        <v>3492</v>
      </c>
    </row>
    <row r="4412" spans="1:1">
      <c r="A4412" t="s">
        <v>3493</v>
      </c>
    </row>
    <row r="4413" spans="1:1">
      <c r="A4413" t="s">
        <v>3494</v>
      </c>
    </row>
    <row r="4414" spans="1:1">
      <c r="A4414" t="s">
        <v>3495</v>
      </c>
    </row>
    <row r="4415" spans="1:1">
      <c r="A4415" t="s">
        <v>3496</v>
      </c>
    </row>
    <row r="4416" spans="1:1">
      <c r="A4416" t="s">
        <v>3497</v>
      </c>
    </row>
    <row r="4417" spans="1:1">
      <c r="A4417" t="s">
        <v>3498</v>
      </c>
    </row>
    <row r="4418" spans="1:1">
      <c r="A4418" t="s">
        <v>3499</v>
      </c>
    </row>
    <row r="4419" spans="1:1">
      <c r="A4419" t="s">
        <v>3500</v>
      </c>
    </row>
    <row r="4420" spans="1:1">
      <c r="A4420" t="s">
        <v>3501</v>
      </c>
    </row>
    <row r="4421" spans="1:1">
      <c r="A4421" t="s">
        <v>3502</v>
      </c>
    </row>
    <row r="4423" spans="1:1">
      <c r="A4423" t="s">
        <v>275</v>
      </c>
    </row>
    <row r="4424" spans="1:1">
      <c r="A4424" t="s">
        <v>3503</v>
      </c>
    </row>
    <row r="4425" spans="1:1">
      <c r="A4425" t="s">
        <v>3504</v>
      </c>
    </row>
    <row r="4426" spans="1:1">
      <c r="A4426" t="s">
        <v>3505</v>
      </c>
    </row>
    <row r="4427" spans="1:1">
      <c r="A4427" t="s">
        <v>3506</v>
      </c>
    </row>
    <row r="4428" spans="1:1">
      <c r="A4428" t="s">
        <v>3507</v>
      </c>
    </row>
    <row r="4429" spans="1:1">
      <c r="A4429" t="s">
        <v>3508</v>
      </c>
    </row>
    <row r="4430" spans="1:1">
      <c r="A4430" t="s">
        <v>3509</v>
      </c>
    </row>
    <row r="4431" spans="1:1">
      <c r="A4431" t="s">
        <v>3510</v>
      </c>
    </row>
    <row r="4432" spans="1:1">
      <c r="A4432" t="s">
        <v>3511</v>
      </c>
    </row>
    <row r="4433" spans="1:1">
      <c r="A4433" t="s">
        <v>3512</v>
      </c>
    </row>
    <row r="4434" spans="1:1">
      <c r="A4434" t="s">
        <v>3513</v>
      </c>
    </row>
    <row r="4435" spans="1:1">
      <c r="A4435" t="s">
        <v>3514</v>
      </c>
    </row>
    <row r="4436" spans="1:1">
      <c r="A4436" t="s">
        <v>3515</v>
      </c>
    </row>
    <row r="4437" spans="1:1">
      <c r="A4437" t="s">
        <v>3516</v>
      </c>
    </row>
    <row r="4438" spans="1:1">
      <c r="A4438" t="s">
        <v>290</v>
      </c>
    </row>
    <row r="4439" spans="1:1">
      <c r="A4439" t="s">
        <v>3517</v>
      </c>
    </row>
    <row r="4444" spans="1:1">
      <c r="A4444" t="s">
        <v>3518</v>
      </c>
    </row>
    <row r="4445" spans="1:1">
      <c r="A4445" t="s">
        <v>240</v>
      </c>
    </row>
    <row r="4446" spans="1:1">
      <c r="A4446" t="s">
        <v>3519</v>
      </c>
    </row>
    <row r="4447" spans="1:1">
      <c r="A4447" t="s">
        <v>3520</v>
      </c>
    </row>
    <row r="4448" spans="1:1">
      <c r="A4448" t="s">
        <v>243</v>
      </c>
    </row>
    <row r="4449" spans="1:1">
      <c r="A4449" t="s">
        <v>3521</v>
      </c>
    </row>
    <row r="4450" spans="1:1">
      <c r="A4450" t="s">
        <v>245</v>
      </c>
    </row>
    <row r="4452" spans="1:1">
      <c r="A4452" t="s">
        <v>2676</v>
      </c>
    </row>
    <row r="4453" spans="1:1">
      <c r="A4453" t="s">
        <v>247</v>
      </c>
    </row>
    <row r="4454" spans="1:1">
      <c r="A4454" t="s">
        <v>3522</v>
      </c>
    </row>
    <row r="4455" spans="1:1">
      <c r="A4455" t="s">
        <v>3523</v>
      </c>
    </row>
    <row r="4456" spans="1:1">
      <c r="A4456" t="s">
        <v>3524</v>
      </c>
    </row>
    <row r="4457" spans="1:1">
      <c r="A4457" t="s">
        <v>3525</v>
      </c>
    </row>
    <row r="4458" spans="1:1">
      <c r="A4458" t="s">
        <v>3526</v>
      </c>
    </row>
    <row r="4459" spans="1:1">
      <c r="A4459" t="s">
        <v>3527</v>
      </c>
    </row>
    <row r="4460" spans="1:1">
      <c r="A4460" t="s">
        <v>3528</v>
      </c>
    </row>
    <row r="4461" spans="1:1">
      <c r="A4461" t="s">
        <v>3529</v>
      </c>
    </row>
    <row r="4462" spans="1:1">
      <c r="A4462" t="s">
        <v>3530</v>
      </c>
    </row>
    <row r="4463" spans="1:1">
      <c r="A4463" t="s">
        <v>3531</v>
      </c>
    </row>
    <row r="4464" spans="1:1">
      <c r="A4464" t="s">
        <v>3532</v>
      </c>
    </row>
    <row r="4465" spans="1:1">
      <c r="A4465" t="s">
        <v>3533</v>
      </c>
    </row>
    <row r="4466" spans="1:1">
      <c r="A4466" t="s">
        <v>3534</v>
      </c>
    </row>
    <row r="4469" spans="1:1">
      <c r="A4469" t="s">
        <v>261</v>
      </c>
    </row>
    <row r="4470" spans="1:1">
      <c r="A4470" t="s">
        <v>3535</v>
      </c>
    </row>
    <row r="4471" spans="1:1">
      <c r="A4471" t="s">
        <v>3536</v>
      </c>
    </row>
    <row r="4472" spans="1:1">
      <c r="A4472" t="s">
        <v>3537</v>
      </c>
    </row>
    <row r="4473" spans="1:1">
      <c r="A4473" t="s">
        <v>3538</v>
      </c>
    </row>
    <row r="4474" spans="1:1">
      <c r="A4474" t="s">
        <v>3539</v>
      </c>
    </row>
    <row r="4475" spans="1:1">
      <c r="A4475" t="s">
        <v>3540</v>
      </c>
    </row>
    <row r="4476" spans="1:1">
      <c r="A4476" t="s">
        <v>3541</v>
      </c>
    </row>
    <row r="4477" spans="1:1">
      <c r="A4477" t="s">
        <v>3542</v>
      </c>
    </row>
    <row r="4478" spans="1:1">
      <c r="A4478" t="s">
        <v>3543</v>
      </c>
    </row>
    <row r="4479" spans="1:1">
      <c r="A4479" t="s">
        <v>3544</v>
      </c>
    </row>
    <row r="4480" spans="1:1">
      <c r="A4480" t="s">
        <v>3545</v>
      </c>
    </row>
    <row r="4481" spans="1:1">
      <c r="A4481" t="s">
        <v>3546</v>
      </c>
    </row>
    <row r="4482" spans="1:1">
      <c r="A4482" t="s">
        <v>3547</v>
      </c>
    </row>
    <row r="4484" spans="1:1">
      <c r="A4484" t="s">
        <v>275</v>
      </c>
    </row>
    <row r="4485" spans="1:1">
      <c r="A4485" t="s">
        <v>3548</v>
      </c>
    </row>
    <row r="4486" spans="1:1">
      <c r="A4486" t="s">
        <v>3549</v>
      </c>
    </row>
    <row r="4487" spans="1:1">
      <c r="A4487" t="s">
        <v>3550</v>
      </c>
    </row>
    <row r="4488" spans="1:1">
      <c r="A4488" t="s">
        <v>3551</v>
      </c>
    </row>
    <row r="4489" spans="1:1">
      <c r="A4489" t="s">
        <v>3552</v>
      </c>
    </row>
    <row r="4490" spans="1:1">
      <c r="A4490" t="s">
        <v>3553</v>
      </c>
    </row>
    <row r="4491" spans="1:1">
      <c r="A4491" t="s">
        <v>3554</v>
      </c>
    </row>
    <row r="4492" spans="1:1">
      <c r="A4492" t="s">
        <v>3555</v>
      </c>
    </row>
    <row r="4493" spans="1:1">
      <c r="A4493" t="s">
        <v>3556</v>
      </c>
    </row>
    <row r="4494" spans="1:1">
      <c r="A4494" t="s">
        <v>3557</v>
      </c>
    </row>
    <row r="4495" spans="1:1">
      <c r="A4495" t="s">
        <v>3558</v>
      </c>
    </row>
    <row r="4496" spans="1:1">
      <c r="A4496" t="s">
        <v>3559</v>
      </c>
    </row>
    <row r="4497" spans="1:1">
      <c r="A4497" t="s">
        <v>3560</v>
      </c>
    </row>
    <row r="4498" spans="1:1">
      <c r="A4498" t="s">
        <v>3561</v>
      </c>
    </row>
    <row r="4499" spans="1:1">
      <c r="A4499" t="s">
        <v>290</v>
      </c>
    </row>
    <row r="4500" spans="1:1">
      <c r="A4500" t="s">
        <v>3562</v>
      </c>
    </row>
    <row r="4505" spans="1:1">
      <c r="A4505" t="s">
        <v>3563</v>
      </c>
    </row>
    <row r="4506" spans="1:1">
      <c r="A4506" t="s">
        <v>240</v>
      </c>
    </row>
    <row r="4507" spans="1:1">
      <c r="A4507" t="s">
        <v>3564</v>
      </c>
    </row>
    <row r="4508" spans="1:1">
      <c r="A4508" t="s">
        <v>3565</v>
      </c>
    </row>
    <row r="4509" spans="1:1">
      <c r="A4509" t="s">
        <v>243</v>
      </c>
    </row>
    <row r="4510" spans="1:1">
      <c r="A4510" t="s">
        <v>3566</v>
      </c>
    </row>
    <row r="4511" spans="1:1">
      <c r="A4511" t="s">
        <v>245</v>
      </c>
    </row>
    <row r="4513" spans="1:1">
      <c r="A4513" t="s">
        <v>3298</v>
      </c>
    </row>
    <row r="4514" spans="1:1">
      <c r="A4514" t="s">
        <v>247</v>
      </c>
    </row>
    <row r="4515" spans="1:1">
      <c r="A4515" t="s">
        <v>3567</v>
      </c>
    </row>
    <row r="4516" spans="1:1">
      <c r="A4516" t="s">
        <v>3568</v>
      </c>
    </row>
    <row r="4517" spans="1:1">
      <c r="A4517" t="s">
        <v>3569</v>
      </c>
    </row>
    <row r="4518" spans="1:1">
      <c r="A4518" t="s">
        <v>3570</v>
      </c>
    </row>
    <row r="4519" spans="1:1">
      <c r="A4519" t="s">
        <v>3571</v>
      </c>
    </row>
    <row r="4520" spans="1:1">
      <c r="A4520" t="s">
        <v>3572</v>
      </c>
    </row>
    <row r="4521" spans="1:1">
      <c r="A4521" t="s">
        <v>3573</v>
      </c>
    </row>
    <row r="4522" spans="1:1">
      <c r="A4522" t="s">
        <v>3574</v>
      </c>
    </row>
    <row r="4523" spans="1:1">
      <c r="A4523" t="s">
        <v>3575</v>
      </c>
    </row>
    <row r="4524" spans="1:1">
      <c r="A4524" t="s">
        <v>3576</v>
      </c>
    </row>
    <row r="4525" spans="1:1">
      <c r="A4525" t="s">
        <v>3577</v>
      </c>
    </row>
    <row r="4526" spans="1:1">
      <c r="A4526" t="s">
        <v>3578</v>
      </c>
    </row>
    <row r="4527" spans="1:1">
      <c r="A4527" t="s">
        <v>3579</v>
      </c>
    </row>
    <row r="4530" spans="1:1">
      <c r="A4530" t="s">
        <v>261</v>
      </c>
    </row>
    <row r="4531" spans="1:1">
      <c r="A4531" t="s">
        <v>3580</v>
      </c>
    </row>
    <row r="4532" spans="1:1">
      <c r="A4532" t="s">
        <v>3581</v>
      </c>
    </row>
    <row r="4533" spans="1:1">
      <c r="A4533" t="s">
        <v>3582</v>
      </c>
    </row>
    <row r="4534" spans="1:1">
      <c r="A4534" t="s">
        <v>3583</v>
      </c>
    </row>
    <row r="4535" spans="1:1">
      <c r="A4535" t="s">
        <v>3584</v>
      </c>
    </row>
    <row r="4536" spans="1:1">
      <c r="A4536" t="s">
        <v>3585</v>
      </c>
    </row>
    <row r="4537" spans="1:1">
      <c r="A4537" t="s">
        <v>3586</v>
      </c>
    </row>
    <row r="4538" spans="1:1">
      <c r="A4538" t="s">
        <v>3587</v>
      </c>
    </row>
    <row r="4539" spans="1:1">
      <c r="A4539" t="s">
        <v>3588</v>
      </c>
    </row>
    <row r="4540" spans="1:1">
      <c r="A4540" t="s">
        <v>3589</v>
      </c>
    </row>
    <row r="4541" spans="1:1">
      <c r="A4541" t="s">
        <v>3590</v>
      </c>
    </row>
    <row r="4542" spans="1:1">
      <c r="A4542" t="s">
        <v>3591</v>
      </c>
    </row>
    <row r="4543" spans="1:1">
      <c r="A4543" t="s">
        <v>3592</v>
      </c>
    </row>
    <row r="4545" spans="1:1">
      <c r="A4545" t="s">
        <v>275</v>
      </c>
    </row>
    <row r="4546" spans="1:1">
      <c r="A4546" t="s">
        <v>3593</v>
      </c>
    </row>
    <row r="4547" spans="1:1">
      <c r="A4547" t="s">
        <v>3594</v>
      </c>
    </row>
    <row r="4548" spans="1:1">
      <c r="A4548" t="s">
        <v>3595</v>
      </c>
    </row>
    <row r="4549" spans="1:1">
      <c r="A4549" t="s">
        <v>3596</v>
      </c>
    </row>
    <row r="4550" spans="1:1">
      <c r="A4550" t="s">
        <v>3597</v>
      </c>
    </row>
    <row r="4551" spans="1:1">
      <c r="A4551" t="s">
        <v>3598</v>
      </c>
    </row>
    <row r="4552" spans="1:1">
      <c r="A4552" t="s">
        <v>3599</v>
      </c>
    </row>
    <row r="4553" spans="1:1">
      <c r="A4553" t="s">
        <v>3600</v>
      </c>
    </row>
    <row r="4554" spans="1:1">
      <c r="A4554" t="s">
        <v>3601</v>
      </c>
    </row>
    <row r="4555" spans="1:1">
      <c r="A4555" t="s">
        <v>3602</v>
      </c>
    </row>
    <row r="4556" spans="1:1">
      <c r="A4556" t="s">
        <v>3603</v>
      </c>
    </row>
    <row r="4557" spans="1:1">
      <c r="A4557" t="s">
        <v>3604</v>
      </c>
    </row>
    <row r="4558" spans="1:1">
      <c r="A4558" t="s">
        <v>3605</v>
      </c>
    </row>
    <row r="4559" spans="1:1">
      <c r="A4559" t="s">
        <v>3606</v>
      </c>
    </row>
    <row r="4560" spans="1:1">
      <c r="A4560" t="s">
        <v>290</v>
      </c>
    </row>
    <row r="4561" spans="1:1">
      <c r="A4561" t="s">
        <v>3607</v>
      </c>
    </row>
    <row r="4566" spans="1:1">
      <c r="A4566" t="s">
        <v>3608</v>
      </c>
    </row>
    <row r="4567" spans="1:1">
      <c r="A4567" t="s">
        <v>240</v>
      </c>
    </row>
    <row r="4568" spans="1:1">
      <c r="A4568" t="s">
        <v>3609</v>
      </c>
    </row>
    <row r="4569" spans="1:1">
      <c r="A4569" t="s">
        <v>3610</v>
      </c>
    </row>
    <row r="4570" spans="1:1">
      <c r="A4570" t="s">
        <v>243</v>
      </c>
    </row>
    <row r="4571" spans="1:1">
      <c r="A4571" t="s">
        <v>3611</v>
      </c>
    </row>
    <row r="4572" spans="1:1">
      <c r="A4572" t="s">
        <v>245</v>
      </c>
    </row>
    <row r="4574" spans="1:1">
      <c r="A4574" t="s">
        <v>2676</v>
      </c>
    </row>
    <row r="4575" spans="1:1">
      <c r="A4575" t="s">
        <v>247</v>
      </c>
    </row>
    <row r="4576" spans="1:1">
      <c r="A4576" t="s">
        <v>3612</v>
      </c>
    </row>
    <row r="4577" spans="1:1">
      <c r="A4577" t="s">
        <v>3613</v>
      </c>
    </row>
    <row r="4578" spans="1:1">
      <c r="A4578" t="s">
        <v>3614</v>
      </c>
    </row>
    <row r="4579" spans="1:1">
      <c r="A4579" t="s">
        <v>3615</v>
      </c>
    </row>
    <row r="4580" spans="1:1">
      <c r="A4580" t="s">
        <v>3616</v>
      </c>
    </row>
    <row r="4581" spans="1:1">
      <c r="A4581" t="s">
        <v>3617</v>
      </c>
    </row>
    <row r="4582" spans="1:1">
      <c r="A4582" t="s">
        <v>3618</v>
      </c>
    </row>
    <row r="4583" spans="1:1">
      <c r="A4583" t="s">
        <v>3619</v>
      </c>
    </row>
    <row r="4584" spans="1:1">
      <c r="A4584" t="s">
        <v>3620</v>
      </c>
    </row>
    <row r="4585" spans="1:1">
      <c r="A4585" t="s">
        <v>3621</v>
      </c>
    </row>
    <row r="4586" spans="1:1">
      <c r="A4586" t="s">
        <v>3622</v>
      </c>
    </row>
    <row r="4587" spans="1:1">
      <c r="A4587" t="s">
        <v>3623</v>
      </c>
    </row>
    <row r="4588" spans="1:1">
      <c r="A4588" t="s">
        <v>3624</v>
      </c>
    </row>
    <row r="4591" spans="1:1">
      <c r="A4591" t="s">
        <v>261</v>
      </c>
    </row>
    <row r="4592" spans="1:1">
      <c r="A4592" t="s">
        <v>3625</v>
      </c>
    </row>
    <row r="4593" spans="1:1">
      <c r="A4593" t="s">
        <v>3626</v>
      </c>
    </row>
    <row r="4594" spans="1:1">
      <c r="A4594" t="s">
        <v>3627</v>
      </c>
    </row>
    <row r="4595" spans="1:1">
      <c r="A4595" t="s">
        <v>3628</v>
      </c>
    </row>
    <row r="4596" spans="1:1">
      <c r="A4596" t="s">
        <v>3629</v>
      </c>
    </row>
    <row r="4597" spans="1:1">
      <c r="A4597" t="s">
        <v>3630</v>
      </c>
    </row>
    <row r="4598" spans="1:1">
      <c r="A4598" t="s">
        <v>3631</v>
      </c>
    </row>
    <row r="4599" spans="1:1">
      <c r="A4599" t="s">
        <v>3632</v>
      </c>
    </row>
    <row r="4600" spans="1:1">
      <c r="A4600" t="s">
        <v>3633</v>
      </c>
    </row>
    <row r="4601" spans="1:1">
      <c r="A4601" t="s">
        <v>3634</v>
      </c>
    </row>
    <row r="4602" spans="1:1">
      <c r="A4602" t="s">
        <v>3635</v>
      </c>
    </row>
    <row r="4603" spans="1:1">
      <c r="A4603" t="s">
        <v>3636</v>
      </c>
    </row>
    <row r="4604" spans="1:1">
      <c r="A4604" t="s">
        <v>3637</v>
      </c>
    </row>
    <row r="4606" spans="1:1">
      <c r="A4606" t="s">
        <v>275</v>
      </c>
    </row>
    <row r="4607" spans="1:1">
      <c r="A4607" t="s">
        <v>3638</v>
      </c>
    </row>
    <row r="4608" spans="1:1">
      <c r="A4608" t="s">
        <v>3639</v>
      </c>
    </row>
    <row r="4609" spans="1:1">
      <c r="A4609" t="s">
        <v>3640</v>
      </c>
    </row>
    <row r="4610" spans="1:1">
      <c r="A4610" t="s">
        <v>3641</v>
      </c>
    </row>
    <row r="4611" spans="1:1">
      <c r="A4611" t="s">
        <v>3642</v>
      </c>
    </row>
    <row r="4612" spans="1:1">
      <c r="A4612" t="s">
        <v>3643</v>
      </c>
    </row>
    <row r="4613" spans="1:1">
      <c r="A4613" t="s">
        <v>3644</v>
      </c>
    </row>
    <row r="4614" spans="1:1">
      <c r="A4614" t="s">
        <v>3645</v>
      </c>
    </row>
    <row r="4615" spans="1:1">
      <c r="A4615" t="s">
        <v>3646</v>
      </c>
    </row>
    <row r="4616" spans="1:1">
      <c r="A4616" t="s">
        <v>3647</v>
      </c>
    </row>
    <row r="4617" spans="1:1">
      <c r="A4617" t="s">
        <v>3648</v>
      </c>
    </row>
    <row r="4618" spans="1:1">
      <c r="A4618" t="s">
        <v>3649</v>
      </c>
    </row>
    <row r="4619" spans="1:1">
      <c r="A4619" t="s">
        <v>3650</v>
      </c>
    </row>
    <row r="4620" spans="1:1">
      <c r="A4620" t="s">
        <v>3651</v>
      </c>
    </row>
    <row r="4621" spans="1:1">
      <c r="A4621" t="s">
        <v>290</v>
      </c>
    </row>
    <row r="4622" spans="1:1">
      <c r="A4622" t="s">
        <v>3652</v>
      </c>
    </row>
    <row r="4627" spans="1:1">
      <c r="A4627" t="s">
        <v>3653</v>
      </c>
    </row>
    <row r="4628" spans="1:1">
      <c r="A4628" t="s">
        <v>240</v>
      </c>
    </row>
    <row r="4629" spans="1:1">
      <c r="A4629" t="s">
        <v>3654</v>
      </c>
    </row>
    <row r="4630" spans="1:1">
      <c r="A4630" t="s">
        <v>3655</v>
      </c>
    </row>
    <row r="4631" spans="1:1">
      <c r="A4631" t="s">
        <v>243</v>
      </c>
    </row>
    <row r="4632" spans="1:1">
      <c r="A4632" t="s">
        <v>3656</v>
      </c>
    </row>
    <row r="4633" spans="1:1">
      <c r="A4633" t="s">
        <v>245</v>
      </c>
    </row>
    <row r="4635" spans="1:1">
      <c r="A4635" t="s">
        <v>3298</v>
      </c>
    </row>
    <row r="4636" spans="1:1">
      <c r="A4636" t="s">
        <v>247</v>
      </c>
    </row>
    <row r="4637" spans="1:1">
      <c r="A4637" t="s">
        <v>3657</v>
      </c>
    </row>
    <row r="4638" spans="1:1">
      <c r="A4638" t="s">
        <v>3658</v>
      </c>
    </row>
    <row r="4639" spans="1:1">
      <c r="A4639" t="s">
        <v>3659</v>
      </c>
    </row>
    <row r="4640" spans="1:1">
      <c r="A4640" t="s">
        <v>3660</v>
      </c>
    </row>
    <row r="4641" spans="1:1">
      <c r="A4641" t="s">
        <v>3661</v>
      </c>
    </row>
    <row r="4642" spans="1:1">
      <c r="A4642" t="s">
        <v>3662</v>
      </c>
    </row>
    <row r="4643" spans="1:1">
      <c r="A4643" t="s">
        <v>3663</v>
      </c>
    </row>
    <row r="4644" spans="1:1">
      <c r="A4644" t="s">
        <v>3664</v>
      </c>
    </row>
    <row r="4645" spans="1:1">
      <c r="A4645" t="s">
        <v>3665</v>
      </c>
    </row>
    <row r="4646" spans="1:1">
      <c r="A4646" t="s">
        <v>3666</v>
      </c>
    </row>
    <row r="4647" spans="1:1">
      <c r="A4647" t="s">
        <v>3667</v>
      </c>
    </row>
    <row r="4648" spans="1:1">
      <c r="A4648" t="s">
        <v>3668</v>
      </c>
    </row>
    <row r="4649" spans="1:1">
      <c r="A4649" t="s">
        <v>3669</v>
      </c>
    </row>
    <row r="4652" spans="1:1">
      <c r="A4652" t="s">
        <v>261</v>
      </c>
    </row>
    <row r="4653" spans="1:1">
      <c r="A4653" t="s">
        <v>3670</v>
      </c>
    </row>
    <row r="4654" spans="1:1">
      <c r="A4654" t="s">
        <v>3671</v>
      </c>
    </row>
    <row r="4655" spans="1:1">
      <c r="A4655" t="s">
        <v>3672</v>
      </c>
    </row>
    <row r="4656" spans="1:1">
      <c r="A4656" t="s">
        <v>3673</v>
      </c>
    </row>
    <row r="4657" spans="1:1">
      <c r="A4657" t="s">
        <v>3674</v>
      </c>
    </row>
    <row r="4658" spans="1:1">
      <c r="A4658" t="s">
        <v>3675</v>
      </c>
    </row>
    <row r="4659" spans="1:1">
      <c r="A4659" t="s">
        <v>3676</v>
      </c>
    </row>
    <row r="4660" spans="1:1">
      <c r="A4660" t="s">
        <v>3677</v>
      </c>
    </row>
    <row r="4661" spans="1:1">
      <c r="A4661" t="s">
        <v>3678</v>
      </c>
    </row>
    <row r="4662" spans="1:1">
      <c r="A4662" t="s">
        <v>3679</v>
      </c>
    </row>
    <row r="4663" spans="1:1">
      <c r="A4663" t="s">
        <v>3680</v>
      </c>
    </row>
    <row r="4664" spans="1:1">
      <c r="A4664" t="s">
        <v>3681</v>
      </c>
    </row>
    <row r="4665" spans="1:1">
      <c r="A4665" t="s">
        <v>3682</v>
      </c>
    </row>
    <row r="4667" spans="1:1">
      <c r="A4667" t="s">
        <v>275</v>
      </c>
    </row>
    <row r="4668" spans="1:1">
      <c r="A4668" t="s">
        <v>3683</v>
      </c>
    </row>
    <row r="4669" spans="1:1">
      <c r="A4669" t="s">
        <v>3684</v>
      </c>
    </row>
    <row r="4670" spans="1:1">
      <c r="A4670" t="s">
        <v>3685</v>
      </c>
    </row>
    <row r="4671" spans="1:1">
      <c r="A4671" t="s">
        <v>3686</v>
      </c>
    </row>
    <row r="4672" spans="1:1">
      <c r="A4672" t="s">
        <v>3687</v>
      </c>
    </row>
    <row r="4673" spans="1:1">
      <c r="A4673" t="s">
        <v>3688</v>
      </c>
    </row>
    <row r="4674" spans="1:1">
      <c r="A4674" t="s">
        <v>3689</v>
      </c>
    </row>
    <row r="4675" spans="1:1">
      <c r="A4675" t="s">
        <v>3690</v>
      </c>
    </row>
    <row r="4676" spans="1:1">
      <c r="A4676" t="s">
        <v>3691</v>
      </c>
    </row>
    <row r="4677" spans="1:1">
      <c r="A4677" t="s">
        <v>3692</v>
      </c>
    </row>
    <row r="4678" spans="1:1">
      <c r="A4678" t="s">
        <v>3693</v>
      </c>
    </row>
    <row r="4679" spans="1:1">
      <c r="A4679" t="s">
        <v>3694</v>
      </c>
    </row>
    <row r="4680" spans="1:1">
      <c r="A4680" t="s">
        <v>3695</v>
      </c>
    </row>
    <row r="4681" spans="1:1">
      <c r="A4681" t="s">
        <v>3696</v>
      </c>
    </row>
    <row r="4682" spans="1:1">
      <c r="A4682" t="s">
        <v>290</v>
      </c>
    </row>
    <row r="4683" spans="1:1">
      <c r="A4683" t="s">
        <v>3697</v>
      </c>
    </row>
    <row r="4688" spans="1:1">
      <c r="A4688" t="s">
        <v>3698</v>
      </c>
    </row>
    <row r="4689" spans="1:1">
      <c r="A4689" t="s">
        <v>240</v>
      </c>
    </row>
    <row r="4690" spans="1:1">
      <c r="A4690" t="s">
        <v>3699</v>
      </c>
    </row>
    <row r="4691" spans="1:1">
      <c r="A4691" t="s">
        <v>3700</v>
      </c>
    </row>
    <row r="4692" spans="1:1">
      <c r="A4692" t="s">
        <v>243</v>
      </c>
    </row>
    <row r="4693" spans="1:1">
      <c r="A4693" t="s">
        <v>3701</v>
      </c>
    </row>
    <row r="4694" spans="1:1">
      <c r="A4694" t="s">
        <v>245</v>
      </c>
    </row>
    <row r="4696" spans="1:1">
      <c r="A4696" t="s">
        <v>2676</v>
      </c>
    </row>
    <row r="4697" spans="1:1">
      <c r="A4697" t="s">
        <v>247</v>
      </c>
    </row>
    <row r="4698" spans="1:1">
      <c r="A4698" t="s">
        <v>3702</v>
      </c>
    </row>
    <row r="4699" spans="1:1">
      <c r="A4699" t="s">
        <v>3703</v>
      </c>
    </row>
    <row r="4700" spans="1:1">
      <c r="A4700" t="s">
        <v>3704</v>
      </c>
    </row>
    <row r="4701" spans="1:1">
      <c r="A4701" t="s">
        <v>3705</v>
      </c>
    </row>
    <row r="4702" spans="1:1">
      <c r="A4702" t="s">
        <v>3706</v>
      </c>
    </row>
    <row r="4703" spans="1:1">
      <c r="A4703" t="s">
        <v>3707</v>
      </c>
    </row>
    <row r="4704" spans="1:1">
      <c r="A4704" t="s">
        <v>3708</v>
      </c>
    </row>
    <row r="4705" spans="1:1">
      <c r="A4705" t="s">
        <v>3709</v>
      </c>
    </row>
    <row r="4706" spans="1:1">
      <c r="A4706" t="s">
        <v>3710</v>
      </c>
    </row>
    <row r="4707" spans="1:1">
      <c r="A4707" t="s">
        <v>3711</v>
      </c>
    </row>
    <row r="4708" spans="1:1">
      <c r="A4708" t="s">
        <v>3712</v>
      </c>
    </row>
    <row r="4709" spans="1:1">
      <c r="A4709" t="s">
        <v>3713</v>
      </c>
    </row>
    <row r="4710" spans="1:1">
      <c r="A4710" t="s">
        <v>3714</v>
      </c>
    </row>
    <row r="4713" spans="1:1">
      <c r="A4713" t="s">
        <v>261</v>
      </c>
    </row>
    <row r="4714" spans="1:1">
      <c r="A4714" t="s">
        <v>3715</v>
      </c>
    </row>
    <row r="4715" spans="1:1">
      <c r="A4715" t="s">
        <v>3716</v>
      </c>
    </row>
    <row r="4716" spans="1:1">
      <c r="A4716" t="s">
        <v>3717</v>
      </c>
    </row>
    <row r="4717" spans="1:1">
      <c r="A4717" t="s">
        <v>3718</v>
      </c>
    </row>
    <row r="4718" spans="1:1">
      <c r="A4718" t="s">
        <v>3719</v>
      </c>
    </row>
    <row r="4719" spans="1:1">
      <c r="A4719" t="s">
        <v>3720</v>
      </c>
    </row>
    <row r="4720" spans="1:1">
      <c r="A4720" t="s">
        <v>3721</v>
      </c>
    </row>
    <row r="4721" spans="1:1">
      <c r="A4721" t="s">
        <v>3722</v>
      </c>
    </row>
    <row r="4722" spans="1:1">
      <c r="A4722" t="s">
        <v>3723</v>
      </c>
    </row>
    <row r="4723" spans="1:1">
      <c r="A4723" t="s">
        <v>3724</v>
      </c>
    </row>
    <row r="4724" spans="1:1">
      <c r="A4724" t="s">
        <v>3725</v>
      </c>
    </row>
    <row r="4725" spans="1:1">
      <c r="A4725" t="s">
        <v>3726</v>
      </c>
    </row>
    <row r="4726" spans="1:1">
      <c r="A4726" t="s">
        <v>3727</v>
      </c>
    </row>
    <row r="4728" spans="1:1">
      <c r="A4728" t="s">
        <v>275</v>
      </c>
    </row>
    <row r="4729" spans="1:1">
      <c r="A4729" t="s">
        <v>3728</v>
      </c>
    </row>
    <row r="4730" spans="1:1">
      <c r="A4730" t="s">
        <v>3729</v>
      </c>
    </row>
    <row r="4731" spans="1:1">
      <c r="A4731" t="s">
        <v>3730</v>
      </c>
    </row>
    <row r="4732" spans="1:1">
      <c r="A4732" t="s">
        <v>3731</v>
      </c>
    </row>
    <row r="4733" spans="1:1">
      <c r="A4733" t="s">
        <v>3732</v>
      </c>
    </row>
    <row r="4734" spans="1:1">
      <c r="A4734" t="s">
        <v>3733</v>
      </c>
    </row>
    <row r="4735" spans="1:1">
      <c r="A4735" t="s">
        <v>3734</v>
      </c>
    </row>
    <row r="4736" spans="1:1">
      <c r="A4736" t="s">
        <v>3735</v>
      </c>
    </row>
    <row r="4737" spans="1:1">
      <c r="A4737" t="s">
        <v>3736</v>
      </c>
    </row>
    <row r="4738" spans="1:1">
      <c r="A4738" t="s">
        <v>3737</v>
      </c>
    </row>
    <row r="4739" spans="1:1">
      <c r="A4739" t="s">
        <v>3738</v>
      </c>
    </row>
    <row r="4740" spans="1:1">
      <c r="A4740" t="s">
        <v>3739</v>
      </c>
    </row>
    <row r="4741" spans="1:1">
      <c r="A4741" t="s">
        <v>3740</v>
      </c>
    </row>
    <row r="4742" spans="1:1">
      <c r="A4742" t="s">
        <v>3741</v>
      </c>
    </row>
    <row r="4743" spans="1:1">
      <c r="A4743" t="s">
        <v>290</v>
      </c>
    </row>
    <row r="4744" spans="1:1">
      <c r="A4744" t="s">
        <v>3742</v>
      </c>
    </row>
    <row r="4749" spans="1:1">
      <c r="A4749" t="s">
        <v>3743</v>
      </c>
    </row>
    <row r="4750" spans="1:1">
      <c r="A4750" t="s">
        <v>240</v>
      </c>
    </row>
    <row r="4751" spans="1:1">
      <c r="A4751" t="s">
        <v>3744</v>
      </c>
    </row>
    <row r="4752" spans="1:1">
      <c r="A4752" t="s">
        <v>3745</v>
      </c>
    </row>
    <row r="4753" spans="1:1">
      <c r="A4753" t="s">
        <v>243</v>
      </c>
    </row>
    <row r="4754" spans="1:1">
      <c r="A4754" t="s">
        <v>3746</v>
      </c>
    </row>
    <row r="4755" spans="1:1">
      <c r="A4755" t="s">
        <v>245</v>
      </c>
    </row>
    <row r="4757" spans="1:1">
      <c r="A4757" t="s">
        <v>3298</v>
      </c>
    </row>
    <row r="4758" spans="1:1">
      <c r="A4758" t="s">
        <v>247</v>
      </c>
    </row>
    <row r="4759" spans="1:1">
      <c r="A4759" t="s">
        <v>3747</v>
      </c>
    </row>
    <row r="4760" spans="1:1">
      <c r="A4760" t="s">
        <v>3748</v>
      </c>
    </row>
    <row r="4761" spans="1:1">
      <c r="A4761" t="s">
        <v>3749</v>
      </c>
    </row>
    <row r="4762" spans="1:1">
      <c r="A4762" t="s">
        <v>3750</v>
      </c>
    </row>
    <row r="4763" spans="1:1">
      <c r="A4763" t="s">
        <v>3751</v>
      </c>
    </row>
    <row r="4764" spans="1:1">
      <c r="A4764" t="s">
        <v>3752</v>
      </c>
    </row>
    <row r="4765" spans="1:1">
      <c r="A4765" t="s">
        <v>3753</v>
      </c>
    </row>
    <row r="4766" spans="1:1">
      <c r="A4766" t="s">
        <v>3754</v>
      </c>
    </row>
    <row r="4767" spans="1:1">
      <c r="A4767" t="s">
        <v>3755</v>
      </c>
    </row>
    <row r="4768" spans="1:1">
      <c r="A4768" t="s">
        <v>3756</v>
      </c>
    </row>
    <row r="4769" spans="1:1">
      <c r="A4769" t="s">
        <v>3757</v>
      </c>
    </row>
    <row r="4770" spans="1:1">
      <c r="A4770" t="s">
        <v>3758</v>
      </c>
    </row>
    <row r="4771" spans="1:1">
      <c r="A4771" t="s">
        <v>3759</v>
      </c>
    </row>
    <row r="4774" spans="1:1">
      <c r="A4774" t="s">
        <v>261</v>
      </c>
    </row>
    <row r="4775" spans="1:1">
      <c r="A4775" t="s">
        <v>3760</v>
      </c>
    </row>
    <row r="4776" spans="1:1">
      <c r="A4776" t="s">
        <v>3761</v>
      </c>
    </row>
    <row r="4777" spans="1:1">
      <c r="A4777" t="s">
        <v>3762</v>
      </c>
    </row>
    <row r="4778" spans="1:1">
      <c r="A4778" t="s">
        <v>3763</v>
      </c>
    </row>
    <row r="4779" spans="1:1">
      <c r="A4779" t="s">
        <v>3764</v>
      </c>
    </row>
    <row r="4780" spans="1:1">
      <c r="A4780" t="s">
        <v>3765</v>
      </c>
    </row>
    <row r="4781" spans="1:1">
      <c r="A4781" t="s">
        <v>3766</v>
      </c>
    </row>
    <row r="4782" spans="1:1">
      <c r="A4782" t="s">
        <v>3767</v>
      </c>
    </row>
    <row r="4783" spans="1:1">
      <c r="A4783" t="s">
        <v>3768</v>
      </c>
    </row>
    <row r="4784" spans="1:1">
      <c r="A4784" t="s">
        <v>3769</v>
      </c>
    </row>
    <row r="4785" spans="1:1">
      <c r="A4785" t="s">
        <v>3770</v>
      </c>
    </row>
    <row r="4786" spans="1:1">
      <c r="A4786" t="s">
        <v>3771</v>
      </c>
    </row>
    <row r="4787" spans="1:1">
      <c r="A4787" t="s">
        <v>3772</v>
      </c>
    </row>
    <row r="4789" spans="1:1">
      <c r="A4789" t="s">
        <v>275</v>
      </c>
    </row>
    <row r="4790" spans="1:1">
      <c r="A4790" t="s">
        <v>3773</v>
      </c>
    </row>
    <row r="4791" spans="1:1">
      <c r="A4791" t="s">
        <v>3774</v>
      </c>
    </row>
    <row r="4792" spans="1:1">
      <c r="A4792" t="s">
        <v>3775</v>
      </c>
    </row>
    <row r="4793" spans="1:1">
      <c r="A4793" t="s">
        <v>3776</v>
      </c>
    </row>
    <row r="4794" spans="1:1">
      <c r="A4794" t="s">
        <v>3777</v>
      </c>
    </row>
    <row r="4795" spans="1:1">
      <c r="A4795" t="s">
        <v>3778</v>
      </c>
    </row>
    <row r="4796" spans="1:1">
      <c r="A4796" t="s">
        <v>3779</v>
      </c>
    </row>
    <row r="4797" spans="1:1">
      <c r="A4797" t="s">
        <v>3780</v>
      </c>
    </row>
    <row r="4798" spans="1:1">
      <c r="A4798" t="s">
        <v>3781</v>
      </c>
    </row>
    <row r="4799" spans="1:1">
      <c r="A4799" t="s">
        <v>3782</v>
      </c>
    </row>
    <row r="4800" spans="1:1">
      <c r="A4800" t="s">
        <v>3783</v>
      </c>
    </row>
    <row r="4801" spans="1:1">
      <c r="A4801" t="s">
        <v>3784</v>
      </c>
    </row>
    <row r="4802" spans="1:1">
      <c r="A4802" t="s">
        <v>3785</v>
      </c>
    </row>
    <row r="4803" spans="1:1">
      <c r="A4803" t="s">
        <v>3786</v>
      </c>
    </row>
    <row r="4804" spans="1:1">
      <c r="A4804" t="s">
        <v>290</v>
      </c>
    </row>
    <row r="4805" spans="1:1">
      <c r="A4805" t="s">
        <v>3787</v>
      </c>
    </row>
    <row r="4810" spans="1:1">
      <c r="A4810" t="s">
        <v>3788</v>
      </c>
    </row>
    <row r="4811" spans="1:1">
      <c r="A4811" t="s">
        <v>240</v>
      </c>
    </row>
    <row r="4812" spans="1:1">
      <c r="A4812" t="s">
        <v>3789</v>
      </c>
    </row>
    <row r="4813" spans="1:1">
      <c r="A4813" t="s">
        <v>3790</v>
      </c>
    </row>
    <row r="4814" spans="1:1">
      <c r="A4814" t="s">
        <v>243</v>
      </c>
    </row>
    <row r="4815" spans="1:1">
      <c r="A4815" t="s">
        <v>3791</v>
      </c>
    </row>
    <row r="4816" spans="1:1">
      <c r="A4816" t="s">
        <v>245</v>
      </c>
    </row>
    <row r="4818" spans="1:1">
      <c r="A4818" t="s">
        <v>3298</v>
      </c>
    </row>
    <row r="4819" spans="1:1">
      <c r="A4819" t="s">
        <v>247</v>
      </c>
    </row>
    <row r="4820" spans="1:1">
      <c r="A4820" t="s">
        <v>3792</v>
      </c>
    </row>
    <row r="4821" spans="1:1">
      <c r="A4821" t="s">
        <v>3793</v>
      </c>
    </row>
    <row r="4822" spans="1:1">
      <c r="A4822" t="s">
        <v>3794</v>
      </c>
    </row>
    <row r="4823" spans="1:1">
      <c r="A4823" t="s">
        <v>3795</v>
      </c>
    </row>
    <row r="4824" spans="1:1">
      <c r="A4824" t="s">
        <v>3796</v>
      </c>
    </row>
    <row r="4825" spans="1:1">
      <c r="A4825" t="s">
        <v>3797</v>
      </c>
    </row>
    <row r="4826" spans="1:1">
      <c r="A4826" t="s">
        <v>3798</v>
      </c>
    </row>
    <row r="4827" spans="1:1">
      <c r="A4827" t="s">
        <v>3799</v>
      </c>
    </row>
    <row r="4828" spans="1:1">
      <c r="A4828" t="s">
        <v>3800</v>
      </c>
    </row>
    <row r="4829" spans="1:1">
      <c r="A4829" t="s">
        <v>3801</v>
      </c>
    </row>
    <row r="4830" spans="1:1">
      <c r="A4830" t="s">
        <v>3802</v>
      </c>
    </row>
    <row r="4831" spans="1:1">
      <c r="A4831" t="s">
        <v>3803</v>
      </c>
    </row>
    <row r="4832" spans="1:1">
      <c r="A4832" t="s">
        <v>3804</v>
      </c>
    </row>
    <row r="4835" spans="1:1">
      <c r="A4835" t="s">
        <v>261</v>
      </c>
    </row>
    <row r="4836" spans="1:1">
      <c r="A4836" t="s">
        <v>3805</v>
      </c>
    </row>
    <row r="4837" spans="1:1">
      <c r="A4837" t="s">
        <v>3806</v>
      </c>
    </row>
    <row r="4838" spans="1:1">
      <c r="A4838" t="s">
        <v>3807</v>
      </c>
    </row>
    <row r="4839" spans="1:1">
      <c r="A4839" t="s">
        <v>3808</v>
      </c>
    </row>
    <row r="4840" spans="1:1">
      <c r="A4840" t="s">
        <v>3809</v>
      </c>
    </row>
    <row r="4841" spans="1:1">
      <c r="A4841" t="s">
        <v>3810</v>
      </c>
    </row>
    <row r="4842" spans="1:1">
      <c r="A4842" t="s">
        <v>3811</v>
      </c>
    </row>
    <row r="4843" spans="1:1">
      <c r="A4843" t="s">
        <v>3812</v>
      </c>
    </row>
    <row r="4844" spans="1:1">
      <c r="A4844" t="s">
        <v>3813</v>
      </c>
    </row>
    <row r="4845" spans="1:1">
      <c r="A4845" t="s">
        <v>3814</v>
      </c>
    </row>
    <row r="4846" spans="1:1">
      <c r="A4846" t="s">
        <v>3815</v>
      </c>
    </row>
    <row r="4847" spans="1:1">
      <c r="A4847" t="s">
        <v>3816</v>
      </c>
    </row>
    <row r="4849" spans="1:1">
      <c r="A4849" t="s">
        <v>275</v>
      </c>
    </row>
    <row r="4850" spans="1:1">
      <c r="A4850" t="s">
        <v>3817</v>
      </c>
    </row>
    <row r="4851" spans="1:1">
      <c r="A4851" t="s">
        <v>3818</v>
      </c>
    </row>
    <row r="4852" spans="1:1">
      <c r="A4852" t="s">
        <v>3819</v>
      </c>
    </row>
    <row r="4853" spans="1:1">
      <c r="A4853" t="s">
        <v>3820</v>
      </c>
    </row>
    <row r="4854" spans="1:1">
      <c r="A4854" t="s">
        <v>3821</v>
      </c>
    </row>
    <row r="4855" spans="1:1">
      <c r="A4855" t="s">
        <v>592</v>
      </c>
    </row>
    <row r="4856" spans="1:1">
      <c r="A4856" t="s">
        <v>3822</v>
      </c>
    </row>
    <row r="4857" spans="1:1">
      <c r="A4857" t="s">
        <v>3823</v>
      </c>
    </row>
    <row r="4858" spans="1:1">
      <c r="A4858" t="s">
        <v>3824</v>
      </c>
    </row>
    <row r="4859" spans="1:1">
      <c r="A4859" t="s">
        <v>3825</v>
      </c>
    </row>
    <row r="4860" spans="1:1">
      <c r="A4860" t="s">
        <v>3826</v>
      </c>
    </row>
    <row r="4861" spans="1:1">
      <c r="A4861" t="s">
        <v>3827</v>
      </c>
    </row>
    <row r="4862" spans="1:1">
      <c r="A4862" t="s">
        <v>3828</v>
      </c>
    </row>
    <row r="4863" spans="1:1">
      <c r="A4863" t="s">
        <v>3829</v>
      </c>
    </row>
    <row r="4864" spans="1:1">
      <c r="A4864" t="s">
        <v>290</v>
      </c>
    </row>
    <row r="4865" spans="1:1">
      <c r="A4865" t="s">
        <v>3830</v>
      </c>
    </row>
    <row r="4870" spans="1:1">
      <c r="A4870" t="s">
        <v>3831</v>
      </c>
    </row>
    <row r="4871" spans="1:1">
      <c r="A4871" t="s">
        <v>240</v>
      </c>
    </row>
    <row r="4872" spans="1:1">
      <c r="A4872" t="s">
        <v>3832</v>
      </c>
    </row>
    <row r="4873" spans="1:1">
      <c r="A4873" t="s">
        <v>3833</v>
      </c>
    </row>
    <row r="4874" spans="1:1">
      <c r="A4874" t="s">
        <v>243</v>
      </c>
    </row>
    <row r="4875" spans="1:1">
      <c r="A4875" t="s">
        <v>3834</v>
      </c>
    </row>
    <row r="4876" spans="1:1">
      <c r="A4876" t="s">
        <v>245</v>
      </c>
    </row>
    <row r="4878" spans="1:1">
      <c r="A4878" t="s">
        <v>3298</v>
      </c>
    </row>
    <row r="4879" spans="1:1">
      <c r="A4879" t="s">
        <v>247</v>
      </c>
    </row>
    <row r="4880" spans="1:1">
      <c r="A4880" t="s">
        <v>3835</v>
      </c>
    </row>
    <row r="4881" spans="1:1">
      <c r="A4881" t="s">
        <v>3836</v>
      </c>
    </row>
    <row r="4882" spans="1:1">
      <c r="A4882" t="s">
        <v>3837</v>
      </c>
    </row>
    <row r="4883" spans="1:1">
      <c r="A4883" t="s">
        <v>3838</v>
      </c>
    </row>
    <row r="4884" spans="1:1">
      <c r="A4884" t="s">
        <v>3839</v>
      </c>
    </row>
    <row r="4885" spans="1:1">
      <c r="A4885" t="s">
        <v>3840</v>
      </c>
    </row>
    <row r="4886" spans="1:1">
      <c r="A4886" t="s">
        <v>3841</v>
      </c>
    </row>
    <row r="4887" spans="1:1">
      <c r="A4887" t="s">
        <v>3842</v>
      </c>
    </row>
    <row r="4888" spans="1:1">
      <c r="A4888" t="s">
        <v>3843</v>
      </c>
    </row>
    <row r="4889" spans="1:1">
      <c r="A4889" t="s">
        <v>3844</v>
      </c>
    </row>
    <row r="4890" spans="1:1">
      <c r="A4890" t="s">
        <v>3845</v>
      </c>
    </row>
    <row r="4891" spans="1:1">
      <c r="A4891" t="s">
        <v>3846</v>
      </c>
    </row>
    <row r="4892" spans="1:1">
      <c r="A4892" t="s">
        <v>3847</v>
      </c>
    </row>
    <row r="4895" spans="1:1">
      <c r="A4895" t="s">
        <v>261</v>
      </c>
    </row>
    <row r="4896" spans="1:1">
      <c r="A4896" t="s">
        <v>3848</v>
      </c>
    </row>
    <row r="4897" spans="1:1">
      <c r="A4897" t="s">
        <v>3849</v>
      </c>
    </row>
    <row r="4898" spans="1:1">
      <c r="A4898" t="s">
        <v>3850</v>
      </c>
    </row>
    <row r="4899" spans="1:1">
      <c r="A4899" t="s">
        <v>3851</v>
      </c>
    </row>
    <row r="4900" spans="1:1">
      <c r="A4900" t="s">
        <v>3852</v>
      </c>
    </row>
    <row r="4901" spans="1:1">
      <c r="A4901" t="s">
        <v>3853</v>
      </c>
    </row>
    <row r="4902" spans="1:1">
      <c r="A4902" t="s">
        <v>3854</v>
      </c>
    </row>
    <row r="4903" spans="1:1">
      <c r="A4903" t="s">
        <v>3855</v>
      </c>
    </row>
    <row r="4904" spans="1:1">
      <c r="A4904" t="s">
        <v>3856</v>
      </c>
    </row>
    <row r="4905" spans="1:1">
      <c r="A4905" t="s">
        <v>3857</v>
      </c>
    </row>
    <row r="4906" spans="1:1">
      <c r="A4906" t="s">
        <v>3858</v>
      </c>
    </row>
    <row r="4907" spans="1:1">
      <c r="A4907" t="s">
        <v>3859</v>
      </c>
    </row>
    <row r="4908" spans="1:1">
      <c r="A4908" t="s">
        <v>3860</v>
      </c>
    </row>
    <row r="4910" spans="1:1">
      <c r="A4910" t="s">
        <v>275</v>
      </c>
    </row>
    <row r="4911" spans="1:1">
      <c r="A4911" t="s">
        <v>3861</v>
      </c>
    </row>
    <row r="4912" spans="1:1">
      <c r="A4912" t="s">
        <v>3862</v>
      </c>
    </row>
    <row r="4913" spans="1:1">
      <c r="A4913" t="s">
        <v>3863</v>
      </c>
    </row>
    <row r="4914" spans="1:1">
      <c r="A4914" t="s">
        <v>3864</v>
      </c>
    </row>
    <row r="4915" spans="1:1">
      <c r="A4915" t="s">
        <v>3865</v>
      </c>
    </row>
    <row r="4916" spans="1:1">
      <c r="A4916" t="s">
        <v>3866</v>
      </c>
    </row>
    <row r="4917" spans="1:1">
      <c r="A4917" t="s">
        <v>3867</v>
      </c>
    </row>
    <row r="4918" spans="1:1">
      <c r="A4918" t="s">
        <v>3868</v>
      </c>
    </row>
    <row r="4919" spans="1:1">
      <c r="A4919" t="s">
        <v>3869</v>
      </c>
    </row>
    <row r="4920" spans="1:1">
      <c r="A4920" t="s">
        <v>3870</v>
      </c>
    </row>
    <row r="4921" spans="1:1">
      <c r="A4921" t="s">
        <v>3871</v>
      </c>
    </row>
    <row r="4922" spans="1:1">
      <c r="A4922" t="s">
        <v>3872</v>
      </c>
    </row>
    <row r="4923" spans="1:1">
      <c r="A4923" t="s">
        <v>3873</v>
      </c>
    </row>
    <row r="4924" spans="1:1">
      <c r="A4924" t="s">
        <v>3874</v>
      </c>
    </row>
    <row r="4925" spans="1:1">
      <c r="A4925" t="s">
        <v>290</v>
      </c>
    </row>
    <row r="4926" spans="1:1">
      <c r="A4926" t="s">
        <v>3875</v>
      </c>
    </row>
    <row r="4931" spans="1:1">
      <c r="A4931" t="s">
        <v>3876</v>
      </c>
    </row>
    <row r="4932" spans="1:1">
      <c r="A4932" t="s">
        <v>240</v>
      </c>
    </row>
    <row r="4933" spans="1:1">
      <c r="A4933" t="s">
        <v>3877</v>
      </c>
    </row>
    <row r="4934" spans="1:1">
      <c r="A4934" t="s">
        <v>3878</v>
      </c>
    </row>
    <row r="4935" spans="1:1">
      <c r="A4935" t="s">
        <v>243</v>
      </c>
    </row>
    <row r="4936" spans="1:1">
      <c r="A4936" t="s">
        <v>3879</v>
      </c>
    </row>
    <row r="4937" spans="1:1">
      <c r="A4937" t="s">
        <v>245</v>
      </c>
    </row>
    <row r="4939" spans="1:1">
      <c r="A4939" t="s">
        <v>3298</v>
      </c>
    </row>
    <row r="4940" spans="1:1">
      <c r="A4940" t="s">
        <v>247</v>
      </c>
    </row>
    <row r="4941" spans="1:1">
      <c r="A4941" t="s">
        <v>3880</v>
      </c>
    </row>
    <row r="4942" spans="1:1">
      <c r="A4942" t="s">
        <v>3881</v>
      </c>
    </row>
    <row r="4943" spans="1:1">
      <c r="A4943" t="s">
        <v>3882</v>
      </c>
    </row>
    <row r="4944" spans="1:1">
      <c r="A4944" t="s">
        <v>3883</v>
      </c>
    </row>
    <row r="4945" spans="1:1">
      <c r="A4945" t="s">
        <v>3884</v>
      </c>
    </row>
    <row r="4946" spans="1:1">
      <c r="A4946" t="s">
        <v>3885</v>
      </c>
    </row>
    <row r="4947" spans="1:1">
      <c r="A4947" t="s">
        <v>3886</v>
      </c>
    </row>
    <row r="4948" spans="1:1">
      <c r="A4948" t="s">
        <v>3887</v>
      </c>
    </row>
    <row r="4949" spans="1:1">
      <c r="A4949" t="s">
        <v>3888</v>
      </c>
    </row>
    <row r="4950" spans="1:1">
      <c r="A4950" t="s">
        <v>3889</v>
      </c>
    </row>
    <row r="4951" spans="1:1">
      <c r="A4951" t="s">
        <v>3890</v>
      </c>
    </row>
    <row r="4952" spans="1:1">
      <c r="A4952" t="s">
        <v>3891</v>
      </c>
    </row>
    <row r="4953" spans="1:1">
      <c r="A4953" t="s">
        <v>3892</v>
      </c>
    </row>
    <row r="4956" spans="1:1">
      <c r="A4956" t="s">
        <v>261</v>
      </c>
    </row>
    <row r="4957" spans="1:1">
      <c r="A4957" t="s">
        <v>3893</v>
      </c>
    </row>
    <row r="4958" spans="1:1">
      <c r="A4958" t="s">
        <v>3894</v>
      </c>
    </row>
    <row r="4959" spans="1:1">
      <c r="A4959" t="s">
        <v>3895</v>
      </c>
    </row>
    <row r="4960" spans="1:1">
      <c r="A4960" t="s">
        <v>3896</v>
      </c>
    </row>
    <row r="4961" spans="1:1">
      <c r="A4961" t="s">
        <v>3897</v>
      </c>
    </row>
    <row r="4962" spans="1:1">
      <c r="A4962" t="s">
        <v>3898</v>
      </c>
    </row>
    <row r="4963" spans="1:1">
      <c r="A4963" t="s">
        <v>3899</v>
      </c>
    </row>
    <row r="4964" spans="1:1">
      <c r="A4964" t="s">
        <v>3900</v>
      </c>
    </row>
    <row r="4965" spans="1:1">
      <c r="A4965" t="s">
        <v>3901</v>
      </c>
    </row>
    <row r="4966" spans="1:1">
      <c r="A4966" t="s">
        <v>3902</v>
      </c>
    </row>
    <row r="4967" spans="1:1">
      <c r="A4967" t="s">
        <v>3903</v>
      </c>
    </row>
    <row r="4968" spans="1:1">
      <c r="A4968" t="s">
        <v>3904</v>
      </c>
    </row>
    <row r="4969" spans="1:1">
      <c r="A4969" t="s">
        <v>3905</v>
      </c>
    </row>
    <row r="4971" spans="1:1">
      <c r="A4971" t="s">
        <v>275</v>
      </c>
    </row>
    <row r="4972" spans="1:1">
      <c r="A4972" t="s">
        <v>3906</v>
      </c>
    </row>
    <row r="4973" spans="1:1">
      <c r="A4973" t="s">
        <v>3907</v>
      </c>
    </row>
    <row r="4974" spans="1:1">
      <c r="A4974" t="s">
        <v>3908</v>
      </c>
    </row>
    <row r="4975" spans="1:1">
      <c r="A4975" t="s">
        <v>3909</v>
      </c>
    </row>
    <row r="4976" spans="1:1">
      <c r="A4976" t="s">
        <v>3910</v>
      </c>
    </row>
    <row r="4977" spans="1:1">
      <c r="A4977" t="s">
        <v>3911</v>
      </c>
    </row>
    <row r="4978" spans="1:1">
      <c r="A4978" t="s">
        <v>3912</v>
      </c>
    </row>
    <row r="4979" spans="1:1">
      <c r="A4979" t="s">
        <v>3913</v>
      </c>
    </row>
    <row r="4980" spans="1:1">
      <c r="A4980" t="s">
        <v>3914</v>
      </c>
    </row>
    <row r="4981" spans="1:1">
      <c r="A4981" t="s">
        <v>3915</v>
      </c>
    </row>
    <row r="4982" spans="1:1">
      <c r="A4982" t="s">
        <v>3916</v>
      </c>
    </row>
    <row r="4983" spans="1:1">
      <c r="A4983" t="s">
        <v>3917</v>
      </c>
    </row>
    <row r="4984" spans="1:1">
      <c r="A4984" t="s">
        <v>3918</v>
      </c>
    </row>
    <row r="4985" spans="1:1">
      <c r="A4985" t="s">
        <v>3919</v>
      </c>
    </row>
    <row r="4986" spans="1:1">
      <c r="A4986" t="s">
        <v>290</v>
      </c>
    </row>
    <row r="4987" spans="1:1">
      <c r="A4987" t="s">
        <v>3920</v>
      </c>
    </row>
    <row r="4992" spans="1:1">
      <c r="A4992" t="s">
        <v>3921</v>
      </c>
    </row>
    <row r="4993" spans="1:1">
      <c r="A4993" t="s">
        <v>240</v>
      </c>
    </row>
    <row r="4994" spans="1:1">
      <c r="A4994" t="s">
        <v>3922</v>
      </c>
    </row>
    <row r="4995" spans="1:1">
      <c r="A4995" t="s">
        <v>3923</v>
      </c>
    </row>
    <row r="4996" spans="1:1">
      <c r="A4996" t="s">
        <v>243</v>
      </c>
    </row>
    <row r="4997" spans="1:1">
      <c r="A4997" t="s">
        <v>3924</v>
      </c>
    </row>
    <row r="4998" spans="1:1">
      <c r="A4998" t="s">
        <v>245</v>
      </c>
    </row>
    <row r="5000" spans="1:1">
      <c r="A5000" t="s">
        <v>3298</v>
      </c>
    </row>
    <row r="5001" spans="1:1">
      <c r="A5001" t="s">
        <v>247</v>
      </c>
    </row>
    <row r="5002" spans="1:1">
      <c r="A5002" t="s">
        <v>3925</v>
      </c>
    </row>
    <row r="5003" spans="1:1">
      <c r="A5003" t="s">
        <v>3926</v>
      </c>
    </row>
    <row r="5004" spans="1:1">
      <c r="A5004" t="s">
        <v>3927</v>
      </c>
    </row>
    <row r="5005" spans="1:1">
      <c r="A5005" t="s">
        <v>3928</v>
      </c>
    </row>
    <row r="5006" spans="1:1">
      <c r="A5006" t="s">
        <v>3929</v>
      </c>
    </row>
    <row r="5007" spans="1:1">
      <c r="A5007" t="s">
        <v>3930</v>
      </c>
    </row>
    <row r="5008" spans="1:1">
      <c r="A5008" t="s">
        <v>3931</v>
      </c>
    </row>
    <row r="5009" spans="1:1">
      <c r="A5009" t="s">
        <v>3932</v>
      </c>
    </row>
    <row r="5010" spans="1:1">
      <c r="A5010" t="s">
        <v>3933</v>
      </c>
    </row>
    <row r="5011" spans="1:1">
      <c r="A5011" t="s">
        <v>3934</v>
      </c>
    </row>
    <row r="5012" spans="1:1">
      <c r="A5012" t="s">
        <v>3935</v>
      </c>
    </row>
    <row r="5013" spans="1:1">
      <c r="A5013" t="s">
        <v>3936</v>
      </c>
    </row>
    <row r="5014" spans="1:1">
      <c r="A5014" t="s">
        <v>3937</v>
      </c>
    </row>
    <row r="5017" spans="1:1">
      <c r="A5017" t="s">
        <v>261</v>
      </c>
    </row>
    <row r="5018" spans="1:1">
      <c r="A5018" t="s">
        <v>3938</v>
      </c>
    </row>
    <row r="5019" spans="1:1">
      <c r="A5019" t="s">
        <v>3939</v>
      </c>
    </row>
    <row r="5020" spans="1:1">
      <c r="A5020" t="s">
        <v>3940</v>
      </c>
    </row>
    <row r="5021" spans="1:1">
      <c r="A5021" t="s">
        <v>3941</v>
      </c>
    </row>
    <row r="5022" spans="1:1">
      <c r="A5022" t="s">
        <v>3942</v>
      </c>
    </row>
    <row r="5023" spans="1:1">
      <c r="A5023" t="s">
        <v>3943</v>
      </c>
    </row>
    <row r="5024" spans="1:1">
      <c r="A5024" t="s">
        <v>3944</v>
      </c>
    </row>
    <row r="5025" spans="1:1">
      <c r="A5025" t="s">
        <v>3945</v>
      </c>
    </row>
    <row r="5026" spans="1:1">
      <c r="A5026" t="s">
        <v>3946</v>
      </c>
    </row>
    <row r="5027" spans="1:1">
      <c r="A5027" t="s">
        <v>3947</v>
      </c>
    </row>
    <row r="5028" spans="1:1">
      <c r="A5028" t="s">
        <v>3948</v>
      </c>
    </row>
    <row r="5029" spans="1:1">
      <c r="A5029" t="s">
        <v>3949</v>
      </c>
    </row>
    <row r="5030" spans="1:1">
      <c r="A5030" t="s">
        <v>3950</v>
      </c>
    </row>
    <row r="5032" spans="1:1">
      <c r="A5032" t="s">
        <v>275</v>
      </c>
    </row>
    <row r="5033" spans="1:1">
      <c r="A5033" t="s">
        <v>3951</v>
      </c>
    </row>
    <row r="5034" spans="1:1">
      <c r="A5034" t="s">
        <v>3952</v>
      </c>
    </row>
    <row r="5035" spans="1:1">
      <c r="A5035" t="s">
        <v>3953</v>
      </c>
    </row>
    <row r="5036" spans="1:1">
      <c r="A5036" t="s">
        <v>3954</v>
      </c>
    </row>
    <row r="5037" spans="1:1">
      <c r="A5037" t="s">
        <v>3955</v>
      </c>
    </row>
    <row r="5038" spans="1:1">
      <c r="A5038" t="s">
        <v>3956</v>
      </c>
    </row>
    <row r="5039" spans="1:1">
      <c r="A5039" t="s">
        <v>3957</v>
      </c>
    </row>
    <row r="5040" spans="1:1">
      <c r="A5040" t="s">
        <v>3958</v>
      </c>
    </row>
    <row r="5041" spans="1:1">
      <c r="A5041" t="s">
        <v>3959</v>
      </c>
    </row>
    <row r="5042" spans="1:1">
      <c r="A5042" t="s">
        <v>3960</v>
      </c>
    </row>
    <row r="5043" spans="1:1">
      <c r="A5043" t="s">
        <v>3961</v>
      </c>
    </row>
    <row r="5044" spans="1:1">
      <c r="A5044" t="s">
        <v>3962</v>
      </c>
    </row>
    <row r="5045" spans="1:1">
      <c r="A5045" t="s">
        <v>3963</v>
      </c>
    </row>
    <row r="5046" spans="1:1">
      <c r="A5046" t="s">
        <v>3964</v>
      </c>
    </row>
    <row r="5047" spans="1:1">
      <c r="A5047" t="s">
        <v>290</v>
      </c>
    </row>
    <row r="5048" spans="1:1">
      <c r="A5048" t="s">
        <v>3965</v>
      </c>
    </row>
    <row r="5053" spans="1:1">
      <c r="A5053" t="s">
        <v>3966</v>
      </c>
    </row>
    <row r="5054" spans="1:1">
      <c r="A5054" t="s">
        <v>240</v>
      </c>
    </row>
    <row r="5055" spans="1:1">
      <c r="A5055" t="s">
        <v>3967</v>
      </c>
    </row>
    <row r="5056" spans="1:1">
      <c r="A5056" t="s">
        <v>3968</v>
      </c>
    </row>
    <row r="5057" spans="1:1">
      <c r="A5057" t="s">
        <v>243</v>
      </c>
    </row>
    <row r="5058" spans="1:1">
      <c r="A5058" t="s">
        <v>3969</v>
      </c>
    </row>
    <row r="5059" spans="1:1">
      <c r="A5059" t="s">
        <v>245</v>
      </c>
    </row>
    <row r="5061" spans="1:1">
      <c r="A5061" t="s">
        <v>3298</v>
      </c>
    </row>
    <row r="5062" spans="1:1">
      <c r="A5062" t="s">
        <v>247</v>
      </c>
    </row>
    <row r="5063" spans="1:1">
      <c r="A5063" t="s">
        <v>3970</v>
      </c>
    </row>
    <row r="5064" spans="1:1">
      <c r="A5064" t="s">
        <v>3971</v>
      </c>
    </row>
    <row r="5065" spans="1:1">
      <c r="A5065" t="s">
        <v>3972</v>
      </c>
    </row>
    <row r="5066" spans="1:1">
      <c r="A5066" t="s">
        <v>3973</v>
      </c>
    </row>
    <row r="5067" spans="1:1">
      <c r="A5067" t="s">
        <v>3974</v>
      </c>
    </row>
    <row r="5068" spans="1:1">
      <c r="A5068" t="s">
        <v>3975</v>
      </c>
    </row>
    <row r="5069" spans="1:1">
      <c r="A5069" t="s">
        <v>3976</v>
      </c>
    </row>
    <row r="5070" spans="1:1">
      <c r="A5070" t="s">
        <v>3977</v>
      </c>
    </row>
    <row r="5071" spans="1:1">
      <c r="A5071" t="s">
        <v>3978</v>
      </c>
    </row>
    <row r="5072" spans="1:1">
      <c r="A5072" t="s">
        <v>3979</v>
      </c>
    </row>
    <row r="5073" spans="1:1">
      <c r="A5073" t="s">
        <v>3980</v>
      </c>
    </row>
    <row r="5074" spans="1:1">
      <c r="A5074" t="s">
        <v>3981</v>
      </c>
    </row>
    <row r="5075" spans="1:1">
      <c r="A5075" t="s">
        <v>3982</v>
      </c>
    </row>
    <row r="5078" spans="1:1">
      <c r="A5078" t="s">
        <v>261</v>
      </c>
    </row>
    <row r="5079" spans="1:1">
      <c r="A5079" t="s">
        <v>3983</v>
      </c>
    </row>
    <row r="5080" spans="1:1">
      <c r="A5080" t="s">
        <v>3984</v>
      </c>
    </row>
    <row r="5081" spans="1:1">
      <c r="A5081" t="s">
        <v>3985</v>
      </c>
    </row>
    <row r="5082" spans="1:1">
      <c r="A5082" t="s">
        <v>3986</v>
      </c>
    </row>
    <row r="5083" spans="1:1">
      <c r="A5083" t="s">
        <v>3987</v>
      </c>
    </row>
    <row r="5084" spans="1:1">
      <c r="A5084" t="s">
        <v>3988</v>
      </c>
    </row>
    <row r="5085" spans="1:1">
      <c r="A5085" t="s">
        <v>3989</v>
      </c>
    </row>
    <row r="5086" spans="1:1">
      <c r="A5086" t="s">
        <v>3990</v>
      </c>
    </row>
    <row r="5087" spans="1:1">
      <c r="A5087" t="s">
        <v>3991</v>
      </c>
    </row>
    <row r="5088" spans="1:1">
      <c r="A5088" t="s">
        <v>3992</v>
      </c>
    </row>
    <row r="5089" spans="1:1">
      <c r="A5089" t="s">
        <v>3993</v>
      </c>
    </row>
    <row r="5090" spans="1:1">
      <c r="A5090" t="s">
        <v>3994</v>
      </c>
    </row>
    <row r="5091" spans="1:1">
      <c r="A5091" t="s">
        <v>3995</v>
      </c>
    </row>
    <row r="5093" spans="1:1">
      <c r="A5093" t="s">
        <v>275</v>
      </c>
    </row>
    <row r="5094" spans="1:1">
      <c r="A5094" t="s">
        <v>3996</v>
      </c>
    </row>
    <row r="5095" spans="1:1">
      <c r="A5095" t="s">
        <v>3997</v>
      </c>
    </row>
    <row r="5096" spans="1:1">
      <c r="A5096" t="s">
        <v>3998</v>
      </c>
    </row>
    <row r="5097" spans="1:1">
      <c r="A5097" t="s">
        <v>3999</v>
      </c>
    </row>
    <row r="5098" spans="1:1">
      <c r="A5098" t="s">
        <v>4000</v>
      </c>
    </row>
    <row r="5099" spans="1:1">
      <c r="A5099" t="s">
        <v>4001</v>
      </c>
    </row>
    <row r="5100" spans="1:1">
      <c r="A5100" t="s">
        <v>4002</v>
      </c>
    </row>
    <row r="5101" spans="1:1">
      <c r="A5101" t="s">
        <v>4003</v>
      </c>
    </row>
    <row r="5102" spans="1:1">
      <c r="A5102" t="s">
        <v>4004</v>
      </c>
    </row>
    <row r="5103" spans="1:1">
      <c r="A5103" t="s">
        <v>4005</v>
      </c>
    </row>
    <row r="5104" spans="1:1">
      <c r="A5104" t="s">
        <v>4006</v>
      </c>
    </row>
    <row r="5105" spans="1:1">
      <c r="A5105" t="s">
        <v>4007</v>
      </c>
    </row>
    <row r="5106" spans="1:1">
      <c r="A5106" t="s">
        <v>4008</v>
      </c>
    </row>
    <row r="5107" spans="1:1">
      <c r="A5107" t="s">
        <v>4009</v>
      </c>
    </row>
    <row r="5108" spans="1:1">
      <c r="A5108" t="s">
        <v>290</v>
      </c>
    </row>
    <row r="5109" spans="1:1">
      <c r="A5109" t="s">
        <v>4010</v>
      </c>
    </row>
    <row r="5114" spans="1:1">
      <c r="A5114" t="s">
        <v>4011</v>
      </c>
    </row>
    <row r="5115" spans="1:1">
      <c r="A5115" t="s">
        <v>240</v>
      </c>
    </row>
    <row r="5116" spans="1:1">
      <c r="A5116" t="s">
        <v>4012</v>
      </c>
    </row>
    <row r="5117" spans="1:1">
      <c r="A5117" t="s">
        <v>4013</v>
      </c>
    </row>
    <row r="5118" spans="1:1">
      <c r="A5118" t="s">
        <v>243</v>
      </c>
    </row>
    <row r="5119" spans="1:1">
      <c r="A5119" t="s">
        <v>4014</v>
      </c>
    </row>
    <row r="5120" spans="1:1">
      <c r="A5120" t="s">
        <v>245</v>
      </c>
    </row>
    <row r="5122" spans="1:1">
      <c r="A5122" t="s">
        <v>3298</v>
      </c>
    </row>
    <row r="5123" spans="1:1">
      <c r="A5123" t="s">
        <v>247</v>
      </c>
    </row>
    <row r="5124" spans="1:1">
      <c r="A5124" t="s">
        <v>4015</v>
      </c>
    </row>
    <row r="5125" spans="1:1">
      <c r="A5125" t="s">
        <v>4016</v>
      </c>
    </row>
    <row r="5126" spans="1:1">
      <c r="A5126" t="s">
        <v>4017</v>
      </c>
    </row>
    <row r="5127" spans="1:1">
      <c r="A5127" t="s">
        <v>4018</v>
      </c>
    </row>
    <row r="5128" spans="1:1">
      <c r="A5128" t="s">
        <v>4019</v>
      </c>
    </row>
    <row r="5129" spans="1:1">
      <c r="A5129" t="s">
        <v>4020</v>
      </c>
    </row>
    <row r="5130" spans="1:1">
      <c r="A5130" t="s">
        <v>4021</v>
      </c>
    </row>
    <row r="5131" spans="1:1">
      <c r="A5131" t="s">
        <v>4022</v>
      </c>
    </row>
    <row r="5132" spans="1:1">
      <c r="A5132" t="s">
        <v>4023</v>
      </c>
    </row>
    <row r="5133" spans="1:1">
      <c r="A5133" t="s">
        <v>4024</v>
      </c>
    </row>
    <row r="5134" spans="1:1">
      <c r="A5134" t="s">
        <v>4025</v>
      </c>
    </row>
    <row r="5135" spans="1:1">
      <c r="A5135" t="s">
        <v>4026</v>
      </c>
    </row>
    <row r="5136" spans="1:1">
      <c r="A5136" t="s">
        <v>4027</v>
      </c>
    </row>
    <row r="5139" spans="1:1">
      <c r="A5139" t="s">
        <v>261</v>
      </c>
    </row>
    <row r="5140" spans="1:1">
      <c r="A5140" t="s">
        <v>4028</v>
      </c>
    </row>
    <row r="5141" spans="1:1">
      <c r="A5141" t="s">
        <v>4029</v>
      </c>
    </row>
    <row r="5142" spans="1:1">
      <c r="A5142" t="s">
        <v>4030</v>
      </c>
    </row>
    <row r="5143" spans="1:1">
      <c r="A5143" t="s">
        <v>4031</v>
      </c>
    </row>
    <row r="5144" spans="1:1">
      <c r="A5144" t="s">
        <v>4032</v>
      </c>
    </row>
    <row r="5145" spans="1:1">
      <c r="A5145" t="s">
        <v>4033</v>
      </c>
    </row>
    <row r="5146" spans="1:1">
      <c r="A5146" t="s">
        <v>4034</v>
      </c>
    </row>
    <row r="5147" spans="1:1">
      <c r="A5147" t="s">
        <v>4035</v>
      </c>
    </row>
    <row r="5148" spans="1:1">
      <c r="A5148" t="s">
        <v>4036</v>
      </c>
    </row>
    <row r="5149" spans="1:1">
      <c r="A5149" t="s">
        <v>4037</v>
      </c>
    </row>
    <row r="5150" spans="1:1">
      <c r="A5150" t="s">
        <v>4038</v>
      </c>
    </row>
    <row r="5151" spans="1:1">
      <c r="A5151" t="s">
        <v>4039</v>
      </c>
    </row>
    <row r="5152" spans="1:1">
      <c r="A5152" t="s">
        <v>4040</v>
      </c>
    </row>
    <row r="5154" spans="1:1">
      <c r="A5154" t="s">
        <v>275</v>
      </c>
    </row>
    <row r="5155" spans="1:1">
      <c r="A5155" t="s">
        <v>4041</v>
      </c>
    </row>
    <row r="5156" spans="1:1">
      <c r="A5156" t="s">
        <v>4042</v>
      </c>
    </row>
    <row r="5157" spans="1:1">
      <c r="A5157" t="s">
        <v>4043</v>
      </c>
    </row>
    <row r="5158" spans="1:1">
      <c r="A5158" t="s">
        <v>4044</v>
      </c>
    </row>
    <row r="5159" spans="1:1">
      <c r="A5159" t="s">
        <v>4045</v>
      </c>
    </row>
    <row r="5160" spans="1:1">
      <c r="A5160" t="s">
        <v>4046</v>
      </c>
    </row>
    <row r="5161" spans="1:1">
      <c r="A5161" t="s">
        <v>4047</v>
      </c>
    </row>
    <row r="5162" spans="1:1">
      <c r="A5162" t="s">
        <v>4048</v>
      </c>
    </row>
    <row r="5163" spans="1:1">
      <c r="A5163" t="s">
        <v>4049</v>
      </c>
    </row>
    <row r="5164" spans="1:1">
      <c r="A5164" t="s">
        <v>4050</v>
      </c>
    </row>
    <row r="5165" spans="1:1">
      <c r="A5165" t="s">
        <v>4051</v>
      </c>
    </row>
    <row r="5166" spans="1:1">
      <c r="A5166" t="s">
        <v>4052</v>
      </c>
    </row>
    <row r="5167" spans="1:1">
      <c r="A5167" t="s">
        <v>4053</v>
      </c>
    </row>
    <row r="5168" spans="1:1">
      <c r="A5168" t="s">
        <v>4054</v>
      </c>
    </row>
    <row r="5169" spans="1:1">
      <c r="A5169" t="s">
        <v>290</v>
      </c>
    </row>
    <row r="5170" spans="1:1">
      <c r="A5170" t="s">
        <v>4055</v>
      </c>
    </row>
    <row r="5175" spans="1:1">
      <c r="A5175" t="s">
        <v>4056</v>
      </c>
    </row>
    <row r="5176" spans="1:1">
      <c r="A5176" t="s">
        <v>240</v>
      </c>
    </row>
    <row r="5177" spans="1:1">
      <c r="A5177" t="s">
        <v>4057</v>
      </c>
    </row>
    <row r="5178" spans="1:1">
      <c r="A5178" t="s">
        <v>4058</v>
      </c>
    </row>
    <row r="5179" spans="1:1">
      <c r="A5179" t="s">
        <v>243</v>
      </c>
    </row>
    <row r="5180" spans="1:1">
      <c r="A5180" t="s">
        <v>4059</v>
      </c>
    </row>
    <row r="5181" spans="1:1">
      <c r="A5181" t="s">
        <v>245</v>
      </c>
    </row>
    <row r="5183" spans="1:1">
      <c r="A5183" t="s">
        <v>3298</v>
      </c>
    </row>
    <row r="5184" spans="1:1">
      <c r="A5184" t="s">
        <v>247</v>
      </c>
    </row>
    <row r="5185" spans="1:1">
      <c r="A5185" t="s">
        <v>4060</v>
      </c>
    </row>
    <row r="5186" spans="1:1">
      <c r="A5186" t="s">
        <v>4061</v>
      </c>
    </row>
    <row r="5187" spans="1:1">
      <c r="A5187" t="s">
        <v>4062</v>
      </c>
    </row>
    <row r="5188" spans="1:1">
      <c r="A5188" t="s">
        <v>4063</v>
      </c>
    </row>
    <row r="5189" spans="1:1">
      <c r="A5189" t="s">
        <v>4064</v>
      </c>
    </row>
    <row r="5190" spans="1:1">
      <c r="A5190" t="s">
        <v>4065</v>
      </c>
    </row>
    <row r="5191" spans="1:1">
      <c r="A5191" t="s">
        <v>4066</v>
      </c>
    </row>
    <row r="5192" spans="1:1">
      <c r="A5192" t="s">
        <v>4067</v>
      </c>
    </row>
    <row r="5193" spans="1:1">
      <c r="A5193" t="s">
        <v>4068</v>
      </c>
    </row>
    <row r="5194" spans="1:1">
      <c r="A5194" t="s">
        <v>4069</v>
      </c>
    </row>
    <row r="5195" spans="1:1">
      <c r="A5195" t="s">
        <v>4070</v>
      </c>
    </row>
    <row r="5196" spans="1:1">
      <c r="A5196" t="s">
        <v>4071</v>
      </c>
    </row>
    <row r="5197" spans="1:1">
      <c r="A5197" t="s">
        <v>4072</v>
      </c>
    </row>
    <row r="5200" spans="1:1">
      <c r="A5200" t="s">
        <v>261</v>
      </c>
    </row>
    <row r="5201" spans="1:1">
      <c r="A5201" t="s">
        <v>4073</v>
      </c>
    </row>
    <row r="5202" spans="1:1">
      <c r="A5202" t="s">
        <v>4074</v>
      </c>
    </row>
    <row r="5203" spans="1:1">
      <c r="A5203" t="s">
        <v>4075</v>
      </c>
    </row>
    <row r="5204" spans="1:1">
      <c r="A5204" t="s">
        <v>4076</v>
      </c>
    </row>
    <row r="5205" spans="1:1">
      <c r="A5205" t="s">
        <v>4077</v>
      </c>
    </row>
    <row r="5206" spans="1:1">
      <c r="A5206" t="s">
        <v>4078</v>
      </c>
    </row>
    <row r="5207" spans="1:1">
      <c r="A5207" t="s">
        <v>4079</v>
      </c>
    </row>
    <row r="5208" spans="1:1">
      <c r="A5208" t="s">
        <v>4080</v>
      </c>
    </row>
    <row r="5209" spans="1:1">
      <c r="A5209" t="s">
        <v>4081</v>
      </c>
    </row>
    <row r="5210" spans="1:1">
      <c r="A5210" t="s">
        <v>4082</v>
      </c>
    </row>
    <row r="5211" spans="1:1">
      <c r="A5211" t="s">
        <v>4083</v>
      </c>
    </row>
    <row r="5212" spans="1:1">
      <c r="A5212" t="s">
        <v>4084</v>
      </c>
    </row>
    <row r="5213" spans="1:1">
      <c r="A5213" t="s">
        <v>4085</v>
      </c>
    </row>
    <row r="5215" spans="1:1">
      <c r="A5215" t="s">
        <v>275</v>
      </c>
    </row>
    <row r="5216" spans="1:1">
      <c r="A5216" t="s">
        <v>4086</v>
      </c>
    </row>
    <row r="5217" spans="1:1">
      <c r="A5217" t="s">
        <v>4087</v>
      </c>
    </row>
    <row r="5218" spans="1:1">
      <c r="A5218" t="s">
        <v>4088</v>
      </c>
    </row>
    <row r="5219" spans="1:1">
      <c r="A5219" t="s">
        <v>4089</v>
      </c>
    </row>
    <row r="5220" spans="1:1">
      <c r="A5220" t="s">
        <v>4090</v>
      </c>
    </row>
    <row r="5221" spans="1:1">
      <c r="A5221" t="s">
        <v>4091</v>
      </c>
    </row>
    <row r="5222" spans="1:1">
      <c r="A5222" t="s">
        <v>4092</v>
      </c>
    </row>
    <row r="5223" spans="1:1">
      <c r="A5223" t="s">
        <v>4093</v>
      </c>
    </row>
    <row r="5224" spans="1:1">
      <c r="A5224" t="s">
        <v>4094</v>
      </c>
    </row>
    <row r="5225" spans="1:1">
      <c r="A5225" t="s">
        <v>4095</v>
      </c>
    </row>
    <row r="5226" spans="1:1">
      <c r="A5226" t="s">
        <v>4096</v>
      </c>
    </row>
    <row r="5227" spans="1:1">
      <c r="A5227" t="s">
        <v>4097</v>
      </c>
    </row>
    <row r="5228" spans="1:1">
      <c r="A5228" t="s">
        <v>4098</v>
      </c>
    </row>
    <row r="5229" spans="1:1">
      <c r="A5229" t="s">
        <v>4099</v>
      </c>
    </row>
    <row r="5230" spans="1:1">
      <c r="A5230" t="s">
        <v>290</v>
      </c>
    </row>
    <row r="5231" spans="1:1">
      <c r="A5231" t="s">
        <v>4100</v>
      </c>
    </row>
    <row r="5236" spans="1:1">
      <c r="A5236" t="s">
        <v>4101</v>
      </c>
    </row>
    <row r="5237" spans="1:1">
      <c r="A5237" t="s">
        <v>240</v>
      </c>
    </row>
    <row r="5238" spans="1:1">
      <c r="A5238" t="s">
        <v>4102</v>
      </c>
    </row>
    <row r="5239" spans="1:1">
      <c r="A5239" t="s">
        <v>4103</v>
      </c>
    </row>
    <row r="5240" spans="1:1">
      <c r="A5240" t="s">
        <v>243</v>
      </c>
    </row>
    <row r="5241" spans="1:1">
      <c r="A5241" t="s">
        <v>4104</v>
      </c>
    </row>
    <row r="5242" spans="1:1">
      <c r="A5242" t="s">
        <v>245</v>
      </c>
    </row>
    <row r="5244" spans="1:1">
      <c r="A5244" t="s">
        <v>3298</v>
      </c>
    </row>
    <row r="5245" spans="1:1">
      <c r="A5245" t="s">
        <v>247</v>
      </c>
    </row>
    <row r="5246" spans="1:1">
      <c r="A5246" t="s">
        <v>4105</v>
      </c>
    </row>
    <row r="5247" spans="1:1">
      <c r="A5247" t="s">
        <v>4106</v>
      </c>
    </row>
    <row r="5248" spans="1:1">
      <c r="A5248" t="s">
        <v>4107</v>
      </c>
    </row>
    <row r="5249" spans="1:1">
      <c r="A5249" t="s">
        <v>4108</v>
      </c>
    </row>
    <row r="5250" spans="1:1">
      <c r="A5250" t="s">
        <v>4109</v>
      </c>
    </row>
    <row r="5251" spans="1:1">
      <c r="A5251" t="s">
        <v>4110</v>
      </c>
    </row>
    <row r="5252" spans="1:1">
      <c r="A5252" t="s">
        <v>4111</v>
      </c>
    </row>
    <row r="5253" spans="1:1">
      <c r="A5253" t="s">
        <v>4112</v>
      </c>
    </row>
    <row r="5254" spans="1:1">
      <c r="A5254" t="s">
        <v>4113</v>
      </c>
    </row>
    <row r="5255" spans="1:1">
      <c r="A5255" t="s">
        <v>4114</v>
      </c>
    </row>
    <row r="5256" spans="1:1">
      <c r="A5256" t="s">
        <v>4115</v>
      </c>
    </row>
    <row r="5257" spans="1:1">
      <c r="A5257" t="s">
        <v>4116</v>
      </c>
    </row>
    <row r="5258" spans="1:1">
      <c r="A5258" t="s">
        <v>4117</v>
      </c>
    </row>
    <row r="5261" spans="1:1">
      <c r="A5261" t="s">
        <v>261</v>
      </c>
    </row>
    <row r="5262" spans="1:1">
      <c r="A5262" t="s">
        <v>4118</v>
      </c>
    </row>
    <row r="5263" spans="1:1">
      <c r="A5263" t="s">
        <v>4119</v>
      </c>
    </row>
    <row r="5264" spans="1:1">
      <c r="A5264" t="s">
        <v>4120</v>
      </c>
    </row>
    <row r="5265" spans="1:1">
      <c r="A5265" t="s">
        <v>4121</v>
      </c>
    </row>
    <row r="5266" spans="1:1">
      <c r="A5266" t="s">
        <v>4122</v>
      </c>
    </row>
    <row r="5267" spans="1:1">
      <c r="A5267" t="s">
        <v>4123</v>
      </c>
    </row>
    <row r="5268" spans="1:1">
      <c r="A5268" t="s">
        <v>4124</v>
      </c>
    </row>
    <row r="5269" spans="1:1">
      <c r="A5269" t="s">
        <v>4125</v>
      </c>
    </row>
    <row r="5270" spans="1:1">
      <c r="A5270" t="s">
        <v>4126</v>
      </c>
    </row>
    <row r="5271" spans="1:1">
      <c r="A5271" t="s">
        <v>4127</v>
      </c>
    </row>
    <row r="5272" spans="1:1">
      <c r="A5272" t="s">
        <v>4128</v>
      </c>
    </row>
    <row r="5273" spans="1:1">
      <c r="A5273" t="s">
        <v>4129</v>
      </c>
    </row>
    <row r="5274" spans="1:1">
      <c r="A5274" t="s">
        <v>4130</v>
      </c>
    </row>
    <row r="5276" spans="1:1">
      <c r="A5276" t="s">
        <v>275</v>
      </c>
    </row>
    <row r="5277" spans="1:1">
      <c r="A5277" t="s">
        <v>4131</v>
      </c>
    </row>
    <row r="5278" spans="1:1">
      <c r="A5278" t="s">
        <v>4132</v>
      </c>
    </row>
    <row r="5279" spans="1:1">
      <c r="A5279" t="s">
        <v>4133</v>
      </c>
    </row>
    <row r="5280" spans="1:1">
      <c r="A5280" t="s">
        <v>4134</v>
      </c>
    </row>
    <row r="5281" spans="1:1">
      <c r="A5281" t="s">
        <v>4135</v>
      </c>
    </row>
    <row r="5282" spans="1:1">
      <c r="A5282" t="s">
        <v>4136</v>
      </c>
    </row>
    <row r="5283" spans="1:1">
      <c r="A5283" t="s">
        <v>4137</v>
      </c>
    </row>
    <row r="5284" spans="1:1">
      <c r="A5284" t="s">
        <v>4138</v>
      </c>
    </row>
    <row r="5285" spans="1:1">
      <c r="A5285" t="s">
        <v>4139</v>
      </c>
    </row>
    <row r="5286" spans="1:1">
      <c r="A5286" t="s">
        <v>4140</v>
      </c>
    </row>
    <row r="5287" spans="1:1">
      <c r="A5287" t="s">
        <v>4141</v>
      </c>
    </row>
    <row r="5288" spans="1:1">
      <c r="A5288" t="s">
        <v>4142</v>
      </c>
    </row>
    <row r="5289" spans="1:1">
      <c r="A5289" t="s">
        <v>4143</v>
      </c>
    </row>
    <row r="5290" spans="1:1">
      <c r="A5290" t="s">
        <v>4144</v>
      </c>
    </row>
    <row r="5291" spans="1:1">
      <c r="A5291" t="s">
        <v>290</v>
      </c>
    </row>
    <row r="5292" spans="1:1">
      <c r="A5292" t="s">
        <v>4145</v>
      </c>
    </row>
    <row r="5297" spans="1:1">
      <c r="A5297" t="s">
        <v>4146</v>
      </c>
    </row>
    <row r="5298" spans="1:1">
      <c r="A5298" t="s">
        <v>240</v>
      </c>
    </row>
    <row r="5299" spans="1:1">
      <c r="A5299" t="s">
        <v>4147</v>
      </c>
    </row>
    <row r="5300" spans="1:1">
      <c r="A5300" t="s">
        <v>4148</v>
      </c>
    </row>
    <row r="5301" spans="1:1">
      <c r="A5301" t="s">
        <v>243</v>
      </c>
    </row>
    <row r="5302" spans="1:1">
      <c r="A5302" t="s">
        <v>4149</v>
      </c>
    </row>
    <row r="5303" spans="1:1">
      <c r="A5303" t="s">
        <v>245</v>
      </c>
    </row>
    <row r="5305" spans="1:1">
      <c r="A5305" t="s">
        <v>3298</v>
      </c>
    </row>
    <row r="5306" spans="1:1">
      <c r="A5306" t="s">
        <v>247</v>
      </c>
    </row>
    <row r="5307" spans="1:1">
      <c r="A5307" t="s">
        <v>4150</v>
      </c>
    </row>
    <row r="5308" spans="1:1">
      <c r="A5308" t="s">
        <v>4151</v>
      </c>
    </row>
    <row r="5309" spans="1:1">
      <c r="A5309" t="s">
        <v>4152</v>
      </c>
    </row>
    <row r="5310" spans="1:1">
      <c r="A5310" t="s">
        <v>4153</v>
      </c>
    </row>
    <row r="5311" spans="1:1">
      <c r="A5311" t="s">
        <v>4154</v>
      </c>
    </row>
    <row r="5312" spans="1:1">
      <c r="A5312" t="s">
        <v>4155</v>
      </c>
    </row>
    <row r="5313" spans="1:1">
      <c r="A5313" t="s">
        <v>4156</v>
      </c>
    </row>
    <row r="5314" spans="1:1">
      <c r="A5314" t="s">
        <v>4157</v>
      </c>
    </row>
    <row r="5315" spans="1:1">
      <c r="A5315" t="s">
        <v>4158</v>
      </c>
    </row>
    <row r="5316" spans="1:1">
      <c r="A5316" t="s">
        <v>4159</v>
      </c>
    </row>
    <row r="5317" spans="1:1">
      <c r="A5317" t="s">
        <v>4160</v>
      </c>
    </row>
    <row r="5318" spans="1:1">
      <c r="A5318" t="s">
        <v>4161</v>
      </c>
    </row>
    <row r="5319" spans="1:1">
      <c r="A5319" t="s">
        <v>4162</v>
      </c>
    </row>
    <row r="5322" spans="1:1">
      <c r="A5322" t="s">
        <v>261</v>
      </c>
    </row>
    <row r="5323" spans="1:1">
      <c r="A5323" t="s">
        <v>4163</v>
      </c>
    </row>
    <row r="5324" spans="1:1">
      <c r="A5324" t="s">
        <v>4164</v>
      </c>
    </row>
    <row r="5325" spans="1:1">
      <c r="A5325" t="s">
        <v>3672</v>
      </c>
    </row>
    <row r="5326" spans="1:1">
      <c r="A5326" t="s">
        <v>4165</v>
      </c>
    </row>
    <row r="5327" spans="1:1">
      <c r="A5327" t="s">
        <v>4166</v>
      </c>
    </row>
    <row r="5328" spans="1:1">
      <c r="A5328" t="s">
        <v>4167</v>
      </c>
    </row>
    <row r="5329" spans="1:1">
      <c r="A5329" t="s">
        <v>4168</v>
      </c>
    </row>
    <row r="5330" spans="1:1">
      <c r="A5330" t="s">
        <v>4169</v>
      </c>
    </row>
    <row r="5331" spans="1:1">
      <c r="A5331" t="s">
        <v>4170</v>
      </c>
    </row>
    <row r="5332" spans="1:1">
      <c r="A5332" t="s">
        <v>4171</v>
      </c>
    </row>
    <row r="5333" spans="1:1">
      <c r="A5333" t="s">
        <v>4172</v>
      </c>
    </row>
    <row r="5334" spans="1:1">
      <c r="A5334" t="s">
        <v>4173</v>
      </c>
    </row>
    <row r="5335" spans="1:1">
      <c r="A5335" t="s">
        <v>4174</v>
      </c>
    </row>
    <row r="5337" spans="1:1">
      <c r="A5337" t="s">
        <v>275</v>
      </c>
    </row>
    <row r="5338" spans="1:1">
      <c r="A5338" t="s">
        <v>4175</v>
      </c>
    </row>
    <row r="5339" spans="1:1">
      <c r="A5339" t="s">
        <v>4176</v>
      </c>
    </row>
    <row r="5340" spans="1:1">
      <c r="A5340" t="s">
        <v>4177</v>
      </c>
    </row>
    <row r="5341" spans="1:1">
      <c r="A5341" t="s">
        <v>4178</v>
      </c>
    </row>
    <row r="5342" spans="1:1">
      <c r="A5342" t="s">
        <v>4179</v>
      </c>
    </row>
    <row r="5343" spans="1:1">
      <c r="A5343" t="s">
        <v>4180</v>
      </c>
    </row>
    <row r="5344" spans="1:1">
      <c r="A5344" t="s">
        <v>4181</v>
      </c>
    </row>
    <row r="5345" spans="1:1">
      <c r="A5345" t="s">
        <v>4182</v>
      </c>
    </row>
    <row r="5346" spans="1:1">
      <c r="A5346" t="s">
        <v>4183</v>
      </c>
    </row>
    <row r="5347" spans="1:1">
      <c r="A5347" t="s">
        <v>4184</v>
      </c>
    </row>
    <row r="5348" spans="1:1">
      <c r="A5348" t="s">
        <v>4185</v>
      </c>
    </row>
    <row r="5349" spans="1:1">
      <c r="A5349" t="s">
        <v>4186</v>
      </c>
    </row>
    <row r="5350" spans="1:1">
      <c r="A5350" t="s">
        <v>4187</v>
      </c>
    </row>
    <row r="5351" spans="1:1">
      <c r="A5351" t="s">
        <v>4188</v>
      </c>
    </row>
    <row r="5352" spans="1:1">
      <c r="A5352" t="s">
        <v>290</v>
      </c>
    </row>
    <row r="5353" spans="1:1">
      <c r="A5353" t="s">
        <v>4189</v>
      </c>
    </row>
    <row r="5358" spans="1:1">
      <c r="A5358" t="s">
        <v>4190</v>
      </c>
    </row>
    <row r="5359" spans="1:1">
      <c r="A5359" t="s">
        <v>240</v>
      </c>
    </row>
    <row r="5360" spans="1:1">
      <c r="A5360" t="s">
        <v>4191</v>
      </c>
    </row>
    <row r="5361" spans="1:1">
      <c r="A5361" t="s">
        <v>4192</v>
      </c>
    </row>
    <row r="5362" spans="1:1">
      <c r="A5362" t="s">
        <v>243</v>
      </c>
    </row>
    <row r="5363" spans="1:1">
      <c r="A5363" t="s">
        <v>4193</v>
      </c>
    </row>
    <row r="5364" spans="1:1">
      <c r="A5364" t="s">
        <v>245</v>
      </c>
    </row>
    <row r="5366" spans="1:1">
      <c r="A5366" t="s">
        <v>3298</v>
      </c>
    </row>
    <row r="5367" spans="1:1">
      <c r="A5367" t="s">
        <v>247</v>
      </c>
    </row>
    <row r="5368" spans="1:1">
      <c r="A5368" t="s">
        <v>4194</v>
      </c>
    </row>
    <row r="5369" spans="1:1">
      <c r="A5369" t="s">
        <v>4195</v>
      </c>
    </row>
    <row r="5370" spans="1:1">
      <c r="A5370" t="s">
        <v>4196</v>
      </c>
    </row>
    <row r="5371" spans="1:1">
      <c r="A5371" t="s">
        <v>4197</v>
      </c>
    </row>
    <row r="5372" spans="1:1">
      <c r="A5372" t="s">
        <v>4198</v>
      </c>
    </row>
    <row r="5373" spans="1:1">
      <c r="A5373" t="s">
        <v>4199</v>
      </c>
    </row>
    <row r="5374" spans="1:1">
      <c r="A5374" t="s">
        <v>4200</v>
      </c>
    </row>
    <row r="5375" spans="1:1">
      <c r="A5375" t="s">
        <v>4201</v>
      </c>
    </row>
    <row r="5376" spans="1:1">
      <c r="A5376" t="s">
        <v>4202</v>
      </c>
    </row>
    <row r="5377" spans="1:1">
      <c r="A5377" t="s">
        <v>4203</v>
      </c>
    </row>
    <row r="5378" spans="1:1">
      <c r="A5378" t="s">
        <v>4204</v>
      </c>
    </row>
    <row r="5379" spans="1:1">
      <c r="A5379" t="s">
        <v>4205</v>
      </c>
    </row>
    <row r="5380" spans="1:1">
      <c r="A5380" t="s">
        <v>4206</v>
      </c>
    </row>
    <row r="5383" spans="1:1">
      <c r="A5383" t="s">
        <v>261</v>
      </c>
    </row>
    <row r="5384" spans="1:1">
      <c r="A5384" t="s">
        <v>4207</v>
      </c>
    </row>
    <row r="5385" spans="1:1">
      <c r="A5385" t="s">
        <v>4208</v>
      </c>
    </row>
    <row r="5386" spans="1:1">
      <c r="A5386" t="s">
        <v>4209</v>
      </c>
    </row>
    <row r="5387" spans="1:1">
      <c r="A5387" t="s">
        <v>4210</v>
      </c>
    </row>
    <row r="5388" spans="1:1">
      <c r="A5388" t="s">
        <v>4211</v>
      </c>
    </row>
    <row r="5389" spans="1:1">
      <c r="A5389" t="s">
        <v>4212</v>
      </c>
    </row>
    <row r="5390" spans="1:1">
      <c r="A5390" t="s">
        <v>4213</v>
      </c>
    </row>
    <row r="5391" spans="1:1">
      <c r="A5391" t="s">
        <v>4214</v>
      </c>
    </row>
    <row r="5392" spans="1:1">
      <c r="A5392" t="s">
        <v>4215</v>
      </c>
    </row>
    <row r="5393" spans="1:1">
      <c r="A5393" t="s">
        <v>4216</v>
      </c>
    </row>
    <row r="5394" spans="1:1">
      <c r="A5394" t="s">
        <v>4217</v>
      </c>
    </row>
    <row r="5395" spans="1:1">
      <c r="A5395" t="s">
        <v>4218</v>
      </c>
    </row>
    <row r="5396" spans="1:1">
      <c r="A5396" t="s">
        <v>4219</v>
      </c>
    </row>
    <row r="5398" spans="1:1">
      <c r="A5398" t="s">
        <v>275</v>
      </c>
    </row>
    <row r="5399" spans="1:1">
      <c r="A5399" t="s">
        <v>4220</v>
      </c>
    </row>
    <row r="5400" spans="1:1">
      <c r="A5400" t="s">
        <v>4221</v>
      </c>
    </row>
    <row r="5401" spans="1:1">
      <c r="A5401" t="s">
        <v>4222</v>
      </c>
    </row>
    <row r="5402" spans="1:1">
      <c r="A5402" t="s">
        <v>4223</v>
      </c>
    </row>
    <row r="5403" spans="1:1">
      <c r="A5403" t="s">
        <v>4224</v>
      </c>
    </row>
    <row r="5404" spans="1:1">
      <c r="A5404" t="s">
        <v>4225</v>
      </c>
    </row>
    <row r="5405" spans="1:1">
      <c r="A5405" t="s">
        <v>4226</v>
      </c>
    </row>
    <row r="5406" spans="1:1">
      <c r="A5406" t="s">
        <v>4227</v>
      </c>
    </row>
    <row r="5407" spans="1:1">
      <c r="A5407" t="s">
        <v>4228</v>
      </c>
    </row>
    <row r="5408" spans="1:1">
      <c r="A5408" t="s">
        <v>4229</v>
      </c>
    </row>
    <row r="5409" spans="1:1">
      <c r="A5409" t="s">
        <v>4230</v>
      </c>
    </row>
    <row r="5410" spans="1:1">
      <c r="A5410" t="s">
        <v>4231</v>
      </c>
    </row>
    <row r="5411" spans="1:1">
      <c r="A5411" t="s">
        <v>4232</v>
      </c>
    </row>
    <row r="5412" spans="1:1">
      <c r="A5412" t="s">
        <v>4233</v>
      </c>
    </row>
    <row r="5413" spans="1:1">
      <c r="A5413" t="s">
        <v>290</v>
      </c>
    </row>
    <row r="5414" spans="1:1">
      <c r="A5414" t="s">
        <v>4234</v>
      </c>
    </row>
    <row r="5419" spans="1:1">
      <c r="A5419" t="s">
        <v>4235</v>
      </c>
    </row>
    <row r="5420" spans="1:1">
      <c r="A5420" t="s">
        <v>240</v>
      </c>
    </row>
    <row r="5421" spans="1:1">
      <c r="A5421" t="s">
        <v>4236</v>
      </c>
    </row>
    <row r="5422" spans="1:1">
      <c r="A5422" t="s">
        <v>4237</v>
      </c>
    </row>
    <row r="5423" spans="1:1">
      <c r="A5423" t="s">
        <v>243</v>
      </c>
    </row>
    <row r="5424" spans="1:1">
      <c r="A5424" t="s">
        <v>4238</v>
      </c>
    </row>
    <row r="5425" spans="1:1">
      <c r="A5425" t="s">
        <v>245</v>
      </c>
    </row>
    <row r="5427" spans="1:1">
      <c r="A5427" t="s">
        <v>3298</v>
      </c>
    </row>
    <row r="5428" spans="1:1">
      <c r="A5428" t="s">
        <v>247</v>
      </c>
    </row>
    <row r="5429" spans="1:1">
      <c r="A5429" t="s">
        <v>4239</v>
      </c>
    </row>
    <row r="5430" spans="1:1">
      <c r="A5430" t="s">
        <v>4240</v>
      </c>
    </row>
    <row r="5431" spans="1:1">
      <c r="A5431" t="s">
        <v>4241</v>
      </c>
    </row>
    <row r="5432" spans="1:1">
      <c r="A5432" t="s">
        <v>4242</v>
      </c>
    </row>
    <row r="5433" spans="1:1">
      <c r="A5433" t="s">
        <v>4243</v>
      </c>
    </row>
    <row r="5434" spans="1:1">
      <c r="A5434" t="s">
        <v>4244</v>
      </c>
    </row>
    <row r="5435" spans="1:1">
      <c r="A5435" t="s">
        <v>4245</v>
      </c>
    </row>
    <row r="5436" spans="1:1">
      <c r="A5436" t="s">
        <v>4246</v>
      </c>
    </row>
    <row r="5437" spans="1:1">
      <c r="A5437" t="s">
        <v>4247</v>
      </c>
    </row>
    <row r="5438" spans="1:1">
      <c r="A5438" t="s">
        <v>4248</v>
      </c>
    </row>
    <row r="5439" spans="1:1">
      <c r="A5439" t="s">
        <v>4249</v>
      </c>
    </row>
    <row r="5440" spans="1:1">
      <c r="A5440" t="s">
        <v>4250</v>
      </c>
    </row>
    <row r="5441" spans="1:1">
      <c r="A5441" t="s">
        <v>4251</v>
      </c>
    </row>
    <row r="5444" spans="1:1">
      <c r="A5444" t="s">
        <v>261</v>
      </c>
    </row>
    <row r="5445" spans="1:1">
      <c r="A5445" t="s">
        <v>4252</v>
      </c>
    </row>
    <row r="5446" spans="1:1">
      <c r="A5446" t="s">
        <v>4253</v>
      </c>
    </row>
    <row r="5447" spans="1:1">
      <c r="A5447" t="s">
        <v>4254</v>
      </c>
    </row>
    <row r="5448" spans="1:1">
      <c r="A5448" t="s">
        <v>4255</v>
      </c>
    </row>
    <row r="5449" spans="1:1">
      <c r="A5449" t="s">
        <v>4256</v>
      </c>
    </row>
    <row r="5450" spans="1:1">
      <c r="A5450" t="s">
        <v>4257</v>
      </c>
    </row>
    <row r="5451" spans="1:1">
      <c r="A5451" t="s">
        <v>4258</v>
      </c>
    </row>
    <row r="5452" spans="1:1">
      <c r="A5452" t="s">
        <v>4259</v>
      </c>
    </row>
    <row r="5453" spans="1:1">
      <c r="A5453" t="s">
        <v>4260</v>
      </c>
    </row>
    <row r="5454" spans="1:1">
      <c r="A5454" t="s">
        <v>4261</v>
      </c>
    </row>
    <row r="5455" spans="1:1">
      <c r="A5455" t="s">
        <v>4262</v>
      </c>
    </row>
    <row r="5456" spans="1:1">
      <c r="A5456" t="s">
        <v>4263</v>
      </c>
    </row>
    <row r="5457" spans="1:1">
      <c r="A5457" t="s">
        <v>4264</v>
      </c>
    </row>
    <row r="5459" spans="1:1">
      <c r="A5459" t="s">
        <v>275</v>
      </c>
    </row>
    <row r="5460" spans="1:1">
      <c r="A5460" t="s">
        <v>4265</v>
      </c>
    </row>
    <row r="5461" spans="1:1">
      <c r="A5461" t="s">
        <v>4266</v>
      </c>
    </row>
    <row r="5462" spans="1:1">
      <c r="A5462" t="s">
        <v>4267</v>
      </c>
    </row>
    <row r="5463" spans="1:1">
      <c r="A5463" t="s">
        <v>4268</v>
      </c>
    </row>
    <row r="5464" spans="1:1">
      <c r="A5464" t="s">
        <v>4269</v>
      </c>
    </row>
    <row r="5465" spans="1:1">
      <c r="A5465" t="s">
        <v>4270</v>
      </c>
    </row>
    <row r="5466" spans="1:1">
      <c r="A5466" t="s">
        <v>4271</v>
      </c>
    </row>
    <row r="5467" spans="1:1">
      <c r="A5467" t="s">
        <v>4272</v>
      </c>
    </row>
    <row r="5468" spans="1:1">
      <c r="A5468" t="s">
        <v>4273</v>
      </c>
    </row>
    <row r="5469" spans="1:1">
      <c r="A5469" t="s">
        <v>4274</v>
      </c>
    </row>
    <row r="5470" spans="1:1">
      <c r="A5470" t="s">
        <v>4275</v>
      </c>
    </row>
    <row r="5471" spans="1:1">
      <c r="A5471" t="s">
        <v>4276</v>
      </c>
    </row>
    <row r="5472" spans="1:1">
      <c r="A5472" t="s">
        <v>4277</v>
      </c>
    </row>
    <row r="5473" spans="1:1">
      <c r="A5473" t="s">
        <v>4278</v>
      </c>
    </row>
    <row r="5474" spans="1:1">
      <c r="A5474" t="s">
        <v>290</v>
      </c>
    </row>
    <row r="5475" spans="1:1">
      <c r="A5475" t="s">
        <v>4279</v>
      </c>
    </row>
    <row r="5480" spans="1:1">
      <c r="A5480" t="s">
        <v>4280</v>
      </c>
    </row>
    <row r="5481" spans="1:1">
      <c r="A5481" t="s">
        <v>240</v>
      </c>
    </row>
    <row r="5482" spans="1:1">
      <c r="A5482" t="s">
        <v>4281</v>
      </c>
    </row>
    <row r="5483" spans="1:1">
      <c r="A5483" t="s">
        <v>4282</v>
      </c>
    </row>
    <row r="5484" spans="1:1">
      <c r="A5484" t="s">
        <v>243</v>
      </c>
    </row>
    <row r="5485" spans="1:1">
      <c r="A5485" t="s">
        <v>4283</v>
      </c>
    </row>
    <row r="5486" spans="1:1">
      <c r="A5486" t="s">
        <v>245</v>
      </c>
    </row>
    <row r="5488" spans="1:1">
      <c r="A5488" t="s">
        <v>4284</v>
      </c>
    </row>
    <row r="5489" spans="1:1">
      <c r="A5489" t="s">
        <v>247</v>
      </c>
    </row>
    <row r="5490" spans="1:1">
      <c r="A5490" t="s">
        <v>4285</v>
      </c>
    </row>
    <row r="5491" spans="1:1">
      <c r="A5491" t="s">
        <v>4286</v>
      </c>
    </row>
    <row r="5492" spans="1:1">
      <c r="A5492" t="s">
        <v>4287</v>
      </c>
    </row>
    <row r="5493" spans="1:1">
      <c r="A5493" t="s">
        <v>4288</v>
      </c>
    </row>
    <row r="5494" spans="1:1">
      <c r="A5494" t="s">
        <v>4289</v>
      </c>
    </row>
    <row r="5495" spans="1:1">
      <c r="A5495" t="s">
        <v>4290</v>
      </c>
    </row>
    <row r="5496" spans="1:1">
      <c r="A5496" t="s">
        <v>4291</v>
      </c>
    </row>
    <row r="5497" spans="1:1">
      <c r="A5497" t="s">
        <v>4292</v>
      </c>
    </row>
    <row r="5498" spans="1:1">
      <c r="A5498" t="s">
        <v>4293</v>
      </c>
    </row>
    <row r="5499" spans="1:1">
      <c r="A5499" t="s">
        <v>4294</v>
      </c>
    </row>
    <row r="5500" spans="1:1">
      <c r="A5500" t="s">
        <v>4295</v>
      </c>
    </row>
    <row r="5501" spans="1:1">
      <c r="A5501" t="s">
        <v>4296</v>
      </c>
    </row>
    <row r="5502" spans="1:1">
      <c r="A5502" t="s">
        <v>4297</v>
      </c>
    </row>
    <row r="5505" spans="1:1">
      <c r="A5505" t="s">
        <v>261</v>
      </c>
    </row>
    <row r="5506" spans="1:1">
      <c r="A5506" t="s">
        <v>4298</v>
      </c>
    </row>
    <row r="5507" spans="1:1">
      <c r="A5507" t="s">
        <v>4299</v>
      </c>
    </row>
    <row r="5508" spans="1:1">
      <c r="A5508" t="s">
        <v>4300</v>
      </c>
    </row>
    <row r="5509" spans="1:1">
      <c r="A5509" t="s">
        <v>4301</v>
      </c>
    </row>
    <row r="5510" spans="1:1">
      <c r="A5510" t="s">
        <v>4302</v>
      </c>
    </row>
    <row r="5511" spans="1:1">
      <c r="A5511" t="s">
        <v>4303</v>
      </c>
    </row>
    <row r="5512" spans="1:1">
      <c r="A5512" t="s">
        <v>4304</v>
      </c>
    </row>
    <row r="5513" spans="1:1">
      <c r="A5513" t="s">
        <v>4305</v>
      </c>
    </row>
    <row r="5514" spans="1:1">
      <c r="A5514" t="s">
        <v>4306</v>
      </c>
    </row>
    <row r="5515" spans="1:1">
      <c r="A5515" t="s">
        <v>4307</v>
      </c>
    </row>
    <row r="5516" spans="1:1">
      <c r="A5516" t="s">
        <v>4308</v>
      </c>
    </row>
    <row r="5517" spans="1:1">
      <c r="A5517" t="s">
        <v>4309</v>
      </c>
    </row>
    <row r="5518" spans="1:1">
      <c r="A5518" t="s">
        <v>4310</v>
      </c>
    </row>
    <row r="5520" spans="1:1">
      <c r="A5520" t="s">
        <v>275</v>
      </c>
    </row>
    <row r="5521" spans="1:1">
      <c r="A5521" t="s">
        <v>4311</v>
      </c>
    </row>
    <row r="5522" spans="1:1">
      <c r="A5522" t="s">
        <v>4312</v>
      </c>
    </row>
    <row r="5523" spans="1:1">
      <c r="A5523" t="s">
        <v>4313</v>
      </c>
    </row>
    <row r="5524" spans="1:1">
      <c r="A5524" t="s">
        <v>4314</v>
      </c>
    </row>
    <row r="5525" spans="1:1">
      <c r="A5525" t="s">
        <v>4315</v>
      </c>
    </row>
    <row r="5526" spans="1:1">
      <c r="A5526" t="s">
        <v>4316</v>
      </c>
    </row>
    <row r="5527" spans="1:1">
      <c r="A5527" t="s">
        <v>4317</v>
      </c>
    </row>
    <row r="5528" spans="1:1">
      <c r="A5528" t="s">
        <v>4318</v>
      </c>
    </row>
    <row r="5529" spans="1:1">
      <c r="A5529" t="s">
        <v>4319</v>
      </c>
    </row>
    <row r="5530" spans="1:1">
      <c r="A5530" t="s">
        <v>4320</v>
      </c>
    </row>
    <row r="5531" spans="1:1">
      <c r="A5531" t="s">
        <v>4321</v>
      </c>
    </row>
    <row r="5532" spans="1:1">
      <c r="A5532" t="s">
        <v>4322</v>
      </c>
    </row>
    <row r="5533" spans="1:1">
      <c r="A5533" t="s">
        <v>4323</v>
      </c>
    </row>
    <row r="5534" spans="1:1">
      <c r="A5534" t="s">
        <v>4324</v>
      </c>
    </row>
    <row r="5535" spans="1:1">
      <c r="A5535" t="s">
        <v>290</v>
      </c>
    </row>
    <row r="5536" spans="1:1">
      <c r="A5536" t="s">
        <v>4325</v>
      </c>
    </row>
    <row r="5541" spans="1:1">
      <c r="A5541" t="s">
        <v>4326</v>
      </c>
    </row>
    <row r="5542" spans="1:1">
      <c r="A5542" t="s">
        <v>240</v>
      </c>
    </row>
    <row r="5543" spans="1:1">
      <c r="A5543" t="s">
        <v>4327</v>
      </c>
    </row>
    <row r="5544" spans="1:1">
      <c r="A5544" t="s">
        <v>4328</v>
      </c>
    </row>
    <row r="5545" spans="1:1">
      <c r="A5545" t="s">
        <v>243</v>
      </c>
    </row>
    <row r="5546" spans="1:1">
      <c r="A5546" t="s">
        <v>4329</v>
      </c>
    </row>
    <row r="5547" spans="1:1">
      <c r="A5547" t="s">
        <v>245</v>
      </c>
    </row>
    <row r="5549" spans="1:1">
      <c r="A5549" t="s">
        <v>4284</v>
      </c>
    </row>
    <row r="5550" spans="1:1">
      <c r="A5550" t="s">
        <v>247</v>
      </c>
    </row>
    <row r="5551" spans="1:1">
      <c r="A5551" t="s">
        <v>4330</v>
      </c>
    </row>
    <row r="5552" spans="1:1">
      <c r="A5552" t="s">
        <v>4331</v>
      </c>
    </row>
    <row r="5553" spans="1:1">
      <c r="A5553" t="s">
        <v>4332</v>
      </c>
    </row>
    <row r="5554" spans="1:1">
      <c r="A5554" t="s">
        <v>4333</v>
      </c>
    </row>
    <row r="5555" spans="1:1">
      <c r="A5555" t="s">
        <v>4334</v>
      </c>
    </row>
    <row r="5556" spans="1:1">
      <c r="A5556" t="s">
        <v>4335</v>
      </c>
    </row>
    <row r="5557" spans="1:1">
      <c r="A5557" t="s">
        <v>4336</v>
      </c>
    </row>
    <row r="5558" spans="1:1">
      <c r="A5558" t="s">
        <v>4337</v>
      </c>
    </row>
    <row r="5559" spans="1:1">
      <c r="A5559" t="s">
        <v>4338</v>
      </c>
    </row>
    <row r="5560" spans="1:1">
      <c r="A5560" t="s">
        <v>4339</v>
      </c>
    </row>
    <row r="5561" spans="1:1">
      <c r="A5561" t="s">
        <v>4340</v>
      </c>
    </row>
    <row r="5562" spans="1:1">
      <c r="A5562" t="s">
        <v>4341</v>
      </c>
    </row>
    <row r="5563" spans="1:1">
      <c r="A5563" t="s">
        <v>4342</v>
      </c>
    </row>
    <row r="5566" spans="1:1">
      <c r="A5566" t="s">
        <v>261</v>
      </c>
    </row>
    <row r="5567" spans="1:1">
      <c r="A5567" t="s">
        <v>4343</v>
      </c>
    </row>
    <row r="5568" spans="1:1">
      <c r="A5568" t="s">
        <v>4344</v>
      </c>
    </row>
    <row r="5569" spans="1:1">
      <c r="A5569" t="s">
        <v>4345</v>
      </c>
    </row>
    <row r="5570" spans="1:1">
      <c r="A5570" t="s">
        <v>4346</v>
      </c>
    </row>
    <row r="5571" spans="1:1">
      <c r="A5571" t="s">
        <v>4347</v>
      </c>
    </row>
    <row r="5572" spans="1:1">
      <c r="A5572" t="s">
        <v>4348</v>
      </c>
    </row>
    <row r="5573" spans="1:1">
      <c r="A5573" t="s">
        <v>4349</v>
      </c>
    </row>
    <row r="5574" spans="1:1">
      <c r="A5574" t="s">
        <v>4350</v>
      </c>
    </row>
    <row r="5575" spans="1:1">
      <c r="A5575" t="s">
        <v>4351</v>
      </c>
    </row>
    <row r="5576" spans="1:1">
      <c r="A5576" t="s">
        <v>4352</v>
      </c>
    </row>
    <row r="5577" spans="1:1">
      <c r="A5577" t="s">
        <v>4353</v>
      </c>
    </row>
    <row r="5578" spans="1:1">
      <c r="A5578" t="s">
        <v>4354</v>
      </c>
    </row>
    <row r="5579" spans="1:1">
      <c r="A5579" t="s">
        <v>4355</v>
      </c>
    </row>
    <row r="5581" spans="1:1">
      <c r="A5581" t="s">
        <v>275</v>
      </c>
    </row>
    <row r="5582" spans="1:1">
      <c r="A5582" t="s">
        <v>4356</v>
      </c>
    </row>
    <row r="5583" spans="1:1">
      <c r="A5583" t="s">
        <v>4357</v>
      </c>
    </row>
    <row r="5584" spans="1:1">
      <c r="A5584" t="s">
        <v>4358</v>
      </c>
    </row>
    <row r="5585" spans="1:1">
      <c r="A5585" t="s">
        <v>4359</v>
      </c>
    </row>
    <row r="5586" spans="1:1">
      <c r="A5586" t="s">
        <v>4360</v>
      </c>
    </row>
    <row r="5587" spans="1:1">
      <c r="A5587" t="s">
        <v>4361</v>
      </c>
    </row>
    <row r="5588" spans="1:1">
      <c r="A5588" t="s">
        <v>4362</v>
      </c>
    </row>
    <row r="5589" spans="1:1">
      <c r="A5589" t="s">
        <v>4363</v>
      </c>
    </row>
    <row r="5590" spans="1:1">
      <c r="A5590" t="s">
        <v>4364</v>
      </c>
    </row>
    <row r="5591" spans="1:1">
      <c r="A5591" t="s">
        <v>4365</v>
      </c>
    </row>
    <row r="5592" spans="1:1">
      <c r="A5592" t="s">
        <v>4366</v>
      </c>
    </row>
    <row r="5593" spans="1:1">
      <c r="A5593" t="s">
        <v>4367</v>
      </c>
    </row>
    <row r="5594" spans="1:1">
      <c r="A5594" t="s">
        <v>4368</v>
      </c>
    </row>
    <row r="5595" spans="1:1">
      <c r="A5595" t="s">
        <v>4369</v>
      </c>
    </row>
    <row r="5596" spans="1:1">
      <c r="A5596" t="s">
        <v>290</v>
      </c>
    </row>
    <row r="5597" spans="1:1">
      <c r="A5597" t="s">
        <v>4370</v>
      </c>
    </row>
    <row r="5602" spans="1:1">
      <c r="A5602" t="s">
        <v>4371</v>
      </c>
    </row>
    <row r="5603" spans="1:1">
      <c r="A5603" t="s">
        <v>240</v>
      </c>
    </row>
    <row r="5604" spans="1:1">
      <c r="A5604" t="s">
        <v>4372</v>
      </c>
    </row>
    <row r="5605" spans="1:1">
      <c r="A5605" t="s">
        <v>4373</v>
      </c>
    </row>
    <row r="5606" spans="1:1">
      <c r="A5606" t="s">
        <v>243</v>
      </c>
    </row>
    <row r="5607" spans="1:1">
      <c r="A5607" t="s">
        <v>4374</v>
      </c>
    </row>
    <row r="5608" spans="1:1">
      <c r="A5608" t="s">
        <v>245</v>
      </c>
    </row>
    <row r="5610" spans="1:1">
      <c r="A5610" t="s">
        <v>3298</v>
      </c>
    </row>
    <row r="5611" spans="1:1">
      <c r="A5611" t="s">
        <v>247</v>
      </c>
    </row>
    <row r="5612" spans="1:1">
      <c r="A5612" t="s">
        <v>4375</v>
      </c>
    </row>
    <row r="5613" spans="1:1">
      <c r="A5613" t="s">
        <v>4376</v>
      </c>
    </row>
    <row r="5614" spans="1:1">
      <c r="A5614" t="s">
        <v>4377</v>
      </c>
    </row>
    <row r="5615" spans="1:1">
      <c r="A5615" t="s">
        <v>4378</v>
      </c>
    </row>
    <row r="5616" spans="1:1">
      <c r="A5616" t="s">
        <v>4379</v>
      </c>
    </row>
    <row r="5617" spans="1:1">
      <c r="A5617" t="s">
        <v>4380</v>
      </c>
    </row>
    <row r="5618" spans="1:1">
      <c r="A5618" t="s">
        <v>4381</v>
      </c>
    </row>
    <row r="5619" spans="1:1">
      <c r="A5619" t="s">
        <v>4382</v>
      </c>
    </row>
    <row r="5620" spans="1:1">
      <c r="A5620" t="s">
        <v>4383</v>
      </c>
    </row>
    <row r="5621" spans="1:1">
      <c r="A5621" t="s">
        <v>4384</v>
      </c>
    </row>
    <row r="5622" spans="1:1">
      <c r="A5622" t="s">
        <v>4385</v>
      </c>
    </row>
    <row r="5623" spans="1:1">
      <c r="A5623" t="s">
        <v>4386</v>
      </c>
    </row>
    <row r="5624" spans="1:1">
      <c r="A5624" t="s">
        <v>4387</v>
      </c>
    </row>
    <row r="5627" spans="1:1">
      <c r="A5627" t="s">
        <v>261</v>
      </c>
    </row>
    <row r="5628" spans="1:1">
      <c r="A5628" t="s">
        <v>4388</v>
      </c>
    </row>
    <row r="5629" spans="1:1">
      <c r="A5629" t="s">
        <v>4389</v>
      </c>
    </row>
    <row r="5630" spans="1:1">
      <c r="A5630" t="s">
        <v>4390</v>
      </c>
    </row>
    <row r="5631" spans="1:1">
      <c r="A5631" t="s">
        <v>4391</v>
      </c>
    </row>
    <row r="5632" spans="1:1">
      <c r="A5632" t="s">
        <v>4392</v>
      </c>
    </row>
    <row r="5633" spans="1:1">
      <c r="A5633" t="s">
        <v>4393</v>
      </c>
    </row>
    <row r="5634" spans="1:1">
      <c r="A5634" t="s">
        <v>4394</v>
      </c>
    </row>
    <row r="5635" spans="1:1">
      <c r="A5635" t="s">
        <v>4395</v>
      </c>
    </row>
    <row r="5636" spans="1:1">
      <c r="A5636" t="s">
        <v>4396</v>
      </c>
    </row>
    <row r="5637" spans="1:1">
      <c r="A5637" t="s">
        <v>4397</v>
      </c>
    </row>
    <row r="5638" spans="1:1">
      <c r="A5638" t="s">
        <v>4398</v>
      </c>
    </row>
    <row r="5639" spans="1:1">
      <c r="A5639" t="s">
        <v>4399</v>
      </c>
    </row>
    <row r="5640" spans="1:1">
      <c r="A5640" t="s">
        <v>4400</v>
      </c>
    </row>
    <row r="5642" spans="1:1">
      <c r="A5642" t="s">
        <v>275</v>
      </c>
    </row>
    <row r="5643" spans="1:1">
      <c r="A5643" t="s">
        <v>4401</v>
      </c>
    </row>
    <row r="5644" spans="1:1">
      <c r="A5644" t="s">
        <v>4402</v>
      </c>
    </row>
    <row r="5645" spans="1:1">
      <c r="A5645" t="s">
        <v>4403</v>
      </c>
    </row>
    <row r="5646" spans="1:1">
      <c r="A5646" t="s">
        <v>4404</v>
      </c>
    </row>
    <row r="5647" spans="1:1">
      <c r="A5647" t="s">
        <v>4405</v>
      </c>
    </row>
    <row r="5648" spans="1:1">
      <c r="A5648" t="s">
        <v>4406</v>
      </c>
    </row>
    <row r="5649" spans="1:1">
      <c r="A5649" t="s">
        <v>4407</v>
      </c>
    </row>
    <row r="5650" spans="1:1">
      <c r="A5650" t="s">
        <v>4408</v>
      </c>
    </row>
    <row r="5651" spans="1:1">
      <c r="A5651" t="s">
        <v>4409</v>
      </c>
    </row>
    <row r="5652" spans="1:1">
      <c r="A5652" t="s">
        <v>4410</v>
      </c>
    </row>
    <row r="5653" spans="1:1">
      <c r="A5653" t="s">
        <v>4411</v>
      </c>
    </row>
    <row r="5654" spans="1:1">
      <c r="A5654" t="s">
        <v>4412</v>
      </c>
    </row>
    <row r="5655" spans="1:1">
      <c r="A5655" t="s">
        <v>4413</v>
      </c>
    </row>
    <row r="5656" spans="1:1">
      <c r="A5656" t="s">
        <v>4414</v>
      </c>
    </row>
    <row r="5657" spans="1:1">
      <c r="A5657" t="s">
        <v>290</v>
      </c>
    </row>
    <row r="5658" spans="1:1">
      <c r="A5658" t="s">
        <v>4415</v>
      </c>
    </row>
    <row r="5663" spans="1:1">
      <c r="A5663" t="s">
        <v>4416</v>
      </c>
    </row>
    <row r="5664" spans="1:1">
      <c r="A5664" t="s">
        <v>240</v>
      </c>
    </row>
    <row r="5665" spans="1:1">
      <c r="A5665" t="s">
        <v>4417</v>
      </c>
    </row>
    <row r="5666" spans="1:1">
      <c r="A5666" t="s">
        <v>4418</v>
      </c>
    </row>
    <row r="5667" spans="1:1">
      <c r="A5667" t="s">
        <v>243</v>
      </c>
    </row>
    <row r="5668" spans="1:1">
      <c r="A5668" t="s">
        <v>4419</v>
      </c>
    </row>
    <row r="5669" spans="1:1">
      <c r="A5669" t="s">
        <v>245</v>
      </c>
    </row>
    <row r="5671" spans="1:1">
      <c r="A5671" t="s">
        <v>4284</v>
      </c>
    </row>
    <row r="5672" spans="1:1">
      <c r="A5672" t="s">
        <v>247</v>
      </c>
    </row>
    <row r="5673" spans="1:1">
      <c r="A5673" t="s">
        <v>4420</v>
      </c>
    </row>
    <row r="5674" spans="1:1">
      <c r="A5674" t="s">
        <v>4421</v>
      </c>
    </row>
    <row r="5675" spans="1:1">
      <c r="A5675" t="s">
        <v>4422</v>
      </c>
    </row>
    <row r="5676" spans="1:1">
      <c r="A5676" t="s">
        <v>4423</v>
      </c>
    </row>
    <row r="5677" spans="1:1">
      <c r="A5677" t="s">
        <v>4424</v>
      </c>
    </row>
    <row r="5678" spans="1:1">
      <c r="A5678" t="s">
        <v>4425</v>
      </c>
    </row>
    <row r="5679" spans="1:1">
      <c r="A5679" t="s">
        <v>4426</v>
      </c>
    </row>
    <row r="5680" spans="1:1">
      <c r="A5680" t="s">
        <v>4427</v>
      </c>
    </row>
    <row r="5681" spans="1:1">
      <c r="A5681" t="s">
        <v>4428</v>
      </c>
    </row>
    <row r="5682" spans="1:1">
      <c r="A5682" t="s">
        <v>4429</v>
      </c>
    </row>
    <row r="5683" spans="1:1">
      <c r="A5683" t="s">
        <v>4430</v>
      </c>
    </row>
    <row r="5684" spans="1:1">
      <c r="A5684" t="s">
        <v>4431</v>
      </c>
    </row>
    <row r="5685" spans="1:1">
      <c r="A5685" t="s">
        <v>4432</v>
      </c>
    </row>
    <row r="5688" spans="1:1">
      <c r="A5688" t="s">
        <v>261</v>
      </c>
    </row>
    <row r="5689" spans="1:1">
      <c r="A5689" t="s">
        <v>4433</v>
      </c>
    </row>
    <row r="5690" spans="1:1">
      <c r="A5690" t="s">
        <v>4434</v>
      </c>
    </row>
    <row r="5691" spans="1:1">
      <c r="A5691" t="s">
        <v>4435</v>
      </c>
    </row>
    <row r="5692" spans="1:1">
      <c r="A5692" t="s">
        <v>4436</v>
      </c>
    </row>
    <row r="5693" spans="1:1">
      <c r="A5693" t="s">
        <v>4437</v>
      </c>
    </row>
    <row r="5694" spans="1:1">
      <c r="A5694" t="s">
        <v>4438</v>
      </c>
    </row>
    <row r="5695" spans="1:1">
      <c r="A5695" t="s">
        <v>4439</v>
      </c>
    </row>
    <row r="5696" spans="1:1">
      <c r="A5696" t="s">
        <v>4440</v>
      </c>
    </row>
    <row r="5697" spans="1:1">
      <c r="A5697" t="s">
        <v>4441</v>
      </c>
    </row>
    <row r="5698" spans="1:1">
      <c r="A5698" t="s">
        <v>4442</v>
      </c>
    </row>
    <row r="5699" spans="1:1">
      <c r="A5699" t="s">
        <v>4443</v>
      </c>
    </row>
    <row r="5700" spans="1:1">
      <c r="A5700" t="s">
        <v>4444</v>
      </c>
    </row>
    <row r="5701" spans="1:1">
      <c r="A5701" t="s">
        <v>4445</v>
      </c>
    </row>
    <row r="5703" spans="1:1">
      <c r="A5703" t="s">
        <v>275</v>
      </c>
    </row>
    <row r="5704" spans="1:1">
      <c r="A5704" t="s">
        <v>4446</v>
      </c>
    </row>
    <row r="5705" spans="1:1">
      <c r="A5705" t="s">
        <v>4447</v>
      </c>
    </row>
    <row r="5706" spans="1:1">
      <c r="A5706" t="s">
        <v>4448</v>
      </c>
    </row>
    <row r="5707" spans="1:1">
      <c r="A5707" t="s">
        <v>4449</v>
      </c>
    </row>
    <row r="5708" spans="1:1">
      <c r="A5708" t="s">
        <v>4450</v>
      </c>
    </row>
    <row r="5709" spans="1:1">
      <c r="A5709" t="s">
        <v>4451</v>
      </c>
    </row>
    <row r="5710" spans="1:1">
      <c r="A5710" t="s">
        <v>4452</v>
      </c>
    </row>
    <row r="5711" spans="1:1">
      <c r="A5711" t="s">
        <v>4453</v>
      </c>
    </row>
    <row r="5712" spans="1:1">
      <c r="A5712" t="s">
        <v>4454</v>
      </c>
    </row>
    <row r="5713" spans="1:1">
      <c r="A5713" t="s">
        <v>4455</v>
      </c>
    </row>
    <row r="5714" spans="1:1">
      <c r="A5714" t="s">
        <v>4456</v>
      </c>
    </row>
    <row r="5715" spans="1:1">
      <c r="A5715" t="s">
        <v>4457</v>
      </c>
    </row>
    <row r="5716" spans="1:1">
      <c r="A5716" t="s">
        <v>4458</v>
      </c>
    </row>
    <row r="5717" spans="1:1">
      <c r="A5717" t="s">
        <v>4459</v>
      </c>
    </row>
    <row r="5718" spans="1:1">
      <c r="A5718" t="s">
        <v>290</v>
      </c>
    </row>
    <row r="5719" spans="1:1">
      <c r="A5719" t="s">
        <v>4460</v>
      </c>
    </row>
    <row r="5724" spans="1:1">
      <c r="A5724" t="s">
        <v>4461</v>
      </c>
    </row>
    <row r="5725" spans="1:1">
      <c r="A5725" t="s">
        <v>240</v>
      </c>
    </row>
    <row r="5726" spans="1:1">
      <c r="A5726" t="s">
        <v>4462</v>
      </c>
    </row>
    <row r="5727" spans="1:1">
      <c r="A5727" t="s">
        <v>4463</v>
      </c>
    </row>
    <row r="5728" spans="1:1">
      <c r="A5728" t="s">
        <v>243</v>
      </c>
    </row>
    <row r="5729" spans="1:1">
      <c r="A5729" t="s">
        <v>4464</v>
      </c>
    </row>
    <row r="5730" spans="1:1">
      <c r="A5730" t="s">
        <v>245</v>
      </c>
    </row>
    <row r="5732" spans="1:1">
      <c r="A5732" t="s">
        <v>4284</v>
      </c>
    </row>
    <row r="5733" spans="1:1">
      <c r="A5733" t="s">
        <v>247</v>
      </c>
    </row>
    <row r="5734" spans="1:1">
      <c r="A5734" t="s">
        <v>4465</v>
      </c>
    </row>
    <row r="5735" spans="1:1">
      <c r="A5735" t="s">
        <v>4466</v>
      </c>
    </row>
    <row r="5736" spans="1:1">
      <c r="A5736" t="s">
        <v>4467</v>
      </c>
    </row>
    <row r="5737" spans="1:1">
      <c r="A5737" t="s">
        <v>4468</v>
      </c>
    </row>
    <row r="5738" spans="1:1">
      <c r="A5738" t="s">
        <v>4469</v>
      </c>
    </row>
    <row r="5739" spans="1:1">
      <c r="A5739" t="s">
        <v>4470</v>
      </c>
    </row>
    <row r="5740" spans="1:1">
      <c r="A5740" t="s">
        <v>4471</v>
      </c>
    </row>
    <row r="5741" spans="1:1">
      <c r="A5741" t="s">
        <v>4472</v>
      </c>
    </row>
    <row r="5742" spans="1:1">
      <c r="A5742" t="s">
        <v>4473</v>
      </c>
    </row>
    <row r="5743" spans="1:1">
      <c r="A5743" t="s">
        <v>4474</v>
      </c>
    </row>
    <row r="5744" spans="1:1">
      <c r="A5744" t="s">
        <v>4475</v>
      </c>
    </row>
    <row r="5745" spans="1:1">
      <c r="A5745" t="s">
        <v>4476</v>
      </c>
    </row>
    <row r="5746" spans="1:1">
      <c r="A5746" t="s">
        <v>4477</v>
      </c>
    </row>
    <row r="5749" spans="1:1">
      <c r="A5749" t="s">
        <v>261</v>
      </c>
    </row>
    <row r="5750" spans="1:1">
      <c r="A5750" t="s">
        <v>4478</v>
      </c>
    </row>
    <row r="5751" spans="1:1">
      <c r="A5751" t="s">
        <v>4479</v>
      </c>
    </row>
    <row r="5752" spans="1:1">
      <c r="A5752" t="s">
        <v>4480</v>
      </c>
    </row>
    <row r="5753" spans="1:1">
      <c r="A5753" t="s">
        <v>4481</v>
      </c>
    </row>
    <row r="5754" spans="1:1">
      <c r="A5754" t="s">
        <v>4482</v>
      </c>
    </row>
    <row r="5755" spans="1:1">
      <c r="A5755" t="s">
        <v>4483</v>
      </c>
    </row>
    <row r="5756" spans="1:1">
      <c r="A5756" t="s">
        <v>4484</v>
      </c>
    </row>
    <row r="5757" spans="1:1">
      <c r="A5757" t="s">
        <v>4485</v>
      </c>
    </row>
    <row r="5758" spans="1:1">
      <c r="A5758" t="s">
        <v>4486</v>
      </c>
    </row>
    <row r="5759" spans="1:1">
      <c r="A5759" t="s">
        <v>4487</v>
      </c>
    </row>
    <row r="5760" spans="1:1">
      <c r="A5760" t="s">
        <v>4488</v>
      </c>
    </row>
    <row r="5761" spans="1:1">
      <c r="A5761" t="s">
        <v>4489</v>
      </c>
    </row>
    <row r="5762" spans="1:1">
      <c r="A5762" t="s">
        <v>4490</v>
      </c>
    </row>
    <row r="5764" spans="1:1">
      <c r="A5764" t="s">
        <v>275</v>
      </c>
    </row>
    <row r="5765" spans="1:1">
      <c r="A5765" t="s">
        <v>4491</v>
      </c>
    </row>
    <row r="5766" spans="1:1">
      <c r="A5766" t="s">
        <v>4492</v>
      </c>
    </row>
    <row r="5767" spans="1:1">
      <c r="A5767" t="s">
        <v>4493</v>
      </c>
    </row>
    <row r="5768" spans="1:1">
      <c r="A5768" t="s">
        <v>4494</v>
      </c>
    </row>
    <row r="5769" spans="1:1">
      <c r="A5769" t="s">
        <v>4495</v>
      </c>
    </row>
    <row r="5770" spans="1:1">
      <c r="A5770" t="s">
        <v>4496</v>
      </c>
    </row>
    <row r="5771" spans="1:1">
      <c r="A5771" t="s">
        <v>4497</v>
      </c>
    </row>
    <row r="5772" spans="1:1">
      <c r="A5772" t="s">
        <v>4498</v>
      </c>
    </row>
    <row r="5773" spans="1:1">
      <c r="A5773" t="s">
        <v>4499</v>
      </c>
    </row>
    <row r="5774" spans="1:1">
      <c r="A5774" t="s">
        <v>4500</v>
      </c>
    </row>
    <row r="5775" spans="1:1">
      <c r="A5775" t="s">
        <v>4501</v>
      </c>
    </row>
    <row r="5776" spans="1:1">
      <c r="A5776" t="s">
        <v>4502</v>
      </c>
    </row>
    <row r="5777" spans="1:1">
      <c r="A5777" t="s">
        <v>4503</v>
      </c>
    </row>
    <row r="5778" spans="1:1">
      <c r="A5778" t="s">
        <v>4504</v>
      </c>
    </row>
    <row r="5779" spans="1:1">
      <c r="A5779" t="s">
        <v>290</v>
      </c>
    </row>
    <row r="5780" spans="1:1">
      <c r="A5780" t="s">
        <v>4505</v>
      </c>
    </row>
    <row r="5785" spans="1:1">
      <c r="A5785" t="s">
        <v>4506</v>
      </c>
    </row>
    <row r="5786" spans="1:1">
      <c r="A5786" t="s">
        <v>240</v>
      </c>
    </row>
    <row r="5787" spans="1:1">
      <c r="A5787" t="s">
        <v>4507</v>
      </c>
    </row>
    <row r="5788" spans="1:1">
      <c r="A5788" t="s">
        <v>4508</v>
      </c>
    </row>
    <row r="5789" spans="1:1">
      <c r="A5789" t="s">
        <v>243</v>
      </c>
    </row>
    <row r="5790" spans="1:1">
      <c r="A5790" t="s">
        <v>4509</v>
      </c>
    </row>
    <row r="5791" spans="1:1">
      <c r="A5791" t="s">
        <v>245</v>
      </c>
    </row>
    <row r="5793" spans="1:1">
      <c r="A5793" t="s">
        <v>4284</v>
      </c>
    </row>
    <row r="5794" spans="1:1">
      <c r="A5794" t="s">
        <v>247</v>
      </c>
    </row>
    <row r="5795" spans="1:1">
      <c r="A5795" t="s">
        <v>4510</v>
      </c>
    </row>
    <row r="5796" spans="1:1">
      <c r="A5796" t="s">
        <v>4511</v>
      </c>
    </row>
    <row r="5797" spans="1:1">
      <c r="A5797" t="s">
        <v>4512</v>
      </c>
    </row>
    <row r="5798" spans="1:1">
      <c r="A5798" t="s">
        <v>4513</v>
      </c>
    </row>
    <row r="5799" spans="1:1">
      <c r="A5799" t="s">
        <v>4514</v>
      </c>
    </row>
    <row r="5800" spans="1:1">
      <c r="A5800" t="s">
        <v>4515</v>
      </c>
    </row>
    <row r="5801" spans="1:1">
      <c r="A5801" t="s">
        <v>4516</v>
      </c>
    </row>
    <row r="5802" spans="1:1">
      <c r="A5802" t="s">
        <v>4517</v>
      </c>
    </row>
    <row r="5803" spans="1:1">
      <c r="A5803" t="s">
        <v>4518</v>
      </c>
    </row>
    <row r="5804" spans="1:1">
      <c r="A5804" t="s">
        <v>4519</v>
      </c>
    </row>
    <row r="5805" spans="1:1">
      <c r="A5805" t="s">
        <v>4520</v>
      </c>
    </row>
    <row r="5806" spans="1:1">
      <c r="A5806" t="s">
        <v>4521</v>
      </c>
    </row>
    <row r="5807" spans="1:1">
      <c r="A5807" t="s">
        <v>4522</v>
      </c>
    </row>
    <row r="5810" spans="1:1">
      <c r="A5810" t="s">
        <v>261</v>
      </c>
    </row>
    <row r="5811" spans="1:1">
      <c r="A5811" t="s">
        <v>4523</v>
      </c>
    </row>
    <row r="5812" spans="1:1">
      <c r="A5812" t="s">
        <v>4524</v>
      </c>
    </row>
    <row r="5813" spans="1:1">
      <c r="A5813" t="s">
        <v>4525</v>
      </c>
    </row>
    <row r="5814" spans="1:1">
      <c r="A5814" t="s">
        <v>4526</v>
      </c>
    </row>
    <row r="5815" spans="1:1">
      <c r="A5815" t="s">
        <v>3674</v>
      </c>
    </row>
    <row r="5816" spans="1:1">
      <c r="A5816" t="s">
        <v>4527</v>
      </c>
    </row>
    <row r="5817" spans="1:1">
      <c r="A5817" t="s">
        <v>4169</v>
      </c>
    </row>
    <row r="5818" spans="1:1">
      <c r="A5818" t="s">
        <v>4528</v>
      </c>
    </row>
    <row r="5819" spans="1:1">
      <c r="A5819" t="s">
        <v>4529</v>
      </c>
    </row>
    <row r="5820" spans="1:1">
      <c r="A5820" t="s">
        <v>4530</v>
      </c>
    </row>
    <row r="5821" spans="1:1">
      <c r="A5821" t="s">
        <v>4531</v>
      </c>
    </row>
    <row r="5822" spans="1:1">
      <c r="A5822" t="s">
        <v>4532</v>
      </c>
    </row>
    <row r="5824" spans="1:1">
      <c r="A5824" t="s">
        <v>275</v>
      </c>
    </row>
    <row r="5825" spans="1:1">
      <c r="A5825" t="s">
        <v>4533</v>
      </c>
    </row>
    <row r="5826" spans="1:1">
      <c r="A5826" t="s">
        <v>4534</v>
      </c>
    </row>
    <row r="5827" spans="1:1">
      <c r="A5827" t="s">
        <v>4535</v>
      </c>
    </row>
    <row r="5828" spans="1:1">
      <c r="A5828" t="s">
        <v>4536</v>
      </c>
    </row>
    <row r="5829" spans="1:1">
      <c r="A5829" t="s">
        <v>4537</v>
      </c>
    </row>
    <row r="5830" spans="1:1">
      <c r="A5830" t="s">
        <v>592</v>
      </c>
    </row>
    <row r="5831" spans="1:1">
      <c r="A5831" t="s">
        <v>4538</v>
      </c>
    </row>
    <row r="5832" spans="1:1">
      <c r="A5832" t="s">
        <v>4539</v>
      </c>
    </row>
    <row r="5833" spans="1:1">
      <c r="A5833" t="s">
        <v>4540</v>
      </c>
    </row>
    <row r="5834" spans="1:1">
      <c r="A5834" t="s">
        <v>4541</v>
      </c>
    </row>
    <row r="5835" spans="1:1">
      <c r="A5835" t="s">
        <v>4542</v>
      </c>
    </row>
    <row r="5836" spans="1:1">
      <c r="A5836" t="s">
        <v>4543</v>
      </c>
    </row>
    <row r="5837" spans="1:1">
      <c r="A5837" t="s">
        <v>4544</v>
      </c>
    </row>
    <row r="5838" spans="1:1">
      <c r="A5838" t="s">
        <v>4545</v>
      </c>
    </row>
    <row r="5839" spans="1:1">
      <c r="A5839" t="s">
        <v>290</v>
      </c>
    </row>
    <row r="5840" spans="1:1">
      <c r="A5840" t="s">
        <v>4546</v>
      </c>
    </row>
    <row r="5845" spans="1:1">
      <c r="A5845" t="s">
        <v>4547</v>
      </c>
    </row>
    <row r="5846" spans="1:1">
      <c r="A5846" t="s">
        <v>240</v>
      </c>
    </row>
    <row r="5847" spans="1:1">
      <c r="A5847" t="s">
        <v>4548</v>
      </c>
    </row>
    <row r="5848" spans="1:1">
      <c r="A5848" t="s">
        <v>4549</v>
      </c>
    </row>
    <row r="5849" spans="1:1">
      <c r="A5849" t="s">
        <v>243</v>
      </c>
    </row>
    <row r="5850" spans="1:1">
      <c r="A5850" t="s">
        <v>4550</v>
      </c>
    </row>
    <row r="5851" spans="1:1">
      <c r="A5851" t="s">
        <v>245</v>
      </c>
    </row>
    <row r="5853" spans="1:1">
      <c r="A5853" t="s">
        <v>4284</v>
      </c>
    </row>
    <row r="5854" spans="1:1">
      <c r="A5854" t="s">
        <v>247</v>
      </c>
    </row>
    <row r="5855" spans="1:1">
      <c r="A5855" t="s">
        <v>4551</v>
      </c>
    </row>
    <row r="5856" spans="1:1">
      <c r="A5856" t="s">
        <v>4552</v>
      </c>
    </row>
    <row r="5857" spans="1:1">
      <c r="A5857" t="s">
        <v>4553</v>
      </c>
    </row>
    <row r="5858" spans="1:1">
      <c r="A5858" t="s">
        <v>4554</v>
      </c>
    </row>
    <row r="5859" spans="1:1">
      <c r="A5859" t="s">
        <v>4555</v>
      </c>
    </row>
    <row r="5860" spans="1:1">
      <c r="A5860" t="s">
        <v>4556</v>
      </c>
    </row>
    <row r="5861" spans="1:1">
      <c r="A5861" t="s">
        <v>4557</v>
      </c>
    </row>
    <row r="5862" spans="1:1">
      <c r="A5862" t="s">
        <v>4558</v>
      </c>
    </row>
    <row r="5863" spans="1:1">
      <c r="A5863" t="s">
        <v>4559</v>
      </c>
    </row>
    <row r="5864" spans="1:1">
      <c r="A5864" t="s">
        <v>4560</v>
      </c>
    </row>
    <row r="5865" spans="1:1">
      <c r="A5865" t="s">
        <v>4561</v>
      </c>
    </row>
    <row r="5866" spans="1:1">
      <c r="A5866" t="s">
        <v>4562</v>
      </c>
    </row>
    <row r="5867" spans="1:1">
      <c r="A5867" t="s">
        <v>4563</v>
      </c>
    </row>
    <row r="5870" spans="1:1">
      <c r="A5870" t="s">
        <v>261</v>
      </c>
    </row>
    <row r="5871" spans="1:1">
      <c r="A5871" t="s">
        <v>4564</v>
      </c>
    </row>
    <row r="5872" spans="1:1">
      <c r="A5872" t="s">
        <v>4565</v>
      </c>
    </row>
    <row r="5873" spans="1:1">
      <c r="A5873" t="s">
        <v>4566</v>
      </c>
    </row>
    <row r="5874" spans="1:1">
      <c r="A5874" t="s">
        <v>4567</v>
      </c>
    </row>
    <row r="5875" spans="1:1">
      <c r="A5875" t="s">
        <v>4568</v>
      </c>
    </row>
    <row r="5876" spans="1:1">
      <c r="A5876" t="s">
        <v>4569</v>
      </c>
    </row>
    <row r="5877" spans="1:1">
      <c r="A5877" t="s">
        <v>4570</v>
      </c>
    </row>
    <row r="5878" spans="1:1">
      <c r="A5878" t="s">
        <v>4571</v>
      </c>
    </row>
    <row r="5879" spans="1:1">
      <c r="A5879" t="s">
        <v>4572</v>
      </c>
    </row>
    <row r="5880" spans="1:1">
      <c r="A5880" t="s">
        <v>4573</v>
      </c>
    </row>
    <row r="5881" spans="1:1">
      <c r="A5881" t="s">
        <v>4574</v>
      </c>
    </row>
    <row r="5882" spans="1:1">
      <c r="A5882" t="s">
        <v>4575</v>
      </c>
    </row>
    <row r="5883" spans="1:1">
      <c r="A5883" t="s">
        <v>4576</v>
      </c>
    </row>
    <row r="5885" spans="1:1">
      <c r="A5885" t="s">
        <v>275</v>
      </c>
    </row>
    <row r="5886" spans="1:1">
      <c r="A5886" t="s">
        <v>4577</v>
      </c>
    </row>
    <row r="5887" spans="1:1">
      <c r="A5887" t="s">
        <v>4578</v>
      </c>
    </row>
    <row r="5888" spans="1:1">
      <c r="A5888" t="s">
        <v>4579</v>
      </c>
    </row>
    <row r="5889" spans="1:1">
      <c r="A5889" t="s">
        <v>4580</v>
      </c>
    </row>
    <row r="5890" spans="1:1">
      <c r="A5890" t="s">
        <v>4581</v>
      </c>
    </row>
    <row r="5891" spans="1:1">
      <c r="A5891" t="s">
        <v>4582</v>
      </c>
    </row>
    <row r="5892" spans="1:1">
      <c r="A5892" t="s">
        <v>4583</v>
      </c>
    </row>
    <row r="5893" spans="1:1">
      <c r="A5893" t="s">
        <v>4584</v>
      </c>
    </row>
    <row r="5894" spans="1:1">
      <c r="A5894" t="s">
        <v>4585</v>
      </c>
    </row>
    <row r="5895" spans="1:1">
      <c r="A5895" t="s">
        <v>4586</v>
      </c>
    </row>
    <row r="5896" spans="1:1">
      <c r="A5896" t="s">
        <v>4587</v>
      </c>
    </row>
    <row r="5897" spans="1:1">
      <c r="A5897" t="s">
        <v>4588</v>
      </c>
    </row>
    <row r="5898" spans="1:1">
      <c r="A5898" t="s">
        <v>4589</v>
      </c>
    </row>
    <row r="5899" spans="1:1">
      <c r="A5899" t="s">
        <v>4590</v>
      </c>
    </row>
    <row r="5900" spans="1:1">
      <c r="A5900" t="s">
        <v>290</v>
      </c>
    </row>
    <row r="5901" spans="1:1">
      <c r="A5901" t="s">
        <v>4591</v>
      </c>
    </row>
    <row r="5906" spans="1:1">
      <c r="A5906" t="s">
        <v>4592</v>
      </c>
    </row>
    <row r="5907" spans="1:1">
      <c r="A5907" t="s">
        <v>240</v>
      </c>
    </row>
    <row r="5908" spans="1:1">
      <c r="A5908" t="s">
        <v>4593</v>
      </c>
    </row>
    <row r="5909" spans="1:1">
      <c r="A5909" t="s">
        <v>4594</v>
      </c>
    </row>
    <row r="5910" spans="1:1">
      <c r="A5910" t="s">
        <v>243</v>
      </c>
    </row>
    <row r="5911" spans="1:1">
      <c r="A5911" t="s">
        <v>4595</v>
      </c>
    </row>
    <row r="5912" spans="1:1">
      <c r="A5912" t="s">
        <v>245</v>
      </c>
    </row>
    <row r="5914" spans="1:1">
      <c r="A5914" t="s">
        <v>4284</v>
      </c>
    </row>
    <row r="5915" spans="1:1">
      <c r="A5915" t="s">
        <v>247</v>
      </c>
    </row>
    <row r="5916" spans="1:1">
      <c r="A5916" t="s">
        <v>4596</v>
      </c>
    </row>
    <row r="5917" spans="1:1">
      <c r="A5917" t="s">
        <v>4597</v>
      </c>
    </row>
    <row r="5918" spans="1:1">
      <c r="A5918" t="s">
        <v>4598</v>
      </c>
    </row>
    <row r="5919" spans="1:1">
      <c r="A5919" t="s">
        <v>4599</v>
      </c>
    </row>
    <row r="5920" spans="1:1">
      <c r="A5920" t="s">
        <v>4600</v>
      </c>
    </row>
    <row r="5921" spans="1:1">
      <c r="A5921" t="s">
        <v>4601</v>
      </c>
    </row>
    <row r="5922" spans="1:1">
      <c r="A5922" t="s">
        <v>4602</v>
      </c>
    </row>
    <row r="5923" spans="1:1">
      <c r="A5923" t="s">
        <v>4603</v>
      </c>
    </row>
    <row r="5924" spans="1:1">
      <c r="A5924" t="s">
        <v>4604</v>
      </c>
    </row>
    <row r="5925" spans="1:1">
      <c r="A5925" t="s">
        <v>4605</v>
      </c>
    </row>
    <row r="5926" spans="1:1">
      <c r="A5926" t="s">
        <v>4606</v>
      </c>
    </row>
    <row r="5927" spans="1:1">
      <c r="A5927" t="s">
        <v>4607</v>
      </c>
    </row>
    <row r="5928" spans="1:1">
      <c r="A5928" t="s">
        <v>4608</v>
      </c>
    </row>
    <row r="5931" spans="1:1">
      <c r="A5931" t="s">
        <v>261</v>
      </c>
    </row>
    <row r="5932" spans="1:1">
      <c r="A5932" t="s">
        <v>4609</v>
      </c>
    </row>
    <row r="5933" spans="1:1">
      <c r="A5933" t="s">
        <v>4610</v>
      </c>
    </row>
    <row r="5934" spans="1:1">
      <c r="A5934" t="s">
        <v>4611</v>
      </c>
    </row>
    <row r="5935" spans="1:1">
      <c r="A5935" t="s">
        <v>4612</v>
      </c>
    </row>
    <row r="5936" spans="1:1">
      <c r="A5936" t="s">
        <v>4613</v>
      </c>
    </row>
    <row r="5937" spans="1:1">
      <c r="A5937" t="s">
        <v>4614</v>
      </c>
    </row>
    <row r="5938" spans="1:1">
      <c r="A5938" t="s">
        <v>4615</v>
      </c>
    </row>
    <row r="5939" spans="1:1">
      <c r="A5939" t="s">
        <v>4616</v>
      </c>
    </row>
    <row r="5940" spans="1:1">
      <c r="A5940" t="s">
        <v>4617</v>
      </c>
    </row>
    <row r="5941" spans="1:1">
      <c r="A5941" t="s">
        <v>4618</v>
      </c>
    </row>
    <row r="5942" spans="1:1">
      <c r="A5942" t="s">
        <v>4619</v>
      </c>
    </row>
    <row r="5943" spans="1:1">
      <c r="A5943" t="s">
        <v>4620</v>
      </c>
    </row>
    <row r="5944" spans="1:1">
      <c r="A5944" t="s">
        <v>4621</v>
      </c>
    </row>
    <row r="5946" spans="1:1">
      <c r="A5946" t="s">
        <v>275</v>
      </c>
    </row>
    <row r="5947" spans="1:1">
      <c r="A5947" t="s">
        <v>4622</v>
      </c>
    </row>
    <row r="5948" spans="1:1">
      <c r="A5948" t="s">
        <v>4623</v>
      </c>
    </row>
    <row r="5949" spans="1:1">
      <c r="A5949" t="s">
        <v>4624</v>
      </c>
    </row>
    <row r="5950" spans="1:1">
      <c r="A5950" t="s">
        <v>4625</v>
      </c>
    </row>
    <row r="5951" spans="1:1">
      <c r="A5951" t="s">
        <v>4626</v>
      </c>
    </row>
    <row r="5952" spans="1:1">
      <c r="A5952" t="s">
        <v>4627</v>
      </c>
    </row>
    <row r="5953" spans="1:1">
      <c r="A5953" t="s">
        <v>4628</v>
      </c>
    </row>
    <row r="5954" spans="1:1">
      <c r="A5954" t="s">
        <v>4629</v>
      </c>
    </row>
    <row r="5955" spans="1:1">
      <c r="A5955" t="s">
        <v>4630</v>
      </c>
    </row>
    <row r="5956" spans="1:1">
      <c r="A5956" t="s">
        <v>4631</v>
      </c>
    </row>
    <row r="5957" spans="1:1">
      <c r="A5957" t="s">
        <v>4632</v>
      </c>
    </row>
    <row r="5958" spans="1:1">
      <c r="A5958" t="s">
        <v>4633</v>
      </c>
    </row>
    <row r="5959" spans="1:1">
      <c r="A5959" t="s">
        <v>4634</v>
      </c>
    </row>
    <row r="5960" spans="1:1">
      <c r="A5960" t="s">
        <v>4635</v>
      </c>
    </row>
    <row r="5961" spans="1:1">
      <c r="A5961" t="s">
        <v>290</v>
      </c>
    </row>
    <row r="5962" spans="1:1">
      <c r="A5962" t="s">
        <v>4636</v>
      </c>
    </row>
    <row r="5967" spans="1:1">
      <c r="A5967" t="s">
        <v>4637</v>
      </c>
    </row>
    <row r="5968" spans="1:1">
      <c r="A5968" t="s">
        <v>240</v>
      </c>
    </row>
    <row r="5969" spans="1:1">
      <c r="A5969" t="s">
        <v>4638</v>
      </c>
    </row>
    <row r="5970" spans="1:1">
      <c r="A5970" t="s">
        <v>4639</v>
      </c>
    </row>
    <row r="5971" spans="1:1">
      <c r="A5971" t="s">
        <v>243</v>
      </c>
    </row>
    <row r="5972" spans="1:1">
      <c r="A5972" t="s">
        <v>4640</v>
      </c>
    </row>
    <row r="5973" spans="1:1">
      <c r="A5973" t="s">
        <v>245</v>
      </c>
    </row>
    <row r="5975" spans="1:1">
      <c r="A5975" t="s">
        <v>4284</v>
      </c>
    </row>
    <row r="5976" spans="1:1">
      <c r="A5976" t="s">
        <v>247</v>
      </c>
    </row>
    <row r="5977" spans="1:1">
      <c r="A5977" t="s">
        <v>4641</v>
      </c>
    </row>
    <row r="5978" spans="1:1">
      <c r="A5978" t="s">
        <v>4642</v>
      </c>
    </row>
    <row r="5979" spans="1:1">
      <c r="A5979" t="s">
        <v>4643</v>
      </c>
    </row>
    <row r="5980" spans="1:1">
      <c r="A5980" t="s">
        <v>4644</v>
      </c>
    </row>
    <row r="5981" spans="1:1">
      <c r="A5981" t="s">
        <v>4645</v>
      </c>
    </row>
    <row r="5982" spans="1:1">
      <c r="A5982" t="s">
        <v>4646</v>
      </c>
    </row>
    <row r="5983" spans="1:1">
      <c r="A5983" t="s">
        <v>4647</v>
      </c>
    </row>
    <row r="5984" spans="1:1">
      <c r="A5984" t="s">
        <v>4648</v>
      </c>
    </row>
    <row r="5985" spans="1:1">
      <c r="A5985" t="s">
        <v>4649</v>
      </c>
    </row>
    <row r="5986" spans="1:1">
      <c r="A5986" t="s">
        <v>4650</v>
      </c>
    </row>
    <row r="5987" spans="1:1">
      <c r="A5987" t="s">
        <v>4651</v>
      </c>
    </row>
    <row r="5988" spans="1:1">
      <c r="A5988" t="s">
        <v>4652</v>
      </c>
    </row>
    <row r="5989" spans="1:1">
      <c r="A5989" t="s">
        <v>4653</v>
      </c>
    </row>
    <row r="5992" spans="1:1">
      <c r="A5992" t="s">
        <v>261</v>
      </c>
    </row>
    <row r="5993" spans="1:1">
      <c r="A5993" t="s">
        <v>4654</v>
      </c>
    </row>
    <row r="5994" spans="1:1">
      <c r="A5994" t="s">
        <v>4655</v>
      </c>
    </row>
    <row r="5995" spans="1:1">
      <c r="A5995" t="s">
        <v>4656</v>
      </c>
    </row>
    <row r="5996" spans="1:1">
      <c r="A5996" t="s">
        <v>4657</v>
      </c>
    </row>
    <row r="5997" spans="1:1">
      <c r="A5997" t="s">
        <v>4658</v>
      </c>
    </row>
    <row r="5998" spans="1:1">
      <c r="A5998" t="s">
        <v>4659</v>
      </c>
    </row>
    <row r="5999" spans="1:1">
      <c r="A5999" t="s">
        <v>4660</v>
      </c>
    </row>
    <row r="6000" spans="1:1">
      <c r="A6000" t="s">
        <v>4661</v>
      </c>
    </row>
    <row r="6001" spans="1:1">
      <c r="A6001" t="s">
        <v>4662</v>
      </c>
    </row>
    <row r="6002" spans="1:1">
      <c r="A6002" t="s">
        <v>4663</v>
      </c>
    </row>
    <row r="6003" spans="1:1">
      <c r="A6003" t="s">
        <v>4664</v>
      </c>
    </row>
    <row r="6004" spans="1:1">
      <c r="A6004" t="s">
        <v>4665</v>
      </c>
    </row>
    <row r="6005" spans="1:1">
      <c r="A6005" t="s">
        <v>4666</v>
      </c>
    </row>
    <row r="6007" spans="1:1">
      <c r="A6007" t="s">
        <v>275</v>
      </c>
    </row>
    <row r="6008" spans="1:1">
      <c r="A6008" t="s">
        <v>4667</v>
      </c>
    </row>
    <row r="6009" spans="1:1">
      <c r="A6009" t="s">
        <v>4668</v>
      </c>
    </row>
    <row r="6010" spans="1:1">
      <c r="A6010" t="s">
        <v>4669</v>
      </c>
    </row>
    <row r="6011" spans="1:1">
      <c r="A6011" t="s">
        <v>4670</v>
      </c>
    </row>
    <row r="6012" spans="1:1">
      <c r="A6012" t="s">
        <v>4671</v>
      </c>
    </row>
    <row r="6013" spans="1:1">
      <c r="A6013" t="s">
        <v>4672</v>
      </c>
    </row>
    <row r="6014" spans="1:1">
      <c r="A6014" t="s">
        <v>4673</v>
      </c>
    </row>
    <row r="6015" spans="1:1">
      <c r="A6015" t="s">
        <v>4674</v>
      </c>
    </row>
    <row r="6016" spans="1:1">
      <c r="A6016" t="s">
        <v>4675</v>
      </c>
    </row>
    <row r="6017" spans="1:1">
      <c r="A6017" t="s">
        <v>4676</v>
      </c>
    </row>
    <row r="6018" spans="1:1">
      <c r="A6018" t="s">
        <v>4677</v>
      </c>
    </row>
    <row r="6019" spans="1:1">
      <c r="A6019" t="s">
        <v>4678</v>
      </c>
    </row>
    <row r="6020" spans="1:1">
      <c r="A6020" t="s">
        <v>4679</v>
      </c>
    </row>
    <row r="6021" spans="1:1">
      <c r="A6021" t="s">
        <v>4680</v>
      </c>
    </row>
    <row r="6022" spans="1:1">
      <c r="A6022" t="s">
        <v>290</v>
      </c>
    </row>
    <row r="6023" spans="1:1">
      <c r="A6023" t="s">
        <v>4681</v>
      </c>
    </row>
    <row r="6028" spans="1:1">
      <c r="A6028" t="s">
        <v>4682</v>
      </c>
    </row>
    <row r="6029" spans="1:1">
      <c r="A6029" t="s">
        <v>240</v>
      </c>
    </row>
    <row r="6030" spans="1:1">
      <c r="A6030" t="s">
        <v>4683</v>
      </c>
    </row>
    <row r="6031" spans="1:1">
      <c r="A6031" t="s">
        <v>4684</v>
      </c>
    </row>
    <row r="6032" spans="1:1">
      <c r="A6032" t="s">
        <v>243</v>
      </c>
    </row>
    <row r="6033" spans="1:1">
      <c r="A6033" t="s">
        <v>4685</v>
      </c>
    </row>
    <row r="6034" spans="1:1">
      <c r="A6034" t="s">
        <v>245</v>
      </c>
    </row>
    <row r="6036" spans="1:1">
      <c r="A6036" t="s">
        <v>3298</v>
      </c>
    </row>
    <row r="6037" spans="1:1">
      <c r="A6037" t="s">
        <v>247</v>
      </c>
    </row>
    <row r="6038" spans="1:1">
      <c r="A6038" t="s">
        <v>4686</v>
      </c>
    </row>
    <row r="6039" spans="1:1">
      <c r="A6039" t="s">
        <v>4687</v>
      </c>
    </row>
    <row r="6040" spans="1:1">
      <c r="A6040" t="s">
        <v>4688</v>
      </c>
    </row>
    <row r="6041" spans="1:1">
      <c r="A6041" t="s">
        <v>4689</v>
      </c>
    </row>
    <row r="6042" spans="1:1">
      <c r="A6042" t="s">
        <v>4690</v>
      </c>
    </row>
    <row r="6043" spans="1:1">
      <c r="A6043" t="s">
        <v>4691</v>
      </c>
    </row>
    <row r="6044" spans="1:1">
      <c r="A6044" t="s">
        <v>4692</v>
      </c>
    </row>
    <row r="6045" spans="1:1">
      <c r="A6045" t="s">
        <v>4693</v>
      </c>
    </row>
    <row r="6046" spans="1:1">
      <c r="A6046" t="s">
        <v>4694</v>
      </c>
    </row>
    <row r="6047" spans="1:1">
      <c r="A6047" t="s">
        <v>4695</v>
      </c>
    </row>
    <row r="6048" spans="1:1">
      <c r="A6048" t="s">
        <v>4696</v>
      </c>
    </row>
    <row r="6049" spans="1:1">
      <c r="A6049" t="s">
        <v>4697</v>
      </c>
    </row>
    <row r="6050" spans="1:1">
      <c r="A6050" t="s">
        <v>4698</v>
      </c>
    </row>
    <row r="6053" spans="1:1">
      <c r="A6053" t="s">
        <v>261</v>
      </c>
    </row>
    <row r="6054" spans="1:1">
      <c r="A6054" t="s">
        <v>4699</v>
      </c>
    </row>
    <row r="6055" spans="1:1">
      <c r="A6055" t="s">
        <v>4700</v>
      </c>
    </row>
    <row r="6056" spans="1:1">
      <c r="A6056" t="s">
        <v>4701</v>
      </c>
    </row>
    <row r="6057" spans="1:1">
      <c r="A6057" t="s">
        <v>4702</v>
      </c>
    </row>
    <row r="6058" spans="1:1">
      <c r="A6058" t="s">
        <v>4703</v>
      </c>
    </row>
    <row r="6059" spans="1:1">
      <c r="A6059" t="s">
        <v>4704</v>
      </c>
    </row>
    <row r="6060" spans="1:1">
      <c r="A6060" t="s">
        <v>4705</v>
      </c>
    </row>
    <row r="6061" spans="1:1">
      <c r="A6061" t="s">
        <v>4706</v>
      </c>
    </row>
    <row r="6062" spans="1:1">
      <c r="A6062" t="s">
        <v>4707</v>
      </c>
    </row>
    <row r="6063" spans="1:1">
      <c r="A6063" t="s">
        <v>4708</v>
      </c>
    </row>
    <row r="6064" spans="1:1">
      <c r="A6064" t="s">
        <v>4709</v>
      </c>
    </row>
    <row r="6065" spans="1:1">
      <c r="A6065" t="s">
        <v>4710</v>
      </c>
    </row>
    <row r="6066" spans="1:1">
      <c r="A6066" t="s">
        <v>4711</v>
      </c>
    </row>
    <row r="6068" spans="1:1">
      <c r="A6068" t="s">
        <v>275</v>
      </c>
    </row>
    <row r="6069" spans="1:1">
      <c r="A6069" t="s">
        <v>4712</v>
      </c>
    </row>
    <row r="6070" spans="1:1">
      <c r="A6070" t="s">
        <v>4713</v>
      </c>
    </row>
    <row r="6071" spans="1:1">
      <c r="A6071" t="s">
        <v>4714</v>
      </c>
    </row>
    <row r="6072" spans="1:1">
      <c r="A6072" t="s">
        <v>4715</v>
      </c>
    </row>
    <row r="6073" spans="1:1">
      <c r="A6073" t="s">
        <v>4716</v>
      </c>
    </row>
    <row r="6074" spans="1:1">
      <c r="A6074" t="s">
        <v>4717</v>
      </c>
    </row>
    <row r="6075" spans="1:1">
      <c r="A6075" t="s">
        <v>4718</v>
      </c>
    </row>
    <row r="6076" spans="1:1">
      <c r="A6076" t="s">
        <v>4719</v>
      </c>
    </row>
    <row r="6077" spans="1:1">
      <c r="A6077" t="s">
        <v>4720</v>
      </c>
    </row>
    <row r="6078" spans="1:1">
      <c r="A6078" t="s">
        <v>4721</v>
      </c>
    </row>
    <row r="6079" spans="1:1">
      <c r="A6079" t="s">
        <v>4722</v>
      </c>
    </row>
    <row r="6080" spans="1:1">
      <c r="A6080" t="s">
        <v>4723</v>
      </c>
    </row>
    <row r="6081" spans="1:1">
      <c r="A6081" t="s">
        <v>4724</v>
      </c>
    </row>
    <row r="6082" spans="1:1">
      <c r="A6082" t="s">
        <v>4725</v>
      </c>
    </row>
    <row r="6083" spans="1:1">
      <c r="A6083" t="s">
        <v>290</v>
      </c>
    </row>
    <row r="6084" spans="1:1">
      <c r="A6084" t="s">
        <v>4726</v>
      </c>
    </row>
    <row r="6089" spans="1:1">
      <c r="A6089" t="s">
        <v>4727</v>
      </c>
    </row>
    <row r="6090" spans="1:1">
      <c r="A6090" t="s">
        <v>240</v>
      </c>
    </row>
    <row r="6091" spans="1:1">
      <c r="A6091" t="s">
        <v>4728</v>
      </c>
    </row>
    <row r="6092" spans="1:1">
      <c r="A6092" t="s">
        <v>4729</v>
      </c>
    </row>
    <row r="6093" spans="1:1">
      <c r="A6093" t="s">
        <v>243</v>
      </c>
    </row>
    <row r="6094" spans="1:1">
      <c r="A6094" t="s">
        <v>4730</v>
      </c>
    </row>
    <row r="6095" spans="1:1">
      <c r="A6095" t="s">
        <v>245</v>
      </c>
    </row>
    <row r="6097" spans="1:1">
      <c r="A6097" t="s">
        <v>4284</v>
      </c>
    </row>
    <row r="6098" spans="1:1">
      <c r="A6098" t="s">
        <v>247</v>
      </c>
    </row>
    <row r="6099" spans="1:1">
      <c r="A6099" t="s">
        <v>4731</v>
      </c>
    </row>
    <row r="6100" spans="1:1">
      <c r="A6100" t="s">
        <v>4732</v>
      </c>
    </row>
    <row r="6101" spans="1:1">
      <c r="A6101" t="s">
        <v>4733</v>
      </c>
    </row>
    <row r="6102" spans="1:1">
      <c r="A6102" t="s">
        <v>4734</v>
      </c>
    </row>
    <row r="6103" spans="1:1">
      <c r="A6103" t="s">
        <v>4735</v>
      </c>
    </row>
    <row r="6104" spans="1:1">
      <c r="A6104" t="s">
        <v>4736</v>
      </c>
    </row>
    <row r="6105" spans="1:1">
      <c r="A6105" t="s">
        <v>4737</v>
      </c>
    </row>
    <row r="6106" spans="1:1">
      <c r="A6106" t="s">
        <v>4738</v>
      </c>
    </row>
    <row r="6107" spans="1:1">
      <c r="A6107" t="s">
        <v>4739</v>
      </c>
    </row>
    <row r="6108" spans="1:1">
      <c r="A6108" t="s">
        <v>4740</v>
      </c>
    </row>
    <row r="6109" spans="1:1">
      <c r="A6109" t="s">
        <v>4741</v>
      </c>
    </row>
    <row r="6110" spans="1:1">
      <c r="A6110" t="s">
        <v>4742</v>
      </c>
    </row>
    <row r="6111" spans="1:1">
      <c r="A6111" t="s">
        <v>4743</v>
      </c>
    </row>
    <row r="6114" spans="1:1">
      <c r="A6114" t="s">
        <v>261</v>
      </c>
    </row>
    <row r="6115" spans="1:1">
      <c r="A6115" t="s">
        <v>4744</v>
      </c>
    </row>
    <row r="6116" spans="1:1">
      <c r="A6116" t="s">
        <v>4745</v>
      </c>
    </row>
    <row r="6117" spans="1:1">
      <c r="A6117" t="s">
        <v>4746</v>
      </c>
    </row>
    <row r="6118" spans="1:1">
      <c r="A6118" t="s">
        <v>4747</v>
      </c>
    </row>
    <row r="6119" spans="1:1">
      <c r="A6119" t="s">
        <v>4748</v>
      </c>
    </row>
    <row r="6120" spans="1:1">
      <c r="A6120" t="s">
        <v>4749</v>
      </c>
    </row>
    <row r="6121" spans="1:1">
      <c r="A6121" t="s">
        <v>4750</v>
      </c>
    </row>
    <row r="6122" spans="1:1">
      <c r="A6122" t="s">
        <v>4751</v>
      </c>
    </row>
    <row r="6123" spans="1:1">
      <c r="A6123" t="s">
        <v>4752</v>
      </c>
    </row>
    <row r="6124" spans="1:1">
      <c r="A6124" t="s">
        <v>4753</v>
      </c>
    </row>
    <row r="6125" spans="1:1">
      <c r="A6125" t="s">
        <v>4754</v>
      </c>
    </row>
    <row r="6126" spans="1:1">
      <c r="A6126" t="s">
        <v>4755</v>
      </c>
    </row>
    <row r="6127" spans="1:1">
      <c r="A6127" t="s">
        <v>4756</v>
      </c>
    </row>
    <row r="6129" spans="1:1">
      <c r="A6129" t="s">
        <v>275</v>
      </c>
    </row>
    <row r="6130" spans="1:1">
      <c r="A6130" t="s">
        <v>4757</v>
      </c>
    </row>
    <row r="6131" spans="1:1">
      <c r="A6131" t="s">
        <v>4758</v>
      </c>
    </row>
    <row r="6132" spans="1:1">
      <c r="A6132" t="s">
        <v>4759</v>
      </c>
    </row>
    <row r="6133" spans="1:1">
      <c r="A6133" t="s">
        <v>4760</v>
      </c>
    </row>
    <row r="6134" spans="1:1">
      <c r="A6134" t="s">
        <v>4761</v>
      </c>
    </row>
    <row r="6135" spans="1:1">
      <c r="A6135" t="s">
        <v>4762</v>
      </c>
    </row>
    <row r="6136" spans="1:1">
      <c r="A6136" t="s">
        <v>4763</v>
      </c>
    </row>
    <row r="6137" spans="1:1">
      <c r="A6137" t="s">
        <v>4764</v>
      </c>
    </row>
    <row r="6138" spans="1:1">
      <c r="A6138" t="s">
        <v>4765</v>
      </c>
    </row>
    <row r="6139" spans="1:1">
      <c r="A6139" t="s">
        <v>4766</v>
      </c>
    </row>
    <row r="6140" spans="1:1">
      <c r="A6140" t="s">
        <v>4767</v>
      </c>
    </row>
    <row r="6141" spans="1:1">
      <c r="A6141" t="s">
        <v>4768</v>
      </c>
    </row>
    <row r="6142" spans="1:1">
      <c r="A6142" t="s">
        <v>4769</v>
      </c>
    </row>
    <row r="6143" spans="1:1">
      <c r="A6143" t="s">
        <v>4770</v>
      </c>
    </row>
    <row r="6144" spans="1:1">
      <c r="A6144" t="s">
        <v>290</v>
      </c>
    </row>
    <row r="6145" spans="1:1">
      <c r="A6145" t="s">
        <v>4771</v>
      </c>
    </row>
    <row r="6150" spans="1:1">
      <c r="A6150" t="s">
        <v>4772</v>
      </c>
    </row>
    <row r="6151" spans="1:1">
      <c r="A6151" t="s">
        <v>240</v>
      </c>
    </row>
    <row r="6152" spans="1:1">
      <c r="A6152" t="s">
        <v>4773</v>
      </c>
    </row>
    <row r="6153" spans="1:1">
      <c r="A6153" t="s">
        <v>4774</v>
      </c>
    </row>
    <row r="6154" spans="1:1">
      <c r="A6154" t="s">
        <v>243</v>
      </c>
    </row>
    <row r="6155" spans="1:1">
      <c r="A6155" t="s">
        <v>4775</v>
      </c>
    </row>
    <row r="6156" spans="1:1">
      <c r="A6156" t="s">
        <v>245</v>
      </c>
    </row>
    <row r="6158" spans="1:1">
      <c r="A6158" t="s">
        <v>4284</v>
      </c>
    </row>
    <row r="6159" spans="1:1">
      <c r="A6159" t="s">
        <v>247</v>
      </c>
    </row>
    <row r="6160" spans="1:1">
      <c r="A6160" t="s">
        <v>4776</v>
      </c>
    </row>
    <row r="6161" spans="1:1">
      <c r="A6161" t="s">
        <v>4777</v>
      </c>
    </row>
    <row r="6162" spans="1:1">
      <c r="A6162" t="s">
        <v>4778</v>
      </c>
    </row>
    <row r="6163" spans="1:1">
      <c r="A6163" t="s">
        <v>4779</v>
      </c>
    </row>
    <row r="6164" spans="1:1">
      <c r="A6164" t="s">
        <v>4780</v>
      </c>
    </row>
    <row r="6165" spans="1:1">
      <c r="A6165" t="s">
        <v>4781</v>
      </c>
    </row>
    <row r="6166" spans="1:1">
      <c r="A6166" t="s">
        <v>4782</v>
      </c>
    </row>
    <row r="6167" spans="1:1">
      <c r="A6167" t="s">
        <v>4783</v>
      </c>
    </row>
    <row r="6168" spans="1:1">
      <c r="A6168" t="s">
        <v>4784</v>
      </c>
    </row>
    <row r="6169" spans="1:1">
      <c r="A6169" t="s">
        <v>4785</v>
      </c>
    </row>
    <row r="6170" spans="1:1">
      <c r="A6170" t="s">
        <v>4786</v>
      </c>
    </row>
    <row r="6171" spans="1:1">
      <c r="A6171" t="s">
        <v>4787</v>
      </c>
    </row>
    <row r="6172" spans="1:1">
      <c r="A6172" t="s">
        <v>4788</v>
      </c>
    </row>
    <row r="6175" spans="1:1">
      <c r="A6175" t="s">
        <v>261</v>
      </c>
    </row>
    <row r="6176" spans="1:1">
      <c r="A6176" t="s">
        <v>4789</v>
      </c>
    </row>
    <row r="6177" spans="1:1">
      <c r="A6177" t="s">
        <v>4790</v>
      </c>
    </row>
    <row r="6178" spans="1:1">
      <c r="A6178" t="s">
        <v>4791</v>
      </c>
    </row>
    <row r="6179" spans="1:1">
      <c r="A6179" t="s">
        <v>4792</v>
      </c>
    </row>
    <row r="6180" spans="1:1">
      <c r="A6180" t="s">
        <v>4793</v>
      </c>
    </row>
    <row r="6181" spans="1:1">
      <c r="A6181" t="s">
        <v>4794</v>
      </c>
    </row>
    <row r="6182" spans="1:1">
      <c r="A6182" t="s">
        <v>4795</v>
      </c>
    </row>
    <row r="6183" spans="1:1">
      <c r="A6183" t="s">
        <v>4796</v>
      </c>
    </row>
    <row r="6184" spans="1:1">
      <c r="A6184" t="s">
        <v>4797</v>
      </c>
    </row>
    <row r="6185" spans="1:1">
      <c r="A6185" t="s">
        <v>4798</v>
      </c>
    </row>
    <row r="6186" spans="1:1">
      <c r="A6186" t="s">
        <v>4799</v>
      </c>
    </row>
    <row r="6187" spans="1:1">
      <c r="A6187" t="s">
        <v>4800</v>
      </c>
    </row>
    <row r="6189" spans="1:1">
      <c r="A6189" t="s">
        <v>275</v>
      </c>
    </row>
    <row r="6190" spans="1:1">
      <c r="A6190" t="s">
        <v>4801</v>
      </c>
    </row>
    <row r="6191" spans="1:1">
      <c r="A6191" t="s">
        <v>4802</v>
      </c>
    </row>
    <row r="6192" spans="1:1">
      <c r="A6192" t="s">
        <v>4803</v>
      </c>
    </row>
    <row r="6193" spans="1:1">
      <c r="A6193" t="s">
        <v>4804</v>
      </c>
    </row>
    <row r="6194" spans="1:1">
      <c r="A6194" t="s">
        <v>4805</v>
      </c>
    </row>
    <row r="6195" spans="1:1">
      <c r="A6195" t="s">
        <v>4806</v>
      </c>
    </row>
    <row r="6196" spans="1:1">
      <c r="A6196" t="s">
        <v>4807</v>
      </c>
    </row>
    <row r="6197" spans="1:1">
      <c r="A6197" t="s">
        <v>4808</v>
      </c>
    </row>
    <row r="6198" spans="1:1">
      <c r="A6198" t="s">
        <v>4809</v>
      </c>
    </row>
    <row r="6199" spans="1:1">
      <c r="A6199" t="s">
        <v>2932</v>
      </c>
    </row>
    <row r="6200" spans="1:1">
      <c r="A6200" t="s">
        <v>4810</v>
      </c>
    </row>
    <row r="6201" spans="1:1">
      <c r="A6201" t="s">
        <v>4811</v>
      </c>
    </row>
    <row r="6202" spans="1:1">
      <c r="A6202" t="s">
        <v>4812</v>
      </c>
    </row>
    <row r="6203" spans="1:1">
      <c r="A6203" t="s">
        <v>4813</v>
      </c>
    </row>
    <row r="6204" spans="1:1">
      <c r="A6204" t="s">
        <v>290</v>
      </c>
    </row>
    <row r="6205" spans="1:1">
      <c r="A6205" t="s">
        <v>4814</v>
      </c>
    </row>
    <row r="6210" spans="1:1">
      <c r="A6210" t="s">
        <v>4815</v>
      </c>
    </row>
    <row r="6211" spans="1:1">
      <c r="A6211" t="s">
        <v>240</v>
      </c>
    </row>
    <row r="6212" spans="1:1">
      <c r="A6212" t="s">
        <v>4816</v>
      </c>
    </row>
    <row r="6213" spans="1:1">
      <c r="A6213" t="s">
        <v>4817</v>
      </c>
    </row>
    <row r="6214" spans="1:1">
      <c r="A6214" t="s">
        <v>243</v>
      </c>
    </row>
    <row r="6215" spans="1:1">
      <c r="A6215" t="s">
        <v>4818</v>
      </c>
    </row>
    <row r="6216" spans="1:1">
      <c r="A6216" t="s">
        <v>245</v>
      </c>
    </row>
    <row r="6218" spans="1:1">
      <c r="A6218" t="s">
        <v>4284</v>
      </c>
    </row>
    <row r="6219" spans="1:1">
      <c r="A6219" t="s">
        <v>247</v>
      </c>
    </row>
    <row r="6220" spans="1:1">
      <c r="A6220" t="s">
        <v>4819</v>
      </c>
    </row>
    <row r="6221" spans="1:1">
      <c r="A6221" t="s">
        <v>4820</v>
      </c>
    </row>
    <row r="6222" spans="1:1">
      <c r="A6222" t="s">
        <v>4821</v>
      </c>
    </row>
    <row r="6223" spans="1:1">
      <c r="A6223" t="s">
        <v>4822</v>
      </c>
    </row>
    <row r="6224" spans="1:1">
      <c r="A6224" t="s">
        <v>4823</v>
      </c>
    </row>
    <row r="6225" spans="1:1">
      <c r="A6225" t="s">
        <v>4824</v>
      </c>
    </row>
    <row r="6226" spans="1:1">
      <c r="A6226" t="s">
        <v>4825</v>
      </c>
    </row>
    <row r="6227" spans="1:1">
      <c r="A6227" t="s">
        <v>4826</v>
      </c>
    </row>
    <row r="6228" spans="1:1">
      <c r="A6228" t="s">
        <v>4827</v>
      </c>
    </row>
    <row r="6229" spans="1:1">
      <c r="A6229" t="s">
        <v>4828</v>
      </c>
    </row>
    <row r="6230" spans="1:1">
      <c r="A6230" t="s">
        <v>4829</v>
      </c>
    </row>
    <row r="6231" spans="1:1">
      <c r="A6231" t="s">
        <v>4830</v>
      </c>
    </row>
    <row r="6232" spans="1:1">
      <c r="A6232" t="s">
        <v>4831</v>
      </c>
    </row>
    <row r="6235" spans="1:1">
      <c r="A6235" t="s">
        <v>261</v>
      </c>
    </row>
    <row r="6236" spans="1:1">
      <c r="A6236" t="s">
        <v>4832</v>
      </c>
    </row>
    <row r="6237" spans="1:1">
      <c r="A6237" t="s">
        <v>4833</v>
      </c>
    </row>
    <row r="6238" spans="1:1">
      <c r="A6238" t="s">
        <v>447</v>
      </c>
    </row>
    <row r="6239" spans="1:1">
      <c r="A6239" t="s">
        <v>4834</v>
      </c>
    </row>
    <row r="6240" spans="1:1">
      <c r="A6240" t="s">
        <v>4835</v>
      </c>
    </row>
    <row r="6241" spans="1:1">
      <c r="A6241" t="s">
        <v>4836</v>
      </c>
    </row>
    <row r="6242" spans="1:1">
      <c r="A6242" t="s">
        <v>4837</v>
      </c>
    </row>
    <row r="6243" spans="1:1">
      <c r="A6243" t="s">
        <v>4838</v>
      </c>
    </row>
    <row r="6244" spans="1:1">
      <c r="A6244" t="s">
        <v>4839</v>
      </c>
    </row>
    <row r="6245" spans="1:1">
      <c r="A6245" t="s">
        <v>4840</v>
      </c>
    </row>
    <row r="6246" spans="1:1">
      <c r="A6246" t="s">
        <v>456</v>
      </c>
    </row>
    <row r="6247" spans="1:1">
      <c r="A6247" t="s">
        <v>4841</v>
      </c>
    </row>
    <row r="6249" spans="1:1">
      <c r="A6249" t="s">
        <v>275</v>
      </c>
    </row>
    <row r="6250" spans="1:1">
      <c r="A6250" t="s">
        <v>4842</v>
      </c>
    </row>
    <row r="6251" spans="1:1">
      <c r="A6251" t="s">
        <v>4843</v>
      </c>
    </row>
    <row r="6252" spans="1:1">
      <c r="A6252" t="s">
        <v>4844</v>
      </c>
    </row>
    <row r="6253" spans="1:1">
      <c r="A6253" t="s">
        <v>4845</v>
      </c>
    </row>
    <row r="6254" spans="1:1">
      <c r="A6254" t="s">
        <v>4846</v>
      </c>
    </row>
    <row r="6255" spans="1:1">
      <c r="A6255" t="s">
        <v>4847</v>
      </c>
    </row>
    <row r="6256" spans="1:1">
      <c r="A6256" t="s">
        <v>4848</v>
      </c>
    </row>
    <row r="6257" spans="1:1">
      <c r="A6257" t="s">
        <v>4849</v>
      </c>
    </row>
    <row r="6258" spans="1:1">
      <c r="A6258" t="s">
        <v>4850</v>
      </c>
    </row>
    <row r="6259" spans="1:1">
      <c r="A6259" t="s">
        <v>4851</v>
      </c>
    </row>
    <row r="6260" spans="1:1">
      <c r="A6260" t="s">
        <v>4852</v>
      </c>
    </row>
    <row r="6261" spans="1:1">
      <c r="A6261" t="s">
        <v>4853</v>
      </c>
    </row>
    <row r="6262" spans="1:1">
      <c r="A6262" t="s">
        <v>4854</v>
      </c>
    </row>
    <row r="6263" spans="1:1">
      <c r="A6263" t="s">
        <v>4855</v>
      </c>
    </row>
    <row r="6264" spans="1:1">
      <c r="A6264" t="s">
        <v>290</v>
      </c>
    </row>
    <row r="6265" spans="1:1">
      <c r="A6265" t="s">
        <v>4856</v>
      </c>
    </row>
    <row r="6270" spans="1:1">
      <c r="A6270" t="s">
        <v>4857</v>
      </c>
    </row>
    <row r="6271" spans="1:1">
      <c r="A6271" t="s">
        <v>240</v>
      </c>
    </row>
    <row r="6272" spans="1:1">
      <c r="A6272" t="s">
        <v>4858</v>
      </c>
    </row>
    <row r="6273" spans="1:1">
      <c r="A6273" t="s">
        <v>4859</v>
      </c>
    </row>
    <row r="6274" spans="1:1">
      <c r="A6274" t="s">
        <v>243</v>
      </c>
    </row>
    <row r="6275" spans="1:1">
      <c r="A6275" t="s">
        <v>4860</v>
      </c>
    </row>
    <row r="6276" spans="1:1">
      <c r="A6276" t="s">
        <v>245</v>
      </c>
    </row>
    <row r="6278" spans="1:1">
      <c r="A6278" t="s">
        <v>4284</v>
      </c>
    </row>
    <row r="6279" spans="1:1">
      <c r="A6279" t="s">
        <v>247</v>
      </c>
    </row>
    <row r="6280" spans="1:1">
      <c r="A6280" t="s">
        <v>4861</v>
      </c>
    </row>
    <row r="6281" spans="1:1">
      <c r="A6281" t="s">
        <v>4862</v>
      </c>
    </row>
    <row r="6282" spans="1:1">
      <c r="A6282" t="s">
        <v>4863</v>
      </c>
    </row>
    <row r="6283" spans="1:1">
      <c r="A6283" t="s">
        <v>4864</v>
      </c>
    </row>
    <row r="6284" spans="1:1">
      <c r="A6284" t="s">
        <v>4865</v>
      </c>
    </row>
    <row r="6285" spans="1:1">
      <c r="A6285" t="s">
        <v>4866</v>
      </c>
    </row>
    <row r="6286" spans="1:1">
      <c r="A6286" t="s">
        <v>4867</v>
      </c>
    </row>
    <row r="6287" spans="1:1">
      <c r="A6287" t="s">
        <v>4868</v>
      </c>
    </row>
    <row r="6288" spans="1:1">
      <c r="A6288" t="s">
        <v>4869</v>
      </c>
    </row>
    <row r="6289" spans="1:1">
      <c r="A6289" t="s">
        <v>4870</v>
      </c>
    </row>
    <row r="6290" spans="1:1">
      <c r="A6290" t="s">
        <v>4871</v>
      </c>
    </row>
    <row r="6291" spans="1:1">
      <c r="A6291" t="s">
        <v>4872</v>
      </c>
    </row>
    <row r="6292" spans="1:1">
      <c r="A6292" t="s">
        <v>4873</v>
      </c>
    </row>
    <row r="6295" spans="1:1">
      <c r="A6295" t="s">
        <v>261</v>
      </c>
    </row>
    <row r="6296" spans="1:1">
      <c r="A6296" t="s">
        <v>4874</v>
      </c>
    </row>
    <row r="6297" spans="1:1">
      <c r="A6297" t="s">
        <v>2916</v>
      </c>
    </row>
    <row r="6298" spans="1:1">
      <c r="A6298" t="s">
        <v>2917</v>
      </c>
    </row>
    <row r="6299" spans="1:1">
      <c r="A6299" t="s">
        <v>4875</v>
      </c>
    </row>
    <row r="6300" spans="1:1">
      <c r="A6300" t="s">
        <v>4876</v>
      </c>
    </row>
    <row r="6301" spans="1:1">
      <c r="A6301" t="s">
        <v>4877</v>
      </c>
    </row>
    <row r="6302" spans="1:1">
      <c r="A6302" t="s">
        <v>2920</v>
      </c>
    </row>
    <row r="6303" spans="1:1">
      <c r="A6303" t="s">
        <v>4878</v>
      </c>
    </row>
    <row r="6304" spans="1:1">
      <c r="A6304" t="s">
        <v>4879</v>
      </c>
    </row>
    <row r="6305" spans="1:1">
      <c r="A6305" t="s">
        <v>4880</v>
      </c>
    </row>
    <row r="6307" spans="1:1">
      <c r="A6307" t="s">
        <v>275</v>
      </c>
    </row>
    <row r="6308" spans="1:1">
      <c r="A6308" t="s">
        <v>4881</v>
      </c>
    </row>
    <row r="6309" spans="1:1">
      <c r="A6309" t="s">
        <v>4882</v>
      </c>
    </row>
    <row r="6310" spans="1:1">
      <c r="A6310" t="s">
        <v>4883</v>
      </c>
    </row>
    <row r="6311" spans="1:1">
      <c r="A6311" t="s">
        <v>4884</v>
      </c>
    </row>
    <row r="6312" spans="1:1">
      <c r="A6312" t="s">
        <v>4885</v>
      </c>
    </row>
    <row r="6313" spans="1:1">
      <c r="A6313" t="s">
        <v>592</v>
      </c>
    </row>
    <row r="6314" spans="1:1">
      <c r="A6314" t="s">
        <v>4886</v>
      </c>
    </row>
    <row r="6315" spans="1:1">
      <c r="A6315" t="s">
        <v>4887</v>
      </c>
    </row>
    <row r="6316" spans="1:1">
      <c r="A6316" t="s">
        <v>4888</v>
      </c>
    </row>
    <row r="6317" spans="1:1">
      <c r="A6317" t="s">
        <v>4889</v>
      </c>
    </row>
    <row r="6318" spans="1:1">
      <c r="A6318" t="s">
        <v>555</v>
      </c>
    </row>
    <row r="6319" spans="1:1">
      <c r="A6319" t="s">
        <v>4890</v>
      </c>
    </row>
    <row r="6320" spans="1:1">
      <c r="A6320" t="s">
        <v>4891</v>
      </c>
    </row>
    <row r="6321" spans="1:1">
      <c r="A6321" t="s">
        <v>4892</v>
      </c>
    </row>
    <row r="6322" spans="1:1">
      <c r="A6322" t="s">
        <v>290</v>
      </c>
    </row>
    <row r="6323" spans="1:1">
      <c r="A6323" t="s">
        <v>4893</v>
      </c>
    </row>
    <row r="6328" spans="1:1">
      <c r="A6328" t="s">
        <v>4894</v>
      </c>
    </row>
    <row r="6329" spans="1:1">
      <c r="A6329" t="s">
        <v>240</v>
      </c>
    </row>
    <row r="6330" spans="1:1">
      <c r="A6330" t="s">
        <v>4895</v>
      </c>
    </row>
    <row r="6331" spans="1:1">
      <c r="A6331" t="s">
        <v>4896</v>
      </c>
    </row>
    <row r="6332" spans="1:1">
      <c r="A6332" t="s">
        <v>243</v>
      </c>
    </row>
    <row r="6333" spans="1:1">
      <c r="A6333" t="s">
        <v>4897</v>
      </c>
    </row>
    <row r="6334" spans="1:1">
      <c r="A6334" t="s">
        <v>245</v>
      </c>
    </row>
    <row r="6336" spans="1:1">
      <c r="A6336" t="s">
        <v>4284</v>
      </c>
    </row>
    <row r="6337" spans="1:1">
      <c r="A6337" t="s">
        <v>247</v>
      </c>
    </row>
    <row r="6338" spans="1:1">
      <c r="A6338" t="s">
        <v>4898</v>
      </c>
    </row>
    <row r="6339" spans="1:1">
      <c r="A6339" t="s">
        <v>4899</v>
      </c>
    </row>
    <row r="6340" spans="1:1">
      <c r="A6340" t="s">
        <v>4900</v>
      </c>
    </row>
    <row r="6341" spans="1:1">
      <c r="A6341" t="s">
        <v>4901</v>
      </c>
    </row>
    <row r="6342" spans="1:1">
      <c r="A6342" t="s">
        <v>4902</v>
      </c>
    </row>
    <row r="6343" spans="1:1">
      <c r="A6343" t="s">
        <v>4903</v>
      </c>
    </row>
    <row r="6344" spans="1:1">
      <c r="A6344" t="s">
        <v>4904</v>
      </c>
    </row>
    <row r="6345" spans="1:1">
      <c r="A6345" t="s">
        <v>4905</v>
      </c>
    </row>
    <row r="6346" spans="1:1">
      <c r="A6346" t="s">
        <v>4906</v>
      </c>
    </row>
    <row r="6347" spans="1:1">
      <c r="A6347" t="s">
        <v>4907</v>
      </c>
    </row>
    <row r="6348" spans="1:1">
      <c r="A6348" t="s">
        <v>4908</v>
      </c>
    </row>
    <row r="6349" spans="1:1">
      <c r="A6349" t="s">
        <v>4909</v>
      </c>
    </row>
    <row r="6350" spans="1:1">
      <c r="A6350" t="s">
        <v>4910</v>
      </c>
    </row>
    <row r="6353" spans="1:1">
      <c r="A6353" t="s">
        <v>261</v>
      </c>
    </row>
    <row r="6354" spans="1:1">
      <c r="A6354" t="s">
        <v>4911</v>
      </c>
    </row>
    <row r="6355" spans="1:1">
      <c r="A6355" t="s">
        <v>4912</v>
      </c>
    </row>
    <row r="6356" spans="1:1">
      <c r="A6356" t="s">
        <v>4913</v>
      </c>
    </row>
    <row r="6357" spans="1:1">
      <c r="A6357" t="s">
        <v>4914</v>
      </c>
    </row>
    <row r="6358" spans="1:1">
      <c r="A6358" t="s">
        <v>4915</v>
      </c>
    </row>
    <row r="6359" spans="1:1">
      <c r="A6359" t="s">
        <v>4916</v>
      </c>
    </row>
    <row r="6360" spans="1:1">
      <c r="A6360" t="s">
        <v>4917</v>
      </c>
    </row>
    <row r="6361" spans="1:1">
      <c r="A6361" t="s">
        <v>4918</v>
      </c>
    </row>
    <row r="6362" spans="1:1">
      <c r="A6362" t="s">
        <v>2921</v>
      </c>
    </row>
    <row r="6363" spans="1:1">
      <c r="A6363" t="s">
        <v>4919</v>
      </c>
    </row>
    <row r="6364" spans="1:1">
      <c r="A6364" t="s">
        <v>4920</v>
      </c>
    </row>
    <row r="6365" spans="1:1">
      <c r="A6365" t="s">
        <v>4921</v>
      </c>
    </row>
    <row r="6366" spans="1:1">
      <c r="A6366" t="s">
        <v>4922</v>
      </c>
    </row>
    <row r="6368" spans="1:1">
      <c r="A6368" t="s">
        <v>275</v>
      </c>
    </row>
    <row r="6369" spans="1:1">
      <c r="A6369" t="s">
        <v>4923</v>
      </c>
    </row>
    <row r="6370" spans="1:1">
      <c r="A6370" t="s">
        <v>4924</v>
      </c>
    </row>
    <row r="6371" spans="1:1">
      <c r="A6371" t="s">
        <v>4925</v>
      </c>
    </row>
    <row r="6372" spans="1:1">
      <c r="A6372" t="s">
        <v>4926</v>
      </c>
    </row>
    <row r="6373" spans="1:1">
      <c r="A6373" t="s">
        <v>4927</v>
      </c>
    </row>
    <row r="6374" spans="1:1">
      <c r="A6374" t="s">
        <v>4928</v>
      </c>
    </row>
    <row r="6375" spans="1:1">
      <c r="A6375" t="s">
        <v>4929</v>
      </c>
    </row>
    <row r="6376" spans="1:1">
      <c r="A6376" t="s">
        <v>4930</v>
      </c>
    </row>
    <row r="6377" spans="1:1">
      <c r="A6377" t="s">
        <v>4931</v>
      </c>
    </row>
    <row r="6378" spans="1:1">
      <c r="A6378" t="s">
        <v>4932</v>
      </c>
    </row>
    <row r="6379" spans="1:1">
      <c r="A6379" t="s">
        <v>4933</v>
      </c>
    </row>
    <row r="6380" spans="1:1">
      <c r="A6380" t="s">
        <v>4934</v>
      </c>
    </row>
    <row r="6381" spans="1:1">
      <c r="A6381" t="s">
        <v>4935</v>
      </c>
    </row>
    <row r="6382" spans="1:1">
      <c r="A6382" t="s">
        <v>4936</v>
      </c>
    </row>
    <row r="6383" spans="1:1">
      <c r="A6383" t="s">
        <v>290</v>
      </c>
    </row>
    <row r="6384" spans="1:1">
      <c r="A6384" t="s">
        <v>4937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B0DC-C7F2-C849-8A07-997609B47CED}">
  <dimension ref="A1:AZ19"/>
  <sheetViews>
    <sheetView zoomScale="106" workbookViewId="0">
      <selection activeCell="H16" sqref="H16"/>
    </sheetView>
  </sheetViews>
  <sheetFormatPr defaultColWidth="10.90625" defaultRowHeight="15"/>
  <sheetData>
    <row r="1" spans="1:52">
      <c r="S1" t="s">
        <v>4947</v>
      </c>
      <c r="AK1" t="s">
        <v>4946</v>
      </c>
    </row>
    <row r="2" spans="1:52">
      <c r="A2" t="s">
        <v>3</v>
      </c>
      <c r="B2" t="s">
        <v>154</v>
      </c>
      <c r="C2" t="s">
        <v>155</v>
      </c>
      <c r="D2" t="s">
        <v>6</v>
      </c>
      <c r="E2" t="s">
        <v>7</v>
      </c>
      <c r="F2" t="s">
        <v>156</v>
      </c>
      <c r="G2" t="s">
        <v>157</v>
      </c>
      <c r="H2" t="s">
        <v>158</v>
      </c>
      <c r="I2" t="s">
        <v>5</v>
      </c>
      <c r="J2" t="s">
        <v>9</v>
      </c>
      <c r="K2" t="s">
        <v>159</v>
      </c>
      <c r="L2" t="s">
        <v>4</v>
      </c>
      <c r="M2" t="s">
        <v>8</v>
      </c>
      <c r="N2" t="s">
        <v>160</v>
      </c>
      <c r="O2" t="s">
        <v>10</v>
      </c>
      <c r="P2" t="s">
        <v>11</v>
      </c>
      <c r="S2" t="s">
        <v>3</v>
      </c>
      <c r="T2" t="s">
        <v>154</v>
      </c>
      <c r="U2" t="s">
        <v>155</v>
      </c>
      <c r="V2" t="s">
        <v>6</v>
      </c>
      <c r="W2" t="s">
        <v>7</v>
      </c>
      <c r="X2" t="s">
        <v>156</v>
      </c>
      <c r="Y2" t="s">
        <v>157</v>
      </c>
      <c r="Z2" t="s">
        <v>158</v>
      </c>
      <c r="AA2" t="s">
        <v>5</v>
      </c>
      <c r="AB2" t="s">
        <v>9</v>
      </c>
      <c r="AC2" t="s">
        <v>159</v>
      </c>
      <c r="AD2" t="s">
        <v>4</v>
      </c>
      <c r="AE2" t="s">
        <v>8</v>
      </c>
      <c r="AF2" t="s">
        <v>160</v>
      </c>
      <c r="AG2" t="s">
        <v>10</v>
      </c>
      <c r="AH2" t="s">
        <v>11</v>
      </c>
      <c r="AK2" t="s">
        <v>3</v>
      </c>
      <c r="AL2" t="s">
        <v>154</v>
      </c>
      <c r="AM2" t="s">
        <v>155</v>
      </c>
      <c r="AN2" t="s">
        <v>6</v>
      </c>
      <c r="AO2" t="s">
        <v>7</v>
      </c>
      <c r="AP2" t="s">
        <v>156</v>
      </c>
      <c r="AQ2" t="s">
        <v>157</v>
      </c>
      <c r="AR2" t="s">
        <v>158</v>
      </c>
      <c r="AS2" t="s">
        <v>5</v>
      </c>
      <c r="AT2" t="s">
        <v>9</v>
      </c>
      <c r="AU2" t="s">
        <v>159</v>
      </c>
      <c r="AV2" t="s">
        <v>4</v>
      </c>
      <c r="AW2" t="s">
        <v>8</v>
      </c>
      <c r="AX2" t="s">
        <v>160</v>
      </c>
      <c r="AY2" t="s">
        <v>10</v>
      </c>
      <c r="AZ2" t="s">
        <v>11</v>
      </c>
    </row>
    <row r="3" spans="1:52">
      <c r="A3">
        <v>3</v>
      </c>
      <c r="B3">
        <v>2.69</v>
      </c>
      <c r="C3">
        <v>0.36659999999999998</v>
      </c>
      <c r="D3">
        <v>11.76</v>
      </c>
      <c r="E3">
        <v>51.66</v>
      </c>
      <c r="F3">
        <v>3.3099999999999997E-2</v>
      </c>
      <c r="G3">
        <v>6.93E-2</v>
      </c>
      <c r="H3">
        <v>0.19939999999999999</v>
      </c>
      <c r="I3">
        <v>0.23960000000000001</v>
      </c>
      <c r="J3">
        <v>14.03</v>
      </c>
      <c r="K3">
        <v>0.1729</v>
      </c>
      <c r="L3">
        <v>7.04</v>
      </c>
      <c r="M3">
        <v>11.38</v>
      </c>
      <c r="N3">
        <v>1.82</v>
      </c>
      <c r="O3">
        <f>SUM(B3:N3)</f>
        <v>101.46089999999998</v>
      </c>
      <c r="P3" t="s">
        <v>162</v>
      </c>
      <c r="S3">
        <v>3</v>
      </c>
      <c r="T3">
        <v>2.69</v>
      </c>
      <c r="U3">
        <v>0.36659999999999998</v>
      </c>
      <c r="V3">
        <v>11.76</v>
      </c>
      <c r="W3">
        <v>51.66</v>
      </c>
      <c r="X3">
        <v>3.3099999999999997E-2</v>
      </c>
      <c r="Y3">
        <v>6.93E-2</v>
      </c>
      <c r="Z3">
        <v>0.19939999999999999</v>
      </c>
      <c r="AA3">
        <v>0.23960000000000001</v>
      </c>
      <c r="AB3">
        <v>14.03</v>
      </c>
      <c r="AC3">
        <v>0.1729</v>
      </c>
      <c r="AD3">
        <v>7.04</v>
      </c>
      <c r="AE3">
        <v>11.38</v>
      </c>
      <c r="AF3">
        <v>1.82</v>
      </c>
      <c r="AG3">
        <f>SUM(T3:AF3)</f>
        <v>101.46089999999998</v>
      </c>
      <c r="AH3" t="s">
        <v>162</v>
      </c>
      <c r="AK3">
        <v>3</v>
      </c>
      <c r="AL3">
        <f t="shared" ref="AL3:AX8" si="0">T3/T$17</f>
        <v>2.5745388127853883</v>
      </c>
      <c r="AM3">
        <f t="shared" si="0"/>
        <v>0.14410060472787245</v>
      </c>
      <c r="AN3">
        <f t="shared" si="0"/>
        <v>11.730278011794439</v>
      </c>
      <c r="AO3">
        <f t="shared" si="0"/>
        <v>50.898673647469465</v>
      </c>
      <c r="AP3">
        <f t="shared" si="0"/>
        <v>3.3346561224489792E-2</v>
      </c>
      <c r="AQ3">
        <f t="shared" si="0"/>
        <v>5.0804123711340202E-2</v>
      </c>
      <c r="AR3">
        <f t="shared" si="0"/>
        <v>0.19652963299182985</v>
      </c>
      <c r="AS3">
        <f t="shared" si="0"/>
        <v>0.2263046044864227</v>
      </c>
      <c r="AT3">
        <f t="shared" si="0"/>
        <v>14.043317513051731</v>
      </c>
      <c r="AU3">
        <f t="shared" si="0"/>
        <v>0.18010416666666668</v>
      </c>
      <c r="AV3">
        <f t="shared" si="0"/>
        <v>6.6090800979363404</v>
      </c>
      <c r="AW3">
        <f t="shared" si="0"/>
        <v>11.178939929328621</v>
      </c>
      <c r="AX3">
        <f t="shared" si="0"/>
        <v>1.8175438596491231</v>
      </c>
      <c r="AY3">
        <f>SUM(AL3:AX3)</f>
        <v>99.683561565823737</v>
      </c>
      <c r="AZ3" t="s">
        <v>162</v>
      </c>
    </row>
    <row r="4" spans="1:52">
      <c r="A4">
        <v>4</v>
      </c>
      <c r="B4">
        <v>2.6</v>
      </c>
      <c r="C4">
        <v>0.35909999999999997</v>
      </c>
      <c r="D4">
        <v>12.1</v>
      </c>
      <c r="E4">
        <v>51.6</v>
      </c>
      <c r="F4">
        <v>3.4599999999999999E-2</v>
      </c>
      <c r="G4">
        <v>7.0199999999999999E-2</v>
      </c>
      <c r="H4">
        <v>0.1893</v>
      </c>
      <c r="I4">
        <v>0.24479999999999999</v>
      </c>
      <c r="J4">
        <v>14.04</v>
      </c>
      <c r="K4">
        <v>0.16009999999999999</v>
      </c>
      <c r="L4">
        <v>7.17</v>
      </c>
      <c r="M4">
        <v>11.31</v>
      </c>
      <c r="N4">
        <v>1.85</v>
      </c>
      <c r="O4">
        <f t="shared" ref="O4:O8" si="1">SUM(B4:N4)</f>
        <v>101.7281</v>
      </c>
      <c r="P4" t="s">
        <v>162</v>
      </c>
      <c r="S4">
        <v>4</v>
      </c>
      <c r="T4">
        <v>2.6</v>
      </c>
      <c r="U4">
        <v>0.35909999999999997</v>
      </c>
      <c r="V4">
        <v>12.1</v>
      </c>
      <c r="W4">
        <v>51.6</v>
      </c>
      <c r="X4">
        <v>3.4599999999999999E-2</v>
      </c>
      <c r="Y4">
        <v>7.0199999999999999E-2</v>
      </c>
      <c r="Z4">
        <v>0.1893</v>
      </c>
      <c r="AA4">
        <v>0.24479999999999999</v>
      </c>
      <c r="AB4">
        <v>14.04</v>
      </c>
      <c r="AC4">
        <v>0.16009999999999999</v>
      </c>
      <c r="AD4">
        <v>7.17</v>
      </c>
      <c r="AE4">
        <v>11.31</v>
      </c>
      <c r="AF4">
        <v>1.85</v>
      </c>
      <c r="AG4">
        <f t="shared" ref="AG4:AG8" si="2">SUM(T4:AF4)</f>
        <v>101.7281</v>
      </c>
      <c r="AH4" t="s">
        <v>162</v>
      </c>
      <c r="AK4">
        <v>4</v>
      </c>
      <c r="AL4">
        <f t="shared" si="0"/>
        <v>2.4884018264840186</v>
      </c>
      <c r="AM4">
        <f t="shared" si="0"/>
        <v>0.14115255634964263</v>
      </c>
      <c r="AN4">
        <f t="shared" si="0"/>
        <v>12.069418702611626</v>
      </c>
      <c r="AO4">
        <f t="shared" si="0"/>
        <v>50.839557882489828</v>
      </c>
      <c r="AP4">
        <f t="shared" si="0"/>
        <v>3.4857734693877547E-2</v>
      </c>
      <c r="AQ4">
        <f t="shared" si="0"/>
        <v>5.1463917525773187E-2</v>
      </c>
      <c r="AR4">
        <f t="shared" si="0"/>
        <v>0.18657502269485149</v>
      </c>
      <c r="AS4">
        <f t="shared" si="0"/>
        <v>0.23121605667060216</v>
      </c>
      <c r="AT4">
        <f t="shared" si="0"/>
        <v>14.053327005220691</v>
      </c>
      <c r="AU4">
        <f t="shared" si="0"/>
        <v>0.16677083333333334</v>
      </c>
      <c r="AV4">
        <f t="shared" si="0"/>
        <v>6.7311227701993692</v>
      </c>
      <c r="AW4">
        <f t="shared" si="0"/>
        <v>11.11017667844523</v>
      </c>
      <c r="AX4">
        <f t="shared" si="0"/>
        <v>1.8475033738191635</v>
      </c>
      <c r="AY4">
        <f t="shared" ref="AY4:AY8" si="3">SUM(AL4:AX4)</f>
        <v>99.951544360538009</v>
      </c>
      <c r="AZ4" t="s">
        <v>162</v>
      </c>
    </row>
    <row r="5" spans="1:52">
      <c r="A5">
        <v>56</v>
      </c>
      <c r="B5">
        <v>2.78</v>
      </c>
      <c r="C5">
        <v>0.36209999999999998</v>
      </c>
      <c r="D5">
        <v>11.82</v>
      </c>
      <c r="E5">
        <v>51.2</v>
      </c>
      <c r="F5">
        <v>3.4500000000000003E-2</v>
      </c>
      <c r="G5">
        <v>1.47E-2</v>
      </c>
      <c r="H5">
        <v>0.19450000000000001</v>
      </c>
      <c r="I5">
        <v>0.19589999999999999</v>
      </c>
      <c r="J5">
        <v>13.96</v>
      </c>
      <c r="K5">
        <v>0.17130000000000001</v>
      </c>
      <c r="L5">
        <v>7.1</v>
      </c>
      <c r="M5">
        <v>11.28</v>
      </c>
      <c r="N5">
        <v>1.86</v>
      </c>
      <c r="O5">
        <f t="shared" si="1"/>
        <v>100.973</v>
      </c>
      <c r="P5" t="s">
        <v>162</v>
      </c>
      <c r="S5">
        <v>56</v>
      </c>
      <c r="T5">
        <v>2.78</v>
      </c>
      <c r="U5">
        <v>0.36209999999999998</v>
      </c>
      <c r="V5">
        <v>11.82</v>
      </c>
      <c r="W5">
        <v>51.2</v>
      </c>
      <c r="X5">
        <v>3.4500000000000003E-2</v>
      </c>
      <c r="Y5">
        <v>1.47E-2</v>
      </c>
      <c r="Z5">
        <v>0.19450000000000001</v>
      </c>
      <c r="AA5">
        <v>0.19589999999999999</v>
      </c>
      <c r="AB5">
        <v>13.96</v>
      </c>
      <c r="AC5">
        <v>0.17130000000000001</v>
      </c>
      <c r="AD5">
        <v>7.1</v>
      </c>
      <c r="AE5">
        <v>11.28</v>
      </c>
      <c r="AF5">
        <v>1.86</v>
      </c>
      <c r="AG5">
        <f t="shared" si="2"/>
        <v>100.973</v>
      </c>
      <c r="AH5" t="s">
        <v>162</v>
      </c>
      <c r="AK5">
        <v>56</v>
      </c>
      <c r="AL5">
        <f t="shared" si="0"/>
        <v>2.660675799086758</v>
      </c>
      <c r="AM5">
        <f t="shared" si="0"/>
        <v>0.14233177570093455</v>
      </c>
      <c r="AN5">
        <f t="shared" si="0"/>
        <v>11.790126368997473</v>
      </c>
      <c r="AO5">
        <f t="shared" si="0"/>
        <v>50.445452782625573</v>
      </c>
      <c r="AP5">
        <f t="shared" si="0"/>
        <v>3.4756989795918368E-2</v>
      </c>
      <c r="AQ5">
        <f t="shared" si="0"/>
        <v>1.0776632302405496E-2</v>
      </c>
      <c r="AR5">
        <f t="shared" si="0"/>
        <v>0.19170016859032551</v>
      </c>
      <c r="AS5">
        <f t="shared" si="0"/>
        <v>0.18502951593860686</v>
      </c>
      <c r="AT5">
        <f t="shared" si="0"/>
        <v>13.973251067869008</v>
      </c>
      <c r="AU5">
        <f t="shared" si="0"/>
        <v>0.17843750000000003</v>
      </c>
      <c r="AV5">
        <f t="shared" si="0"/>
        <v>6.6654074851346605</v>
      </c>
      <c r="AW5">
        <f t="shared" si="0"/>
        <v>11.080706713780916</v>
      </c>
      <c r="AX5">
        <f t="shared" si="0"/>
        <v>1.8574898785425105</v>
      </c>
      <c r="AY5">
        <f t="shared" si="3"/>
        <v>99.216142678365102</v>
      </c>
      <c r="AZ5" t="s">
        <v>162</v>
      </c>
    </row>
    <row r="6" spans="1:52">
      <c r="A6">
        <v>57</v>
      </c>
      <c r="B6">
        <v>2.79</v>
      </c>
      <c r="C6">
        <v>0.37130000000000002</v>
      </c>
      <c r="D6">
        <v>11.69</v>
      </c>
      <c r="E6">
        <v>51.45</v>
      </c>
      <c r="F6">
        <v>3.0300000000000001E-2</v>
      </c>
      <c r="G6">
        <v>2.4899999999999999E-2</v>
      </c>
      <c r="H6">
        <v>0.19070000000000001</v>
      </c>
      <c r="I6">
        <v>0.25800000000000001</v>
      </c>
      <c r="J6">
        <v>14.07</v>
      </c>
      <c r="K6">
        <v>0.2114</v>
      </c>
      <c r="L6">
        <v>7.21</v>
      </c>
      <c r="M6">
        <v>11.36</v>
      </c>
      <c r="N6">
        <v>1.87</v>
      </c>
      <c r="O6">
        <f t="shared" si="1"/>
        <v>101.5266</v>
      </c>
      <c r="P6" t="s">
        <v>162</v>
      </c>
      <c r="S6">
        <v>57</v>
      </c>
      <c r="T6">
        <v>2.79</v>
      </c>
      <c r="U6">
        <v>0.37130000000000002</v>
      </c>
      <c r="V6">
        <v>11.69</v>
      </c>
      <c r="W6">
        <v>51.45</v>
      </c>
      <c r="X6">
        <v>3.0300000000000001E-2</v>
      </c>
      <c r="Y6">
        <v>2.4899999999999999E-2</v>
      </c>
      <c r="Z6">
        <v>0.19070000000000001</v>
      </c>
      <c r="AA6">
        <v>0.25800000000000001</v>
      </c>
      <c r="AB6">
        <v>14.07</v>
      </c>
      <c r="AC6">
        <v>0.2114</v>
      </c>
      <c r="AD6">
        <v>7.21</v>
      </c>
      <c r="AE6">
        <v>11.36</v>
      </c>
      <c r="AF6">
        <v>1.87</v>
      </c>
      <c r="AG6">
        <f t="shared" si="2"/>
        <v>101.5266</v>
      </c>
      <c r="AH6" t="s">
        <v>162</v>
      </c>
      <c r="AK6">
        <v>57</v>
      </c>
      <c r="AL6">
        <f t="shared" si="0"/>
        <v>2.6702465753424658</v>
      </c>
      <c r="AM6">
        <f t="shared" si="0"/>
        <v>0.14594804837822981</v>
      </c>
      <c r="AN6">
        <f t="shared" si="0"/>
        <v>11.660454928390902</v>
      </c>
      <c r="AO6">
        <f t="shared" si="0"/>
        <v>50.691768470040735</v>
      </c>
      <c r="AP6">
        <f t="shared" si="0"/>
        <v>3.0525704081632653E-2</v>
      </c>
      <c r="AQ6">
        <f t="shared" si="0"/>
        <v>1.8254295532646046E-2</v>
      </c>
      <c r="AR6">
        <f t="shared" si="0"/>
        <v>0.18795486966670991</v>
      </c>
      <c r="AS6">
        <f t="shared" si="0"/>
        <v>0.24368358913813462</v>
      </c>
      <c r="AT6">
        <f t="shared" si="0"/>
        <v>14.083355481727574</v>
      </c>
      <c r="AU6">
        <f t="shared" si="0"/>
        <v>0.22020833333333334</v>
      </c>
      <c r="AV6">
        <f t="shared" si="0"/>
        <v>6.7686743616649165</v>
      </c>
      <c r="AW6">
        <f t="shared" si="0"/>
        <v>11.15929328621908</v>
      </c>
      <c r="AX6">
        <f t="shared" si="0"/>
        <v>1.8674763832658572</v>
      </c>
      <c r="AY6">
        <f t="shared" si="3"/>
        <v>99.747844326782214</v>
      </c>
      <c r="AZ6" t="s">
        <v>162</v>
      </c>
    </row>
    <row r="7" spans="1:52">
      <c r="A7">
        <v>100</v>
      </c>
      <c r="B7">
        <v>2.87</v>
      </c>
      <c r="C7">
        <v>0.35820000000000002</v>
      </c>
      <c r="D7">
        <v>11.93</v>
      </c>
      <c r="E7" s="9">
        <v>50.39</v>
      </c>
      <c r="F7" s="9">
        <v>2.18E-2</v>
      </c>
      <c r="G7">
        <v>1.0200000000000001E-2</v>
      </c>
      <c r="H7">
        <v>0.19170000000000001</v>
      </c>
      <c r="I7">
        <v>0.1893</v>
      </c>
      <c r="J7" s="9">
        <v>13.55</v>
      </c>
      <c r="K7">
        <v>0.22359999999999999</v>
      </c>
      <c r="L7">
        <v>7.17</v>
      </c>
      <c r="M7">
        <v>11.23</v>
      </c>
      <c r="N7">
        <v>1.87</v>
      </c>
      <c r="O7">
        <f t="shared" si="1"/>
        <v>100.00480000000002</v>
      </c>
      <c r="P7" t="s">
        <v>162</v>
      </c>
      <c r="S7">
        <v>100</v>
      </c>
      <c r="T7">
        <v>2.87</v>
      </c>
      <c r="U7">
        <v>0.35820000000000002</v>
      </c>
      <c r="V7">
        <v>11.93</v>
      </c>
      <c r="W7" s="9">
        <v>50.39</v>
      </c>
      <c r="X7" s="9">
        <v>2.18E-2</v>
      </c>
      <c r="Y7">
        <v>1.0200000000000001E-2</v>
      </c>
      <c r="Z7">
        <v>0.19170000000000001</v>
      </c>
      <c r="AA7">
        <v>0.1893</v>
      </c>
      <c r="AB7" s="9">
        <v>13.55</v>
      </c>
      <c r="AC7">
        <v>0.22359999999999999</v>
      </c>
      <c r="AD7">
        <v>7.17</v>
      </c>
      <c r="AE7">
        <v>11.23</v>
      </c>
      <c r="AF7">
        <v>1.87</v>
      </c>
      <c r="AG7">
        <f t="shared" si="2"/>
        <v>100.00480000000002</v>
      </c>
      <c r="AH7" t="s">
        <v>162</v>
      </c>
      <c r="AK7">
        <v>100</v>
      </c>
      <c r="AL7">
        <f t="shared" si="0"/>
        <v>2.7468127853881281</v>
      </c>
      <c r="AM7">
        <f t="shared" si="0"/>
        <v>0.14079879054425509</v>
      </c>
      <c r="AN7">
        <f t="shared" si="0"/>
        <v>11.899848357203032</v>
      </c>
      <c r="AO7">
        <f t="shared" si="0"/>
        <v>49.647389955400435</v>
      </c>
      <c r="AP7">
        <f t="shared" si="0"/>
        <v>2.196238775510204E-2</v>
      </c>
      <c r="AQ7">
        <f t="shared" si="0"/>
        <v>7.4776632302405496E-3</v>
      </c>
      <c r="AR7">
        <f t="shared" si="0"/>
        <v>0.18894047464660874</v>
      </c>
      <c r="AS7">
        <f t="shared" si="0"/>
        <v>0.17879574970484063</v>
      </c>
      <c r="AT7">
        <f t="shared" si="0"/>
        <v>13.562861888941624</v>
      </c>
      <c r="AU7">
        <f t="shared" si="0"/>
        <v>0.23291666666666666</v>
      </c>
      <c r="AV7">
        <f t="shared" si="0"/>
        <v>6.7311227701993692</v>
      </c>
      <c r="AW7">
        <f t="shared" si="0"/>
        <v>11.031590106007066</v>
      </c>
      <c r="AX7">
        <f t="shared" si="0"/>
        <v>1.8674763832658572</v>
      </c>
      <c r="AY7">
        <f t="shared" si="3"/>
        <v>98.257993978953238</v>
      </c>
      <c r="AZ7" t="s">
        <v>162</v>
      </c>
    </row>
    <row r="8" spans="1:52">
      <c r="A8">
        <v>101</v>
      </c>
      <c r="B8">
        <v>2.77</v>
      </c>
      <c r="C8">
        <v>0.34410000000000002</v>
      </c>
      <c r="D8">
        <v>11.95</v>
      </c>
      <c r="E8">
        <v>51.17</v>
      </c>
      <c r="F8">
        <v>3.1099999999999999E-2</v>
      </c>
      <c r="G8">
        <v>9.7000000000000003E-2</v>
      </c>
      <c r="H8">
        <v>0.20610000000000001</v>
      </c>
      <c r="I8">
        <v>0.15340000000000001</v>
      </c>
      <c r="J8">
        <v>13.98</v>
      </c>
      <c r="K8">
        <v>0.1933</v>
      </c>
      <c r="L8">
        <v>7.03</v>
      </c>
      <c r="M8">
        <v>11.24</v>
      </c>
      <c r="N8">
        <v>1.88</v>
      </c>
      <c r="O8">
        <f t="shared" si="1"/>
        <v>101.04499999999999</v>
      </c>
      <c r="P8" t="s">
        <v>162</v>
      </c>
      <c r="S8">
        <v>101</v>
      </c>
      <c r="T8">
        <v>2.77</v>
      </c>
      <c r="U8">
        <v>0.34410000000000002</v>
      </c>
      <c r="V8">
        <v>11.95</v>
      </c>
      <c r="W8">
        <v>51.17</v>
      </c>
      <c r="X8">
        <v>3.1099999999999999E-2</v>
      </c>
      <c r="Y8">
        <v>9.7000000000000003E-2</v>
      </c>
      <c r="Z8">
        <v>0.20610000000000001</v>
      </c>
      <c r="AA8">
        <v>0.15340000000000001</v>
      </c>
      <c r="AB8">
        <v>13.98</v>
      </c>
      <c r="AC8">
        <v>0.1933</v>
      </c>
      <c r="AD8">
        <v>7.03</v>
      </c>
      <c r="AE8">
        <v>11.24</v>
      </c>
      <c r="AF8">
        <v>1.88</v>
      </c>
      <c r="AG8">
        <f t="shared" si="2"/>
        <v>101.04499999999999</v>
      </c>
      <c r="AH8" t="s">
        <v>162</v>
      </c>
      <c r="AK8">
        <v>101</v>
      </c>
      <c r="AL8">
        <f t="shared" si="0"/>
        <v>2.6511050228310507</v>
      </c>
      <c r="AM8">
        <f t="shared" si="0"/>
        <v>0.13525645959318305</v>
      </c>
      <c r="AN8">
        <f t="shared" si="0"/>
        <v>11.919797809604043</v>
      </c>
      <c r="AO8">
        <f t="shared" si="0"/>
        <v>50.415894900135747</v>
      </c>
      <c r="AP8">
        <f t="shared" si="0"/>
        <v>3.133166326530612E-2</v>
      </c>
      <c r="AQ8">
        <f t="shared" si="0"/>
        <v>7.1111111111111097E-2</v>
      </c>
      <c r="AR8">
        <f t="shared" si="0"/>
        <v>0.20313318635715211</v>
      </c>
      <c r="AS8">
        <f t="shared" si="0"/>
        <v>0.144887839433294</v>
      </c>
      <c r="AT8">
        <f t="shared" si="0"/>
        <v>13.993270052206929</v>
      </c>
      <c r="AU8">
        <f t="shared" si="0"/>
        <v>0.20135416666666667</v>
      </c>
      <c r="AV8">
        <f t="shared" si="0"/>
        <v>6.5996922000699536</v>
      </c>
      <c r="AW8">
        <f t="shared" si="0"/>
        <v>11.041413427561837</v>
      </c>
      <c r="AX8">
        <f t="shared" si="0"/>
        <v>1.8774628879892039</v>
      </c>
      <c r="AY8">
        <f t="shared" si="3"/>
        <v>99.285710726825471</v>
      </c>
      <c r="AZ8" t="s">
        <v>162</v>
      </c>
    </row>
    <row r="11" spans="1:52">
      <c r="A11" t="s">
        <v>4950</v>
      </c>
      <c r="B11" s="4">
        <v>2.62</v>
      </c>
      <c r="C11" s="3">
        <v>0.14299999999999999</v>
      </c>
      <c r="D11" s="4">
        <v>11.84</v>
      </c>
      <c r="E11" s="4">
        <v>50.81</v>
      </c>
      <c r="F11" s="3">
        <v>3.2910000000000002E-2</v>
      </c>
      <c r="G11" s="5">
        <v>3.2000000000000001E-2</v>
      </c>
      <c r="H11" s="4">
        <v>0.19</v>
      </c>
      <c r="I11" s="3">
        <v>0.22</v>
      </c>
      <c r="J11" s="4">
        <v>14.06</v>
      </c>
      <c r="K11" s="4">
        <v>0.2</v>
      </c>
      <c r="L11" s="4">
        <v>6.71</v>
      </c>
      <c r="M11" s="4">
        <v>11.12</v>
      </c>
      <c r="N11" s="4">
        <v>1.85</v>
      </c>
      <c r="S11" t="s">
        <v>4950</v>
      </c>
      <c r="T11" s="4">
        <v>2.62</v>
      </c>
      <c r="U11" s="3">
        <v>0.14299999999999999</v>
      </c>
      <c r="V11" s="4">
        <v>11.84</v>
      </c>
      <c r="W11" s="4">
        <v>50.81</v>
      </c>
      <c r="X11" s="3">
        <v>3.2910000000000002E-2</v>
      </c>
      <c r="Y11" s="5">
        <v>3.2000000000000001E-2</v>
      </c>
      <c r="Z11" s="4">
        <v>0.19</v>
      </c>
      <c r="AA11" s="3">
        <v>0.22</v>
      </c>
      <c r="AB11" s="4">
        <v>14.06</v>
      </c>
      <c r="AC11" s="4">
        <v>0.2</v>
      </c>
      <c r="AD11" s="4">
        <v>6.71</v>
      </c>
      <c r="AE11" s="4">
        <v>11.12</v>
      </c>
      <c r="AF11" s="4">
        <v>1.85</v>
      </c>
      <c r="AK11" t="s">
        <v>4942</v>
      </c>
      <c r="AL11" s="4">
        <v>2.62</v>
      </c>
      <c r="AM11" s="3">
        <v>0.14299999999999999</v>
      </c>
      <c r="AN11" s="4">
        <v>11.84</v>
      </c>
      <c r="AO11" s="4">
        <v>50.81</v>
      </c>
      <c r="AP11" s="3">
        <v>3.2910000000000002E-2</v>
      </c>
      <c r="AQ11" s="5">
        <v>3.2000000000000001E-2</v>
      </c>
      <c r="AR11" s="4">
        <v>0.19</v>
      </c>
      <c r="AS11" s="3">
        <v>0.22</v>
      </c>
      <c r="AT11" s="4">
        <v>14.06</v>
      </c>
      <c r="AU11" s="4">
        <v>0.2</v>
      </c>
      <c r="AV11" s="4">
        <v>6.71</v>
      </c>
      <c r="AW11" s="4">
        <v>11.12</v>
      </c>
      <c r="AX11" s="4">
        <v>1.85</v>
      </c>
    </row>
    <row r="12" spans="1:52">
      <c r="A12" t="s">
        <v>14</v>
      </c>
      <c r="B12">
        <f>AVERAGE(B3:B8)</f>
        <v>2.75</v>
      </c>
      <c r="C12">
        <f t="shared" ref="C12:N12" si="4">AVERAGE(C3:C8)</f>
        <v>0.36023333333333335</v>
      </c>
      <c r="D12">
        <f t="shared" si="4"/>
        <v>11.875</v>
      </c>
      <c r="E12">
        <f>AVERAGE(E3:E6,E8)</f>
        <v>51.415999999999997</v>
      </c>
      <c r="F12">
        <f>AVERAGE(F3:F6,F8)</f>
        <v>3.2719999999999999E-2</v>
      </c>
      <c r="G12">
        <f t="shared" si="4"/>
        <v>4.7716666666666664E-2</v>
      </c>
      <c r="H12">
        <f t="shared" si="4"/>
        <v>0.19528333333333334</v>
      </c>
      <c r="I12">
        <f t="shared" si="4"/>
        <v>0.2135</v>
      </c>
      <c r="J12">
        <f>AVERAGE(J3:J6,J8)</f>
        <v>14.016</v>
      </c>
      <c r="K12">
        <f t="shared" si="4"/>
        <v>0.18876666666666667</v>
      </c>
      <c r="L12">
        <f t="shared" si="4"/>
        <v>7.120000000000001</v>
      </c>
      <c r="M12">
        <f t="shared" si="4"/>
        <v>11.299999999999999</v>
      </c>
      <c r="N12">
        <f t="shared" si="4"/>
        <v>1.8583333333333332</v>
      </c>
      <c r="S12" t="s">
        <v>14</v>
      </c>
      <c r="T12">
        <f>AVERAGE(T3:T4,T6:T7)</f>
        <v>2.7374999999999998</v>
      </c>
      <c r="U12">
        <f t="shared" ref="U12:AF12" si="5">AVERAGE(U3:U4,U6:U7)</f>
        <v>0.36380000000000001</v>
      </c>
      <c r="V12">
        <f t="shared" si="5"/>
        <v>11.87</v>
      </c>
      <c r="W12">
        <f>AVERAGE(W3:W4,W6)</f>
        <v>51.569999999999993</v>
      </c>
      <c r="X12">
        <f>AVERAGE(X3:X4,X6)</f>
        <v>3.266666666666667E-2</v>
      </c>
      <c r="Y12">
        <f t="shared" si="5"/>
        <v>4.3650000000000008E-2</v>
      </c>
      <c r="Z12">
        <f t="shared" si="5"/>
        <v>0.192775</v>
      </c>
      <c r="AA12">
        <f t="shared" si="5"/>
        <v>0.23292499999999999</v>
      </c>
      <c r="AB12">
        <f>AVERAGE(AB3:AB4,AB6)</f>
        <v>14.046666666666667</v>
      </c>
      <c r="AC12">
        <f t="shared" si="5"/>
        <v>0.192</v>
      </c>
      <c r="AD12">
        <f t="shared" si="5"/>
        <v>7.1475000000000009</v>
      </c>
      <c r="AE12">
        <f t="shared" si="5"/>
        <v>11.32</v>
      </c>
      <c r="AF12">
        <f t="shared" si="5"/>
        <v>1.8525</v>
      </c>
      <c r="AK12" t="s">
        <v>4948</v>
      </c>
      <c r="AL12">
        <f>AVERAGE(AL5,AL8)</f>
        <v>2.6558904109589045</v>
      </c>
      <c r="AM12">
        <f t="shared" ref="AM12:AX12" si="6">AVERAGE(AM5,AM8)</f>
        <v>0.13879411764705879</v>
      </c>
      <c r="AN12">
        <f t="shared" si="6"/>
        <v>11.854962089300759</v>
      </c>
      <c r="AO12">
        <f t="shared" si="6"/>
        <v>50.43067384138066</v>
      </c>
      <c r="AP12">
        <f t="shared" si="6"/>
        <v>3.3044326530612247E-2</v>
      </c>
      <c r="AQ12">
        <f t="shared" si="6"/>
        <v>4.0943871706758297E-2</v>
      </c>
      <c r="AR12">
        <f t="shared" si="6"/>
        <v>0.19741667747373881</v>
      </c>
      <c r="AS12">
        <f t="shared" si="6"/>
        <v>0.16495867768595043</v>
      </c>
      <c r="AT12">
        <f t="shared" si="6"/>
        <v>13.983260560037969</v>
      </c>
      <c r="AU12">
        <f t="shared" si="6"/>
        <v>0.18989583333333335</v>
      </c>
      <c r="AV12">
        <f t="shared" si="6"/>
        <v>6.6325498426023071</v>
      </c>
      <c r="AW12">
        <f t="shared" si="6"/>
        <v>11.061060070671378</v>
      </c>
      <c r="AX12">
        <f t="shared" si="6"/>
        <v>1.8674763832658572</v>
      </c>
    </row>
    <row r="13" spans="1:52">
      <c r="A13" t="s">
        <v>4938</v>
      </c>
      <c r="B13">
        <f>STDEV(B3:B8)</f>
        <v>9.3166517590816914E-2</v>
      </c>
      <c r="C13">
        <f t="shared" ref="C13:N13" si="7">STDEV(C3:C8)</f>
        <v>9.2972397337417606E-3</v>
      </c>
      <c r="D13">
        <f t="shared" si="7"/>
        <v>0.14815532390029046</v>
      </c>
      <c r="E13">
        <f>STDEV(E3:E6,E8)</f>
        <v>0.22456624857711643</v>
      </c>
      <c r="F13">
        <f>STDEV(F3:F6,F8)</f>
        <v>1.9575494885187453E-3</v>
      </c>
      <c r="G13">
        <f t="shared" si="7"/>
        <v>3.582844772895788E-2</v>
      </c>
      <c r="H13">
        <f t="shared" si="7"/>
        <v>6.3907485216261372E-3</v>
      </c>
      <c r="I13">
        <f t="shared" si="7"/>
        <v>4.0369691601497344E-2</v>
      </c>
      <c r="J13">
        <f>STDEV(J3:J6,J8)</f>
        <v>4.5055521304274815E-2</v>
      </c>
      <c r="K13">
        <f t="shared" si="7"/>
        <v>2.4999173319665162E-2</v>
      </c>
      <c r="L13">
        <f t="shared" si="7"/>
        <v>7.483314773547875E-2</v>
      </c>
      <c r="M13">
        <f t="shared" si="7"/>
        <v>6.1644140029689778E-2</v>
      </c>
      <c r="N13">
        <f t="shared" si="7"/>
        <v>2.1369760566432781E-2</v>
      </c>
    </row>
    <row r="14" spans="1:52">
      <c r="A14" t="s">
        <v>4941</v>
      </c>
      <c r="B14">
        <f>2*B13</f>
        <v>0.18633303518163383</v>
      </c>
      <c r="C14">
        <f t="shared" ref="C14:N14" si="8">2*C13</f>
        <v>1.8594479467483521E-2</v>
      </c>
      <c r="D14">
        <f t="shared" si="8"/>
        <v>0.29631064780058092</v>
      </c>
      <c r="E14">
        <f t="shared" si="8"/>
        <v>0.44913249715423287</v>
      </c>
      <c r="F14">
        <f t="shared" si="8"/>
        <v>3.9150989770374905E-3</v>
      </c>
      <c r="G14">
        <f t="shared" si="8"/>
        <v>7.1656895457915759E-2</v>
      </c>
      <c r="H14">
        <f t="shared" si="8"/>
        <v>1.2781497043252274E-2</v>
      </c>
      <c r="I14">
        <f t="shared" si="8"/>
        <v>8.0739383202994688E-2</v>
      </c>
      <c r="J14">
        <f t="shared" si="8"/>
        <v>9.011104260854963E-2</v>
      </c>
      <c r="K14">
        <f t="shared" si="8"/>
        <v>4.9998346639330324E-2</v>
      </c>
      <c r="L14">
        <f t="shared" si="8"/>
        <v>0.1496662954709575</v>
      </c>
      <c r="M14">
        <f t="shared" si="8"/>
        <v>0.12328828005937956</v>
      </c>
      <c r="N14">
        <f t="shared" si="8"/>
        <v>4.2739521132865561E-2</v>
      </c>
    </row>
    <row r="15" spans="1:52">
      <c r="A15" s="7" t="s">
        <v>4940</v>
      </c>
      <c r="B15" s="8">
        <f>B14/B12</f>
        <v>6.775746733877594E-2</v>
      </c>
      <c r="C15" s="8">
        <f t="shared" ref="C15:N15" si="9">C14/C12</f>
        <v>5.1617875823494551E-2</v>
      </c>
      <c r="D15" s="8">
        <f t="shared" si="9"/>
        <v>2.4952475604259446E-2</v>
      </c>
      <c r="E15" s="8">
        <f t="shared" si="9"/>
        <v>8.735267176642152E-3</v>
      </c>
      <c r="F15" s="8">
        <f t="shared" si="9"/>
        <v>0.11965461421263725</v>
      </c>
      <c r="G15" s="8">
        <f t="shared" si="9"/>
        <v>1.5017162862294606</v>
      </c>
      <c r="H15" s="8">
        <f t="shared" si="9"/>
        <v>6.5451038883258206E-2</v>
      </c>
      <c r="I15" s="8">
        <f t="shared" si="9"/>
        <v>0.37817041312878075</v>
      </c>
      <c r="J15" s="8">
        <f t="shared" si="9"/>
        <v>6.4291554372538267E-3</v>
      </c>
      <c r="K15" s="8">
        <f t="shared" si="9"/>
        <v>0.26486851477660422</v>
      </c>
      <c r="L15" s="8">
        <f t="shared" si="9"/>
        <v>2.1020547116707512E-2</v>
      </c>
      <c r="M15" s="8">
        <f t="shared" si="9"/>
        <v>1.0910467261891998E-2</v>
      </c>
      <c r="N15" s="8">
        <f t="shared" si="9"/>
        <v>2.2998845452663084E-2</v>
      </c>
      <c r="AK15" t="s">
        <v>4949</v>
      </c>
      <c r="AL15" s="6">
        <f>ABS(AL12-AL11)/AL11</f>
        <v>1.3698630136986427E-2</v>
      </c>
      <c r="AM15" s="6">
        <f t="shared" ref="AM15:AX15" si="10">ABS(AM12-AM11)/AM11</f>
        <v>2.9411764705882509E-2</v>
      </c>
      <c r="AN15" s="6">
        <f t="shared" si="10"/>
        <v>1.2636899747262985E-3</v>
      </c>
      <c r="AO15" s="6">
        <f t="shared" si="10"/>
        <v>7.4655807640098869E-3</v>
      </c>
      <c r="AP15" s="6">
        <f t="shared" si="10"/>
        <v>4.0816326530612483E-3</v>
      </c>
      <c r="AQ15" s="6">
        <f t="shared" si="10"/>
        <v>0.27949599083619675</v>
      </c>
      <c r="AR15" s="6">
        <f t="shared" si="10"/>
        <v>3.903514459862531E-2</v>
      </c>
      <c r="AS15" s="6">
        <f t="shared" si="10"/>
        <v>0.25018782870022532</v>
      </c>
      <c r="AT15" s="6">
        <f t="shared" si="10"/>
        <v>5.457997152349299E-3</v>
      </c>
      <c r="AU15" s="6">
        <f t="shared" si="10"/>
        <v>5.052083333333332E-2</v>
      </c>
      <c r="AV15" s="6">
        <f t="shared" si="10"/>
        <v>1.154249737670535E-2</v>
      </c>
      <c r="AW15" s="6">
        <f t="shared" si="10"/>
        <v>5.3003533568904398E-3</v>
      </c>
      <c r="AX15" s="6">
        <f t="shared" si="10"/>
        <v>9.4466936572200535E-3</v>
      </c>
    </row>
    <row r="16" spans="1:52">
      <c r="A16" s="7" t="s">
        <v>4949</v>
      </c>
      <c r="B16" s="12">
        <v>1.3698630136986427E-2</v>
      </c>
      <c r="C16" s="12">
        <v>2.9411764705882509E-2</v>
      </c>
      <c r="D16" s="12">
        <v>1.2636899747262985E-3</v>
      </c>
      <c r="E16" s="12">
        <v>7.4655807640098869E-3</v>
      </c>
      <c r="F16" s="12">
        <v>4.0816326530612483E-3</v>
      </c>
      <c r="G16" s="12">
        <v>0.27949599083619675</v>
      </c>
      <c r="H16" s="12">
        <v>3.903514459862531E-2</v>
      </c>
      <c r="I16" s="12">
        <v>0.25018782870022532</v>
      </c>
      <c r="J16" s="12">
        <v>5.457997152349299E-3</v>
      </c>
      <c r="K16" s="12">
        <v>5.052083333333332E-2</v>
      </c>
      <c r="L16" s="12">
        <v>1.154249737670535E-2</v>
      </c>
      <c r="M16" s="12">
        <v>5.3003533568904398E-3</v>
      </c>
      <c r="N16" s="12">
        <v>9.4466936572200535E-3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32">
      <c r="A17" t="s">
        <v>4939</v>
      </c>
      <c r="B17" s="11">
        <f>B12/B11</f>
        <v>1.0496183206106871</v>
      </c>
      <c r="C17" s="11">
        <f t="shared" ref="C17:N17" si="11">C12/C11</f>
        <v>2.5191142191142193</v>
      </c>
      <c r="D17" s="11">
        <f t="shared" si="11"/>
        <v>1.0029560810810811</v>
      </c>
      <c r="E17" s="11">
        <f t="shared" si="11"/>
        <v>1.0119267860657351</v>
      </c>
      <c r="F17" s="11">
        <f t="shared" si="11"/>
        <v>0.994226678821027</v>
      </c>
      <c r="G17" s="11">
        <f t="shared" si="11"/>
        <v>1.4911458333333332</v>
      </c>
      <c r="H17" s="11">
        <f t="shared" si="11"/>
        <v>1.0278070175438596</v>
      </c>
      <c r="I17" s="11">
        <f t="shared" si="11"/>
        <v>0.97045454545454546</v>
      </c>
      <c r="J17" s="11">
        <f t="shared" si="11"/>
        <v>0.99687055476529163</v>
      </c>
      <c r="K17" s="11">
        <f t="shared" si="11"/>
        <v>0.9438333333333333</v>
      </c>
      <c r="L17" s="11">
        <f t="shared" si="11"/>
        <v>1.0611028315946349</v>
      </c>
      <c r="M17" s="11">
        <f t="shared" si="11"/>
        <v>1.0161870503597121</v>
      </c>
      <c r="N17" s="11">
        <f t="shared" si="11"/>
        <v>1.0045045045045045</v>
      </c>
      <c r="S17" t="s">
        <v>4939</v>
      </c>
      <c r="T17">
        <f>T12/T11</f>
        <v>1.0448473282442747</v>
      </c>
      <c r="U17">
        <f t="shared" ref="U17:AF17" si="12">U12/U11</f>
        <v>2.5440559440559443</v>
      </c>
      <c r="V17">
        <f t="shared" si="12"/>
        <v>1.0025337837837838</v>
      </c>
      <c r="W17">
        <f t="shared" si="12"/>
        <v>1.0149576854949811</v>
      </c>
      <c r="X17">
        <f t="shared" si="12"/>
        <v>0.99260609743745576</v>
      </c>
      <c r="Y17">
        <f t="shared" si="12"/>
        <v>1.3640625000000002</v>
      </c>
      <c r="Z17">
        <f t="shared" si="12"/>
        <v>1.0146052631578948</v>
      </c>
      <c r="AA17">
        <f t="shared" si="12"/>
        <v>1.0587499999999999</v>
      </c>
      <c r="AB17">
        <f>AB12/AB11</f>
        <v>0.99905168326220961</v>
      </c>
      <c r="AC17">
        <f t="shared" si="12"/>
        <v>0.96</v>
      </c>
      <c r="AD17">
        <f t="shared" si="12"/>
        <v>1.0652011922503728</v>
      </c>
      <c r="AE17">
        <f t="shared" si="12"/>
        <v>1.0179856115107915</v>
      </c>
      <c r="AF17">
        <f t="shared" si="12"/>
        <v>1.0013513513513512</v>
      </c>
    </row>
    <row r="19" spans="1:3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7C21-1BCD-2848-961E-81C56C209D18}">
  <dimension ref="A1:U106"/>
  <sheetViews>
    <sheetView topLeftCell="B61" workbookViewId="0">
      <selection activeCell="S2" sqref="S2"/>
    </sheetView>
  </sheetViews>
  <sheetFormatPr defaultColWidth="10.90625" defaultRowHeight="15"/>
  <sheetData>
    <row r="1" spans="1:21">
      <c r="A1" t="s">
        <v>3</v>
      </c>
      <c r="B1" t="s">
        <v>154</v>
      </c>
      <c r="C1" t="s">
        <v>155</v>
      </c>
      <c r="D1" t="s">
        <v>6</v>
      </c>
      <c r="E1" t="s">
        <v>7</v>
      </c>
      <c r="F1" t="s">
        <v>156</v>
      </c>
      <c r="G1" t="s">
        <v>157</v>
      </c>
      <c r="H1" t="s">
        <v>158</v>
      </c>
      <c r="I1" t="s">
        <v>5</v>
      </c>
      <c r="J1" t="s">
        <v>9</v>
      </c>
      <c r="K1" t="s">
        <v>159</v>
      </c>
      <c r="L1" t="s">
        <v>4</v>
      </c>
      <c r="M1" t="s">
        <v>8</v>
      </c>
      <c r="N1" t="s">
        <v>160</v>
      </c>
      <c r="O1" t="s">
        <v>10</v>
      </c>
      <c r="P1" t="s">
        <v>11</v>
      </c>
      <c r="S1" t="s">
        <v>4943</v>
      </c>
      <c r="T1" t="s">
        <v>4944</v>
      </c>
      <c r="U1" t="s">
        <v>4945</v>
      </c>
    </row>
    <row r="2" spans="1:21">
      <c r="A2">
        <v>1</v>
      </c>
      <c r="B2">
        <f>Bgls_oxides!B5/GlassStdCalc!B$17</f>
        <v>2.6676363636363636</v>
      </c>
      <c r="C2">
        <f>Bgls_oxides!C5/GlassStdCalc!C$17</f>
        <v>1.6196169149625243E-2</v>
      </c>
      <c r="D2">
        <f>Bgls_oxides!D5/GlassStdCalc!D$17</f>
        <v>13.559915789473683</v>
      </c>
      <c r="E2">
        <f>Bgls_oxides!E5/GlassStdCalc!E$17</f>
        <v>50.557017270888437</v>
      </c>
      <c r="F2">
        <f>Bgls_oxides!F5/GlassStdCalc!F$17</f>
        <v>2.3837622249388752E-2</v>
      </c>
      <c r="G2">
        <f>Bgls_oxides!G5/GlassStdCalc!G$17</f>
        <v>8.4498777506112482E-3</v>
      </c>
      <c r="H2">
        <f>Bgls_oxides!H5/GlassStdCalc!H$17</f>
        <v>0.79178287957668347</v>
      </c>
      <c r="I2">
        <f>Bgls_oxides!I5/GlassStdCalc!I$17</f>
        <v>0.18403747072599533</v>
      </c>
      <c r="J2">
        <f>Bgls_oxides!J5/GlassStdCalc!J$17</f>
        <v>12.33861301369863</v>
      </c>
      <c r="K2">
        <f>Bgls_oxides!K5/GlassStdCalc!K$17</f>
        <v>0.41119547942786511</v>
      </c>
      <c r="L2">
        <f>Bgls_oxides!L5/GlassStdCalc!L$17</f>
        <v>4.8345926966292128</v>
      </c>
      <c r="M2">
        <f>Bgls_oxides!M5/GlassStdCalc!M$17</f>
        <v>9.1223362831858417</v>
      </c>
      <c r="N2">
        <f>Bgls_oxides!N5/GlassStdCalc!N$17</f>
        <v>4.0617040358744401</v>
      </c>
      <c r="O2">
        <f>SUM(B2:N2)</f>
        <v>98.577314952266789</v>
      </c>
      <c r="P2" t="s">
        <v>161</v>
      </c>
      <c r="S2">
        <f>100*(L2/40.304)/((L2/40.304)+(D2/71.844))</f>
        <v>38.858243442391178</v>
      </c>
      <c r="T2">
        <f>100-S2</f>
        <v>61.141756557608822</v>
      </c>
      <c r="U2">
        <f>SUM(S2:T2)</f>
        <v>100</v>
      </c>
    </row>
    <row r="3" spans="1:21">
      <c r="A3">
        <v>2</v>
      </c>
      <c r="B3">
        <f>Bgls_oxides!B6/GlassStdCalc!B$17</f>
        <v>2.5723636363636366</v>
      </c>
      <c r="C3">
        <f>Bgls_oxides!C6/GlassStdCalc!C$17</f>
        <v>9.209586379198666E-3</v>
      </c>
      <c r="D3">
        <f>Bgls_oxides!D6/GlassStdCalc!D$17</f>
        <v>13.420328421052632</v>
      </c>
      <c r="E3">
        <f>Bgls_oxides!E6/GlassStdCalc!E$17</f>
        <v>50.636074373735809</v>
      </c>
      <c r="F3">
        <f>Bgls_oxides!F6/GlassStdCalc!F$17</f>
        <v>3.0174205378973105E-2</v>
      </c>
      <c r="G3">
        <f>Bgls_oxides!G6/GlassStdCalc!G$17</f>
        <v>5.3046454767726167E-2</v>
      </c>
      <c r="H3">
        <f>Bgls_oxides!H6/GlassStdCalc!H$17</f>
        <v>0.79217205769394905</v>
      </c>
      <c r="I3">
        <f>Bgls_oxides!I6/GlassStdCalc!I$17</f>
        <v>0.25431381733021075</v>
      </c>
      <c r="J3">
        <f>Bgls_oxides!J6/GlassStdCalc!J$17</f>
        <v>12.519178082191781</v>
      </c>
      <c r="K3">
        <f>Bgls_oxides!K6/GlassStdCalc!K$17</f>
        <v>0.37538407204661844</v>
      </c>
      <c r="L3">
        <f>Bgls_oxides!L6/GlassStdCalc!L$17</f>
        <v>4.9005617977528093</v>
      </c>
      <c r="M3">
        <f>Bgls_oxides!M6/GlassStdCalc!M$17</f>
        <v>9.2207433628318594</v>
      </c>
      <c r="N3">
        <f>Bgls_oxides!N6/GlassStdCalc!N$17</f>
        <v>4.0417937219730939</v>
      </c>
      <c r="O3">
        <f t="shared" ref="O3:O66" si="0">SUM(B3:N3)</f>
        <v>98.825343589498289</v>
      </c>
      <c r="P3" t="s">
        <v>161</v>
      </c>
      <c r="S3">
        <f t="shared" ref="S3:S66" si="1">100*(L3/40.304)/((L3/40.304)+(D3/71.844))</f>
        <v>39.427573601121225</v>
      </c>
      <c r="T3">
        <f t="shared" ref="T3:T66" si="2">100-S3</f>
        <v>60.572426398878775</v>
      </c>
      <c r="U3">
        <f t="shared" ref="U3:U66" si="3">SUM(S3:T3)</f>
        <v>100</v>
      </c>
    </row>
    <row r="4" spans="1:21">
      <c r="A4">
        <v>3</v>
      </c>
      <c r="B4">
        <f>Bgls_oxides!B7/GlassStdCalc!B$17</f>
        <v>2.5628363636363636</v>
      </c>
      <c r="C4">
        <f>Bgls_oxides!C7/GlassStdCalc!C$17</f>
        <v>0.14552734338854445</v>
      </c>
      <c r="D4">
        <f>Bgls_oxides!D7/GlassStdCalc!D$17</f>
        <v>11.725338947368421</v>
      </c>
      <c r="E4">
        <f>Bgls_oxides!E7/GlassStdCalc!E$17</f>
        <v>51.051124163684456</v>
      </c>
      <c r="F4">
        <f>Bgls_oxides!F7/GlassStdCalc!F$17</f>
        <v>3.3292206601466992E-2</v>
      </c>
      <c r="G4">
        <f>Bgls_oxides!G7/GlassStdCalc!G$17</f>
        <v>4.6474327628361865E-2</v>
      </c>
      <c r="H4">
        <f>Bgls_oxides!H7/GlassStdCalc!H$17</f>
        <v>0.19400529145685755</v>
      </c>
      <c r="I4">
        <f>Bgls_oxides!I7/GlassStdCalc!I$17</f>
        <v>0.24689461358313819</v>
      </c>
      <c r="J4">
        <f>Bgls_oxides!J7/GlassStdCalc!J$17</f>
        <v>14.074043949771688</v>
      </c>
      <c r="K4">
        <f>Bgls_oxides!K7/GlassStdCalc!K$17</f>
        <v>0.18318912237330037</v>
      </c>
      <c r="L4">
        <f>Bgls_oxides!L7/GlassStdCalc!L$17</f>
        <v>6.6346067415730339</v>
      </c>
      <c r="M4">
        <f>Bgls_oxides!M7/GlassStdCalc!M$17</f>
        <v>11.198725663716816</v>
      </c>
      <c r="N4">
        <f>Bgls_oxides!N7/GlassStdCalc!N$17</f>
        <v>1.8118385650224216</v>
      </c>
      <c r="O4">
        <f t="shared" si="0"/>
        <v>99.907897299804887</v>
      </c>
      <c r="P4" t="s">
        <v>162</v>
      </c>
      <c r="S4">
        <f t="shared" si="1"/>
        <v>50.214837573994238</v>
      </c>
      <c r="T4">
        <f t="shared" si="2"/>
        <v>49.785162426005762</v>
      </c>
      <c r="U4">
        <f t="shared" si="3"/>
        <v>100</v>
      </c>
    </row>
    <row r="5" spans="1:21">
      <c r="A5">
        <v>4</v>
      </c>
      <c r="B5">
        <f>Bgls_oxides!B8/GlassStdCalc!B$17</f>
        <v>2.4770909090909092</v>
      </c>
      <c r="C5">
        <f>Bgls_oxides!C8/GlassStdCalc!C$17</f>
        <v>0.1425501064125104</v>
      </c>
      <c r="D5">
        <f>Bgls_oxides!D8/GlassStdCalc!D$17</f>
        <v>12.064336842105263</v>
      </c>
      <c r="E5">
        <f>Bgls_oxides!E8/GlassStdCalc!E$17</f>
        <v>50.991831336548941</v>
      </c>
      <c r="F5">
        <f>Bgls_oxides!F8/GlassStdCalc!F$17</f>
        <v>3.480091687041565E-2</v>
      </c>
      <c r="G5">
        <f>Bgls_oxides!G8/GlassStdCalc!G$17</f>
        <v>4.7077890324834094E-2</v>
      </c>
      <c r="H5">
        <f>Bgls_oxides!H8/GlassStdCalc!H$17</f>
        <v>0.18417854399590339</v>
      </c>
      <c r="I5">
        <f>Bgls_oxides!I8/GlassStdCalc!I$17</f>
        <v>0.2522529274004684</v>
      </c>
      <c r="J5">
        <f>Bgls_oxides!J8/GlassStdCalc!J$17</f>
        <v>14.084075342465752</v>
      </c>
      <c r="K5">
        <f>Bgls_oxides!K8/GlassStdCalc!K$17</f>
        <v>0.1696274059685679</v>
      </c>
      <c r="L5">
        <f>Bgls_oxides!L8/GlassStdCalc!L$17</f>
        <v>6.7571207865168539</v>
      </c>
      <c r="M5">
        <f>Bgls_oxides!M8/GlassStdCalc!M$17</f>
        <v>11.129840707964604</v>
      </c>
      <c r="N5">
        <f>Bgls_oxides!N8/GlassStdCalc!N$17</f>
        <v>1.8417040358744396</v>
      </c>
      <c r="O5">
        <f t="shared" si="0"/>
        <v>100.17648775153944</v>
      </c>
      <c r="P5" t="s">
        <v>162</v>
      </c>
      <c r="S5">
        <f t="shared" si="1"/>
        <v>49.959738262560592</v>
      </c>
      <c r="T5">
        <f t="shared" si="2"/>
        <v>50.040261737439408</v>
      </c>
      <c r="U5">
        <f t="shared" si="3"/>
        <v>100</v>
      </c>
    </row>
    <row r="6" spans="1:21">
      <c r="A6">
        <v>5</v>
      </c>
      <c r="B6">
        <f>Bgls_oxides!B9/GlassStdCalc!B$17</f>
        <v>5.9164363636363637</v>
      </c>
      <c r="C6">
        <f>Bgls_oxides!C9/GlassStdCalc!C$17</f>
        <v>1.0360784676598501E-2</v>
      </c>
      <c r="D6">
        <f>Bgls_oxides!D9/GlassStdCalc!D$17</f>
        <v>7.836833684210526</v>
      </c>
      <c r="E6">
        <f>Bgls_oxides!E9/GlassStdCalc!E$17</f>
        <v>69.935889606348212</v>
      </c>
      <c r="F6">
        <f>Bgls_oxides!F9/GlassStdCalc!F$17</f>
        <v>0.4012163508557457</v>
      </c>
      <c r="G6">
        <f>Bgls_oxides!G9/GlassStdCalc!G$17</f>
        <v>0.30707928746070556</v>
      </c>
      <c r="H6">
        <f>Bgls_oxides!H9/GlassStdCalc!H$17</f>
        <v>4.1739353076726129</v>
      </c>
      <c r="I6">
        <f>Bgls_oxides!I9/GlassStdCalc!I$17</f>
        <v>0.19743325526932085</v>
      </c>
      <c r="J6">
        <f>Bgls_oxides!J9/GlassStdCalc!J$17</f>
        <v>8.8577197488584467</v>
      </c>
      <c r="K6">
        <f>Bgls_oxides!K9/GlassStdCalc!K$17</f>
        <v>1.7058096415327566E-2</v>
      </c>
      <c r="L6">
        <f>Bgls_oxides!L9/GlassStdCalc!L$17</f>
        <v>2.111011235955056E-2</v>
      </c>
      <c r="M6">
        <f>Bgls_oxides!M9/GlassStdCalc!M$17</f>
        <v>0.38969203539823016</v>
      </c>
      <c r="N6">
        <f>Bgls_oxides!N9/GlassStdCalc!N$17</f>
        <v>0.33767892376681619</v>
      </c>
      <c r="O6">
        <f t="shared" si="0"/>
        <v>98.402443556928446</v>
      </c>
      <c r="P6" t="s">
        <v>163</v>
      </c>
      <c r="S6">
        <f t="shared" si="1"/>
        <v>0.47787236989364429</v>
      </c>
      <c r="T6">
        <f t="shared" si="2"/>
        <v>99.522127630106354</v>
      </c>
      <c r="U6">
        <f t="shared" si="3"/>
        <v>100</v>
      </c>
    </row>
    <row r="7" spans="1:21">
      <c r="A7">
        <v>6</v>
      </c>
      <c r="B7">
        <f>Bgls_oxides!B10/GlassStdCalc!B$17</f>
        <v>2.2484363636363636</v>
      </c>
      <c r="C7">
        <f>Bgls_oxides!C10/GlassStdCalc!C$17</f>
        <v>1.3814379568798E-2</v>
      </c>
      <c r="D7">
        <f>Bgls_oxides!D10/GlassStdCalc!D$17</f>
        <v>7.9764210526315784</v>
      </c>
      <c r="E7">
        <f>Bgls_oxides!E10/GlassStdCalc!E$17</f>
        <v>71.86290648825269</v>
      </c>
      <c r="F7">
        <f>Bgls_oxides!F10/GlassStdCalc!F$17</f>
        <v>0.38703447432762833</v>
      </c>
      <c r="G7">
        <f>Bgls_oxides!G10/GlassStdCalc!G$17</f>
        <v>0.34517079986028648</v>
      </c>
      <c r="H7">
        <f>Bgls_oxides!H10/GlassStdCalc!H$17</f>
        <v>4.0474524195613215</v>
      </c>
      <c r="I7">
        <f>Bgls_oxides!I10/GlassStdCalc!I$17</f>
        <v>0.29934426229508193</v>
      </c>
      <c r="J7">
        <f>Bgls_oxides!J10/GlassStdCalc!J$17</f>
        <v>8.8777825342465739</v>
      </c>
      <c r="K7">
        <f>Bgls_oxides!K10/GlassStdCalc!K$17</f>
        <v>1.557478368355995E-2</v>
      </c>
      <c r="L7">
        <f>Bgls_oxides!L10/GlassStdCalc!L$17</f>
        <v>3.9298735955056181E-2</v>
      </c>
      <c r="M7">
        <f>Bgls_oxides!M10/GlassStdCalc!M$17</f>
        <v>0.45119646017699122</v>
      </c>
      <c r="N7">
        <f>Bgls_oxides!N10/GlassStdCalc!N$17</f>
        <v>0.33877399103139016</v>
      </c>
      <c r="O7">
        <f t="shared" si="0"/>
        <v>96.903206745227322</v>
      </c>
      <c r="P7" t="s">
        <v>163</v>
      </c>
      <c r="S7">
        <f t="shared" si="1"/>
        <v>0.87059340095588233</v>
      </c>
      <c r="T7">
        <f t="shared" si="2"/>
        <v>99.129406599044117</v>
      </c>
      <c r="U7">
        <f t="shared" si="3"/>
        <v>100</v>
      </c>
    </row>
    <row r="8" spans="1:21">
      <c r="A8">
        <v>7</v>
      </c>
      <c r="B8">
        <f>Bgls_oxides!B11/GlassStdCalc!B$17</f>
        <v>5.0970909090909089</v>
      </c>
      <c r="C8">
        <f>Bgls_oxides!C11/GlassStdCalc!C$17</f>
        <v>0.55257518275191997</v>
      </c>
      <c r="D8">
        <f>Bgls_oxides!D11/GlassStdCalc!D$17</f>
        <v>0.19522290526315789</v>
      </c>
      <c r="E8">
        <f>Bgls_oxides!E11/GlassStdCalc!E$17</f>
        <v>50.438431616617393</v>
      </c>
      <c r="F8">
        <f>Bgls_oxides!F11/GlassStdCalc!F$17</f>
        <v>1.4584199266503668</v>
      </c>
      <c r="G8">
        <f>Bgls_oxides!G11/GlassStdCalc!G$17</f>
        <v>4.5602514844568639E-3</v>
      </c>
      <c r="H8">
        <f>Bgls_oxides!H11/GlassStdCalc!H$17</f>
        <v>0.82087394384228052</v>
      </c>
      <c r="I8">
        <f>Bgls_oxides!I11/GlassStdCalc!I$17</f>
        <v>6.0796252927400466E-3</v>
      </c>
      <c r="J8">
        <f>Bgls_oxides!J11/GlassStdCalc!J$17</f>
        <v>25.961244292237442</v>
      </c>
      <c r="K8">
        <f>Bgls_oxides!K11/GlassStdCalc!K$17</f>
        <v>2.1508034610630406E-2</v>
      </c>
      <c r="L8">
        <f>Bgls_oxides!L11/GlassStdCalc!L$17</f>
        <v>0</v>
      </c>
      <c r="M8">
        <f>Bgls_oxides!M11/GlassStdCalc!M$17</f>
        <v>13.658902654867259</v>
      </c>
      <c r="N8">
        <f>Bgls_oxides!N11/GlassStdCalc!N$17</f>
        <v>2.4887892376681616E-3</v>
      </c>
      <c r="O8">
        <f t="shared" si="0"/>
        <v>98.21739813194624</v>
      </c>
      <c r="P8" t="s">
        <v>164</v>
      </c>
      <c r="S8">
        <f t="shared" si="1"/>
        <v>0</v>
      </c>
      <c r="T8">
        <f t="shared" si="2"/>
        <v>100</v>
      </c>
      <c r="U8">
        <f t="shared" si="3"/>
        <v>100</v>
      </c>
    </row>
    <row r="9" spans="1:21">
      <c r="A9">
        <v>8</v>
      </c>
      <c r="B9">
        <f>Bgls_oxides!B12/GlassStdCalc!B$17</f>
        <v>4.9446545454545454</v>
      </c>
      <c r="C9">
        <f>Bgls_oxides!C12/GlassStdCalc!C$17</f>
        <v>0.5399516979735357</v>
      </c>
      <c r="D9">
        <f>Bgls_oxides!D12/GlassStdCalc!D$17</f>
        <v>8.4948884210526307E-2</v>
      </c>
      <c r="E9">
        <f>Bgls_oxides!E12/GlassStdCalc!E$17</f>
        <v>50.349492375914117</v>
      </c>
      <c r="F9">
        <f>Bgls_oxides!F12/GlassStdCalc!F$17</f>
        <v>1.4282457212713937</v>
      </c>
      <c r="G9">
        <f>Bgls_oxides!G12/GlassStdCalc!G$17</f>
        <v>0</v>
      </c>
      <c r="H9">
        <f>Bgls_oxides!H12/GlassStdCalc!H$17</f>
        <v>0.84967312451992827</v>
      </c>
      <c r="I9">
        <f>Bgls_oxides!I12/GlassStdCalc!I$17</f>
        <v>3.6065573770491806E-2</v>
      </c>
      <c r="J9">
        <f>Bgls_oxides!J12/GlassStdCalc!J$17</f>
        <v>25.53992579908676</v>
      </c>
      <c r="K9">
        <f>Bgls_oxides!K12/GlassStdCalc!K$17</f>
        <v>1.4833127317676145E-3</v>
      </c>
      <c r="L9">
        <f>Bgls_oxides!L12/GlassStdCalc!L$17</f>
        <v>1.8848314606741572E-3</v>
      </c>
      <c r="M9">
        <f>Bgls_oxides!M12/GlassStdCalc!M$17</f>
        <v>13.796672566371683</v>
      </c>
      <c r="N9">
        <f>Bgls_oxides!N12/GlassStdCalc!N$17</f>
        <v>1.2842152466367714E-2</v>
      </c>
      <c r="O9">
        <f t="shared" si="0"/>
        <v>97.585840585231793</v>
      </c>
      <c r="P9" t="s">
        <v>164</v>
      </c>
      <c r="S9">
        <f t="shared" si="1"/>
        <v>3.8046210566338505</v>
      </c>
      <c r="T9">
        <f t="shared" si="2"/>
        <v>96.195378943366151</v>
      </c>
      <c r="U9">
        <f t="shared" si="3"/>
        <v>100</v>
      </c>
    </row>
    <row r="10" spans="1:21">
      <c r="A10">
        <v>9</v>
      </c>
      <c r="B10">
        <f>Bgls_oxides!B13/GlassStdCalc!B$17</f>
        <v>2.5247272727272727</v>
      </c>
      <c r="C10">
        <f>Bgls_oxides!C13/GlassStdCalc!C$17</f>
        <v>6.9468862774127883E-3</v>
      </c>
      <c r="D10">
        <f>Bgls_oxides!D13/GlassStdCalc!D$17</f>
        <v>13.749355789473682</v>
      </c>
      <c r="E10">
        <f>Bgls_oxides!E13/GlassStdCalc!E$17</f>
        <v>45.457834137233547</v>
      </c>
      <c r="F10">
        <f>Bgls_oxides!F13/GlassStdCalc!F$17</f>
        <v>0.11496372249388753</v>
      </c>
      <c r="G10">
        <f>Bgls_oxides!G13/GlassStdCalc!G$17</f>
        <v>7.8127837932238917E-2</v>
      </c>
      <c r="H10">
        <f>Bgls_oxides!H13/GlassStdCalc!H$17</f>
        <v>1.7026542630366135</v>
      </c>
      <c r="I10">
        <f>Bgls_oxides!I13/GlassStdCalc!I$17</f>
        <v>0.24947072599531617</v>
      </c>
      <c r="J10">
        <f>Bgls_oxides!J13/GlassStdCalc!J$17</f>
        <v>14.946775114155251</v>
      </c>
      <c r="K10">
        <f>Bgls_oxides!K13/GlassStdCalc!K$17</f>
        <v>0.67321207840367292</v>
      </c>
      <c r="L10">
        <f>Bgls_oxides!L13/GlassStdCalc!L$17</f>
        <v>4.7780477528089884</v>
      </c>
      <c r="M10">
        <f>Bgls_oxides!M13/GlassStdCalc!M$17</f>
        <v>11.041274336283188</v>
      </c>
      <c r="N10">
        <f>Bgls_oxides!N13/GlassStdCalc!N$17</f>
        <v>3.9820627802690587</v>
      </c>
      <c r="O10">
        <f t="shared" si="0"/>
        <v>99.305452697090132</v>
      </c>
      <c r="P10" t="s">
        <v>165</v>
      </c>
      <c r="S10">
        <f t="shared" si="1"/>
        <v>38.250870830735664</v>
      </c>
      <c r="T10">
        <f t="shared" si="2"/>
        <v>61.749129169264336</v>
      </c>
      <c r="U10">
        <f t="shared" si="3"/>
        <v>100</v>
      </c>
    </row>
    <row r="11" spans="1:21">
      <c r="A11">
        <v>10</v>
      </c>
      <c r="B11">
        <f>Bgls_oxides!B14/GlassStdCalc!B$17</f>
        <v>2.4675636363636362</v>
      </c>
      <c r="C11">
        <f>Bgls_oxides!C14/GlassStdCalc!C$17</f>
        <v>6.5499213472749139E-3</v>
      </c>
      <c r="D11">
        <f>Bgls_oxides!D14/GlassStdCalc!D$17</f>
        <v>13.709473684210526</v>
      </c>
      <c r="E11">
        <f>Bgls_oxides!E14/GlassStdCalc!E$17</f>
        <v>45.428187723665786</v>
      </c>
      <c r="F11">
        <f>Bgls_oxides!F14/GlassStdCalc!F$17</f>
        <v>0.10802365525672372</v>
      </c>
      <c r="G11">
        <f>Bgls_oxides!G14/GlassStdCalc!G$17</f>
        <v>0.10730003492839681</v>
      </c>
      <c r="H11">
        <f>Bgls_oxides!H14/GlassStdCalc!H$17</f>
        <v>1.7221131688998892</v>
      </c>
      <c r="I11">
        <f>Bgls_oxides!I14/GlassStdCalc!I$17</f>
        <v>0.22669789227166276</v>
      </c>
      <c r="J11">
        <f>Bgls_oxides!J14/GlassStdCalc!J$17</f>
        <v>15.037057648401827</v>
      </c>
      <c r="K11">
        <f>Bgls_oxides!K14/GlassStdCalc!K$17</f>
        <v>0.66388839837541946</v>
      </c>
      <c r="L11">
        <f>Bgls_oxides!L14/GlassStdCalc!L$17</f>
        <v>4.7874719101123597</v>
      </c>
      <c r="M11">
        <f>Bgls_oxides!M14/GlassStdCalc!M$17</f>
        <v>10.942867256637168</v>
      </c>
      <c r="N11">
        <f>Bgls_oxides!N14/GlassStdCalc!N$17</f>
        <v>3.8825112107623321</v>
      </c>
      <c r="O11">
        <f t="shared" si="0"/>
        <v>99.089706141233009</v>
      </c>
      <c r="P11" t="s">
        <v>166</v>
      </c>
      <c r="S11">
        <f t="shared" si="1"/>
        <v>38.366089412974205</v>
      </c>
      <c r="T11">
        <f t="shared" si="2"/>
        <v>61.633910587025795</v>
      </c>
      <c r="U11">
        <f t="shared" si="3"/>
        <v>100</v>
      </c>
    </row>
    <row r="12" spans="1:21">
      <c r="A12">
        <v>11</v>
      </c>
      <c r="B12">
        <f>Bgls_oxides!B15/GlassStdCalc!B$17</f>
        <v>2.7629090909090905</v>
      </c>
      <c r="C12">
        <f>Bgls_oxides!C15/GlassStdCalc!C$17</f>
        <v>1.1591375960025909E-2</v>
      </c>
      <c r="D12">
        <f>Bgls_oxides!D15/GlassStdCalc!D$17</f>
        <v>13.450239999999999</v>
      </c>
      <c r="E12">
        <f>Bgls_oxides!E15/GlassStdCalc!E$17</f>
        <v>45.092195036564497</v>
      </c>
      <c r="F12">
        <f>Bgls_oxides!F15/GlassStdCalc!F$17</f>
        <v>0.12532353300733498</v>
      </c>
      <c r="G12">
        <f>Bgls_oxides!G15/GlassStdCalc!G$17</f>
        <v>7.0750960530911636E-2</v>
      </c>
      <c r="H12">
        <f>Bgls_oxides!H15/GlassStdCalc!H$17</f>
        <v>1.7804898864897158</v>
      </c>
      <c r="I12">
        <f>Bgls_oxides!I15/GlassStdCalc!I$17</f>
        <v>0.23205620608899299</v>
      </c>
      <c r="J12">
        <f>Bgls_oxides!J15/GlassStdCalc!J$17</f>
        <v>15.057120433789954</v>
      </c>
      <c r="K12">
        <f>Bgls_oxides!K15/GlassStdCalc!K$17</f>
        <v>0.68804520572134908</v>
      </c>
      <c r="L12">
        <f>Bgls_oxides!L15/GlassStdCalc!L$17</f>
        <v>4.7780477528089884</v>
      </c>
      <c r="M12">
        <f>Bgls_oxides!M15/GlassStdCalc!M$17</f>
        <v>10.982230088495577</v>
      </c>
      <c r="N12">
        <f>Bgls_oxides!N15/GlassStdCalc!N$17</f>
        <v>3.8825112107623321</v>
      </c>
      <c r="O12">
        <f t="shared" si="0"/>
        <v>98.913510781128778</v>
      </c>
      <c r="P12" t="s">
        <v>167</v>
      </c>
      <c r="S12">
        <f t="shared" si="1"/>
        <v>38.771708959375019</v>
      </c>
      <c r="T12">
        <f t="shared" si="2"/>
        <v>61.228291040624981</v>
      </c>
      <c r="U12">
        <f t="shared" si="3"/>
        <v>100</v>
      </c>
    </row>
    <row r="13" spans="1:21">
      <c r="A13">
        <v>12</v>
      </c>
      <c r="B13">
        <f>Bgls_oxides!B16/GlassStdCalc!B$17</f>
        <v>2.5247272727272727</v>
      </c>
      <c r="C13">
        <f>Bgls_oxides!C16/GlassStdCalc!C$17</f>
        <v>1.7267974460997499E-2</v>
      </c>
      <c r="D13">
        <f>Bgls_oxides!D16/GlassStdCalc!D$17</f>
        <v>13.589827368421053</v>
      </c>
      <c r="E13">
        <f>Bgls_oxides!E16/GlassStdCalc!E$17</f>
        <v>45.655476894351956</v>
      </c>
      <c r="F13">
        <f>Bgls_oxides!F16/GlassStdCalc!F$17</f>
        <v>0.12391540342298289</v>
      </c>
      <c r="G13">
        <f>Bgls_oxides!G16/GlassStdCalc!G$17</f>
        <v>8.3224589591337772E-2</v>
      </c>
      <c r="H13">
        <f>Bgls_oxides!H16/GlassStdCalc!H$17</f>
        <v>1.5372535631987712</v>
      </c>
      <c r="I13">
        <f>Bgls_oxides!I16/GlassStdCalc!I$17</f>
        <v>0.22669789227166276</v>
      </c>
      <c r="J13">
        <f>Bgls_oxides!J16/GlassStdCalc!J$17</f>
        <v>14.976869292237442</v>
      </c>
      <c r="K13">
        <f>Bgls_oxides!K16/GlassStdCalc!K$17</f>
        <v>0.59819883453999645</v>
      </c>
      <c r="L13">
        <f>Bgls_oxides!L16/GlassStdCalc!L$17</f>
        <v>4.8722893258426963</v>
      </c>
      <c r="M13">
        <f>Bgls_oxides!M16/GlassStdCalc!M$17</f>
        <v>11.041274336283188</v>
      </c>
      <c r="N13">
        <f>Bgls_oxides!N16/GlassStdCalc!N$17</f>
        <v>3.9721076233183861</v>
      </c>
      <c r="O13">
        <f t="shared" si="0"/>
        <v>99.219130370667756</v>
      </c>
      <c r="P13" t="s">
        <v>168</v>
      </c>
      <c r="S13">
        <f t="shared" si="1"/>
        <v>38.990507945079251</v>
      </c>
      <c r="T13">
        <f t="shared" si="2"/>
        <v>61.009492054920749</v>
      </c>
      <c r="U13">
        <f t="shared" si="3"/>
        <v>100</v>
      </c>
    </row>
    <row r="14" spans="1:21">
      <c r="A14">
        <v>13</v>
      </c>
      <c r="B14">
        <f>Bgls_oxides!B17/GlassStdCalc!B$17</f>
        <v>2.2674909090909088</v>
      </c>
      <c r="C14">
        <f>Bgls_oxides!C17/GlassStdCalc!C$17</f>
        <v>2.1555195706486535E-2</v>
      </c>
      <c r="D14">
        <f>Bgls_oxides!D17/GlassStdCalc!D$17</f>
        <v>13.938795789473684</v>
      </c>
      <c r="E14">
        <f>Bgls_oxides!E17/GlassStdCalc!E$17</f>
        <v>45.40842344795395</v>
      </c>
      <c r="F14">
        <f>Bgls_oxides!F17/GlassStdCalc!F$17</f>
        <v>0.12572585574572129</v>
      </c>
      <c r="G14">
        <f>Bgls_oxides!G17/GlassStdCalc!G$17</f>
        <v>8.6913028292001399E-2</v>
      </c>
      <c r="H14">
        <f>Bgls_oxides!H17/GlassStdCalc!H$17</f>
        <v>1.6442775454467866</v>
      </c>
      <c r="I14">
        <f>Bgls_oxides!I17/GlassStdCalc!I$17</f>
        <v>0.27152224824355975</v>
      </c>
      <c r="J14">
        <f>Bgls_oxides!J17/GlassStdCalc!J$17</f>
        <v>15.107277397260274</v>
      </c>
      <c r="K14">
        <f>Bgls_oxides!K17/GlassStdCalc!K$17</f>
        <v>0.74525869680381429</v>
      </c>
      <c r="L14">
        <f>Bgls_oxides!L17/GlassStdCalc!L$17</f>
        <v>4.7120786516853927</v>
      </c>
      <c r="M14">
        <f>Bgls_oxides!M17/GlassStdCalc!M$17</f>
        <v>11.139681415929205</v>
      </c>
      <c r="N14">
        <f>Bgls_oxides!N17/GlassStdCalc!N$17</f>
        <v>3.9521973094170408</v>
      </c>
      <c r="O14">
        <f t="shared" si="0"/>
        <v>99.421197491048815</v>
      </c>
      <c r="P14" t="s">
        <v>169</v>
      </c>
      <c r="S14">
        <f t="shared" si="1"/>
        <v>37.601424853034906</v>
      </c>
      <c r="T14">
        <f t="shared" si="2"/>
        <v>62.398575146965094</v>
      </c>
      <c r="U14">
        <f t="shared" si="3"/>
        <v>100</v>
      </c>
    </row>
    <row r="15" spans="1:21">
      <c r="A15">
        <v>14</v>
      </c>
      <c r="B15">
        <f>Bgls_oxides!B18/GlassStdCalc!B$17</f>
        <v>2.62</v>
      </c>
      <c r="C15">
        <f>Bgls_oxides!C18/GlassStdCalc!C$17</f>
        <v>1.1631072453039695E-2</v>
      </c>
      <c r="D15">
        <f>Bgls_oxides!D18/GlassStdCalc!D$17</f>
        <v>13.121212631578947</v>
      </c>
      <c r="E15">
        <f>Bgls_oxides!E18/GlassStdCalc!E$17</f>
        <v>45.645594756496031</v>
      </c>
      <c r="F15">
        <f>Bgls_oxides!F18/GlassStdCalc!F$17</f>
        <v>0.12803921149144254</v>
      </c>
      <c r="G15">
        <f>Bgls_oxides!G18/GlassStdCalc!G$17</f>
        <v>0.12688229130282921</v>
      </c>
      <c r="H15">
        <f>Bgls_oxides!H18/GlassStdCalc!H$17</f>
        <v>1.7513015276948025</v>
      </c>
      <c r="I15">
        <f>Bgls_oxides!I18/GlassStdCalc!I$17</f>
        <v>0.15662763466042154</v>
      </c>
      <c r="J15">
        <f>Bgls_oxides!J18/GlassStdCalc!J$17</f>
        <v>15.097246004566211</v>
      </c>
      <c r="K15">
        <f>Bgls_oxides!K18/GlassStdCalc!K$17</f>
        <v>0.78657955147448344</v>
      </c>
      <c r="L15">
        <f>Bgls_oxides!L18/GlassStdCalc!L$17</f>
        <v>4.6649578651685397</v>
      </c>
      <c r="M15">
        <f>Bgls_oxides!M18/GlassStdCalc!M$17</f>
        <v>10.89366371681416</v>
      </c>
      <c r="N15">
        <f>Bgls_oxides!N18/GlassStdCalc!N$17</f>
        <v>3.8924663677130047</v>
      </c>
      <c r="O15">
        <f t="shared" si="0"/>
        <v>98.896202631413914</v>
      </c>
      <c r="P15" t="s">
        <v>170</v>
      </c>
      <c r="S15">
        <f t="shared" si="1"/>
        <v>38.791022684596037</v>
      </c>
      <c r="T15">
        <f t="shared" si="2"/>
        <v>61.208977315403963</v>
      </c>
      <c r="U15">
        <f t="shared" si="3"/>
        <v>100</v>
      </c>
    </row>
    <row r="16" spans="1:21">
      <c r="A16">
        <v>15</v>
      </c>
      <c r="B16">
        <f>Bgls_oxides!B19/GlassStdCalc!B$17</f>
        <v>4.582618181818181</v>
      </c>
      <c r="C16">
        <f>Bgls_oxides!C19/GlassStdCalc!C$17</f>
        <v>1.079744609975016E-2</v>
      </c>
      <c r="D16">
        <f>Bgls_oxides!D19/GlassStdCalc!D$17</f>
        <v>12.622686315789473</v>
      </c>
      <c r="E16">
        <f>Bgls_oxides!E19/GlassStdCalc!E$17</f>
        <v>45.695005445775635</v>
      </c>
      <c r="F16">
        <f>Bgls_oxides!F19/GlassStdCalc!F$17</f>
        <v>0.12099856356968217</v>
      </c>
      <c r="G16">
        <f>Bgls_oxides!G19/GlassStdCalc!G$17</f>
        <v>7.9066713237862393E-2</v>
      </c>
      <c r="H16">
        <f>Bgls_oxides!H19/GlassStdCalc!H$17</f>
        <v>1.7318426218315268</v>
      </c>
      <c r="I16">
        <f>Bgls_oxides!I19/GlassStdCalc!I$17</f>
        <v>0.16796252927400468</v>
      </c>
      <c r="J16">
        <f>Bgls_oxides!J19/GlassStdCalc!J$17</f>
        <v>15.117308789954338</v>
      </c>
      <c r="K16">
        <f>Bgls_oxides!K19/GlassStdCalc!K$17</f>
        <v>0.77598446053328629</v>
      </c>
      <c r="L16">
        <f>Bgls_oxides!L19/GlassStdCalc!L$17</f>
        <v>4.4010814606741571</v>
      </c>
      <c r="M16">
        <f>Bgls_oxides!M19/GlassStdCalc!M$17</f>
        <v>10.303221238938054</v>
      </c>
      <c r="N16">
        <f>Bgls_oxides!N19/GlassStdCalc!N$17</f>
        <v>3.9721076233183861</v>
      </c>
      <c r="O16">
        <f t="shared" si="0"/>
        <v>99.580681390814334</v>
      </c>
      <c r="P16" t="s">
        <v>171</v>
      </c>
      <c r="S16">
        <f t="shared" si="1"/>
        <v>38.329189043983092</v>
      </c>
      <c r="T16">
        <f t="shared" si="2"/>
        <v>61.670810956016908</v>
      </c>
      <c r="U16">
        <f t="shared" si="3"/>
        <v>100</v>
      </c>
    </row>
    <row r="17" spans="1:21">
      <c r="A17">
        <v>16</v>
      </c>
      <c r="B17">
        <f>Bgls_oxides!B20/GlassStdCalc!B$17</f>
        <v>3.915709090909091</v>
      </c>
      <c r="C17">
        <f>Bgls_oxides!C20/GlassStdCalc!C$17</f>
        <v>3.136022948089201E-2</v>
      </c>
      <c r="D17">
        <f>Bgls_oxides!D20/GlassStdCalc!D$17</f>
        <v>13.559915789473683</v>
      </c>
      <c r="E17">
        <f>Bgls_oxides!E20/GlassStdCalc!E$17</f>
        <v>44.341152559514548</v>
      </c>
      <c r="F17">
        <f>Bgls_oxides!F20/GlassStdCalc!F$17</f>
        <v>0.12743572738386311</v>
      </c>
      <c r="G17">
        <f>Bgls_oxides!G20/GlassStdCalc!G$17</f>
        <v>9.368634299685645E-2</v>
      </c>
      <c r="H17">
        <f>Bgls_oxides!H20/GlassStdCalc!H$17</f>
        <v>1.6637364513100623</v>
      </c>
      <c r="I17">
        <f>Bgls_oxides!I20/GlassStdCalc!I$17</f>
        <v>0.22690398126463701</v>
      </c>
      <c r="J17">
        <f>Bgls_oxides!J20/GlassStdCalc!J$17</f>
        <v>14.836429794520546</v>
      </c>
      <c r="K17">
        <f>Bgls_oxides!K20/GlassStdCalc!K$17</f>
        <v>0.73604096768497262</v>
      </c>
      <c r="L17">
        <f>Bgls_oxides!L20/GlassStdCalc!L$17</f>
        <v>4.6178370786516858</v>
      </c>
      <c r="M17">
        <f>Bgls_oxides!M20/GlassStdCalc!M$17</f>
        <v>10.657486725663718</v>
      </c>
      <c r="N17">
        <f>Bgls_oxides!N20/GlassStdCalc!N$17</f>
        <v>3.9223318385650225</v>
      </c>
      <c r="O17">
        <f t="shared" si="0"/>
        <v>98.730026577419579</v>
      </c>
      <c r="P17" t="s">
        <v>172</v>
      </c>
      <c r="S17">
        <f t="shared" si="1"/>
        <v>37.774155700826483</v>
      </c>
      <c r="T17">
        <f t="shared" si="2"/>
        <v>62.225844299173517</v>
      </c>
      <c r="U17">
        <f t="shared" si="3"/>
        <v>100</v>
      </c>
    </row>
    <row r="18" spans="1:21">
      <c r="A18">
        <v>17</v>
      </c>
      <c r="B18">
        <f>Bgls_oxides!B21/GlassStdCalc!B$17</f>
        <v>4.2301090909090915</v>
      </c>
      <c r="C18">
        <f>Bgls_oxides!C21/GlassStdCalc!C$17</f>
        <v>1.579920421948737E-2</v>
      </c>
      <c r="D18">
        <f>Bgls_oxides!D21/GlassStdCalc!D$17</f>
        <v>13.001566315789471</v>
      </c>
      <c r="E18">
        <f>Bgls_oxides!E21/GlassStdCalc!E$17</f>
        <v>44.864905865878328</v>
      </c>
      <c r="F18">
        <f>Bgls_oxides!F21/GlassStdCalc!F$17</f>
        <v>0.12441830684596578</v>
      </c>
      <c r="G18">
        <f>Bgls_oxides!G21/GlassStdCalc!G$17</f>
        <v>7.9804400977995113E-2</v>
      </c>
      <c r="H18">
        <f>Bgls_oxides!H21/GlassStdCalc!H$17</f>
        <v>1.6248186395835111</v>
      </c>
      <c r="I18">
        <f>Bgls_oxides!I21/GlassStdCalc!I$17</f>
        <v>0.22370960187353628</v>
      </c>
      <c r="J18">
        <f>Bgls_oxides!J21/GlassStdCalc!J$17</f>
        <v>15.037057648401827</v>
      </c>
      <c r="K18">
        <f>Bgls_oxides!K21/GlassStdCalc!K$17</f>
        <v>0.727247042203779</v>
      </c>
      <c r="L18">
        <f>Bgls_oxides!L21/GlassStdCalc!L$17</f>
        <v>4.5330196629213475</v>
      </c>
      <c r="M18">
        <f>Bgls_oxides!M21/GlassStdCalc!M$17</f>
        <v>10.431150442477877</v>
      </c>
      <c r="N18">
        <f>Bgls_oxides!N21/GlassStdCalc!N$17</f>
        <v>3.8526457399103142</v>
      </c>
      <c r="O18">
        <f t="shared" si="0"/>
        <v>98.746251961992527</v>
      </c>
      <c r="P18" t="s">
        <v>173</v>
      </c>
      <c r="S18">
        <f t="shared" si="1"/>
        <v>38.328335072216419</v>
      </c>
      <c r="T18">
        <f t="shared" si="2"/>
        <v>61.671664927783581</v>
      </c>
      <c r="U18">
        <f t="shared" si="3"/>
        <v>100</v>
      </c>
    </row>
    <row r="19" spans="1:21">
      <c r="A19">
        <v>18</v>
      </c>
      <c r="B19">
        <f>Bgls_oxides!B22/GlassStdCalc!B$17</f>
        <v>5.3638545454545454</v>
      </c>
      <c r="C19">
        <f>Bgls_oxides!C22/GlassStdCalc!C$17</f>
        <v>8.8126214490607934E-3</v>
      </c>
      <c r="D19">
        <f>Bgls_oxides!D22/GlassStdCalc!D$17</f>
        <v>12.971654736842105</v>
      </c>
      <c r="E19">
        <f>Bgls_oxides!E22/GlassStdCalc!E$17</f>
        <v>45.596184067216434</v>
      </c>
      <c r="F19">
        <f>Bgls_oxides!F22/GlassStdCalc!F$17</f>
        <v>0.12693282396088021</v>
      </c>
      <c r="G19">
        <f>Bgls_oxides!G22/GlassStdCalc!G$17</f>
        <v>0.17275305623471884</v>
      </c>
      <c r="H19">
        <f>Bgls_oxides!H22/GlassStdCalc!H$17</f>
        <v>2.1307501920286764</v>
      </c>
      <c r="I19">
        <f>Bgls_oxides!I22/GlassStdCalc!I$17</f>
        <v>0.26564871194379386</v>
      </c>
      <c r="J19">
        <f>Bgls_oxides!J22/GlassStdCalc!J$17</f>
        <v>14.926712328767124</v>
      </c>
      <c r="K19">
        <f>Bgls_oxides!K22/GlassStdCalc!K$17</f>
        <v>0.73794808405438816</v>
      </c>
      <c r="L19">
        <f>Bgls_oxides!L22/GlassStdCalc!L$17</f>
        <v>4.0523876404494379</v>
      </c>
      <c r="M19">
        <f>Bgls_oxides!M22/GlassStdCalc!M$17</f>
        <v>9.2404247787610636</v>
      </c>
      <c r="N19">
        <f>Bgls_oxides!N22/GlassStdCalc!N$17</f>
        <v>3.8227802690582959</v>
      </c>
      <c r="O19">
        <f t="shared" si="0"/>
        <v>99.416843856220552</v>
      </c>
      <c r="P19" t="s">
        <v>174</v>
      </c>
      <c r="S19">
        <f t="shared" si="1"/>
        <v>35.768779948387404</v>
      </c>
      <c r="T19">
        <f t="shared" si="2"/>
        <v>64.231220051612596</v>
      </c>
      <c r="U19">
        <f t="shared" si="3"/>
        <v>100</v>
      </c>
    </row>
    <row r="20" spans="1:21">
      <c r="A20">
        <v>19</v>
      </c>
      <c r="B20">
        <f>Bgls_oxides!B23/GlassStdCalc!B$17</f>
        <v>4.1253090909090906</v>
      </c>
      <c r="C20">
        <f>Bgls_oxides!C23/GlassStdCalc!C$17</f>
        <v>1.8141297307300821E-2</v>
      </c>
      <c r="D20">
        <f>Bgls_oxides!D23/GlassStdCalc!D$17</f>
        <v>14.078383157894736</v>
      </c>
      <c r="E20">
        <f>Bgls_oxides!E23/GlassStdCalc!E$17</f>
        <v>45.576419791504591</v>
      </c>
      <c r="F20">
        <f>Bgls_oxides!F23/GlassStdCalc!F$17</f>
        <v>0.14634489608801957</v>
      </c>
      <c r="G20">
        <f>Bgls_oxides!G23/GlassStdCalc!G$17</f>
        <v>0.10696472231924556</v>
      </c>
      <c r="H20">
        <f>Bgls_oxides!H23/GlassStdCalc!H$17</f>
        <v>1.7999487923529915</v>
      </c>
      <c r="I20">
        <f>Bgls_oxides!I23/GlassStdCalc!I$17</f>
        <v>0.2210304449648712</v>
      </c>
      <c r="J20">
        <f>Bgls_oxides!J23/GlassStdCalc!J$17</f>
        <v>14.846461187214611</v>
      </c>
      <c r="K20">
        <f>Bgls_oxides!K23/GlassStdCalc!K$17</f>
        <v>0.81963623521101892</v>
      </c>
      <c r="L20">
        <f>Bgls_oxides!L23/GlassStdCalc!L$17</f>
        <v>4.1089325842696631</v>
      </c>
      <c r="M20">
        <f>Bgls_oxides!M23/GlassStdCalc!M$17</f>
        <v>9.78166371681416</v>
      </c>
      <c r="N20">
        <f>Bgls_oxides!N23/GlassStdCalc!N$17</f>
        <v>3.9024215246636773</v>
      </c>
      <c r="O20">
        <f t="shared" si="0"/>
        <v>99.531657441513985</v>
      </c>
      <c r="P20" t="s">
        <v>175</v>
      </c>
      <c r="S20">
        <f t="shared" si="1"/>
        <v>34.221682089924379</v>
      </c>
      <c r="T20">
        <f t="shared" si="2"/>
        <v>65.778317910075629</v>
      </c>
      <c r="U20">
        <f t="shared" si="3"/>
        <v>100</v>
      </c>
    </row>
    <row r="21" spans="1:21">
      <c r="A21">
        <v>20</v>
      </c>
      <c r="B21">
        <f>Bgls_oxides!B24/GlassStdCalc!B$17</f>
        <v>4.3063272727272723</v>
      </c>
      <c r="C21">
        <f>Bgls_oxides!C24/GlassStdCalc!C$17</f>
        <v>1.5164060331266769E-2</v>
      </c>
      <c r="D21">
        <f>Bgls_oxides!D24/GlassStdCalc!D$17</f>
        <v>13.649650526315789</v>
      </c>
      <c r="E21">
        <f>Bgls_oxides!E24/GlassStdCalc!E$17</f>
        <v>45.40842344795395</v>
      </c>
      <c r="F21">
        <f>Bgls_oxides!F24/GlassStdCalc!F$17</f>
        <v>0.13005082518337407</v>
      </c>
      <c r="G21">
        <f>Bgls_oxides!G24/GlassStdCalc!G$17</f>
        <v>0.12594341599720574</v>
      </c>
      <c r="H21">
        <f>Bgls_oxides!H24/GlassStdCalc!H$17</f>
        <v>2.1404796449603145</v>
      </c>
      <c r="I21">
        <f>Bgls_oxides!I24/GlassStdCalc!I$17</f>
        <v>0.22257611241217798</v>
      </c>
      <c r="J21">
        <f>Bgls_oxides!J24/GlassStdCalc!J$17</f>
        <v>14.846461187214611</v>
      </c>
      <c r="K21">
        <f>Bgls_oxides!K24/GlassStdCalc!K$17</f>
        <v>0.81688151156630762</v>
      </c>
      <c r="L21">
        <f>Bgls_oxides!L24/GlassStdCalc!L$17</f>
        <v>4.2974157303370779</v>
      </c>
      <c r="M21">
        <f>Bgls_oxides!M24/GlassStdCalc!M$17</f>
        <v>9.6635752212389399</v>
      </c>
      <c r="N21">
        <f>Bgls_oxides!N24/GlassStdCalc!N$17</f>
        <v>3.7630493273542602</v>
      </c>
      <c r="O21">
        <f t="shared" si="0"/>
        <v>99.385998283592571</v>
      </c>
      <c r="P21" t="s">
        <v>176</v>
      </c>
      <c r="S21">
        <f t="shared" si="1"/>
        <v>35.947265861841039</v>
      </c>
      <c r="T21">
        <f t="shared" si="2"/>
        <v>64.052734138158968</v>
      </c>
      <c r="U21">
        <f t="shared" si="3"/>
        <v>100</v>
      </c>
    </row>
    <row r="22" spans="1:21">
      <c r="A22">
        <v>21</v>
      </c>
      <c r="B22">
        <f>Bgls_oxides!B25/GlassStdCalc!B$17</f>
        <v>4.9351272727272724</v>
      </c>
      <c r="C22">
        <f>Bgls_oxides!C25/GlassStdCalc!C$17</f>
        <v>1.6474044600721754E-2</v>
      </c>
      <c r="D22">
        <f>Bgls_oxides!D25/GlassStdCalc!D$17</f>
        <v>15.33466947368421</v>
      </c>
      <c r="E22">
        <f>Bgls_oxides!E25/GlassStdCalc!E$17</f>
        <v>45.507244826513144</v>
      </c>
      <c r="F22">
        <f>Bgls_oxides!F25/GlassStdCalc!F$17</f>
        <v>0.16284012836185818</v>
      </c>
      <c r="G22">
        <f>Bgls_oxides!G25/GlassStdCalc!G$17</f>
        <v>0.12158435207823962</v>
      </c>
      <c r="H22">
        <f>Bgls_oxides!H25/GlassStdCalc!H$17</f>
        <v>2.1696680037552274</v>
      </c>
      <c r="I22">
        <f>Bgls_oxides!I25/GlassStdCalc!I$17</f>
        <v>0.28811241217798594</v>
      </c>
      <c r="J22">
        <f>Bgls_oxides!J25/GlassStdCalc!J$17</f>
        <v>14.515425228310503</v>
      </c>
      <c r="K22">
        <f>Bgls_oxides!K25/GlassStdCalc!K$17</f>
        <v>0.7580787568426629</v>
      </c>
      <c r="L22">
        <f>Bgls_oxides!L25/GlassStdCalc!L$17</f>
        <v>3.920449438202247</v>
      </c>
      <c r="M22">
        <f>Bgls_oxides!M25/GlassStdCalc!M$17</f>
        <v>8.6795044247787629</v>
      </c>
      <c r="N22">
        <f>Bgls_oxides!N25/GlassStdCalc!N$17</f>
        <v>3.9123766816143499</v>
      </c>
      <c r="O22">
        <f t="shared" si="0"/>
        <v>100.32155504364718</v>
      </c>
      <c r="P22" t="s">
        <v>177</v>
      </c>
      <c r="S22">
        <f t="shared" si="1"/>
        <v>31.305753227676369</v>
      </c>
      <c r="T22">
        <f t="shared" si="2"/>
        <v>68.694246772323623</v>
      </c>
      <c r="U22">
        <f t="shared" si="3"/>
        <v>100</v>
      </c>
    </row>
    <row r="23" spans="1:21">
      <c r="A23">
        <v>22</v>
      </c>
      <c r="B23">
        <f>Bgls_oxides!B26/GlassStdCalc!B$17</f>
        <v>4.5349818181818176</v>
      </c>
      <c r="C23">
        <f>Bgls_oxides!C26/GlassStdCalc!C$17</f>
        <v>2.0920051818265936E-2</v>
      </c>
      <c r="D23">
        <f>Bgls_oxides!D26/GlassStdCalc!D$17</f>
        <v>14.357557894736841</v>
      </c>
      <c r="E23">
        <f>Bgls_oxides!E26/GlassStdCalc!E$17</f>
        <v>45.121841450132251</v>
      </c>
      <c r="F23">
        <f>Bgls_oxides!F26/GlassStdCalc!F$17</f>
        <v>0.12793863080684598</v>
      </c>
      <c r="G23">
        <f>Bgls_oxides!G26/GlassStdCalc!G$17</f>
        <v>0.10186797066014672</v>
      </c>
      <c r="H23">
        <f>Bgls_oxides!H26/GlassStdCalc!H$17</f>
        <v>1.8875138687377315</v>
      </c>
      <c r="I23">
        <f>Bgls_oxides!I26/GlassStdCalc!I$17</f>
        <v>0.29429508196721316</v>
      </c>
      <c r="J23">
        <f>Bgls_oxides!J26/GlassStdCalc!J$17</f>
        <v>14.595676369863014</v>
      </c>
      <c r="K23">
        <f>Bgls_oxides!K26/GlassStdCalc!K$17</f>
        <v>0.78562599328977578</v>
      </c>
      <c r="L23">
        <f>Bgls_oxides!L26/GlassStdCalc!L$17</f>
        <v>4.3445365168539327</v>
      </c>
      <c r="M23">
        <f>Bgls_oxides!M26/GlassStdCalc!M$17</f>
        <v>9.7029380530973448</v>
      </c>
      <c r="N23">
        <f>Bgls_oxides!N26/GlassStdCalc!N$17</f>
        <v>3.8128251121076238</v>
      </c>
      <c r="O23">
        <f t="shared" si="0"/>
        <v>99.688518812252795</v>
      </c>
      <c r="P23" t="s">
        <v>178</v>
      </c>
      <c r="S23">
        <f t="shared" si="1"/>
        <v>35.039326438485226</v>
      </c>
      <c r="T23">
        <f t="shared" si="2"/>
        <v>64.960673561514767</v>
      </c>
      <c r="U23">
        <f t="shared" si="3"/>
        <v>100</v>
      </c>
    </row>
    <row r="24" spans="1:21">
      <c r="A24">
        <v>23</v>
      </c>
      <c r="B24">
        <f>Bgls_oxides!B27/GlassStdCalc!B$17</f>
        <v>4.8493818181818176</v>
      </c>
      <c r="C24">
        <f>Bgls_oxides!C27/GlassStdCalc!C$17</f>
        <v>1.2345609327287867E-2</v>
      </c>
      <c r="D24">
        <f>Bgls_oxides!D27/GlassStdCalc!D$17</f>
        <v>13.510063157894736</v>
      </c>
      <c r="E24">
        <f>Bgls_oxides!E27/GlassStdCalc!E$17</f>
        <v>46.198994476427572</v>
      </c>
      <c r="F24">
        <f>Bgls_oxides!F27/GlassStdCalc!F$17</f>
        <v>0.13749379584352078</v>
      </c>
      <c r="G24">
        <f>Bgls_oxides!G27/GlassStdCalc!G$17</f>
        <v>0.13157666783094657</v>
      </c>
      <c r="H24">
        <f>Bgls_oxides!H27/GlassStdCalc!H$17</f>
        <v>2.0139967568490227</v>
      </c>
      <c r="I24">
        <f>Bgls_oxides!I27/GlassStdCalc!I$17</f>
        <v>0.2418454332552693</v>
      </c>
      <c r="J24">
        <f>Bgls_oxides!J27/GlassStdCalc!J$17</f>
        <v>15.408219178082192</v>
      </c>
      <c r="K24">
        <f>Bgls_oxides!K27/GlassStdCalc!K$17</f>
        <v>0.78011654600035318</v>
      </c>
      <c r="L24">
        <f>Bgls_oxides!L27/GlassStdCalc!L$17</f>
        <v>3.9487219101123596</v>
      </c>
      <c r="M24">
        <f>Bgls_oxides!M27/GlassStdCalc!M$17</f>
        <v>9.2207433628318594</v>
      </c>
      <c r="N24">
        <f>Bgls_oxides!N27/GlassStdCalc!N$17</f>
        <v>3.7232286995515698</v>
      </c>
      <c r="O24">
        <f t="shared" si="0"/>
        <v>100.1767274121885</v>
      </c>
      <c r="P24" t="s">
        <v>179</v>
      </c>
      <c r="S24">
        <f t="shared" si="1"/>
        <v>34.25397750749763</v>
      </c>
      <c r="T24">
        <f t="shared" si="2"/>
        <v>65.746022492502362</v>
      </c>
      <c r="U24">
        <f t="shared" si="3"/>
        <v>100</v>
      </c>
    </row>
    <row r="25" spans="1:21">
      <c r="A25">
        <v>24</v>
      </c>
      <c r="B25">
        <f>Bgls_oxides!B28/GlassStdCalc!B$17</f>
        <v>4.8207999999999993</v>
      </c>
      <c r="C25">
        <f>Bgls_oxides!C28/GlassStdCalc!C$17</f>
        <v>1.0003516239474415E-2</v>
      </c>
      <c r="D25">
        <f>Bgls_oxides!D28/GlassStdCalc!D$17</f>
        <v>12.303629473684209</v>
      </c>
      <c r="E25">
        <f>Bgls_oxides!E28/GlassStdCalc!E$17</f>
        <v>45.438069861521704</v>
      </c>
      <c r="F25">
        <f>Bgls_oxides!F28/GlassStdCalc!F$17</f>
        <v>0.11526546454767726</v>
      </c>
      <c r="G25">
        <f>Bgls_oxides!G28/GlassStdCalc!G$17</f>
        <v>0.12433391547327979</v>
      </c>
      <c r="H25">
        <f>Bgls_oxides!H28/GlassStdCalc!H$17</f>
        <v>2.0042673039173851</v>
      </c>
      <c r="I25">
        <f>Bgls_oxides!I28/GlassStdCalc!I$17</f>
        <v>0.22381264637002343</v>
      </c>
      <c r="J25">
        <f>Bgls_oxides!J28/GlassStdCalc!J$17</f>
        <v>14.996932077625569</v>
      </c>
      <c r="K25">
        <f>Bgls_oxides!K28/GlassStdCalc!K$17</f>
        <v>0.77630231326152221</v>
      </c>
      <c r="L25">
        <f>Bgls_oxides!L28/GlassStdCalc!L$17</f>
        <v>4.2785674157303371</v>
      </c>
      <c r="M25">
        <f>Bgls_oxides!M28/GlassStdCalc!M$17</f>
        <v>10.175292035398231</v>
      </c>
      <c r="N25">
        <f>Bgls_oxides!N28/GlassStdCalc!N$17</f>
        <v>3.8526457399103142</v>
      </c>
      <c r="O25">
        <f t="shared" si="0"/>
        <v>99.119921763679727</v>
      </c>
      <c r="P25" t="s">
        <v>180</v>
      </c>
      <c r="S25">
        <f t="shared" si="1"/>
        <v>38.267024797500483</v>
      </c>
      <c r="T25">
        <f t="shared" si="2"/>
        <v>61.732975202499517</v>
      </c>
      <c r="U25">
        <f t="shared" si="3"/>
        <v>100</v>
      </c>
    </row>
    <row r="26" spans="1:21">
      <c r="A26">
        <v>25</v>
      </c>
      <c r="B26">
        <f>Bgls_oxides!B29/GlassStdCalc!B$17</f>
        <v>4.277745454545455</v>
      </c>
      <c r="C26">
        <f>Bgls_oxides!C29/GlassStdCalc!C$17</f>
        <v>1.2782270750439528E-2</v>
      </c>
      <c r="D26">
        <f>Bgls_oxides!D29/GlassStdCalc!D$17</f>
        <v>13.789237894736841</v>
      </c>
      <c r="E26">
        <f>Bgls_oxides!E29/GlassStdCalc!E$17</f>
        <v>45.31948420725066</v>
      </c>
      <c r="F26">
        <f>Bgls_oxides!F29/GlassStdCalc!F$17</f>
        <v>0.1221049511002445</v>
      </c>
      <c r="G26">
        <f>Bgls_oxides!G29/GlassStdCalc!G$17</f>
        <v>0.10481872162067762</v>
      </c>
      <c r="H26">
        <f>Bgls_oxides!H29/GlassStdCalc!H$17</f>
        <v>1.9361611333959206</v>
      </c>
      <c r="I26">
        <f>Bgls_oxides!I29/GlassStdCalc!I$17</f>
        <v>0.31995316159250586</v>
      </c>
      <c r="J26">
        <f>Bgls_oxides!J29/GlassStdCalc!J$17</f>
        <v>15.137371575342465</v>
      </c>
      <c r="K26">
        <f>Bgls_oxides!K29/GlassStdCalc!K$17</f>
        <v>0.81126611336747312</v>
      </c>
      <c r="L26">
        <f>Bgls_oxides!L29/GlassStdCalc!L$17</f>
        <v>4.3445365168539327</v>
      </c>
      <c r="M26">
        <f>Bgls_oxides!M29/GlassStdCalc!M$17</f>
        <v>9.8899115044247807</v>
      </c>
      <c r="N26">
        <f>Bgls_oxides!N29/GlassStdCalc!N$17</f>
        <v>3.7232286995515698</v>
      </c>
      <c r="O26">
        <f t="shared" si="0"/>
        <v>99.788602204532978</v>
      </c>
      <c r="P26" t="s">
        <v>181</v>
      </c>
      <c r="S26">
        <f t="shared" si="1"/>
        <v>35.96409273160188</v>
      </c>
      <c r="T26">
        <f t="shared" si="2"/>
        <v>64.03590726839812</v>
      </c>
      <c r="U26">
        <f t="shared" si="3"/>
        <v>100</v>
      </c>
    </row>
    <row r="27" spans="1:21">
      <c r="A27">
        <v>26</v>
      </c>
      <c r="B27">
        <f>Bgls_oxides!B30/GlassStdCalc!B$17</f>
        <v>4.4873454545454541</v>
      </c>
      <c r="C27">
        <f>Bgls_oxides!C30/GlassStdCalc!C$17</f>
        <v>1.5243453317294344E-2</v>
      </c>
      <c r="D27">
        <f>Bgls_oxides!D30/GlassStdCalc!D$17</f>
        <v>14.008589473684211</v>
      </c>
      <c r="E27">
        <f>Bgls_oxides!E30/GlassStdCalc!E$17</f>
        <v>44.894552279446089</v>
      </c>
      <c r="F27">
        <f>Bgls_oxides!F30/GlassStdCalc!F$17</f>
        <v>0.12029449877750611</v>
      </c>
      <c r="G27">
        <f>Bgls_oxides!G30/GlassStdCalc!G$17</f>
        <v>0.17322249388753055</v>
      </c>
      <c r="H27">
        <f>Bgls_oxides!H30/GlassStdCalc!H$17</f>
        <v>1.9069727746010072</v>
      </c>
      <c r="I27">
        <f>Bgls_oxides!I30/GlassStdCalc!I$17</f>
        <v>0.23751756440281033</v>
      </c>
      <c r="J27">
        <f>Bgls_oxides!J30/GlassStdCalc!J$17</f>
        <v>14.525456621004567</v>
      </c>
      <c r="K27">
        <f>Bgls_oxides!K30/GlassStdCalc!K$17</f>
        <v>0.7747130496203426</v>
      </c>
      <c r="L27">
        <f>Bgls_oxides!L30/GlassStdCalc!L$17</f>
        <v>4.372808988764044</v>
      </c>
      <c r="M27">
        <f>Bgls_oxides!M30/GlassStdCalc!M$17</f>
        <v>9.5553274336283209</v>
      </c>
      <c r="N27">
        <f>Bgls_oxides!N30/GlassStdCalc!N$17</f>
        <v>3.7929147982062781</v>
      </c>
      <c r="O27">
        <f t="shared" si="0"/>
        <v>98.86495888388545</v>
      </c>
      <c r="P27" t="s">
        <v>182</v>
      </c>
      <c r="S27">
        <f t="shared" si="1"/>
        <v>35.750292934466771</v>
      </c>
      <c r="T27">
        <f t="shared" si="2"/>
        <v>64.249707065533229</v>
      </c>
      <c r="U27">
        <f t="shared" si="3"/>
        <v>100</v>
      </c>
    </row>
    <row r="28" spans="1:21">
      <c r="A28">
        <v>27</v>
      </c>
      <c r="B28">
        <f>Bgls_oxides!B31/GlassStdCalc!B$17</f>
        <v>4.592145454545455</v>
      </c>
      <c r="C28">
        <f>Bgls_oxides!C31/GlassStdCalc!C$17</f>
        <v>3.2432034792264267E-2</v>
      </c>
      <c r="D28">
        <f>Bgls_oxides!D31/GlassStdCalc!D$17</f>
        <v>13.480151578947368</v>
      </c>
      <c r="E28">
        <f>Bgls_oxides!E31/GlassStdCalc!E$17</f>
        <v>44.40044538665007</v>
      </c>
      <c r="F28">
        <f>Bgls_oxides!F31/GlassStdCalc!F$17</f>
        <v>6.8193704156479226E-2</v>
      </c>
      <c r="G28">
        <f>Bgls_oxides!G31/GlassStdCalc!G$17</f>
        <v>5.5930143206426836E-2</v>
      </c>
      <c r="H28">
        <f>Bgls_oxides!H31/GlassStdCalc!H$17</f>
        <v>2.0723734744388493</v>
      </c>
      <c r="I28">
        <f>Bgls_oxides!I31/GlassStdCalc!I$17</f>
        <v>0.24936768149882904</v>
      </c>
      <c r="J28">
        <f>Bgls_oxides!J31/GlassStdCalc!J$17</f>
        <v>15.528595890410958</v>
      </c>
      <c r="K28">
        <f>Bgls_oxides!K31/GlassStdCalc!K$17</f>
        <v>1.1249867561363236</v>
      </c>
      <c r="L28">
        <f>Bgls_oxides!L31/GlassStdCalc!L$17</f>
        <v>4.2785674157303371</v>
      </c>
      <c r="M28">
        <f>Bgls_oxides!M31/GlassStdCalc!M$17</f>
        <v>10.39178761061947</v>
      </c>
      <c r="N28">
        <f>Bgls_oxides!N31/GlassStdCalc!N$17</f>
        <v>3.7829596412556055</v>
      </c>
      <c r="O28">
        <f t="shared" si="0"/>
        <v>100.05793677238843</v>
      </c>
      <c r="P28" t="s">
        <v>183</v>
      </c>
      <c r="S28">
        <f t="shared" si="1"/>
        <v>36.133980560412787</v>
      </c>
      <c r="T28">
        <f t="shared" si="2"/>
        <v>63.866019439587213</v>
      </c>
      <c r="U28">
        <f t="shared" si="3"/>
        <v>100</v>
      </c>
    </row>
    <row r="29" spans="1:21">
      <c r="A29">
        <v>28</v>
      </c>
      <c r="B29">
        <f>Bgls_oxides!B32/GlassStdCalc!B$17</f>
        <v>4.592145454545455</v>
      </c>
      <c r="C29">
        <f>Bgls_oxides!C32/GlassStdCalc!C$17</f>
        <v>5.2836032201350969E-2</v>
      </c>
      <c r="D29">
        <f>Bgls_oxides!D32/GlassStdCalc!D$17</f>
        <v>12.582804210526314</v>
      </c>
      <c r="E29">
        <f>Bgls_oxides!E32/GlassStdCalc!E$17</f>
        <v>44.024924148125095</v>
      </c>
      <c r="F29">
        <f>Bgls_oxides!F32/GlassStdCalc!F$17</f>
        <v>0.13648798899755502</v>
      </c>
      <c r="G29">
        <f>Bgls_oxides!G32/GlassStdCalc!G$17</f>
        <v>0.10790359762486902</v>
      </c>
      <c r="H29">
        <f>Bgls_oxides!H32/GlassStdCalc!H$17</f>
        <v>2.1404796449603145</v>
      </c>
      <c r="I29">
        <f>Bgls_oxides!I32/GlassStdCalc!I$17</f>
        <v>0.24143325526932086</v>
      </c>
      <c r="J29">
        <f>Bgls_oxides!J32/GlassStdCalc!J$17</f>
        <v>15.398187785388128</v>
      </c>
      <c r="K29">
        <f>Bgls_oxides!K32/GlassStdCalc!K$17</f>
        <v>1.0642768850432633</v>
      </c>
      <c r="L29">
        <f>Bgls_oxides!L32/GlassStdCalc!L$17</f>
        <v>4.156053370786517</v>
      </c>
      <c r="M29">
        <f>Bgls_oxides!M32/GlassStdCalc!M$17</f>
        <v>10.352424778761062</v>
      </c>
      <c r="N29">
        <f>Bgls_oxides!N32/GlassStdCalc!N$17</f>
        <v>3.7829596412556055</v>
      </c>
      <c r="O29">
        <f t="shared" si="0"/>
        <v>98.632916793484867</v>
      </c>
      <c r="P29" t="s">
        <v>184</v>
      </c>
      <c r="S29">
        <f t="shared" si="1"/>
        <v>37.058246664038577</v>
      </c>
      <c r="T29">
        <f t="shared" si="2"/>
        <v>62.941753335961423</v>
      </c>
      <c r="U29">
        <f t="shared" si="3"/>
        <v>100</v>
      </c>
    </row>
    <row r="30" spans="1:21">
      <c r="A30">
        <v>29</v>
      </c>
      <c r="B30">
        <f>Bgls_oxides!B33/GlassStdCalc!B$17</f>
        <v>4.6207272727272724</v>
      </c>
      <c r="C30">
        <f>Bgls_oxides!C33/GlassStdCalc!C$17</f>
        <v>4.3745535301193669E-2</v>
      </c>
      <c r="D30">
        <f>Bgls_oxides!D33/GlassStdCalc!D$17</f>
        <v>12.193953684210525</v>
      </c>
      <c r="E30">
        <f>Bgls_oxides!E33/GlassStdCalc!E$17</f>
        <v>44.390563248794152</v>
      </c>
      <c r="F30">
        <f>Bgls_oxides!F33/GlassStdCalc!F$17</f>
        <v>0.12140088630806847</v>
      </c>
      <c r="G30">
        <f>Bgls_oxides!G33/GlassStdCalc!G$17</f>
        <v>7.5780649668180239E-2</v>
      </c>
      <c r="H30">
        <f>Bgls_oxides!H33/GlassStdCalc!H$17</f>
        <v>2.1112912861654007</v>
      </c>
      <c r="I30">
        <f>Bgls_oxides!I33/GlassStdCalc!I$17</f>
        <v>0.22700702576112411</v>
      </c>
      <c r="J30">
        <f>Bgls_oxides!J33/GlassStdCalc!J$17</f>
        <v>15.408219178082192</v>
      </c>
      <c r="K30">
        <f>Bgls_oxides!K33/GlassStdCalc!K$17</f>
        <v>1.0327035140384955</v>
      </c>
      <c r="L30">
        <f>Bgls_oxides!L33/GlassStdCalc!L$17</f>
        <v>3.9392977528089883</v>
      </c>
      <c r="M30">
        <f>Bgls_oxides!M33/GlassStdCalc!M$17</f>
        <v>10.313061946902657</v>
      </c>
      <c r="N30">
        <f>Bgls_oxides!N33/GlassStdCalc!N$17</f>
        <v>3.6834080717488793</v>
      </c>
      <c r="O30">
        <f t="shared" si="0"/>
        <v>98.161160052517147</v>
      </c>
      <c r="P30" t="s">
        <v>185</v>
      </c>
      <c r="S30">
        <f t="shared" si="1"/>
        <v>36.542570695886972</v>
      </c>
      <c r="T30">
        <f t="shared" si="2"/>
        <v>63.457429304113028</v>
      </c>
      <c r="U30">
        <f t="shared" si="3"/>
        <v>100</v>
      </c>
    </row>
    <row r="31" spans="1:21">
      <c r="A31">
        <v>30</v>
      </c>
      <c r="B31">
        <f>Bgls_oxides!B34/GlassStdCalc!B$17</f>
        <v>4.6683636363636367</v>
      </c>
      <c r="C31">
        <f>Bgls_oxides!C34/GlassStdCalc!C$17</f>
        <v>3.9855278985842506E-2</v>
      </c>
      <c r="D31">
        <f>Bgls_oxides!D34/GlassStdCalc!D$17</f>
        <v>12.542922105263157</v>
      </c>
      <c r="E31">
        <f>Bgls_oxides!E34/GlassStdCalc!E$17</f>
        <v>44.252213318811265</v>
      </c>
      <c r="F31">
        <f>Bgls_oxides!F34/GlassStdCalc!F$17</f>
        <v>0.13960599022004891</v>
      </c>
      <c r="G31">
        <f>Bgls_oxides!G34/GlassStdCalc!G$17</f>
        <v>0.12849179182675516</v>
      </c>
      <c r="H31">
        <f>Bgls_oxides!H34/GlassStdCalc!H$17</f>
        <v>2.1793974566868655</v>
      </c>
      <c r="I31">
        <f>Bgls_oxides!I34/GlassStdCalc!I$17</f>
        <v>0.2539016393442623</v>
      </c>
      <c r="J31">
        <f>Bgls_oxides!J34/GlassStdCalc!J$17</f>
        <v>14.635801940639269</v>
      </c>
      <c r="K31">
        <f>Bgls_oxides!K34/GlassStdCalc!K$17</f>
        <v>1.0315380540349639</v>
      </c>
      <c r="L31">
        <f>Bgls_oxides!L34/GlassStdCalc!L$17</f>
        <v>4.2597191011235953</v>
      </c>
      <c r="M31">
        <f>Bgls_oxides!M34/GlassStdCalc!M$17</f>
        <v>10.352424778761062</v>
      </c>
      <c r="N31">
        <f>Bgls_oxides!N34/GlassStdCalc!N$17</f>
        <v>3.7730044843049328</v>
      </c>
      <c r="O31">
        <f t="shared" si="0"/>
        <v>98.257239576365649</v>
      </c>
      <c r="P31" t="s">
        <v>186</v>
      </c>
      <c r="S31">
        <f t="shared" si="1"/>
        <v>37.709263809829054</v>
      </c>
      <c r="T31">
        <f t="shared" si="2"/>
        <v>62.290736190170946</v>
      </c>
      <c r="U31">
        <f t="shared" si="3"/>
        <v>100</v>
      </c>
    </row>
    <row r="32" spans="1:21">
      <c r="A32">
        <v>31</v>
      </c>
      <c r="B32">
        <f>Bgls_oxides!B35/GlassStdCalc!B$17</f>
        <v>4.5254545454545454</v>
      </c>
      <c r="C32">
        <f>Bgls_oxides!C35/GlassStdCalc!C$17</f>
        <v>3.9736189506801141E-2</v>
      </c>
      <c r="D32">
        <f>Bgls_oxides!D35/GlassStdCalc!D$17</f>
        <v>12.183983157894737</v>
      </c>
      <c r="E32">
        <f>Bgls_oxides!E35/GlassStdCalc!E$17</f>
        <v>44.321388283802712</v>
      </c>
      <c r="F32">
        <f>Bgls_oxides!F35/GlassStdCalc!F$17</f>
        <v>0.14191934596577019</v>
      </c>
      <c r="G32">
        <f>Bgls_oxides!G35/GlassStdCalc!G$17</f>
        <v>9.0333216905344044E-2</v>
      </c>
      <c r="H32">
        <f>Bgls_oxides!H35/GlassStdCalc!H$17</f>
        <v>2.0821029273704874</v>
      </c>
      <c r="I32">
        <f>Bgls_oxides!I35/GlassStdCalc!I$17</f>
        <v>0.24689461358313819</v>
      </c>
      <c r="J32">
        <f>Bgls_oxides!J35/GlassStdCalc!J$17</f>
        <v>14.816367009132419</v>
      </c>
      <c r="K32">
        <f>Bgls_oxides!K35/GlassStdCalc!K$17</f>
        <v>1.1034787215256932</v>
      </c>
      <c r="L32">
        <f>Bgls_oxides!L35/GlassStdCalc!L$17</f>
        <v>4.1372050561797744</v>
      </c>
      <c r="M32">
        <f>Bgls_oxides!M35/GlassStdCalc!M$17</f>
        <v>10.28353982300885</v>
      </c>
      <c r="N32">
        <f>Bgls_oxides!N35/GlassStdCalc!N$17</f>
        <v>3.7829596412556055</v>
      </c>
      <c r="O32">
        <f t="shared" si="0"/>
        <v>97.755362531585874</v>
      </c>
      <c r="P32" t="s">
        <v>187</v>
      </c>
      <c r="S32">
        <f t="shared" si="1"/>
        <v>37.705776423644451</v>
      </c>
      <c r="T32">
        <f t="shared" si="2"/>
        <v>62.294223576355549</v>
      </c>
      <c r="U32">
        <f t="shared" si="3"/>
        <v>100</v>
      </c>
    </row>
    <row r="33" spans="1:21">
      <c r="A33">
        <v>32</v>
      </c>
      <c r="B33">
        <f>Bgls_oxides!B36/GlassStdCalc!B$17</f>
        <v>4.5445090909090906</v>
      </c>
      <c r="C33">
        <f>Bgls_oxides!C36/GlassStdCalc!C$17</f>
        <v>0.87217164800592195</v>
      </c>
      <c r="D33">
        <f>Bgls_oxides!D36/GlassStdCalc!D$17</f>
        <v>13.729414736842104</v>
      </c>
      <c r="E33">
        <f>Bgls_oxides!E36/GlassStdCalc!E$17</f>
        <v>43.540699393185008</v>
      </c>
      <c r="F33">
        <f>Bgls_oxides!F36/GlassStdCalc!F$17</f>
        <v>0.13005082518337407</v>
      </c>
      <c r="G33">
        <f>Bgls_oxides!G36/GlassStdCalc!G$17</f>
        <v>0.14076423332169055</v>
      </c>
      <c r="H33">
        <f>Bgls_oxides!H36/GlassStdCalc!H$17</f>
        <v>2.0821029273704874</v>
      </c>
      <c r="I33">
        <f>Bgls_oxides!I36/GlassStdCalc!I$17</f>
        <v>0.22329742388758783</v>
      </c>
      <c r="J33">
        <f>Bgls_oxides!J36/GlassStdCalc!J$17</f>
        <v>15.368093607305935</v>
      </c>
      <c r="K33">
        <f>Bgls_oxides!K36/GlassStdCalc!K$17</f>
        <v>1.0025075048560834</v>
      </c>
      <c r="L33">
        <f>Bgls_oxides!L36/GlassStdCalc!L$17</f>
        <v>4.1843258426966292</v>
      </c>
      <c r="M33">
        <f>Bgls_oxides!M36/GlassStdCalc!M$17</f>
        <v>10.037522123893806</v>
      </c>
      <c r="N33">
        <f>Bgls_oxides!N36/GlassStdCalc!N$17</f>
        <v>3.7630493273542602</v>
      </c>
      <c r="O33">
        <f t="shared" si="0"/>
        <v>99.618508684811985</v>
      </c>
      <c r="P33" t="s">
        <v>188</v>
      </c>
      <c r="S33">
        <f t="shared" si="1"/>
        <v>35.20252991364142</v>
      </c>
      <c r="T33">
        <f t="shared" si="2"/>
        <v>64.797470086358572</v>
      </c>
      <c r="U33">
        <f t="shared" si="3"/>
        <v>100</v>
      </c>
    </row>
    <row r="34" spans="1:21">
      <c r="A34">
        <v>33</v>
      </c>
      <c r="B34">
        <f>Bgls_oxides!B37/GlassStdCalc!B$17</f>
        <v>4.6683636363636367</v>
      </c>
      <c r="C34">
        <f>Bgls_oxides!C37/GlassStdCalc!C$17</f>
        <v>5.0930600536689179E-2</v>
      </c>
      <c r="D34">
        <f>Bgls_oxides!D37/GlassStdCalc!D$17</f>
        <v>12.702450526315788</v>
      </c>
      <c r="E34">
        <f>Bgls_oxides!E37/GlassStdCalc!E$17</f>
        <v>43.37270304963436</v>
      </c>
      <c r="F34">
        <f>Bgls_oxides!F37/GlassStdCalc!F$17</f>
        <v>0.12763688875305626</v>
      </c>
      <c r="G34">
        <f>Bgls_oxides!G37/GlassStdCalc!G$17</f>
        <v>0.1426419839329375</v>
      </c>
      <c r="H34">
        <f>Bgls_oxides!H37/GlassStdCalc!H$17</f>
        <v>2.1599385508235898</v>
      </c>
      <c r="I34">
        <f>Bgls_oxides!I37/GlassStdCalc!I$17</f>
        <v>0.24122716627634661</v>
      </c>
      <c r="J34">
        <f>Bgls_oxides!J37/GlassStdCalc!J$17</f>
        <v>15.408219178082192</v>
      </c>
      <c r="K34">
        <f>Bgls_oxides!K37/GlassStdCalc!K$17</f>
        <v>1.0277238212961328</v>
      </c>
      <c r="L34">
        <f>Bgls_oxides!L37/GlassStdCalc!L$17</f>
        <v>4.2408707865168536</v>
      </c>
      <c r="M34">
        <f>Bgls_oxides!M37/GlassStdCalc!M$17</f>
        <v>10.244176991150443</v>
      </c>
      <c r="N34">
        <f>Bgls_oxides!N37/GlassStdCalc!N$17</f>
        <v>3.7730044843049328</v>
      </c>
      <c r="O34">
        <f t="shared" si="0"/>
        <v>98.159887663986964</v>
      </c>
      <c r="P34" t="s">
        <v>189</v>
      </c>
      <c r="S34">
        <f t="shared" si="1"/>
        <v>37.309079220718857</v>
      </c>
      <c r="T34">
        <f t="shared" si="2"/>
        <v>62.690920779281143</v>
      </c>
      <c r="U34">
        <f t="shared" si="3"/>
        <v>100</v>
      </c>
    </row>
    <row r="35" spans="1:21">
      <c r="A35">
        <v>34</v>
      </c>
      <c r="B35">
        <f>Bgls_oxides!B38/GlassStdCalc!B$17</f>
        <v>4.6683636363636367</v>
      </c>
      <c r="C35">
        <f>Bgls_oxides!C38/GlassStdCalc!C$17</f>
        <v>5.0295456648468587E-2</v>
      </c>
      <c r="D35">
        <f>Bgls_oxides!D38/GlassStdCalc!D$17</f>
        <v>12.782214736842105</v>
      </c>
      <c r="E35">
        <f>Bgls_oxides!E38/GlassStdCalc!E$17</f>
        <v>44.341152559514548</v>
      </c>
      <c r="F35">
        <f>Bgls_oxides!F38/GlassStdCalc!F$17</f>
        <v>0.14232166870415647</v>
      </c>
      <c r="G35">
        <f>Bgls_oxides!G38/GlassStdCalc!G$17</f>
        <v>9.1339154732797773E-2</v>
      </c>
      <c r="H35">
        <f>Bgls_oxides!H38/GlassStdCalc!H$17</f>
        <v>2.1502090978919517</v>
      </c>
      <c r="I35">
        <f>Bgls_oxides!I38/GlassStdCalc!I$17</f>
        <v>0.25441686182669793</v>
      </c>
      <c r="J35">
        <f>Bgls_oxides!J38/GlassStdCalc!J$17</f>
        <v>15.468407534246575</v>
      </c>
      <c r="K35">
        <f>Bgls_oxides!K38/GlassStdCalc!K$17</f>
        <v>1.034610630407911</v>
      </c>
      <c r="L35">
        <f>Bgls_oxides!L38/GlassStdCalc!L$17</f>
        <v>4.1843258426966292</v>
      </c>
      <c r="M35">
        <f>Bgls_oxides!M38/GlassStdCalc!M$17</f>
        <v>10.293380530973453</v>
      </c>
      <c r="N35">
        <f>Bgls_oxides!N38/GlassStdCalc!N$17</f>
        <v>3.7530941704035876</v>
      </c>
      <c r="O35">
        <f t="shared" si="0"/>
        <v>99.214131881252513</v>
      </c>
      <c r="P35" t="s">
        <v>190</v>
      </c>
      <c r="S35">
        <f t="shared" si="1"/>
        <v>36.849871621237739</v>
      </c>
      <c r="T35">
        <f t="shared" si="2"/>
        <v>63.150128378762261</v>
      </c>
      <c r="U35">
        <f t="shared" si="3"/>
        <v>100</v>
      </c>
    </row>
    <row r="36" spans="1:21">
      <c r="A36">
        <v>35</v>
      </c>
      <c r="B36">
        <f>Bgls_oxides!B39/GlassStdCalc!B$17</f>
        <v>4.582618181818181</v>
      </c>
      <c r="C36">
        <f>Bgls_oxides!C39/GlassStdCalc!C$17</f>
        <v>5.3153604145461268E-2</v>
      </c>
      <c r="D36">
        <f>Bgls_oxides!D39/GlassStdCalc!D$17</f>
        <v>11.93472</v>
      </c>
      <c r="E36">
        <f>Bgls_oxides!E39/GlassStdCalc!E$17</f>
        <v>44.716673798039523</v>
      </c>
      <c r="F36">
        <f>Bgls_oxides!F39/GlassStdCalc!F$17</f>
        <v>0.13326940709046456</v>
      </c>
      <c r="G36">
        <f>Bgls_oxides!G39/GlassStdCalc!G$17</f>
        <v>0.18797624869018514</v>
      </c>
      <c r="H36">
        <f>Bgls_oxides!H39/GlassStdCalc!H$17</f>
        <v>2.1112912861654007</v>
      </c>
      <c r="I36">
        <f>Bgls_oxides!I39/GlassStdCalc!I$17</f>
        <v>0.22319437939110068</v>
      </c>
      <c r="J36">
        <f>Bgls_oxides!J39/GlassStdCalc!J$17</f>
        <v>15.598815639269407</v>
      </c>
      <c r="K36">
        <f>Bgls_oxides!K39/GlassStdCalc!K$17</f>
        <v>1.0259226558361294</v>
      </c>
      <c r="L36">
        <f>Bgls_oxides!L39/GlassStdCalc!L$17</f>
        <v>4.0429634831460675</v>
      </c>
      <c r="M36">
        <f>Bgls_oxides!M39/GlassStdCalc!M$17</f>
        <v>10.313061946902657</v>
      </c>
      <c r="N36">
        <f>Bgls_oxides!N39/GlassStdCalc!N$17</f>
        <v>3.7431390134529146</v>
      </c>
      <c r="O36">
        <f t="shared" si="0"/>
        <v>98.666799643947485</v>
      </c>
      <c r="P36" t="s">
        <v>191</v>
      </c>
      <c r="S36">
        <f t="shared" si="1"/>
        <v>37.650076513611459</v>
      </c>
      <c r="T36">
        <f t="shared" si="2"/>
        <v>62.349923486388541</v>
      </c>
      <c r="U36">
        <f t="shared" si="3"/>
        <v>100</v>
      </c>
    </row>
    <row r="37" spans="1:21">
      <c r="A37">
        <v>36</v>
      </c>
      <c r="B37">
        <f>Bgls_oxides!B40/GlassStdCalc!B$17</f>
        <v>3.810909090909091</v>
      </c>
      <c r="C37">
        <f>Bgls_oxides!C40/GlassStdCalc!C$17</f>
        <v>1.1631072453039695E-2</v>
      </c>
      <c r="D37">
        <f>Bgls_oxides!D40/GlassStdCalc!D$17</f>
        <v>12.044395789473684</v>
      </c>
      <c r="E37">
        <f>Bgls_oxides!E40/GlassStdCalc!E$17</f>
        <v>45.191016415123698</v>
      </c>
      <c r="F37">
        <f>Bgls_oxides!F40/GlassStdCalc!F$17</f>
        <v>8.1269193154034233E-2</v>
      </c>
      <c r="G37">
        <f>Bgls_oxides!G40/GlassStdCalc!G$17</f>
        <v>0.10347747118407266</v>
      </c>
      <c r="H37">
        <f>Bgls_oxides!H40/GlassStdCalc!H$17</f>
        <v>1.2453699752496374</v>
      </c>
      <c r="I37">
        <f>Bgls_oxides!I40/GlassStdCalc!I$17</f>
        <v>0.19506323185011709</v>
      </c>
      <c r="J37">
        <f>Bgls_oxides!J40/GlassStdCalc!J$17</f>
        <v>14.776241438356164</v>
      </c>
      <c r="K37">
        <f>Bgls_oxides!K40/GlassStdCalc!K$17</f>
        <v>0.57573724174465835</v>
      </c>
      <c r="L37">
        <f>Bgls_oxides!L40/GlassStdCalc!L$17</f>
        <v>5.3152247191011233</v>
      </c>
      <c r="M37">
        <f>Bgls_oxides!M40/GlassStdCalc!M$17</f>
        <v>11.6710796460177</v>
      </c>
      <c r="N37">
        <f>Bgls_oxides!N40/GlassStdCalc!N$17</f>
        <v>3.5838565022421527</v>
      </c>
      <c r="O37">
        <f t="shared" si="0"/>
        <v>98.605271786859191</v>
      </c>
      <c r="P37" t="s">
        <v>192</v>
      </c>
      <c r="S37">
        <f t="shared" si="1"/>
        <v>44.029182186418431</v>
      </c>
      <c r="T37">
        <f t="shared" si="2"/>
        <v>55.970817813581569</v>
      </c>
      <c r="U37">
        <f t="shared" si="3"/>
        <v>100</v>
      </c>
    </row>
    <row r="38" spans="1:21">
      <c r="A38">
        <v>37</v>
      </c>
      <c r="B38">
        <f>Bgls_oxides!B41/GlassStdCalc!B$17</f>
        <v>3.8394909090909093</v>
      </c>
      <c r="C38">
        <f>Bgls_oxides!C41/GlassStdCalc!C$17</f>
        <v>1.9173406125659296E-2</v>
      </c>
      <c r="D38">
        <f>Bgls_oxides!D41/GlassStdCalc!D$17</f>
        <v>12.12416</v>
      </c>
      <c r="E38">
        <f>Bgls_oxides!E41/GlassStdCalc!E$17</f>
        <v>45.556655515792755</v>
      </c>
      <c r="F38">
        <f>Bgls_oxides!F41/GlassStdCalc!F$17</f>
        <v>7.7245965770171149E-2</v>
      </c>
      <c r="G38">
        <f>Bgls_oxides!G41/GlassStdCalc!G$17</f>
        <v>0.1057575969263011</v>
      </c>
      <c r="H38">
        <f>Bgls_oxides!H41/GlassStdCalc!H$17</f>
        <v>1.2550994281812751</v>
      </c>
      <c r="I38">
        <f>Bgls_oxides!I41/GlassStdCalc!I$17</f>
        <v>0.19959718969555038</v>
      </c>
      <c r="J38">
        <f>Bgls_oxides!J41/GlassStdCalc!J$17</f>
        <v>14.665896118721459</v>
      </c>
      <c r="K38">
        <f>Bgls_oxides!K41/GlassStdCalc!K$17</f>
        <v>0.61430337277061631</v>
      </c>
      <c r="L38">
        <f>Bgls_oxides!L41/GlassStdCalc!L$17</f>
        <v>5.2021348314606737</v>
      </c>
      <c r="M38">
        <f>Bgls_oxides!M41/GlassStdCalc!M$17</f>
        <v>11.464424778761064</v>
      </c>
      <c r="N38">
        <f>Bgls_oxides!N41/GlassStdCalc!N$17</f>
        <v>3.6137219730941705</v>
      </c>
      <c r="O38">
        <f t="shared" si="0"/>
        <v>98.737661086390617</v>
      </c>
      <c r="P38" t="s">
        <v>193</v>
      </c>
      <c r="S38">
        <f t="shared" si="1"/>
        <v>43.337736160010614</v>
      </c>
      <c r="T38">
        <f t="shared" si="2"/>
        <v>56.662263839989386</v>
      </c>
      <c r="U38">
        <f t="shared" si="3"/>
        <v>100</v>
      </c>
    </row>
    <row r="39" spans="1:21">
      <c r="A39">
        <v>38</v>
      </c>
      <c r="B39">
        <f>Bgls_oxides!B42/GlassStdCalc!B$17</f>
        <v>4.0776727272727271</v>
      </c>
      <c r="C39">
        <f>Bgls_oxides!C42/GlassStdCalc!C$17</f>
        <v>1.2583788285370592E-2</v>
      </c>
      <c r="D39">
        <f>Bgls_oxides!D42/GlassStdCalc!D$17</f>
        <v>12.174012631578947</v>
      </c>
      <c r="E39">
        <f>Bgls_oxides!E42/GlassStdCalc!E$17</f>
        <v>44.815495176598731</v>
      </c>
      <c r="F39">
        <f>Bgls_oxides!F42/GlassStdCalc!F$17</f>
        <v>6.3868734718826412E-2</v>
      </c>
      <c r="G39">
        <f>Bgls_oxides!G42/GlassStdCalc!G$17</f>
        <v>6.1965770171149147E-2</v>
      </c>
      <c r="H39">
        <f>Bgls_oxides!H42/GlassStdCalc!H$17</f>
        <v>1.2842877869761886</v>
      </c>
      <c r="I39">
        <f>Bgls_oxides!I42/GlassStdCalc!I$17</f>
        <v>0.21598126463700235</v>
      </c>
      <c r="J39">
        <f>Bgls_oxides!J42/GlassStdCalc!J$17</f>
        <v>14.585644977168949</v>
      </c>
      <c r="K39">
        <f>Bgls_oxides!K42/GlassStdCalc!K$17</f>
        <v>0.55592442168461953</v>
      </c>
      <c r="L39">
        <f>Bgls_oxides!L42/GlassStdCalc!L$17</f>
        <v>5.2304073033707859</v>
      </c>
      <c r="M39">
        <f>Bgls_oxides!M42/GlassStdCalc!M$17</f>
        <v>11.533309734513276</v>
      </c>
      <c r="N39">
        <f>Bgls_oxides!N42/GlassStdCalc!N$17</f>
        <v>3.5042152466367713</v>
      </c>
      <c r="O39">
        <f t="shared" si="0"/>
        <v>98.115369563613342</v>
      </c>
      <c r="P39" t="s">
        <v>194</v>
      </c>
      <c r="S39">
        <f t="shared" si="1"/>
        <v>43.370070981124975</v>
      </c>
      <c r="T39">
        <f t="shared" si="2"/>
        <v>56.629929018875025</v>
      </c>
      <c r="U39">
        <f t="shared" si="3"/>
        <v>100</v>
      </c>
    </row>
    <row r="40" spans="1:21">
      <c r="A40">
        <v>39</v>
      </c>
      <c r="B40">
        <f>Bgls_oxides!B43/GlassStdCalc!B$17</f>
        <v>3.8204363636363632</v>
      </c>
      <c r="C40">
        <f>Bgls_oxides!C43/GlassStdCalc!C$17</f>
        <v>1.877644119552142E-2</v>
      </c>
      <c r="D40">
        <f>Bgls_oxides!D43/GlassStdCalc!D$17</f>
        <v>11.964631578947367</v>
      </c>
      <c r="E40">
        <f>Bgls_oxides!E43/GlassStdCalc!E$17</f>
        <v>45.309602069394742</v>
      </c>
      <c r="F40">
        <f>Bgls_oxides!F43/GlassStdCalc!F$17</f>
        <v>7.5938416870415651E-2</v>
      </c>
      <c r="G40">
        <f>Bgls_oxides!G43/GlassStdCalc!G$17</f>
        <v>0.10273978344393994</v>
      </c>
      <c r="H40">
        <f>Bgls_oxides!H43/GlassStdCalc!H$17</f>
        <v>1.206452163523086</v>
      </c>
      <c r="I40">
        <f>Bgls_oxides!I43/GlassStdCalc!I$17</f>
        <v>0.16610772833723655</v>
      </c>
      <c r="J40">
        <f>Bgls_oxides!J43/GlassStdCalc!J$17</f>
        <v>14.916680936073059</v>
      </c>
      <c r="K40">
        <f>Bgls_oxides!K43/GlassStdCalc!K$17</f>
        <v>0.58029313084937306</v>
      </c>
      <c r="L40">
        <f>Bgls_oxides!L43/GlassStdCalc!L$17</f>
        <v>5.2021348314606737</v>
      </c>
      <c r="M40">
        <f>Bgls_oxides!M43/GlassStdCalc!M$17</f>
        <v>11.513628318584072</v>
      </c>
      <c r="N40">
        <f>Bgls_oxides!N43/GlassStdCalc!N$17</f>
        <v>3.5639461883408075</v>
      </c>
      <c r="O40">
        <f t="shared" si="0"/>
        <v>98.441367950656641</v>
      </c>
      <c r="P40" t="s">
        <v>195</v>
      </c>
      <c r="S40">
        <f t="shared" si="1"/>
        <v>43.66327033684523</v>
      </c>
      <c r="T40">
        <f t="shared" si="2"/>
        <v>56.33672966315477</v>
      </c>
      <c r="U40">
        <f t="shared" si="3"/>
        <v>100</v>
      </c>
    </row>
    <row r="41" spans="1:21">
      <c r="A41">
        <v>40</v>
      </c>
      <c r="B41">
        <f>Bgls_oxides!B44/GlassStdCalc!B$17</f>
        <v>3.8776000000000002</v>
      </c>
      <c r="C41">
        <f>Bgls_oxides!C44/GlassStdCalc!C$17</f>
        <v>2.5008790598686034E-2</v>
      </c>
      <c r="D41">
        <f>Bgls_oxides!D44/GlassStdCalc!D$17</f>
        <v>11.765221052631579</v>
      </c>
      <c r="E41">
        <f>Bgls_oxides!E44/GlassStdCalc!E$17</f>
        <v>46.169348062859811</v>
      </c>
      <c r="F41">
        <f>Bgls_oxides!F44/GlassStdCalc!F$17</f>
        <v>7.3725641809290962E-2</v>
      </c>
      <c r="G41">
        <f>Bgls_oxides!G44/GlassStdCalc!G$17</f>
        <v>5.5728955640936086E-2</v>
      </c>
      <c r="H41">
        <f>Bgls_oxides!H44/GlassStdCalc!H$17</f>
        <v>1.1772638047281727</v>
      </c>
      <c r="I41">
        <f>Bgls_oxides!I44/GlassStdCalc!I$17</f>
        <v>0.19691803278688524</v>
      </c>
      <c r="J41">
        <f>Bgls_oxides!J44/GlassStdCalc!J$17</f>
        <v>14.926712328767124</v>
      </c>
      <c r="K41">
        <f>Bgls_oxides!K44/GlassStdCalc!K$17</f>
        <v>0.53642945435281653</v>
      </c>
      <c r="L41">
        <f>Bgls_oxides!L44/GlassStdCalc!L$17</f>
        <v>5.2963764044943815</v>
      </c>
      <c r="M41">
        <f>Bgls_oxides!M44/GlassStdCalc!M$17</f>
        <v>11.602194690265486</v>
      </c>
      <c r="N41">
        <f>Bgls_oxides!N44/GlassStdCalc!N$17</f>
        <v>3.4942600896860987</v>
      </c>
      <c r="O41">
        <f t="shared" si="0"/>
        <v>99.196787308621253</v>
      </c>
      <c r="P41" t="s">
        <v>196</v>
      </c>
      <c r="S41">
        <f t="shared" si="1"/>
        <v>44.520136579944236</v>
      </c>
      <c r="T41">
        <f t="shared" si="2"/>
        <v>55.479863420055764</v>
      </c>
      <c r="U41">
        <f t="shared" si="3"/>
        <v>100</v>
      </c>
    </row>
    <row r="42" spans="1:21">
      <c r="A42">
        <v>41</v>
      </c>
      <c r="B42">
        <f>Bgls_oxides!B45/GlassStdCalc!B$17</f>
        <v>3.915709090909091</v>
      </c>
      <c r="C42">
        <f>Bgls_oxides!C45/GlassStdCalc!C$17</f>
        <v>2.1793374664569258E-2</v>
      </c>
      <c r="D42">
        <f>Bgls_oxides!D45/GlassStdCalc!D$17</f>
        <v>12.193953684210525</v>
      </c>
      <c r="E42">
        <f>Bgls_oxides!E45/GlassStdCalc!E$17</f>
        <v>45.932176754317723</v>
      </c>
      <c r="F42">
        <f>Bgls_oxides!F45/GlassStdCalc!F$17</f>
        <v>7.2015770171149143E-2</v>
      </c>
      <c r="G42">
        <f>Bgls_oxides!G45/GlassStdCalc!G$17</f>
        <v>7.3835836535103047E-2</v>
      </c>
      <c r="H42">
        <f>Bgls_oxides!H45/GlassStdCalc!H$17</f>
        <v>1.2356405223179996</v>
      </c>
      <c r="I42">
        <f>Bgls_oxides!I45/GlassStdCalc!I$17</f>
        <v>0.16105854800936767</v>
      </c>
      <c r="J42">
        <f>Bgls_oxides!J45/GlassStdCalc!J$17</f>
        <v>14.736115867579908</v>
      </c>
      <c r="K42">
        <f>Bgls_oxides!K45/GlassStdCalc!K$17</f>
        <v>0.55221613985520046</v>
      </c>
      <c r="L42">
        <f>Bgls_oxides!L45/GlassStdCalc!L$17</f>
        <v>5.2963764044943815</v>
      </c>
      <c r="M42">
        <f>Bgls_oxides!M45/GlassStdCalc!M$17</f>
        <v>11.690761061946905</v>
      </c>
      <c r="N42">
        <f>Bgls_oxides!N45/GlassStdCalc!N$17</f>
        <v>3.6236771300448432</v>
      </c>
      <c r="O42">
        <f t="shared" si="0"/>
        <v>99.505330185056764</v>
      </c>
      <c r="P42" t="s">
        <v>197</v>
      </c>
      <c r="S42">
        <f t="shared" si="1"/>
        <v>43.637898778592508</v>
      </c>
      <c r="T42">
        <f t="shared" si="2"/>
        <v>56.362101221407492</v>
      </c>
      <c r="U42">
        <f t="shared" si="3"/>
        <v>100</v>
      </c>
    </row>
    <row r="43" spans="1:21">
      <c r="A43">
        <v>42</v>
      </c>
      <c r="B43">
        <f>Bgls_oxides!B46/GlassStdCalc!B$17</f>
        <v>3.7918545454545454</v>
      </c>
      <c r="C43">
        <f>Bgls_oxides!C46/GlassStdCalc!C$17</f>
        <v>1.7823725363190525E-2</v>
      </c>
      <c r="D43">
        <f>Bgls_oxides!D46/GlassStdCalc!D$17</f>
        <v>12.233835789473684</v>
      </c>
      <c r="E43">
        <f>Bgls_oxides!E46/GlassStdCalc!E$17</f>
        <v>45.882766065038119</v>
      </c>
      <c r="F43">
        <f>Bgls_oxides!F46/GlassStdCalc!F$17</f>
        <v>9.5551650366748175E-2</v>
      </c>
      <c r="G43">
        <f>Bgls_oxides!G46/GlassStdCalc!G$17</f>
        <v>8.6309465595529183E-2</v>
      </c>
      <c r="H43">
        <f>Bgls_oxides!H46/GlassStdCalc!H$17</f>
        <v>1.1967227105914484</v>
      </c>
      <c r="I43">
        <f>Bgls_oxides!I46/GlassStdCalc!I$17</f>
        <v>0.24740983606557379</v>
      </c>
      <c r="J43">
        <f>Bgls_oxides!J46/GlassStdCalc!J$17</f>
        <v>14.926712328767124</v>
      </c>
      <c r="K43">
        <f>Bgls_oxides!K46/GlassStdCalc!K$17</f>
        <v>0.5624933780681618</v>
      </c>
      <c r="L43">
        <f>Bgls_oxides!L46/GlassStdCalc!L$17</f>
        <v>5.2304073033707859</v>
      </c>
      <c r="M43">
        <f>Bgls_oxides!M46/GlassStdCalc!M$17</f>
        <v>11.592353982300885</v>
      </c>
      <c r="N43">
        <f>Bgls_oxides!N46/GlassStdCalc!N$17</f>
        <v>3.5340807174887892</v>
      </c>
      <c r="O43">
        <f t="shared" si="0"/>
        <v>99.398321497944579</v>
      </c>
      <c r="P43" t="s">
        <v>198</v>
      </c>
      <c r="S43">
        <f t="shared" si="1"/>
        <v>43.249715780401111</v>
      </c>
      <c r="T43">
        <f t="shared" si="2"/>
        <v>56.750284219598889</v>
      </c>
      <c r="U43">
        <f t="shared" si="3"/>
        <v>100</v>
      </c>
    </row>
    <row r="44" spans="1:21">
      <c r="A44">
        <v>43</v>
      </c>
      <c r="B44">
        <f>Bgls_oxides!B47/GlassStdCalc!B$17</f>
        <v>3.7251636363636362</v>
      </c>
      <c r="C44">
        <f>Bgls_oxides!C47/GlassStdCalc!C$17</f>
        <v>1.504497085222541E-2</v>
      </c>
      <c r="D44">
        <f>Bgls_oxides!D47/GlassStdCalc!D$17</f>
        <v>12.273717894736842</v>
      </c>
      <c r="E44">
        <f>Bgls_oxides!E47/GlassStdCalc!E$17</f>
        <v>46.337344406410459</v>
      </c>
      <c r="F44">
        <f>Bgls_oxides!F47/GlassStdCalc!F$17</f>
        <v>8.2073838630806861E-2</v>
      </c>
      <c r="G44">
        <f>Bgls_oxides!G47/GlassStdCalc!G$17</f>
        <v>0.10045965770171149</v>
      </c>
      <c r="H44">
        <f>Bgls_oxides!H47/GlassStdCalc!H$17</f>
        <v>1.1595562003925919</v>
      </c>
      <c r="I44">
        <f>Bgls_oxides!I47/GlassStdCalc!I$17</f>
        <v>0.20392505854800935</v>
      </c>
      <c r="J44">
        <f>Bgls_oxides!J47/GlassStdCalc!J$17</f>
        <v>14.726084474885845</v>
      </c>
      <c r="K44">
        <f>Bgls_oxides!K47/GlassStdCalc!K$17</f>
        <v>0.54977926893872509</v>
      </c>
      <c r="L44">
        <f>Bgls_oxides!L47/GlassStdCalc!L$17</f>
        <v>5.2021348314606737</v>
      </c>
      <c r="M44">
        <f>Bgls_oxides!M47/GlassStdCalc!M$17</f>
        <v>11.789168141592922</v>
      </c>
      <c r="N44">
        <f>Bgls_oxides!N47/GlassStdCalc!N$17</f>
        <v>3.5838565022421527</v>
      </c>
      <c r="O44">
        <f t="shared" si="0"/>
        <v>99.748308882756589</v>
      </c>
      <c r="P44" t="s">
        <v>199</v>
      </c>
      <c r="S44">
        <f t="shared" si="1"/>
        <v>43.036925760058494</v>
      </c>
      <c r="T44">
        <f t="shared" si="2"/>
        <v>56.963074239941506</v>
      </c>
      <c r="U44">
        <f t="shared" si="3"/>
        <v>100</v>
      </c>
    </row>
    <row r="45" spans="1:21">
      <c r="A45">
        <v>44</v>
      </c>
      <c r="B45">
        <f>Bgls_oxides!B48/GlassStdCalc!B$17</f>
        <v>3.8871272727272728</v>
      </c>
      <c r="C45">
        <f>Bgls_oxides!C48/GlassStdCalc!C$17</f>
        <v>1.1670768946053482E-2</v>
      </c>
      <c r="D45">
        <f>Bgls_oxides!D48/GlassStdCalc!D$17</f>
        <v>12.024454736842104</v>
      </c>
      <c r="E45">
        <f>Bgls_oxides!E48/GlassStdCalc!E$17</f>
        <v>46.001351719309163</v>
      </c>
      <c r="F45">
        <f>Bgls_oxides!F48/GlassStdCalc!F$17</f>
        <v>8.7304034229828853E-2</v>
      </c>
      <c r="G45">
        <f>Bgls_oxides!G48/GlassStdCalc!G$17</f>
        <v>8.4901152637093955E-2</v>
      </c>
      <c r="H45">
        <f>Bgls_oxides!H48/GlassStdCalc!H$17</f>
        <v>1.2161816164547239</v>
      </c>
      <c r="I45">
        <f>Bgls_oxides!I48/GlassStdCalc!I$17</f>
        <v>0.17785480093676814</v>
      </c>
      <c r="J45">
        <f>Bgls_oxides!J48/GlassStdCalc!J$17</f>
        <v>14.736115867579908</v>
      </c>
      <c r="K45">
        <f>Bgls_oxides!K48/GlassStdCalc!K$17</f>
        <v>0.58866325269291897</v>
      </c>
      <c r="L45">
        <f>Bgls_oxides!L48/GlassStdCalc!L$17</f>
        <v>5.3434971910112354</v>
      </c>
      <c r="M45">
        <f>Bgls_oxides!M48/GlassStdCalc!M$17</f>
        <v>11.582513274336284</v>
      </c>
      <c r="N45">
        <f>Bgls_oxides!N48/GlassStdCalc!N$17</f>
        <v>3.5440358744394622</v>
      </c>
      <c r="O45">
        <f t="shared" si="0"/>
        <v>99.285671562142824</v>
      </c>
      <c r="P45" t="s">
        <v>200</v>
      </c>
      <c r="S45">
        <f t="shared" si="1"/>
        <v>44.200822159976248</v>
      </c>
      <c r="T45">
        <f t="shared" si="2"/>
        <v>55.799177840023752</v>
      </c>
      <c r="U45">
        <f t="shared" si="3"/>
        <v>100</v>
      </c>
    </row>
    <row r="46" spans="1:21">
      <c r="A46">
        <v>45</v>
      </c>
      <c r="B46">
        <f>Bgls_oxides!B49/GlassStdCalc!B$17</f>
        <v>3.7823272727272728</v>
      </c>
      <c r="C46">
        <f>Bgls_oxides!C49/GlassStdCalc!C$17</f>
        <v>1.6990099009900988E-2</v>
      </c>
      <c r="D46">
        <f>Bgls_oxides!D49/GlassStdCalc!D$17</f>
        <v>12.871949473684209</v>
      </c>
      <c r="E46">
        <f>Bgls_oxides!E49/GlassStdCalc!E$17</f>
        <v>46.811687023494635</v>
      </c>
      <c r="F46">
        <f>Bgls_oxides!F49/GlassStdCalc!F$17</f>
        <v>7.4530287286063576E-2</v>
      </c>
      <c r="G46">
        <f>Bgls_oxides!G49/GlassStdCalc!G$17</f>
        <v>4.2048201187565498E-2</v>
      </c>
      <c r="H46">
        <f>Bgls_oxides!H49/GlassStdCalc!H$17</f>
        <v>1.0582725953742425</v>
      </c>
      <c r="I46">
        <f>Bgls_oxides!I49/GlassStdCalc!I$17</f>
        <v>0.27069789227166274</v>
      </c>
      <c r="J46">
        <f>Bgls_oxides!J49/GlassStdCalc!J$17</f>
        <v>15.307905251141552</v>
      </c>
      <c r="K46">
        <f>Bgls_oxides!K49/GlassStdCalc!K$17</f>
        <v>0.55444110895285181</v>
      </c>
      <c r="L46">
        <f>Bgls_oxides!L49/GlassStdCalc!L$17</f>
        <v>5.1173174157303363</v>
      </c>
      <c r="M46">
        <f>Bgls_oxides!M49/GlassStdCalc!M$17</f>
        <v>10.834619469026549</v>
      </c>
      <c r="N46">
        <f>Bgls_oxides!N49/GlassStdCalc!N$17</f>
        <v>3.4643946188340808</v>
      </c>
      <c r="O46">
        <f t="shared" si="0"/>
        <v>100.20718070872091</v>
      </c>
      <c r="P46" t="s">
        <v>201</v>
      </c>
      <c r="S46">
        <f t="shared" si="1"/>
        <v>41.474743542081761</v>
      </c>
      <c r="T46">
        <f t="shared" si="2"/>
        <v>58.525256457918239</v>
      </c>
      <c r="U46">
        <f t="shared" si="3"/>
        <v>100</v>
      </c>
    </row>
    <row r="47" spans="1:21">
      <c r="A47">
        <v>46</v>
      </c>
      <c r="B47">
        <f>Bgls_oxides!B50/GlassStdCalc!B$17</f>
        <v>3.2392727272727271</v>
      </c>
      <c r="C47">
        <f>Bgls_oxides!C50/GlassStdCalc!C$17</f>
        <v>2.250791153881743E-2</v>
      </c>
      <c r="D47">
        <f>Bgls_oxides!D50/GlassStdCalc!D$17</f>
        <v>12.064336842105263</v>
      </c>
      <c r="E47">
        <f>Bgls_oxides!E50/GlassStdCalc!E$17</f>
        <v>46.851215574918314</v>
      </c>
      <c r="F47">
        <f>Bgls_oxides!F50/GlassStdCalc!F$17</f>
        <v>6.5679187041564793E-2</v>
      </c>
      <c r="G47">
        <f>Bgls_oxides!G50/GlassStdCalc!G$17</f>
        <v>8.1615089067411814E-2</v>
      </c>
      <c r="H47">
        <f>Bgls_oxides!H50/GlassStdCalc!H$17</f>
        <v>0.8944286080054622</v>
      </c>
      <c r="I47">
        <f>Bgls_oxides!I50/GlassStdCalc!I$17</f>
        <v>0.1282903981264637</v>
      </c>
      <c r="J47">
        <f>Bgls_oxides!J50/GlassStdCalc!J$17</f>
        <v>15.287842465753425</v>
      </c>
      <c r="K47">
        <f>Bgls_oxides!K50/GlassStdCalc!K$17</f>
        <v>0.57266466537171112</v>
      </c>
      <c r="L47">
        <f>Bgls_oxides!L50/GlassStdCalc!L$17</f>
        <v>5.2681039325842693</v>
      </c>
      <c r="M47">
        <f>Bgls_oxides!M50/GlassStdCalc!M$17</f>
        <v>12.015504424778763</v>
      </c>
      <c r="N47">
        <f>Bgls_oxides!N50/GlassStdCalc!N$17</f>
        <v>3.5639461883408075</v>
      </c>
      <c r="O47">
        <f t="shared" si="0"/>
        <v>100.055408014905</v>
      </c>
      <c r="P47" t="s">
        <v>202</v>
      </c>
      <c r="S47">
        <f t="shared" si="1"/>
        <v>43.769136957368609</v>
      </c>
      <c r="T47">
        <f t="shared" si="2"/>
        <v>56.230863042631391</v>
      </c>
      <c r="U47">
        <f t="shared" si="3"/>
        <v>100</v>
      </c>
    </row>
    <row r="48" spans="1:21">
      <c r="A48">
        <v>47</v>
      </c>
      <c r="B48">
        <f>Bgls_oxides!B51/GlassStdCalc!B$17</f>
        <v>3.3250181818181819</v>
      </c>
      <c r="C48">
        <f>Bgls_oxides!C51/GlassStdCalc!C$17</f>
        <v>1.472739890811511E-2</v>
      </c>
      <c r="D48">
        <f>Bgls_oxides!D51/GlassStdCalc!D$17</f>
        <v>11.635604210526315</v>
      </c>
      <c r="E48">
        <f>Bgls_oxides!E51/GlassStdCalc!E$17</f>
        <v>46.861097712774239</v>
      </c>
      <c r="F48">
        <f>Bgls_oxides!F51/GlassStdCalc!F$17</f>
        <v>7.6541900977995111E-2</v>
      </c>
      <c r="G48">
        <f>Bgls_oxides!G51/GlassStdCalc!G$17</f>
        <v>4.600488997555012E-2</v>
      </c>
      <c r="H48">
        <f>Bgls_oxides!H51/GlassStdCalc!H$17</f>
        <v>0.32214218656652727</v>
      </c>
      <c r="I48">
        <f>Bgls_oxides!I51/GlassStdCalc!I$17</f>
        <v>0.21752693208430915</v>
      </c>
      <c r="J48">
        <f>Bgls_oxides!J51/GlassStdCalc!J$17</f>
        <v>15.578752853881278</v>
      </c>
      <c r="K48">
        <f>Bgls_oxides!K51/GlassStdCalc!K$17</f>
        <v>0.48281829419035849</v>
      </c>
      <c r="L48">
        <f>Bgls_oxides!L51/GlassStdCalc!L$17</f>
        <v>5.2963764044943815</v>
      </c>
      <c r="M48">
        <f>Bgls_oxides!M51/GlassStdCalc!M$17</f>
        <v>12.507539823008852</v>
      </c>
      <c r="N48">
        <f>Bgls_oxides!N51/GlassStdCalc!N$17</f>
        <v>3.4743497757847539</v>
      </c>
      <c r="O48">
        <f t="shared" si="0"/>
        <v>99.838500564990866</v>
      </c>
      <c r="P48" t="s">
        <v>203</v>
      </c>
      <c r="S48">
        <f t="shared" si="1"/>
        <v>44.793925489151206</v>
      </c>
      <c r="T48">
        <f t="shared" si="2"/>
        <v>55.206074510848794</v>
      </c>
      <c r="U48">
        <f t="shared" si="3"/>
        <v>100</v>
      </c>
    </row>
    <row r="49" spans="1:21">
      <c r="A49">
        <v>48</v>
      </c>
      <c r="B49">
        <f>Bgls_oxides!B52/GlassStdCalc!B$17</f>
        <v>3.0963636363636362</v>
      </c>
      <c r="C49">
        <f>Bgls_oxides!C52/GlassStdCalc!C$17</f>
        <v>2.7033311742389189E-2</v>
      </c>
      <c r="D49">
        <f>Bgls_oxides!D52/GlassStdCalc!D$17</f>
        <v>11.944690526315789</v>
      </c>
      <c r="E49">
        <f>Bgls_oxides!E52/GlassStdCalc!E$17</f>
        <v>46.712865644935434</v>
      </c>
      <c r="F49">
        <f>Bgls_oxides!F52/GlassStdCalc!F$17</f>
        <v>8.8611583129584351E-2</v>
      </c>
      <c r="G49">
        <f>Bgls_oxides!G52/GlassStdCalc!G$17</f>
        <v>8.2956339504016777E-2</v>
      </c>
      <c r="H49">
        <f>Bgls_oxides!H52/GlassStdCalc!H$17</f>
        <v>1.1659776393274728</v>
      </c>
      <c r="I49">
        <f>Bgls_oxides!I52/GlassStdCalc!I$17</f>
        <v>0.21103512880562061</v>
      </c>
      <c r="J49">
        <f>Bgls_oxides!J52/GlassStdCalc!J$17</f>
        <v>15.287842465753425</v>
      </c>
      <c r="K49">
        <f>Bgls_oxides!K52/GlassStdCalc!K$17</f>
        <v>0.52339749249514389</v>
      </c>
      <c r="L49">
        <f>Bgls_oxides!L52/GlassStdCalc!L$17</f>
        <v>5.4471629213483146</v>
      </c>
      <c r="M49">
        <f>Bgls_oxides!M52/GlassStdCalc!M$17</f>
        <v>12.232000000000001</v>
      </c>
      <c r="N49">
        <f>Bgls_oxides!N52/GlassStdCalc!N$17</f>
        <v>3.4843049327354261</v>
      </c>
      <c r="O49">
        <f t="shared" si="0"/>
        <v>100.30424162245625</v>
      </c>
      <c r="P49" t="s">
        <v>204</v>
      </c>
      <c r="S49">
        <f t="shared" si="1"/>
        <v>44.839798985574042</v>
      </c>
      <c r="T49">
        <f t="shared" si="2"/>
        <v>55.160201014425958</v>
      </c>
      <c r="U49">
        <f t="shared" si="3"/>
        <v>100</v>
      </c>
    </row>
    <row r="50" spans="1:21">
      <c r="A50">
        <v>49</v>
      </c>
      <c r="B50">
        <f>Bgls_oxides!B53/GlassStdCalc!B$17</f>
        <v>0.38423490909090907</v>
      </c>
      <c r="C50">
        <f>Bgls_oxides!C53/GlassStdCalc!C$17</f>
        <v>1.2702877764411955E-2</v>
      </c>
      <c r="D50">
        <f>Bgls_oxides!D53/GlassStdCalc!D$17</f>
        <v>7.3582484210526307</v>
      </c>
      <c r="E50">
        <f>Bgls_oxides!E53/GlassStdCalc!E$17</f>
        <v>47.542965224832741</v>
      </c>
      <c r="F50">
        <f>Bgls_oxides!F53/GlassStdCalc!F$17</f>
        <v>2.2127750611246944E-3</v>
      </c>
      <c r="G50">
        <f>Bgls_oxides!G53/GlassStdCalc!G$17</f>
        <v>3.5409011526370944E-2</v>
      </c>
      <c r="H50">
        <f>Bgls_oxides!H53/GlassStdCalc!H$17</f>
        <v>1.0702398224801571E-3</v>
      </c>
      <c r="I50">
        <f>Bgls_oxides!I53/GlassStdCalc!I$17</f>
        <v>0.15879156908665104</v>
      </c>
      <c r="J50">
        <f>Bgls_oxides!J53/GlassStdCalc!J$17</f>
        <v>6.4200913242009134</v>
      </c>
      <c r="K50">
        <f>Bgls_oxides!K53/GlassStdCalc!K$17</f>
        <v>2.2249690976514215E-3</v>
      </c>
      <c r="L50">
        <f>Bgls_oxides!L53/GlassStdCalc!L$17</f>
        <v>13.033609550561797</v>
      </c>
      <c r="M50">
        <f>Bgls_oxides!M53/GlassStdCalc!M$17</f>
        <v>22.909168141592925</v>
      </c>
      <c r="N50">
        <f>Bgls_oxides!N53/GlassStdCalc!N$17</f>
        <v>2.329506726457399</v>
      </c>
      <c r="O50">
        <f t="shared" si="0"/>
        <v>100.19023574014801</v>
      </c>
      <c r="P50" t="s">
        <v>205</v>
      </c>
      <c r="S50">
        <f t="shared" si="1"/>
        <v>75.94663164271951</v>
      </c>
      <c r="T50">
        <f t="shared" si="2"/>
        <v>24.05336835728049</v>
      </c>
      <c r="U50">
        <f t="shared" si="3"/>
        <v>100</v>
      </c>
    </row>
    <row r="51" spans="1:21">
      <c r="A51">
        <v>50</v>
      </c>
      <c r="B51">
        <f>Bgls_oxides!B54/GlassStdCalc!B$17</f>
        <v>2.8772363636363636</v>
      </c>
      <c r="C51">
        <f>Bgls_oxides!C54/GlassStdCalc!C$17</f>
        <v>9.0904969001573046E-3</v>
      </c>
      <c r="D51">
        <f>Bgls_oxides!D54/GlassStdCalc!D$17</f>
        <v>11.92474947368421</v>
      </c>
      <c r="E51">
        <f>Bgls_oxides!E54/GlassStdCalc!E$17</f>
        <v>47.315676054146572</v>
      </c>
      <c r="F51">
        <f>Bgls_oxides!F54/GlassStdCalc!F$17</f>
        <v>6.9601833740831301E-2</v>
      </c>
      <c r="G51">
        <f>Bgls_oxides!G54/GlassStdCalc!G$17</f>
        <v>5.0900454069158226E-2</v>
      </c>
      <c r="H51">
        <f>Bgls_oxides!H54/GlassStdCalc!H$17</f>
        <v>1.1341623282410174</v>
      </c>
      <c r="I51">
        <f>Bgls_oxides!I54/GlassStdCalc!I$17</f>
        <v>0.20639812646370023</v>
      </c>
      <c r="J51">
        <f>Bgls_oxides!J54/GlassStdCalc!J$17</f>
        <v>15.478438926940639</v>
      </c>
      <c r="K51">
        <f>Bgls_oxides!K54/GlassStdCalc!K$17</f>
        <v>0.55740773441638714</v>
      </c>
      <c r="L51">
        <f>Bgls_oxides!L54/GlassStdCalc!L$17</f>
        <v>5.4094662921348311</v>
      </c>
      <c r="M51">
        <f>Bgls_oxides!M54/GlassStdCalc!M$17</f>
        <v>12.487858407079647</v>
      </c>
      <c r="N51">
        <f>Bgls_oxides!N54/GlassStdCalc!N$17</f>
        <v>3.4843049327354261</v>
      </c>
      <c r="O51">
        <f t="shared" si="0"/>
        <v>101.00529142418894</v>
      </c>
      <c r="P51" t="s">
        <v>206</v>
      </c>
      <c r="S51">
        <f t="shared" si="1"/>
        <v>44.709398313549684</v>
      </c>
      <c r="T51">
        <f t="shared" si="2"/>
        <v>55.290601686450316</v>
      </c>
      <c r="U51">
        <f t="shared" si="3"/>
        <v>100</v>
      </c>
    </row>
    <row r="52" spans="1:21">
      <c r="A52">
        <v>51</v>
      </c>
      <c r="B52">
        <f>Bgls_oxides!B55/GlassStdCalc!B$17</f>
        <v>3.5250909090909093</v>
      </c>
      <c r="C52">
        <f>Bgls_oxides!C55/GlassStdCalc!C$17</f>
        <v>2.1515499213472747E-2</v>
      </c>
      <c r="D52">
        <f>Bgls_oxides!D55/GlassStdCalc!D$17</f>
        <v>11.994543157894736</v>
      </c>
      <c r="E52">
        <f>Bgls_oxides!E55/GlassStdCalc!E$17</f>
        <v>46.989565504901201</v>
      </c>
      <c r="F52">
        <f>Bgls_oxides!F55/GlassStdCalc!F$17</f>
        <v>8.0665709046454759E-2</v>
      </c>
      <c r="G52">
        <f>Bgls_oxides!G55/GlassStdCalc!G$17</f>
        <v>6.0356269647223196E-2</v>
      </c>
      <c r="H52">
        <f>Bgls_oxides!H55/GlassStdCalc!H$17</f>
        <v>0.88323973713407877</v>
      </c>
      <c r="I52">
        <f>Bgls_oxides!I55/GlassStdCalc!I$17</f>
        <v>0.19753629976580797</v>
      </c>
      <c r="J52">
        <f>Bgls_oxides!J55/GlassStdCalc!J$17</f>
        <v>15.337999429223743</v>
      </c>
      <c r="K52">
        <f>Bgls_oxides!K55/GlassStdCalc!K$17</f>
        <v>0.51396786155747831</v>
      </c>
      <c r="L52">
        <f>Bgls_oxides!L55/GlassStdCalc!L$17</f>
        <v>5.2398314606741563</v>
      </c>
      <c r="M52">
        <f>Bgls_oxides!M55/GlassStdCalc!M$17</f>
        <v>11.6710796460177</v>
      </c>
      <c r="N52">
        <f>Bgls_oxides!N55/GlassStdCalc!N$17</f>
        <v>3.4843049327354261</v>
      </c>
      <c r="O52">
        <f t="shared" si="0"/>
        <v>99.999696416902381</v>
      </c>
      <c r="P52" t="s">
        <v>207</v>
      </c>
      <c r="S52">
        <f t="shared" si="1"/>
        <v>43.779492473401561</v>
      </c>
      <c r="T52">
        <f t="shared" si="2"/>
        <v>56.220507526598439</v>
      </c>
      <c r="U52">
        <f t="shared" si="3"/>
        <v>100</v>
      </c>
    </row>
    <row r="53" spans="1:21">
      <c r="A53">
        <v>52</v>
      </c>
      <c r="B53">
        <f>Bgls_oxides!B56/GlassStdCalc!B$17</f>
        <v>3.5441454545454545</v>
      </c>
      <c r="C53">
        <f>Bgls_oxides!C56/GlassStdCalc!C$17</f>
        <v>1.5362542796335707E-2</v>
      </c>
      <c r="D53">
        <f>Bgls_oxides!D56/GlassStdCalc!D$17</f>
        <v>11.306576842105262</v>
      </c>
      <c r="E53">
        <f>Bgls_oxides!E56/GlassStdCalc!E$17</f>
        <v>47.493554535553137</v>
      </c>
      <c r="F53">
        <f>Bgls_oxides!F56/GlassStdCalc!F$17</f>
        <v>6.60815097799511E-2</v>
      </c>
      <c r="G53">
        <f>Bgls_oxides!G56/GlassStdCalc!G$17</f>
        <v>7.2025148445686346E-2</v>
      </c>
      <c r="H53">
        <f>Bgls_oxides!H56/GlassStdCalc!H$17</f>
        <v>0.71346078347699926</v>
      </c>
      <c r="I53">
        <f>Bgls_oxides!I56/GlassStdCalc!I$17</f>
        <v>0.15147540983606556</v>
      </c>
      <c r="J53">
        <f>Bgls_oxides!J56/GlassStdCalc!J$17</f>
        <v>15.508533105022831</v>
      </c>
      <c r="K53">
        <f>Bgls_oxides!K56/GlassStdCalc!K$17</f>
        <v>0.53102595797280594</v>
      </c>
      <c r="L53">
        <f>Bgls_oxides!L56/GlassStdCalc!L$17</f>
        <v>5.3152247191011233</v>
      </c>
      <c r="M53">
        <f>Bgls_oxides!M56/GlassStdCalc!M$17</f>
        <v>12.084389380530974</v>
      </c>
      <c r="N53">
        <f>Bgls_oxides!N56/GlassStdCalc!N$17</f>
        <v>3.5440358744394622</v>
      </c>
      <c r="O53">
        <f t="shared" si="0"/>
        <v>100.34589126360608</v>
      </c>
      <c r="P53" t="s">
        <v>208</v>
      </c>
      <c r="S53">
        <f t="shared" si="1"/>
        <v>45.592397752078014</v>
      </c>
      <c r="T53">
        <f t="shared" si="2"/>
        <v>54.407602247921986</v>
      </c>
      <c r="U53">
        <f t="shared" si="3"/>
        <v>100</v>
      </c>
    </row>
    <row r="54" spans="1:21">
      <c r="A54">
        <v>53</v>
      </c>
      <c r="B54">
        <f>Bgls_oxides!B57/GlassStdCalc!B$17</f>
        <v>3.6870545454545454</v>
      </c>
      <c r="C54">
        <f>Bgls_oxides!C57/GlassStdCalc!C$17</f>
        <v>2.3778199315258628E-2</v>
      </c>
      <c r="D54">
        <f>Bgls_oxides!D57/GlassStdCalc!D$17</f>
        <v>10.628581052631578</v>
      </c>
      <c r="E54">
        <f>Bgls_oxides!E57/GlassStdCalc!E$17</f>
        <v>47.533083086976816</v>
      </c>
      <c r="F54">
        <f>Bgls_oxides!F57/GlassStdCalc!F$17</f>
        <v>7.7849449877750609E-2</v>
      </c>
      <c r="G54">
        <f>Bgls_oxides!G57/GlassStdCalc!G$17</f>
        <v>2.6489696122947961E-2</v>
      </c>
      <c r="H54">
        <f>Bgls_oxides!H57/GlassStdCalc!H$17</f>
        <v>1.2550994281812751</v>
      </c>
      <c r="I54">
        <f>Bgls_oxides!I57/GlassStdCalc!I$17</f>
        <v>0.16930210772833723</v>
      </c>
      <c r="J54">
        <f>Bgls_oxides!J57/GlassStdCalc!J$17</f>
        <v>15.719192351598172</v>
      </c>
      <c r="K54">
        <f>Bgls_oxides!K57/GlassStdCalc!K$17</f>
        <v>0.63443404555889105</v>
      </c>
      <c r="L54">
        <f>Bgls_oxides!L57/GlassStdCalc!L$17</f>
        <v>5.1832865168539319</v>
      </c>
      <c r="M54">
        <f>Bgls_oxides!M57/GlassStdCalc!M$17</f>
        <v>11.44474336283186</v>
      </c>
      <c r="N54">
        <f>Bgls_oxides!N57/GlassStdCalc!N$17</f>
        <v>3.6137219730941705</v>
      </c>
      <c r="O54">
        <f t="shared" si="0"/>
        <v>99.996615816225528</v>
      </c>
      <c r="P54" t="s">
        <v>209</v>
      </c>
      <c r="S54">
        <f t="shared" si="1"/>
        <v>46.504187976525934</v>
      </c>
      <c r="T54">
        <f t="shared" si="2"/>
        <v>53.495812023474066</v>
      </c>
      <c r="U54">
        <f t="shared" si="3"/>
        <v>100</v>
      </c>
    </row>
    <row r="55" spans="1:21">
      <c r="A55">
        <v>54</v>
      </c>
      <c r="B55">
        <f>Bgls_oxides!B58/GlassStdCalc!B$17</f>
        <v>2.6676363636363636</v>
      </c>
      <c r="C55">
        <f>Bgls_oxides!C58/GlassStdCalc!C$17</f>
        <v>1.8538262237438697E-2</v>
      </c>
      <c r="D55">
        <f>Bgls_oxides!D58/GlassStdCalc!D$17</f>
        <v>13.609768421052632</v>
      </c>
      <c r="E55">
        <f>Bgls_oxides!E58/GlassStdCalc!E$17</f>
        <v>50.893009957989733</v>
      </c>
      <c r="F55">
        <f>Bgls_oxides!F58/GlassStdCalc!F$17</f>
        <v>2.0216717603911982E-2</v>
      </c>
      <c r="G55">
        <f>Bgls_oxides!G58/GlassStdCalc!G$17</f>
        <v>3.0781697520083834E-2</v>
      </c>
      <c r="H55">
        <f>Bgls_oxides!H58/GlassStdCalc!H$17</f>
        <v>0.79470171545617474</v>
      </c>
      <c r="I55">
        <f>Bgls_oxides!I58/GlassStdCalc!I$17</f>
        <v>0.21381733021077282</v>
      </c>
      <c r="J55">
        <f>Bgls_oxides!J58/GlassStdCalc!J$17</f>
        <v>12.499115296803653</v>
      </c>
      <c r="K55">
        <f>Bgls_oxides!K58/GlassStdCalc!K$17</f>
        <v>0.45071516863853084</v>
      </c>
      <c r="L55">
        <f>Bgls_oxides!L58/GlassStdCalc!L$17</f>
        <v>4.9476825842696623</v>
      </c>
      <c r="M55">
        <f>Bgls_oxides!M58/GlassStdCalc!M$17</f>
        <v>9.2305840707964624</v>
      </c>
      <c r="N55">
        <f>Bgls_oxides!N58/GlassStdCalc!N$17</f>
        <v>4.0617040358744401</v>
      </c>
      <c r="O55">
        <f t="shared" si="0"/>
        <v>99.438271622089857</v>
      </c>
      <c r="P55" t="s">
        <v>161</v>
      </c>
      <c r="S55">
        <f t="shared" si="1"/>
        <v>39.32140156387922</v>
      </c>
      <c r="T55">
        <f t="shared" si="2"/>
        <v>60.67859843612078</v>
      </c>
      <c r="U55">
        <f t="shared" si="3"/>
        <v>100</v>
      </c>
    </row>
    <row r="56" spans="1:21">
      <c r="A56">
        <v>55</v>
      </c>
      <c r="B56">
        <f>Bgls_oxides!B59/GlassStdCalc!B$17</f>
        <v>2.4389818181818184</v>
      </c>
      <c r="C56">
        <f>Bgls_oxides!C59/GlassStdCalc!C$17</f>
        <v>6.2720458961784027E-3</v>
      </c>
      <c r="D56">
        <f>Bgls_oxides!D59/GlassStdCalc!D$17</f>
        <v>13.400387368421052</v>
      </c>
      <c r="E56">
        <f>Bgls_oxides!E59/GlassStdCalc!E$17</f>
        <v>50.794188579430525</v>
      </c>
      <c r="F56">
        <f>Bgls_oxides!F59/GlassStdCalc!F$17</f>
        <v>1.8205103911980443E-2</v>
      </c>
      <c r="G56">
        <f>Bgls_oxides!G59/GlassStdCalc!G$17</f>
        <v>5.0229828850855744E-2</v>
      </c>
      <c r="H56">
        <f>Bgls_oxides!H59/GlassStdCalc!H$17</f>
        <v>0.79295041392847998</v>
      </c>
      <c r="I56">
        <f>Bgls_oxides!I59/GlassStdCalc!I$17</f>
        <v>0.16785948477751755</v>
      </c>
      <c r="J56">
        <f>Bgls_oxides!J59/GlassStdCalc!J$17</f>
        <v>12.549272260273971</v>
      </c>
      <c r="K56">
        <f>Bgls_oxides!K59/GlassStdCalc!K$17</f>
        <v>0.40738124668903408</v>
      </c>
      <c r="L56">
        <f>Bgls_oxides!L59/GlassStdCalc!L$17</f>
        <v>4.8817134831460667</v>
      </c>
      <c r="M56">
        <f>Bgls_oxides!M59/GlassStdCalc!M$17</f>
        <v>9.2207433628318594</v>
      </c>
      <c r="N56">
        <f>Bgls_oxides!N59/GlassStdCalc!N$17</f>
        <v>4.0617040358744401</v>
      </c>
      <c r="O56">
        <f t="shared" si="0"/>
        <v>98.789889032213779</v>
      </c>
      <c r="P56" t="s">
        <v>161</v>
      </c>
      <c r="S56">
        <f t="shared" si="1"/>
        <v>39.371068533891055</v>
      </c>
      <c r="T56">
        <f t="shared" si="2"/>
        <v>60.628931466108945</v>
      </c>
      <c r="U56">
        <f t="shared" si="3"/>
        <v>100</v>
      </c>
    </row>
    <row r="57" spans="1:21">
      <c r="A57">
        <v>56</v>
      </c>
      <c r="B57">
        <f>Bgls_oxides!B60/GlassStdCalc!B$17</f>
        <v>2.6485818181818179</v>
      </c>
      <c r="C57">
        <f>Bgls_oxides!C60/GlassStdCalc!C$17</f>
        <v>0.14374100120292402</v>
      </c>
      <c r="D57">
        <f>Bgls_oxides!D60/GlassStdCalc!D$17</f>
        <v>11.785162105263158</v>
      </c>
      <c r="E57">
        <f>Bgls_oxides!E60/GlassStdCalc!E$17</f>
        <v>50.596545822312123</v>
      </c>
      <c r="F57">
        <f>Bgls_oxides!F60/GlassStdCalc!F$17</f>
        <v>3.4700336185819074E-2</v>
      </c>
      <c r="G57">
        <f>Bgls_oxides!G60/GlassStdCalc!G$17</f>
        <v>9.8581907090464563E-3</v>
      </c>
      <c r="H57">
        <f>Bgls_oxides!H60/GlassStdCalc!H$17</f>
        <v>0.18923785952035505</v>
      </c>
      <c r="I57">
        <f>Bgls_oxides!I60/GlassStdCalc!I$17</f>
        <v>0.20186416861826698</v>
      </c>
      <c r="J57">
        <f>Bgls_oxides!J60/GlassStdCalc!J$17</f>
        <v>14.003824200913243</v>
      </c>
      <c r="K57">
        <f>Bgls_oxides!K60/GlassStdCalc!K$17</f>
        <v>0.18149390782270883</v>
      </c>
      <c r="L57">
        <f>Bgls_oxides!L60/GlassStdCalc!L$17</f>
        <v>6.6911516853932582</v>
      </c>
      <c r="M57">
        <f>Bgls_oxides!M60/GlassStdCalc!M$17</f>
        <v>11.100318584070797</v>
      </c>
      <c r="N57">
        <f>Bgls_oxides!N60/GlassStdCalc!N$17</f>
        <v>1.8516591928251123</v>
      </c>
      <c r="O57">
        <f t="shared" si="0"/>
        <v>99.438138873018644</v>
      </c>
      <c r="P57" t="s">
        <v>162</v>
      </c>
      <c r="S57">
        <f t="shared" si="1"/>
        <v>50.299773913426257</v>
      </c>
      <c r="T57">
        <f t="shared" si="2"/>
        <v>49.700226086573743</v>
      </c>
      <c r="U57">
        <f t="shared" si="3"/>
        <v>100</v>
      </c>
    </row>
    <row r="58" spans="1:21">
      <c r="A58">
        <v>57</v>
      </c>
      <c r="B58">
        <f>Bgls_oxides!B61/GlassStdCalc!B$17</f>
        <v>2.658109090909091</v>
      </c>
      <c r="C58">
        <f>Bgls_oxides!C61/GlassStdCalc!C$17</f>
        <v>0.14739307856019246</v>
      </c>
      <c r="D58">
        <f>Bgls_oxides!D61/GlassStdCalc!D$17</f>
        <v>11.655545263157894</v>
      </c>
      <c r="E58">
        <f>Bgls_oxides!E61/GlassStdCalc!E$17</f>
        <v>50.843599268710136</v>
      </c>
      <c r="F58">
        <f>Bgls_oxides!F61/GlassStdCalc!F$17</f>
        <v>3.0475947432762839E-2</v>
      </c>
      <c r="G58">
        <f>Bgls_oxides!G61/GlassStdCalc!G$17</f>
        <v>1.669856793573175E-2</v>
      </c>
      <c r="H58">
        <f>Bgls_oxides!H61/GlassStdCalc!H$17</f>
        <v>0.18554066740633268</v>
      </c>
      <c r="I58">
        <f>Bgls_oxides!I61/GlassStdCalc!I$17</f>
        <v>0.26585480093676817</v>
      </c>
      <c r="J58">
        <f>Bgls_oxides!J61/GlassStdCalc!J$17</f>
        <v>14.114169520547945</v>
      </c>
      <c r="K58">
        <f>Bgls_oxides!K61/GlassStdCalc!K$17</f>
        <v>0.22398022249690977</v>
      </c>
      <c r="L58">
        <f>Bgls_oxides!L61/GlassStdCalc!L$17</f>
        <v>6.7948174157303365</v>
      </c>
      <c r="M58">
        <f>Bgls_oxides!M61/GlassStdCalc!M$17</f>
        <v>11.179044247787612</v>
      </c>
      <c r="N58">
        <f>Bgls_oxides!N61/GlassStdCalc!N$17</f>
        <v>1.8616143497757849</v>
      </c>
      <c r="O58">
        <f t="shared" si="0"/>
        <v>99.976842441387504</v>
      </c>
      <c r="P58" t="s">
        <v>162</v>
      </c>
      <c r="S58">
        <f t="shared" si="1"/>
        <v>50.960494425634792</v>
      </c>
      <c r="T58">
        <f t="shared" si="2"/>
        <v>49.039505574365208</v>
      </c>
      <c r="U58">
        <f t="shared" si="3"/>
        <v>100</v>
      </c>
    </row>
    <row r="59" spans="1:21">
      <c r="A59">
        <v>58</v>
      </c>
      <c r="B59">
        <f>Bgls_oxides!B62/GlassStdCalc!B$17</f>
        <v>6.0021818181818176</v>
      </c>
      <c r="C59">
        <f>Bgls_oxides!C62/GlassStdCalc!C$17</f>
        <v>1.0043212732488201E-2</v>
      </c>
      <c r="D59">
        <f>Bgls_oxides!D62/GlassStdCalc!D$17</f>
        <v>7.4180715789473686</v>
      </c>
      <c r="E59">
        <f>Bgls_oxides!E62/GlassStdCalc!E$17</f>
        <v>70.311410844873194</v>
      </c>
      <c r="F59">
        <f>Bgls_oxides!F62/GlassStdCalc!F$17</f>
        <v>0.39477918704156484</v>
      </c>
      <c r="G59">
        <f>Bgls_oxides!G62/GlassStdCalc!G$17</f>
        <v>0.34483548725113522</v>
      </c>
      <c r="H59">
        <f>Bgls_oxides!H62/GlassStdCalc!H$17</f>
        <v>4.1739353076726129</v>
      </c>
      <c r="I59">
        <f>Bgls_oxides!I62/GlassStdCalc!I$17</f>
        <v>0.21124121779859484</v>
      </c>
      <c r="J59">
        <f>Bgls_oxides!J62/GlassStdCalc!J$17</f>
        <v>8.8476883561643831</v>
      </c>
      <c r="K59">
        <f>Bgls_oxides!K62/GlassStdCalc!K$17</f>
        <v>1.8541409147095182E-2</v>
      </c>
      <c r="L59">
        <f>Bgls_oxides!L62/GlassStdCalc!L$17</f>
        <v>3.524634831460674E-2</v>
      </c>
      <c r="M59">
        <f>Bgls_oxides!M62/GlassStdCalc!M$17</f>
        <v>0.42708672566371686</v>
      </c>
      <c r="N59">
        <f>Bgls_oxides!N62/GlassStdCalc!N$17</f>
        <v>0.32822152466367716</v>
      </c>
      <c r="O59">
        <f t="shared" si="0"/>
        <v>98.523283018452233</v>
      </c>
      <c r="P59" t="s">
        <v>163</v>
      </c>
      <c r="S59">
        <f t="shared" si="1"/>
        <v>0.83985174815043551</v>
      </c>
      <c r="T59">
        <f t="shared" si="2"/>
        <v>99.160148251849563</v>
      </c>
      <c r="U59">
        <f t="shared" si="3"/>
        <v>100</v>
      </c>
    </row>
    <row r="60" spans="1:21">
      <c r="A60">
        <v>59</v>
      </c>
      <c r="B60">
        <f>Bgls_oxides!B63/GlassStdCalc!B$17</f>
        <v>5.9926545454545455</v>
      </c>
      <c r="C60">
        <f>Bgls_oxides!C63/GlassStdCalc!C$17</f>
        <v>1.3258628666604978E-2</v>
      </c>
      <c r="D60">
        <f>Bgls_oxides!D63/GlassStdCalc!D$17</f>
        <v>7.6473936842105257</v>
      </c>
      <c r="E60">
        <f>Bgls_oxides!E63/GlassStdCalc!E$17</f>
        <v>70.321292982729105</v>
      </c>
      <c r="F60">
        <f>Bgls_oxides!F63/GlassStdCalc!F$17</f>
        <v>0.38834202322738387</v>
      </c>
      <c r="G60">
        <f>Bgls_oxides!G63/GlassStdCalc!G$17</f>
        <v>0.26322039818372339</v>
      </c>
      <c r="H60">
        <f>Bgls_oxides!H63/GlassStdCalc!H$17</f>
        <v>4.1350174959460615</v>
      </c>
      <c r="I60">
        <f>Bgls_oxides!I63/GlassStdCalc!I$17</f>
        <v>0.19485714285714284</v>
      </c>
      <c r="J60">
        <f>Bgls_oxides!J63/GlassStdCalc!J$17</f>
        <v>8.8376569634703195</v>
      </c>
      <c r="K60">
        <f>Bgls_oxides!K63/GlassStdCalc!K$17</f>
        <v>2.1296132791806463E-2</v>
      </c>
      <c r="L60">
        <f>Bgls_oxides!L63/GlassStdCalc!L$17</f>
        <v>1.5832584269662921E-2</v>
      </c>
      <c r="M60">
        <f>Bgls_oxides!M63/GlassStdCalc!M$17</f>
        <v>0.39362831858407088</v>
      </c>
      <c r="N60">
        <f>Bgls_oxides!N63/GlassStdCalc!N$17</f>
        <v>0.32901793721973099</v>
      </c>
      <c r="O60">
        <f t="shared" si="0"/>
        <v>98.55346883761068</v>
      </c>
      <c r="P60" t="s">
        <v>163</v>
      </c>
      <c r="S60">
        <f t="shared" si="1"/>
        <v>0.36768923688103128</v>
      </c>
      <c r="T60">
        <f t="shared" si="2"/>
        <v>99.632310763118966</v>
      </c>
      <c r="U60">
        <f t="shared" si="3"/>
        <v>100</v>
      </c>
    </row>
    <row r="61" spans="1:21">
      <c r="A61">
        <v>60</v>
      </c>
      <c r="B61">
        <f>Bgls_oxides!B64/GlassStdCalc!B$17</f>
        <v>4.8874909090909089</v>
      </c>
      <c r="C61">
        <f>Bgls_oxides!C64/GlassStdCalc!C$17</f>
        <v>0.55456000740260936</v>
      </c>
      <c r="D61">
        <f>Bgls_oxides!D64/GlassStdCalc!D$17</f>
        <v>0.11665515789473684</v>
      </c>
      <c r="E61">
        <f>Bgls_oxides!E64/GlassStdCalc!E$17</f>
        <v>50.369256651625953</v>
      </c>
      <c r="F61">
        <f>Bgls_oxides!F64/GlassStdCalc!F$17</f>
        <v>1.448361858190709</v>
      </c>
      <c r="G61">
        <f>Bgls_oxides!G64/GlassStdCalc!G$17</f>
        <v>0</v>
      </c>
      <c r="H61">
        <f>Bgls_oxides!H64/GlassStdCalc!H$17</f>
        <v>0.86183494068447564</v>
      </c>
      <c r="I61">
        <f>Bgls_oxides!I64/GlassStdCalc!I$17</f>
        <v>1.7208430913348945E-2</v>
      </c>
      <c r="J61">
        <f>Bgls_oxides!J64/GlassStdCalc!J$17</f>
        <v>25.891024543378993</v>
      </c>
      <c r="K61">
        <f>Bgls_oxides!K64/GlassStdCalc!K$17</f>
        <v>0</v>
      </c>
      <c r="L61">
        <f>Bgls_oxides!L64/GlassStdCalc!L$17</f>
        <v>2.1675561797752808E-2</v>
      </c>
      <c r="M61">
        <f>Bgls_oxides!M64/GlassStdCalc!M$17</f>
        <v>13.885238938053098</v>
      </c>
      <c r="N61">
        <f>Bgls_oxides!N64/GlassStdCalc!N$17</f>
        <v>0</v>
      </c>
      <c r="O61">
        <f t="shared" si="0"/>
        <v>98.053306999032571</v>
      </c>
      <c r="P61" t="s">
        <v>164</v>
      </c>
      <c r="S61">
        <f t="shared" si="1"/>
        <v>24.880601375385208</v>
      </c>
      <c r="T61">
        <f t="shared" si="2"/>
        <v>75.119398624614789</v>
      </c>
      <c r="U61">
        <f t="shared" si="3"/>
        <v>100</v>
      </c>
    </row>
    <row r="62" spans="1:21">
      <c r="A62">
        <v>61</v>
      </c>
      <c r="B62">
        <f>Bgls_oxides!B65/GlassStdCalc!B$17</f>
        <v>5.1066181818181819</v>
      </c>
      <c r="C62">
        <f>Bgls_oxides!C65/GlassStdCalc!C$17</f>
        <v>0.52740760618117888</v>
      </c>
      <c r="D62">
        <f>Bgls_oxides!D65/GlassStdCalc!D$17</f>
        <v>0.1912346947368421</v>
      </c>
      <c r="E62">
        <f>Bgls_oxides!E65/GlassStdCalc!E$17</f>
        <v>50.319845962346356</v>
      </c>
      <c r="F62">
        <f>Bgls_oxides!F65/GlassStdCalc!F$17</f>
        <v>1.4584199266503668</v>
      </c>
      <c r="G62">
        <f>Bgls_oxides!G65/GlassStdCalc!G$17</f>
        <v>1.166887879846315E-2</v>
      </c>
      <c r="H62">
        <f>Bgls_oxides!H65/GlassStdCalc!H$17</f>
        <v>0.83721942476743205</v>
      </c>
      <c r="I62">
        <f>Bgls_oxides!I65/GlassStdCalc!I$17</f>
        <v>4.1320843091334894E-2</v>
      </c>
      <c r="J62">
        <f>Bgls_oxides!J65/GlassStdCalc!J$17</f>
        <v>25.91108732876712</v>
      </c>
      <c r="K62">
        <f>Bgls_oxides!K65/GlassStdCalc!K$17</f>
        <v>6.0392018364824303E-3</v>
      </c>
      <c r="L62">
        <f>Bgls_oxides!L65/GlassStdCalc!L$17</f>
        <v>1.3099578651685392E-2</v>
      </c>
      <c r="M62">
        <f>Bgls_oxides!M65/GlassStdCalc!M$17</f>
        <v>13.865557522123895</v>
      </c>
      <c r="N62">
        <f>Bgls_oxides!N65/GlassStdCalc!N$17</f>
        <v>2.3892376681614348E-3</v>
      </c>
      <c r="O62">
        <f t="shared" si="0"/>
        <v>98.291908387437502</v>
      </c>
      <c r="P62" t="s">
        <v>164</v>
      </c>
      <c r="S62">
        <f t="shared" si="1"/>
        <v>10.881770086629583</v>
      </c>
      <c r="T62">
        <f t="shared" si="2"/>
        <v>89.118229913370413</v>
      </c>
      <c r="U62">
        <f t="shared" si="3"/>
        <v>100</v>
      </c>
    </row>
    <row r="63" spans="1:21">
      <c r="A63">
        <v>62</v>
      </c>
      <c r="B63">
        <f>Bgls_oxides!B66/GlassStdCalc!B$17</f>
        <v>4.7064727272727271</v>
      </c>
      <c r="C63">
        <f>Bgls_oxides!C66/GlassStdCalc!C$17</f>
        <v>7.5423336726195981E-3</v>
      </c>
      <c r="D63">
        <f>Bgls_oxides!D66/GlassStdCalc!D$17</f>
        <v>9.8807915789473686</v>
      </c>
      <c r="E63">
        <f>Bgls_oxides!E66/GlassStdCalc!E$17</f>
        <v>49.331632176754319</v>
      </c>
      <c r="F63">
        <f>Bgls_oxides!F66/GlassStdCalc!F$17</f>
        <v>6.7389058679706612E-2</v>
      </c>
      <c r="G63">
        <f>Bgls_oxides!G66/GlassStdCalc!G$17</f>
        <v>0.16088298987076496</v>
      </c>
      <c r="H63">
        <f>Bgls_oxides!H66/GlassStdCalc!H$17</f>
        <v>2.2961508918665188</v>
      </c>
      <c r="I63">
        <f>Bgls_oxides!I66/GlassStdCalc!I$17</f>
        <v>0.22123653395784543</v>
      </c>
      <c r="J63">
        <f>Bgls_oxides!J66/GlassStdCalc!J$17</f>
        <v>17.855878995433791</v>
      </c>
      <c r="K63">
        <f>Bgls_oxides!K66/GlassStdCalc!K$17</f>
        <v>1.3147448348931661</v>
      </c>
      <c r="L63">
        <f>Bgls_oxides!L66/GlassStdCalc!L$17</f>
        <v>2.8649438202247191</v>
      </c>
      <c r="M63">
        <f>Bgls_oxides!M66/GlassStdCalc!M$17</f>
        <v>8.1776283185840715</v>
      </c>
      <c r="N63">
        <f>Bgls_oxides!N66/GlassStdCalc!N$17</f>
        <v>2.9865470852017939</v>
      </c>
      <c r="O63">
        <f t="shared" si="0"/>
        <v>99.871841345359414</v>
      </c>
      <c r="P63" t="s">
        <v>210</v>
      </c>
      <c r="S63">
        <f t="shared" si="1"/>
        <v>34.074017206579043</v>
      </c>
      <c r="T63">
        <f t="shared" si="2"/>
        <v>65.925982793420957</v>
      </c>
      <c r="U63">
        <f t="shared" si="3"/>
        <v>100</v>
      </c>
    </row>
    <row r="64" spans="1:21">
      <c r="A64">
        <v>63</v>
      </c>
      <c r="B64">
        <f>Bgls_oxides!B67/GlassStdCalc!B$17</f>
        <v>6.564290909090909</v>
      </c>
      <c r="C64">
        <f>Bgls_oxides!C67/GlassStdCalc!C$17</f>
        <v>6.3514388822059776E-3</v>
      </c>
      <c r="D64">
        <f>Bgls_oxides!D67/GlassStdCalc!D$17</f>
        <v>10.827991578947367</v>
      </c>
      <c r="E64">
        <f>Bgls_oxides!E67/GlassStdCalc!E$17</f>
        <v>44.123745526684303</v>
      </c>
      <c r="F64">
        <f>Bgls_oxides!F67/GlassStdCalc!F$17</f>
        <v>8.106803178484108E-2</v>
      </c>
      <c r="G64">
        <f>Bgls_oxides!G67/GlassStdCalc!G$17</f>
        <v>0.18120293398533008</v>
      </c>
      <c r="H64">
        <f>Bgls_oxides!H67/GlassStdCalc!H$17</f>
        <v>2.3545276094563454</v>
      </c>
      <c r="I64">
        <f>Bgls_oxides!I67/GlassStdCalc!I$17</f>
        <v>0.15673067915690866</v>
      </c>
      <c r="J64">
        <f>Bgls_oxides!J67/GlassStdCalc!J$17</f>
        <v>16.140510844748857</v>
      </c>
      <c r="K64">
        <f>Bgls_oxides!K67/GlassStdCalc!K$17</f>
        <v>1.3015009712166696</v>
      </c>
      <c r="L64">
        <f>Bgls_oxides!L67/GlassStdCalc!L$17</f>
        <v>5.2681039325842693</v>
      </c>
      <c r="M64">
        <f>Bgls_oxides!M67/GlassStdCalc!M$17</f>
        <v>9.9095929203539832</v>
      </c>
      <c r="N64">
        <f>Bgls_oxides!N67/GlassStdCalc!N$17</f>
        <v>3.2155156950672645</v>
      </c>
      <c r="O64">
        <f t="shared" si="0"/>
        <v>100.13113307195925</v>
      </c>
      <c r="P64" t="s">
        <v>211</v>
      </c>
      <c r="S64">
        <f t="shared" si="1"/>
        <v>46.445563317892727</v>
      </c>
      <c r="T64">
        <f t="shared" si="2"/>
        <v>53.554436682107273</v>
      </c>
      <c r="U64">
        <f t="shared" si="3"/>
        <v>100</v>
      </c>
    </row>
    <row r="65" spans="1:21">
      <c r="A65">
        <v>64</v>
      </c>
      <c r="B65">
        <f>Bgls_oxides!B68/GlassStdCalc!B$17</f>
        <v>4.8207999999999993</v>
      </c>
      <c r="C65">
        <f>Bgls_oxides!C68/GlassStdCalc!C$17</f>
        <v>1.3973165540853151E-2</v>
      </c>
      <c r="D65">
        <f>Bgls_oxides!D68/GlassStdCalc!D$17</f>
        <v>10.708345263157895</v>
      </c>
      <c r="E65">
        <f>Bgls_oxides!E68/GlassStdCalc!E$17</f>
        <v>48.600353975416212</v>
      </c>
      <c r="F65">
        <f>Bgls_oxides!F68/GlassStdCalc!F$17</f>
        <v>1.7802781173594132E-2</v>
      </c>
      <c r="G65">
        <f>Bgls_oxides!G68/GlassStdCalc!G$17</f>
        <v>0.18368424729304925</v>
      </c>
      <c r="H65">
        <f>Bgls_oxides!H68/GlassStdCalc!H$17</f>
        <v>2.3739865153196211</v>
      </c>
      <c r="I65">
        <f>Bgls_oxides!I68/GlassStdCalc!I$17</f>
        <v>0.14044964871194379</v>
      </c>
      <c r="J65">
        <f>Bgls_oxides!J68/GlassStdCalc!J$17</f>
        <v>17.825784817351597</v>
      </c>
      <c r="K65">
        <f>Bgls_oxides!K68/GlassStdCalc!K$17</f>
        <v>1.3670845841426806</v>
      </c>
      <c r="L65">
        <f>Bgls_oxides!L68/GlassStdCalc!L$17</f>
        <v>2.9214887640449438</v>
      </c>
      <c r="M65">
        <f>Bgls_oxides!M68/GlassStdCalc!M$17</f>
        <v>8.098902654867258</v>
      </c>
      <c r="N65">
        <f>Bgls_oxides!N68/GlassStdCalc!N$17</f>
        <v>2.9765919282511213</v>
      </c>
      <c r="O65">
        <f t="shared" si="0"/>
        <v>100.04924834527075</v>
      </c>
      <c r="P65" t="s">
        <v>212</v>
      </c>
      <c r="S65">
        <f t="shared" si="1"/>
        <v>32.71984269873559</v>
      </c>
      <c r="T65">
        <f t="shared" si="2"/>
        <v>67.28015730126441</v>
      </c>
      <c r="U65">
        <f t="shared" si="3"/>
        <v>100</v>
      </c>
    </row>
    <row r="66" spans="1:21">
      <c r="A66">
        <v>65</v>
      </c>
      <c r="B66">
        <f>Bgls_oxides!B69/GlassStdCalc!B$17</f>
        <v>8.2029818181818168</v>
      </c>
      <c r="C66">
        <f>Bgls_oxides!C69/GlassStdCalc!C$17</f>
        <v>1.7664939391135372E-2</v>
      </c>
      <c r="D66">
        <f>Bgls_oxides!D69/GlassStdCalc!D$17</f>
        <v>9.4520589473684211</v>
      </c>
      <c r="E66">
        <f>Bgls_oxides!E69/GlassStdCalc!E$17</f>
        <v>45.052666485140819</v>
      </c>
      <c r="F66">
        <f>Bgls_oxides!F69/GlassStdCalc!F$17</f>
        <v>3.0375366748166262E-2</v>
      </c>
      <c r="G66">
        <f>Bgls_oxides!G69/GlassStdCalc!G$17</f>
        <v>7.2360461054837594E-2</v>
      </c>
      <c r="H66">
        <f>Bgls_oxides!H69/GlassStdCalc!H$17</f>
        <v>1.2842877869761886</v>
      </c>
      <c r="I66">
        <f>Bgls_oxides!I69/GlassStdCalc!I$17</f>
        <v>0.25081030444964869</v>
      </c>
      <c r="J66">
        <f>Bgls_oxides!J69/GlassStdCalc!J$17</f>
        <v>16.672174657534246</v>
      </c>
      <c r="K66">
        <f>Bgls_oxides!K69/GlassStdCalc!K$17</f>
        <v>1.2072046618400141</v>
      </c>
      <c r="L66">
        <f>Bgls_oxides!L69/GlassStdCalc!L$17</f>
        <v>4.8628651685393258</v>
      </c>
      <c r="M66">
        <f>Bgls_oxides!M69/GlassStdCalc!M$17</f>
        <v>10.647646017699117</v>
      </c>
      <c r="N66">
        <f>Bgls_oxides!N69/GlassStdCalc!N$17</f>
        <v>3.2951569506726459</v>
      </c>
      <c r="O66">
        <f t="shared" si="0"/>
        <v>101.04825356559637</v>
      </c>
      <c r="P66" t="s">
        <v>213</v>
      </c>
      <c r="S66">
        <f t="shared" si="1"/>
        <v>47.837389869849517</v>
      </c>
      <c r="T66">
        <f t="shared" si="2"/>
        <v>52.162610130150483</v>
      </c>
      <c r="U66">
        <f t="shared" si="3"/>
        <v>100</v>
      </c>
    </row>
    <row r="67" spans="1:21">
      <c r="A67">
        <v>66</v>
      </c>
      <c r="B67">
        <f>Bgls_oxides!B70/GlassStdCalc!B$17</f>
        <v>4.897018181818181</v>
      </c>
      <c r="C67">
        <f>Bgls_oxides!C70/GlassStdCalc!C$17</f>
        <v>0</v>
      </c>
      <c r="D67">
        <f>Bgls_oxides!D70/GlassStdCalc!D$17</f>
        <v>10.090172631578946</v>
      </c>
      <c r="E67">
        <f>Bgls_oxides!E70/GlassStdCalc!E$17</f>
        <v>47.859193636222187</v>
      </c>
      <c r="F67">
        <f>Bgls_oxides!F70/GlassStdCalc!F$17</f>
        <v>6.7187897310513445E-2</v>
      </c>
      <c r="G67">
        <f>Bgls_oxides!G70/GlassStdCalc!G$17</f>
        <v>0.11152497380370242</v>
      </c>
      <c r="H67">
        <f>Bgls_oxides!H70/GlassStdCalc!H$17</f>
        <v>1.9361611333959206</v>
      </c>
      <c r="I67">
        <f>Bgls_oxides!I70/GlassStdCalc!I$17</f>
        <v>0.16961124121779858</v>
      </c>
      <c r="J67">
        <f>Bgls_oxides!J70/GlassStdCalc!J$17</f>
        <v>17.70540810502283</v>
      </c>
      <c r="K67">
        <f>Bgls_oxides!K70/GlassStdCalc!K$17</f>
        <v>1.3578668550238391</v>
      </c>
      <c r="L67">
        <f>Bgls_oxides!L70/GlassStdCalc!L$17</f>
        <v>3.2230617977528087</v>
      </c>
      <c r="M67">
        <f>Bgls_oxides!M70/GlassStdCalc!M$17</f>
        <v>8.6007787610619477</v>
      </c>
      <c r="N67">
        <f>Bgls_oxides!N70/GlassStdCalc!N$17</f>
        <v>3.1657399103139015</v>
      </c>
      <c r="O67">
        <f t="shared" ref="O67:O106" si="4">SUM(B67:N67)</f>
        <v>99.183725124522567</v>
      </c>
      <c r="P67" t="s">
        <v>214</v>
      </c>
      <c r="S67">
        <f t="shared" ref="S67:S106" si="5">100*(L67/40.304)/((L67/40.304)+(D67/71.844))</f>
        <v>36.281111390317143</v>
      </c>
      <c r="T67">
        <f t="shared" ref="T67:T106" si="6">100-S67</f>
        <v>63.718888609682857</v>
      </c>
      <c r="U67">
        <f t="shared" ref="U67:U106" si="7">SUM(S67:T67)</f>
        <v>100</v>
      </c>
    </row>
    <row r="68" spans="1:21">
      <c r="A68">
        <v>67</v>
      </c>
      <c r="B68">
        <f>Bgls_oxides!B71/GlassStdCalc!B$17</f>
        <v>5.0494545454545454</v>
      </c>
      <c r="C68">
        <f>Bgls_oxides!C71/GlassStdCalc!C$17</f>
        <v>1.548163227537707E-3</v>
      </c>
      <c r="D68">
        <f>Bgls_oxides!D71/GlassStdCalc!D$17</f>
        <v>10.728286315789473</v>
      </c>
      <c r="E68">
        <f>Bgls_oxides!E71/GlassStdCalc!E$17</f>
        <v>47.424379570561698</v>
      </c>
      <c r="F68">
        <f>Bgls_oxides!F71/GlassStdCalc!F$17</f>
        <v>0.22399318459657705</v>
      </c>
      <c r="G68">
        <f>Bgls_oxides!G71/GlassStdCalc!G$17</f>
        <v>0.18891512399580862</v>
      </c>
      <c r="H68">
        <f>Bgls_oxides!H71/GlassStdCalc!H$17</f>
        <v>2.6172228386105658</v>
      </c>
      <c r="I68">
        <f>Bgls_oxides!I71/GlassStdCalc!I$17</f>
        <v>0.17620608899297424</v>
      </c>
      <c r="J68">
        <f>Bgls_oxides!J71/GlassStdCalc!J$17</f>
        <v>16.993179223744292</v>
      </c>
      <c r="K68">
        <f>Bgls_oxides!K71/GlassStdCalc!K$17</f>
        <v>1.2962034257460711</v>
      </c>
      <c r="L68">
        <f>Bgls_oxides!L71/GlassStdCalc!L$17</f>
        <v>3.8639044943820218</v>
      </c>
      <c r="M68">
        <f>Bgls_oxides!M71/GlassStdCalc!M$17</f>
        <v>7.8725663716814172</v>
      </c>
      <c r="N68">
        <f>Bgls_oxides!N71/GlassStdCalc!N$17</f>
        <v>3.2254708520179376</v>
      </c>
      <c r="O68">
        <f t="shared" si="4"/>
        <v>99.661330198800911</v>
      </c>
      <c r="P68" t="s">
        <v>215</v>
      </c>
      <c r="S68">
        <f t="shared" si="5"/>
        <v>39.098844053780176</v>
      </c>
      <c r="T68">
        <f t="shared" si="6"/>
        <v>60.901155946219824</v>
      </c>
      <c r="U68">
        <f t="shared" si="7"/>
        <v>100</v>
      </c>
    </row>
    <row r="69" spans="1:21">
      <c r="A69">
        <v>68</v>
      </c>
      <c r="B69">
        <f>Bgls_oxides!B72/GlassStdCalc!B$17</f>
        <v>5.4877090909090906</v>
      </c>
      <c r="C69">
        <f>Bgls_oxides!C72/GlassStdCalc!C$17</f>
        <v>5.9147774590543167E-3</v>
      </c>
      <c r="D69">
        <f>Bgls_oxides!D72/GlassStdCalc!D$17</f>
        <v>9.900732631578947</v>
      </c>
      <c r="E69">
        <f>Bgls_oxides!E72/GlassStdCalc!E$17</f>
        <v>47.87895791193403</v>
      </c>
      <c r="F69">
        <f>Bgls_oxides!F72/GlassStdCalc!F$17</f>
        <v>4.1539822738386314E-2</v>
      </c>
      <c r="G69">
        <f>Bgls_oxides!G72/GlassStdCalc!G$17</f>
        <v>0.18053230876702761</v>
      </c>
      <c r="H69">
        <f>Bgls_oxides!H72/GlassStdCalc!H$17</f>
        <v>2.3058803447981568</v>
      </c>
      <c r="I69">
        <f>Bgls_oxides!I72/GlassStdCalc!I$17</f>
        <v>0.19259016393442624</v>
      </c>
      <c r="J69">
        <f>Bgls_oxides!J72/GlassStdCalc!J$17</f>
        <v>17.906035958904109</v>
      </c>
      <c r="K69">
        <f>Bgls_oxides!K72/GlassStdCalc!K$17</f>
        <v>1.2229913473423981</v>
      </c>
      <c r="L69">
        <f>Bgls_oxides!L72/GlassStdCalc!L$17</f>
        <v>3.4021207865168535</v>
      </c>
      <c r="M69">
        <f>Bgls_oxides!M72/GlassStdCalc!M$17</f>
        <v>8.571256637168144</v>
      </c>
      <c r="N69">
        <f>Bgls_oxides!N72/GlassStdCalc!N$17</f>
        <v>3.0064573991031391</v>
      </c>
      <c r="O69">
        <f t="shared" si="4"/>
        <v>100.10271918115379</v>
      </c>
      <c r="P69" t="s">
        <v>216</v>
      </c>
      <c r="S69">
        <f t="shared" si="5"/>
        <v>37.985508083260591</v>
      </c>
      <c r="T69">
        <f t="shared" si="6"/>
        <v>62.014491916739409</v>
      </c>
      <c r="U69">
        <f t="shared" si="7"/>
        <v>100</v>
      </c>
    </row>
    <row r="70" spans="1:21">
      <c r="A70">
        <v>69</v>
      </c>
      <c r="B70">
        <f>Bgls_oxides!B73/GlassStdCalc!B$17</f>
        <v>4.906545454545455</v>
      </c>
      <c r="C70">
        <f>Bgls_oxides!C73/GlassStdCalc!C$17</f>
        <v>9.3683723512538158E-3</v>
      </c>
      <c r="D70">
        <f>Bgls_oxides!D73/GlassStdCalc!D$17</f>
        <v>10.010408421052631</v>
      </c>
      <c r="E70">
        <f>Bgls_oxides!E73/GlassStdCalc!E$17</f>
        <v>48.857289559670143</v>
      </c>
      <c r="F70">
        <f>Bgls_oxides!F73/GlassStdCalc!F$17</f>
        <v>1.7299877750611248E-2</v>
      </c>
      <c r="G70">
        <f>Bgls_oxides!G73/GlassStdCalc!G$17</f>
        <v>0.19186587495633953</v>
      </c>
      <c r="H70">
        <f>Bgls_oxides!H73/GlassStdCalc!H$17</f>
        <v>2.4226337799778102</v>
      </c>
      <c r="I70">
        <f>Bgls_oxides!I73/GlassStdCalc!I$17</f>
        <v>0.15559718969555034</v>
      </c>
      <c r="J70">
        <f>Bgls_oxides!J73/GlassStdCalc!J$17</f>
        <v>18.277197488584473</v>
      </c>
      <c r="K70">
        <f>Bgls_oxides!K73/GlassStdCalc!K$17</f>
        <v>1.4606392371534522</v>
      </c>
      <c r="L70">
        <f>Bgls_oxides!L73/GlassStdCalc!L$17</f>
        <v>3.1570926966292134</v>
      </c>
      <c r="M70">
        <f>Bgls_oxides!M73/GlassStdCalc!M$17</f>
        <v>8.0300176991150458</v>
      </c>
      <c r="N70">
        <f>Bgls_oxides!N73/GlassStdCalc!N$17</f>
        <v>3.0860986547085205</v>
      </c>
      <c r="O70">
        <f t="shared" si="4"/>
        <v>100.58205430619051</v>
      </c>
      <c r="P70" t="s">
        <v>217</v>
      </c>
      <c r="S70">
        <f t="shared" si="5"/>
        <v>35.987022698252332</v>
      </c>
      <c r="T70">
        <f t="shared" si="6"/>
        <v>64.012977301747668</v>
      </c>
      <c r="U70">
        <f t="shared" si="7"/>
        <v>100</v>
      </c>
    </row>
    <row r="71" spans="1:21">
      <c r="A71">
        <v>70</v>
      </c>
      <c r="B71">
        <f>Bgls_oxides!B74/GlassStdCalc!B$17</f>
        <v>5.8688000000000002</v>
      </c>
      <c r="C71">
        <f>Bgls_oxides!C74/GlassStdCalc!C$17</f>
        <v>1.0162302211529564E-2</v>
      </c>
      <c r="D71">
        <f>Bgls_oxides!D74/GlassStdCalc!D$17</f>
        <v>9.2825600000000001</v>
      </c>
      <c r="E71">
        <f>Bgls_oxides!E74/GlassStdCalc!E$17</f>
        <v>46.100173097868371</v>
      </c>
      <c r="F71">
        <f>Bgls_oxides!F74/GlassStdCalc!F$17</f>
        <v>0.69913633863080693</v>
      </c>
      <c r="G71">
        <f>Bgls_oxides!G74/GlassStdCalc!G$17</f>
        <v>0.13982535801606708</v>
      </c>
      <c r="H71">
        <f>Bgls_oxides!H74/GlassStdCalc!H$17</f>
        <v>1.9264316804642827</v>
      </c>
      <c r="I71">
        <f>Bgls_oxides!I74/GlassStdCalc!I$17</f>
        <v>0.15075409836065576</v>
      </c>
      <c r="J71">
        <f>Bgls_oxides!J74/GlassStdCalc!J$17</f>
        <v>16.983147831050228</v>
      </c>
      <c r="K71">
        <f>Bgls_oxides!K74/GlassStdCalc!K$17</f>
        <v>1.2292424509977042</v>
      </c>
      <c r="L71">
        <f>Bgls_oxides!L74/GlassStdCalc!L$17</f>
        <v>4.3822331460674162</v>
      </c>
      <c r="M71">
        <f>Bgls_oxides!M74/GlassStdCalc!M$17</f>
        <v>10.214654867256639</v>
      </c>
      <c r="N71">
        <f>Bgls_oxides!N74/GlassStdCalc!N$17</f>
        <v>2.9467264573991034</v>
      </c>
      <c r="O71">
        <f t="shared" si="4"/>
        <v>99.933847628322809</v>
      </c>
      <c r="P71" t="s">
        <v>218</v>
      </c>
      <c r="S71">
        <f t="shared" si="5"/>
        <v>45.697354362541411</v>
      </c>
      <c r="T71">
        <f t="shared" si="6"/>
        <v>54.302645637458589</v>
      </c>
      <c r="U71">
        <f t="shared" si="7"/>
        <v>100</v>
      </c>
    </row>
    <row r="72" spans="1:21">
      <c r="A72">
        <v>71</v>
      </c>
      <c r="B72">
        <f>Bgls_oxides!B75/GlassStdCalc!B$17</f>
        <v>3.5060363636363636</v>
      </c>
      <c r="C72">
        <f>Bgls_oxides!C75/GlassStdCalc!C$17</f>
        <v>1.2821967243453317E-2</v>
      </c>
      <c r="D72">
        <f>Bgls_oxides!D75/GlassStdCalc!D$17</f>
        <v>13.121212631578947</v>
      </c>
      <c r="E72">
        <f>Bgls_oxides!E75/GlassStdCalc!E$17</f>
        <v>44.983491520149371</v>
      </c>
      <c r="F72">
        <f>Bgls_oxides!F75/GlassStdCalc!F$17</f>
        <v>0.1483565097799511</v>
      </c>
      <c r="G72">
        <f>Bgls_oxides!G75/GlassStdCalc!G$17</f>
        <v>7.6384212364652468E-2</v>
      </c>
      <c r="H72">
        <f>Bgls_oxides!H75/GlassStdCalc!H$17</f>
        <v>1.8291371511479046</v>
      </c>
      <c r="I72">
        <f>Bgls_oxides!I75/GlassStdCalc!I$17</f>
        <v>0.24225761124121781</v>
      </c>
      <c r="J72">
        <f>Bgls_oxides!J75/GlassStdCalc!J$17</f>
        <v>15.368093607305935</v>
      </c>
      <c r="K72">
        <f>Bgls_oxides!K75/GlassStdCalc!K$17</f>
        <v>0.72745894402260292</v>
      </c>
      <c r="L72">
        <f>Bgls_oxides!L75/GlassStdCalc!L$17</f>
        <v>4.9759550561797754</v>
      </c>
      <c r="M72">
        <f>Bgls_oxides!M75/GlassStdCalc!M$17</f>
        <v>11.641557522123895</v>
      </c>
      <c r="N72">
        <f>Bgls_oxides!N75/GlassStdCalc!N$17</f>
        <v>3.344932735426009</v>
      </c>
      <c r="O72">
        <f t="shared" si="4"/>
        <v>99.97769583220007</v>
      </c>
      <c r="P72" t="s">
        <v>219</v>
      </c>
      <c r="S72">
        <f t="shared" si="5"/>
        <v>40.3340254657017</v>
      </c>
      <c r="T72">
        <f t="shared" si="6"/>
        <v>59.6659745342983</v>
      </c>
      <c r="U72">
        <f t="shared" si="7"/>
        <v>100</v>
      </c>
    </row>
    <row r="73" spans="1:21">
      <c r="A73">
        <v>72</v>
      </c>
      <c r="B73">
        <f>Bgls_oxides!B76/GlassStdCalc!B$17</f>
        <v>3.5632000000000001</v>
      </c>
      <c r="C73">
        <f>Bgls_oxides!C76/GlassStdCalc!C$17</f>
        <v>1.5521328768390857E-2</v>
      </c>
      <c r="D73">
        <f>Bgls_oxides!D76/GlassStdCalc!D$17</f>
        <v>13.350534736842105</v>
      </c>
      <c r="E73">
        <f>Bgls_oxides!E76/GlassStdCalc!E$17</f>
        <v>45.220662828691459</v>
      </c>
      <c r="F73">
        <f>Bgls_oxides!F76/GlassStdCalc!F$17</f>
        <v>0.16545522616136921</v>
      </c>
      <c r="G73">
        <f>Bgls_oxides!G76/GlassStdCalc!G$17</f>
        <v>7.7993712888578426E-2</v>
      </c>
      <c r="H73">
        <f>Bgls_oxides!H76/GlassStdCalc!H$17</f>
        <v>1.8291371511479046</v>
      </c>
      <c r="I73">
        <f>Bgls_oxides!I76/GlassStdCalc!I$17</f>
        <v>0.17651522248243559</v>
      </c>
      <c r="J73">
        <f>Bgls_oxides!J76/GlassStdCalc!J$17</f>
        <v>15.75931792237443</v>
      </c>
      <c r="K73">
        <f>Bgls_oxides!K76/GlassStdCalc!K$17</f>
        <v>0.71082465124492322</v>
      </c>
      <c r="L73">
        <f>Bgls_oxides!L76/GlassStdCalc!L$17</f>
        <v>4.8817134831460667</v>
      </c>
      <c r="M73">
        <f>Bgls_oxides!M76/GlassStdCalc!M$17</f>
        <v>11.710442477876107</v>
      </c>
      <c r="N73">
        <f>Bgls_oxides!N76/GlassStdCalc!N$17</f>
        <v>3.3648430493273542</v>
      </c>
      <c r="O73">
        <f t="shared" si="4"/>
        <v>100.82616179095113</v>
      </c>
      <c r="P73" t="s">
        <v>220</v>
      </c>
      <c r="S73">
        <f t="shared" si="5"/>
        <v>39.460072329311494</v>
      </c>
      <c r="T73">
        <f t="shared" si="6"/>
        <v>60.539927670688506</v>
      </c>
      <c r="U73">
        <f t="shared" si="7"/>
        <v>100</v>
      </c>
    </row>
    <row r="74" spans="1:21">
      <c r="A74">
        <v>73</v>
      </c>
      <c r="B74">
        <f>Bgls_oxides!B77/GlassStdCalc!B$17</f>
        <v>3.915709090909091</v>
      </c>
      <c r="C74">
        <f>Bgls_oxides!C77/GlassStdCalc!C$17</f>
        <v>1.0321088183584712E-2</v>
      </c>
      <c r="D74">
        <f>Bgls_oxides!D77/GlassStdCalc!D$17</f>
        <v>13.220917894736841</v>
      </c>
      <c r="E74">
        <f>Bgls_oxides!E77/GlassStdCalc!E$17</f>
        <v>44.815495176598731</v>
      </c>
      <c r="F74">
        <f>Bgls_oxides!F77/GlassStdCalc!F$17</f>
        <v>0.16002386919315403</v>
      </c>
      <c r="G74">
        <f>Bgls_oxides!G77/GlassStdCalc!G$17</f>
        <v>3.6079636744673425E-2</v>
      </c>
      <c r="H74">
        <f>Bgls_oxides!H77/GlassStdCalc!H$17</f>
        <v>1.7221131688998892</v>
      </c>
      <c r="I74">
        <f>Bgls_oxides!I77/GlassStdCalc!I$17</f>
        <v>0.21701170960187355</v>
      </c>
      <c r="J74">
        <f>Bgls_oxides!J77/GlassStdCalc!J$17</f>
        <v>15.859631849315068</v>
      </c>
      <c r="K74">
        <f>Bgls_oxides!K77/GlassStdCalc!K$17</f>
        <v>0.8151862970157161</v>
      </c>
      <c r="L74">
        <f>Bgls_oxides!L77/GlassStdCalc!L$17</f>
        <v>4.7874719101123597</v>
      </c>
      <c r="M74">
        <f>Bgls_oxides!M77/GlassStdCalc!M$17</f>
        <v>11.769486725663718</v>
      </c>
      <c r="N74">
        <f>Bgls_oxides!N77/GlassStdCalc!N$17</f>
        <v>3.2453811659192824</v>
      </c>
      <c r="O74">
        <f t="shared" si="4"/>
        <v>100.57482958289397</v>
      </c>
      <c r="P74" t="s">
        <v>221</v>
      </c>
      <c r="S74">
        <f t="shared" si="5"/>
        <v>39.22768970438517</v>
      </c>
      <c r="T74">
        <f t="shared" si="6"/>
        <v>60.77231029561483</v>
      </c>
      <c r="U74">
        <f t="shared" si="7"/>
        <v>100</v>
      </c>
    </row>
    <row r="75" spans="1:21">
      <c r="A75">
        <v>74</v>
      </c>
      <c r="B75">
        <f>Bgls_oxides!B78/GlassStdCalc!B$17</f>
        <v>3.4583999999999997</v>
      </c>
      <c r="C75">
        <f>Bgls_oxides!C78/GlassStdCalc!C$17</f>
        <v>2.0999444804293513E-2</v>
      </c>
      <c r="D75">
        <f>Bgls_oxides!D78/GlassStdCalc!D$17</f>
        <v>13.420328421052632</v>
      </c>
      <c r="E75">
        <f>Bgls_oxides!E78/GlassStdCalc!E$17</f>
        <v>44.79573090088688</v>
      </c>
      <c r="F75">
        <f>Bgls_oxides!F78/GlassStdCalc!F$17</f>
        <v>0.16525406479217605</v>
      </c>
      <c r="G75">
        <f>Bgls_oxides!G78/GlassStdCalc!G$17</f>
        <v>5.4588892769821873E-2</v>
      </c>
      <c r="H75">
        <f>Bgls_oxides!H78/GlassStdCalc!H$17</f>
        <v>1.7123837159682513</v>
      </c>
      <c r="I75">
        <f>Bgls_oxides!I78/GlassStdCalc!I$17</f>
        <v>0.18063700234192037</v>
      </c>
      <c r="J75">
        <f>Bgls_oxides!J78/GlassStdCalc!J$17</f>
        <v>15.348030821917808</v>
      </c>
      <c r="K75">
        <f>Bgls_oxides!K78/GlassStdCalc!K$17</f>
        <v>0.80257813879569129</v>
      </c>
      <c r="L75">
        <f>Bgls_oxides!L78/GlassStdCalc!L$17</f>
        <v>4.8440168539325841</v>
      </c>
      <c r="M75">
        <f>Bgls_oxides!M78/GlassStdCalc!M$17</f>
        <v>11.306973451327435</v>
      </c>
      <c r="N75">
        <f>Bgls_oxides!N78/GlassStdCalc!N$17</f>
        <v>3.3648430493273542</v>
      </c>
      <c r="O75">
        <f t="shared" si="4"/>
        <v>99.474764757916844</v>
      </c>
      <c r="P75" t="s">
        <v>222</v>
      </c>
      <c r="S75">
        <f t="shared" si="5"/>
        <v>39.150749952874371</v>
      </c>
      <c r="T75">
        <f t="shared" si="6"/>
        <v>60.849250047125629</v>
      </c>
      <c r="U75">
        <f t="shared" si="7"/>
        <v>100</v>
      </c>
    </row>
    <row r="76" spans="1:21">
      <c r="A76">
        <v>75</v>
      </c>
      <c r="B76">
        <f>Bgls_oxides!B79/GlassStdCalc!B$17</f>
        <v>3.4393454545454545</v>
      </c>
      <c r="C76">
        <f>Bgls_oxides!C79/GlassStdCalc!C$17</f>
        <v>1.8101600814287036E-2</v>
      </c>
      <c r="D76">
        <f>Bgls_oxides!D79/GlassStdCalc!D$17</f>
        <v>12.991595789473683</v>
      </c>
      <c r="E76">
        <f>Bgls_oxides!E79/GlassStdCalc!E$17</f>
        <v>44.874788003734245</v>
      </c>
      <c r="F76">
        <f>Bgls_oxides!F79/GlassStdCalc!F$17</f>
        <v>0.14885941320293397</v>
      </c>
      <c r="G76">
        <f>Bgls_oxides!G79/GlassStdCalc!G$17</f>
        <v>5.2577017114914429E-2</v>
      </c>
      <c r="H76">
        <f>Bgls_oxides!H79/GlassStdCalc!H$17</f>
        <v>1.7513015276948025</v>
      </c>
      <c r="I76">
        <f>Bgls_oxides!I79/GlassStdCalc!I$17</f>
        <v>0.17806088992974239</v>
      </c>
      <c r="J76">
        <f>Bgls_oxides!J79/GlassStdCalc!J$17</f>
        <v>15.468407534246575</v>
      </c>
      <c r="K76">
        <f>Bgls_oxides!K79/GlassStdCalc!K$17</f>
        <v>0.77534875507681444</v>
      </c>
      <c r="L76">
        <f>Bgls_oxides!L79/GlassStdCalc!L$17</f>
        <v>4.8345926966292128</v>
      </c>
      <c r="M76">
        <f>Bgls_oxides!M79/GlassStdCalc!M$17</f>
        <v>11.44474336283186</v>
      </c>
      <c r="N76">
        <f>Bgls_oxides!N79/GlassStdCalc!N$17</f>
        <v>3.3250224215246638</v>
      </c>
      <c r="O76">
        <f t="shared" si="4"/>
        <v>99.302744466819192</v>
      </c>
      <c r="P76" t="s">
        <v>223</v>
      </c>
      <c r="S76">
        <f t="shared" si="5"/>
        <v>39.880196985378845</v>
      </c>
      <c r="T76">
        <f t="shared" si="6"/>
        <v>60.119803014621155</v>
      </c>
      <c r="U76">
        <f t="shared" si="7"/>
        <v>100</v>
      </c>
    </row>
    <row r="77" spans="1:21">
      <c r="A77">
        <v>76</v>
      </c>
      <c r="B77">
        <f>Bgls_oxides!B80/GlassStdCalc!B$17</f>
        <v>3.4012363636363636</v>
      </c>
      <c r="C77">
        <f>Bgls_oxides!C80/GlassStdCalc!C$17</f>
        <v>1.6116776163597666E-2</v>
      </c>
      <c r="D77">
        <f>Bgls_oxides!D80/GlassStdCalc!D$17</f>
        <v>12.513010526315789</v>
      </c>
      <c r="E77">
        <f>Bgls_oxides!E80/GlassStdCalc!E$17</f>
        <v>44.637616695192165</v>
      </c>
      <c r="F77">
        <f>Bgls_oxides!F80/GlassStdCalc!F$17</f>
        <v>0.12995024449877751</v>
      </c>
      <c r="G77">
        <f>Bgls_oxides!G80/GlassStdCalc!G$17</f>
        <v>3.0781697520083834E-2</v>
      </c>
      <c r="H77">
        <f>Bgls_oxides!H80/GlassStdCalc!H$17</f>
        <v>1.7026542630366135</v>
      </c>
      <c r="I77">
        <f>Bgls_oxides!I80/GlassStdCalc!I$17</f>
        <v>0.23205620608899299</v>
      </c>
      <c r="J77">
        <f>Bgls_oxides!J80/GlassStdCalc!J$17</f>
        <v>15.428281963470321</v>
      </c>
      <c r="K77">
        <f>Bgls_oxides!K80/GlassStdCalc!K$17</f>
        <v>0.85724880805226922</v>
      </c>
      <c r="L77">
        <f>Bgls_oxides!L80/GlassStdCalc!L$17</f>
        <v>4.7968960674157302</v>
      </c>
      <c r="M77">
        <f>Bgls_oxides!M80/GlassStdCalc!M$17</f>
        <v>12.113911504424781</v>
      </c>
      <c r="N77">
        <f>Bgls_oxides!N80/GlassStdCalc!N$17</f>
        <v>3.3548878923766821</v>
      </c>
      <c r="O77">
        <f t="shared" si="4"/>
        <v>99.214649008192168</v>
      </c>
      <c r="P77" t="s">
        <v>224</v>
      </c>
      <c r="S77">
        <f t="shared" si="5"/>
        <v>40.594517323373893</v>
      </c>
      <c r="T77">
        <f t="shared" si="6"/>
        <v>59.405482676626107</v>
      </c>
      <c r="U77">
        <f t="shared" si="7"/>
        <v>100</v>
      </c>
    </row>
    <row r="78" spans="1:21">
      <c r="A78">
        <v>77</v>
      </c>
      <c r="B78">
        <f>Bgls_oxides!B81/GlassStdCalc!B$17</f>
        <v>3.3345454545454545</v>
      </c>
      <c r="C78">
        <f>Bgls_oxides!C81/GlassStdCalc!C$17</f>
        <v>1.2821967243453317E-2</v>
      </c>
      <c r="D78">
        <f>Bgls_oxides!D81/GlassStdCalc!D$17</f>
        <v>13.470181052631578</v>
      </c>
      <c r="E78">
        <f>Bgls_oxides!E81/GlassStdCalc!E$17</f>
        <v>44.835259452310567</v>
      </c>
      <c r="F78">
        <f>Bgls_oxides!F81/GlassStdCalc!F$17</f>
        <v>0.15056928484107579</v>
      </c>
      <c r="G78">
        <f>Bgls_oxides!G81/GlassStdCalc!G$17</f>
        <v>2.9775759692630112E-2</v>
      </c>
      <c r="H78">
        <f>Bgls_oxides!H81/GlassStdCalc!H$17</f>
        <v>1.6248186395835111</v>
      </c>
      <c r="I78">
        <f>Bgls_oxides!I81/GlassStdCalc!I$17</f>
        <v>0.24390632318501171</v>
      </c>
      <c r="J78">
        <f>Bgls_oxides!J81/GlassStdCalc!J$17</f>
        <v>15.508533105022831</v>
      </c>
      <c r="K78">
        <f>Bgls_oxides!K81/GlassStdCalc!K$17</f>
        <v>0.75871446229913475</v>
      </c>
      <c r="L78">
        <f>Bgls_oxides!L81/GlassStdCalc!L$17</f>
        <v>4.9571067415730337</v>
      </c>
      <c r="M78">
        <f>Bgls_oxides!M81/GlassStdCalc!M$17</f>
        <v>11.641557522123895</v>
      </c>
      <c r="N78">
        <f>Bgls_oxides!N81/GlassStdCalc!N$17</f>
        <v>3.3947085201793725</v>
      </c>
      <c r="O78">
        <f t="shared" si="4"/>
        <v>99.962498285231547</v>
      </c>
      <c r="P78" t="s">
        <v>225</v>
      </c>
      <c r="S78">
        <f t="shared" si="5"/>
        <v>39.613160407711796</v>
      </c>
      <c r="T78">
        <f t="shared" si="6"/>
        <v>60.386839592288204</v>
      </c>
      <c r="U78">
        <f t="shared" si="7"/>
        <v>100</v>
      </c>
    </row>
    <row r="79" spans="1:21">
      <c r="A79">
        <v>78</v>
      </c>
      <c r="B79">
        <f>Bgls_oxides!B82/GlassStdCalc!B$17</f>
        <v>3.4393454545454545</v>
      </c>
      <c r="C79">
        <f>Bgls_oxides!C82/GlassStdCalc!C$17</f>
        <v>1.095623207180531E-2</v>
      </c>
      <c r="D79">
        <f>Bgls_oxides!D82/GlassStdCalc!D$17</f>
        <v>12.931772631578948</v>
      </c>
      <c r="E79">
        <f>Bgls_oxides!E82/GlassStdCalc!E$17</f>
        <v>45.18113427726778</v>
      </c>
      <c r="F79">
        <f>Bgls_oxides!F82/GlassStdCalc!F$17</f>
        <v>0.15982270782396091</v>
      </c>
      <c r="G79">
        <f>Bgls_oxides!G82/GlassStdCalc!G$17</f>
        <v>4.4663639538945171E-2</v>
      </c>
      <c r="H79">
        <f>Bgls_oxides!H82/GlassStdCalc!H$17</f>
        <v>1.6442775454467866</v>
      </c>
      <c r="I79">
        <f>Bgls_oxides!I82/GlassStdCalc!I$17</f>
        <v>0.21804215456674475</v>
      </c>
      <c r="J79">
        <f>Bgls_oxides!J82/GlassStdCalc!J$17</f>
        <v>15.659003995433789</v>
      </c>
      <c r="K79">
        <f>Bgls_oxides!K82/GlassStdCalc!K$17</f>
        <v>0.70944728942256752</v>
      </c>
      <c r="L79">
        <f>Bgls_oxides!L82/GlassStdCalc!L$17</f>
        <v>4.9853792134831458</v>
      </c>
      <c r="M79">
        <f>Bgls_oxides!M82/GlassStdCalc!M$17</f>
        <v>11.858053097345135</v>
      </c>
      <c r="N79">
        <f>Bgls_oxides!N82/GlassStdCalc!N$17</f>
        <v>3.2752466367713007</v>
      </c>
      <c r="O79">
        <f t="shared" si="4"/>
        <v>100.11714487529636</v>
      </c>
      <c r="P79" t="s">
        <v>226</v>
      </c>
      <c r="S79">
        <f t="shared" si="5"/>
        <v>40.730167290776166</v>
      </c>
      <c r="T79">
        <f t="shared" si="6"/>
        <v>59.269832709223834</v>
      </c>
      <c r="U79">
        <f t="shared" si="7"/>
        <v>100</v>
      </c>
    </row>
    <row r="80" spans="1:21">
      <c r="A80">
        <v>79</v>
      </c>
      <c r="B80">
        <f>Bgls_oxides!B83/GlassStdCalc!B$17</f>
        <v>3.3726545454545453</v>
      </c>
      <c r="C80">
        <f>Bgls_oxides!C83/GlassStdCalc!C$17</f>
        <v>1.3099842694549828E-2</v>
      </c>
      <c r="D80">
        <f>Bgls_oxides!D83/GlassStdCalc!D$17</f>
        <v>13.988648421052631</v>
      </c>
      <c r="E80">
        <f>Bgls_oxides!E83/GlassStdCalc!E$17</f>
        <v>44.726555935895441</v>
      </c>
      <c r="F80">
        <f>Bgls_oxides!F83/GlassStdCalc!F$17</f>
        <v>0.1615325794621027</v>
      </c>
      <c r="G80">
        <f>Bgls_oxides!G83/GlassStdCalc!G$17</f>
        <v>7.443939923157528E-3</v>
      </c>
      <c r="H80">
        <f>Bgls_oxides!H83/GlassStdCalc!H$17</f>
        <v>1.6637364513100623</v>
      </c>
      <c r="I80">
        <f>Bgls_oxides!I83/GlassStdCalc!I$17</f>
        <v>0.2719344262295082</v>
      </c>
      <c r="J80">
        <f>Bgls_oxides!J83/GlassStdCalc!J$17</f>
        <v>15.398187785388128</v>
      </c>
      <c r="K80">
        <f>Bgls_oxides!K83/GlassStdCalc!K$17</f>
        <v>0.70690446759668024</v>
      </c>
      <c r="L80">
        <f>Bgls_oxides!L83/GlassStdCalc!L$17</f>
        <v>4.5612921348314606</v>
      </c>
      <c r="M80">
        <f>Bgls_oxides!M83/GlassStdCalc!M$17</f>
        <v>11.120000000000001</v>
      </c>
      <c r="N80">
        <f>Bgls_oxides!N83/GlassStdCalc!N$17</f>
        <v>3.3349775784753364</v>
      </c>
      <c r="O80">
        <f t="shared" si="4"/>
        <v>99.326968108313622</v>
      </c>
      <c r="P80" t="s">
        <v>227</v>
      </c>
      <c r="S80">
        <f t="shared" si="5"/>
        <v>36.758439432164174</v>
      </c>
      <c r="T80">
        <f t="shared" si="6"/>
        <v>63.241560567835826</v>
      </c>
      <c r="U80">
        <f t="shared" si="7"/>
        <v>100</v>
      </c>
    </row>
    <row r="81" spans="1:21">
      <c r="A81">
        <v>80</v>
      </c>
      <c r="B81">
        <f>Bgls_oxides!B84/GlassStdCalc!B$17</f>
        <v>3.7156363636363636</v>
      </c>
      <c r="C81">
        <f>Bgls_oxides!C84/GlassStdCalc!C$17</f>
        <v>1.9252799111686869E-2</v>
      </c>
      <c r="D81">
        <f>Bgls_oxides!D84/GlassStdCalc!D$17</f>
        <v>13.04144842105263</v>
      </c>
      <c r="E81">
        <f>Bgls_oxides!E84/GlassStdCalc!E$17</f>
        <v>44.805613038742806</v>
      </c>
      <c r="F81">
        <f>Bgls_oxides!F84/GlassStdCalc!F$17</f>
        <v>0.1265305012224939</v>
      </c>
      <c r="G81">
        <f>Bgls_oxides!G84/GlassStdCalc!G$17</f>
        <v>0</v>
      </c>
      <c r="H81">
        <f>Bgls_oxides!H84/GlassStdCalc!H$17</f>
        <v>1.7707604335580782</v>
      </c>
      <c r="I81">
        <f>Bgls_oxides!I84/GlassStdCalc!I$17</f>
        <v>0.22783138173302106</v>
      </c>
      <c r="J81">
        <f>Bgls_oxides!J84/GlassStdCalc!J$17</f>
        <v>15.428281963470321</v>
      </c>
      <c r="K81">
        <f>Bgls_oxides!K84/GlassStdCalc!K$17</f>
        <v>0.76920360233092</v>
      </c>
      <c r="L81">
        <f>Bgls_oxides!L84/GlassStdCalc!L$17</f>
        <v>4.8628651685393258</v>
      </c>
      <c r="M81">
        <f>Bgls_oxides!M84/GlassStdCalc!M$17</f>
        <v>11.572672566371683</v>
      </c>
      <c r="N81">
        <f>Bgls_oxides!N84/GlassStdCalc!N$17</f>
        <v>3.3051121076233185</v>
      </c>
      <c r="O81">
        <f t="shared" si="4"/>
        <v>99.645208347392654</v>
      </c>
      <c r="P81" t="s">
        <v>228</v>
      </c>
      <c r="S81">
        <f t="shared" si="5"/>
        <v>39.928181624470653</v>
      </c>
      <c r="T81">
        <f t="shared" si="6"/>
        <v>60.071818375529347</v>
      </c>
      <c r="U81">
        <f t="shared" si="7"/>
        <v>100</v>
      </c>
    </row>
    <row r="82" spans="1:21">
      <c r="A82">
        <v>81</v>
      </c>
      <c r="B82">
        <f>Bgls_oxides!B85/GlassStdCalc!B$17</f>
        <v>3.5250909090909093</v>
      </c>
      <c r="C82">
        <f>Bgls_oxides!C85/GlassStdCalc!C$17</f>
        <v>1.7585546405107799E-2</v>
      </c>
      <c r="D82">
        <f>Bgls_oxides!D85/GlassStdCalc!D$17</f>
        <v>12.961684210526315</v>
      </c>
      <c r="E82">
        <f>Bgls_oxides!E85/GlassStdCalc!E$17</f>
        <v>44.904434417302006</v>
      </c>
      <c r="F82">
        <f>Bgls_oxides!F85/GlassStdCalc!F$17</f>
        <v>0.1544919315403423</v>
      </c>
      <c r="G82">
        <f>Bgls_oxides!G85/GlassStdCalc!G$17</f>
        <v>1.8576318546978696E-2</v>
      </c>
      <c r="H82">
        <f>Bgls_oxides!H85/GlassStdCalc!H$17</f>
        <v>1.8485960570111803</v>
      </c>
      <c r="I82">
        <f>Bgls_oxides!I85/GlassStdCalc!I$17</f>
        <v>0.25812646370023418</v>
      </c>
      <c r="J82">
        <f>Bgls_oxides!J85/GlassStdCalc!J$17</f>
        <v>15.408219178082192</v>
      </c>
      <c r="K82">
        <f>Bgls_oxides!K85/GlassStdCalc!K$17</f>
        <v>0.73031961857672612</v>
      </c>
      <c r="L82">
        <f>Bgls_oxides!L85/GlassStdCalc!L$17</f>
        <v>4.8063202247191006</v>
      </c>
      <c r="M82">
        <f>Bgls_oxides!M85/GlassStdCalc!M$17</f>
        <v>11.247929203539824</v>
      </c>
      <c r="N82">
        <f>Bgls_oxides!N85/GlassStdCalc!N$17</f>
        <v>3.3051121076233185</v>
      </c>
      <c r="O82">
        <f t="shared" si="4"/>
        <v>99.186486186664226</v>
      </c>
      <c r="P82" t="s">
        <v>229</v>
      </c>
      <c r="S82">
        <f t="shared" si="5"/>
        <v>39.794871570118481</v>
      </c>
      <c r="T82">
        <f t="shared" si="6"/>
        <v>60.205128429881519</v>
      </c>
      <c r="U82">
        <f t="shared" si="7"/>
        <v>100</v>
      </c>
    </row>
    <row r="83" spans="1:21">
      <c r="A83">
        <v>82</v>
      </c>
      <c r="B83">
        <f>Bgls_oxides!B86/GlassStdCalc!B$17</f>
        <v>3.4774545454545454</v>
      </c>
      <c r="C83">
        <f>Bgls_oxides!C86/GlassStdCalc!C$17</f>
        <v>1.2186823355232719E-2</v>
      </c>
      <c r="D83">
        <f>Bgls_oxides!D86/GlassStdCalc!D$17</f>
        <v>13.141153684210526</v>
      </c>
      <c r="E83">
        <f>Bgls_oxides!E86/GlassStdCalc!E$17</f>
        <v>44.509148903065196</v>
      </c>
      <c r="F83">
        <f>Bgls_oxides!F86/GlassStdCalc!F$17</f>
        <v>4.978743887530563E-2</v>
      </c>
      <c r="G83">
        <f>Bgls_oxides!G86/GlassStdCalc!G$17</f>
        <v>4.9961578763534756E-2</v>
      </c>
      <c r="H83">
        <f>Bgls_oxides!H86/GlassStdCalc!H$17</f>
        <v>1.6734659042417002</v>
      </c>
      <c r="I83">
        <f>Bgls_oxides!I86/GlassStdCalc!I$17</f>
        <v>0.19207494145199064</v>
      </c>
      <c r="J83">
        <f>Bgls_oxides!J86/GlassStdCalc!J$17</f>
        <v>15.277811073059361</v>
      </c>
      <c r="K83">
        <f>Bgls_oxides!K86/GlassStdCalc!K$17</f>
        <v>0.79929366060392015</v>
      </c>
      <c r="L83">
        <f>Bgls_oxides!L86/GlassStdCalc!L$17</f>
        <v>5.0136516853932589</v>
      </c>
      <c r="M83">
        <f>Bgls_oxides!M86/GlassStdCalc!M$17</f>
        <v>11.848212389380532</v>
      </c>
      <c r="N83">
        <f>Bgls_oxides!N86/GlassStdCalc!N$17</f>
        <v>3.2055605381165924</v>
      </c>
      <c r="O83">
        <f t="shared" si="4"/>
        <v>99.2497631659717</v>
      </c>
      <c r="P83" t="s">
        <v>230</v>
      </c>
      <c r="S83">
        <f t="shared" si="5"/>
        <v>40.479192092049999</v>
      </c>
      <c r="T83">
        <f t="shared" si="6"/>
        <v>59.520807907950001</v>
      </c>
      <c r="U83">
        <f t="shared" si="7"/>
        <v>100</v>
      </c>
    </row>
    <row r="84" spans="1:21">
      <c r="A84">
        <v>83</v>
      </c>
      <c r="B84">
        <f>Bgls_oxides!B87/GlassStdCalc!B$17</f>
        <v>3.8394909090909093</v>
      </c>
      <c r="C84">
        <f>Bgls_oxides!C87/GlassStdCalc!C$17</f>
        <v>1.9213102618673081E-2</v>
      </c>
      <c r="D84">
        <f>Bgls_oxides!D87/GlassStdCalc!D$17</f>
        <v>13.62970947368421</v>
      </c>
      <c r="E84">
        <f>Bgls_oxides!E87/GlassStdCalc!E$17</f>
        <v>44.519031040921114</v>
      </c>
      <c r="F84">
        <f>Bgls_oxides!F87/GlassStdCalc!F$17</f>
        <v>0.14815534841075795</v>
      </c>
      <c r="G84">
        <f>Bgls_oxides!G87/GlassStdCalc!G$17</f>
        <v>3.9030387705204339E-2</v>
      </c>
      <c r="H84">
        <f>Bgls_oxides!H87/GlassStdCalc!H$17</f>
        <v>1.6540069983784245</v>
      </c>
      <c r="I84">
        <f>Bgls_oxides!I87/GlassStdCalc!I$17</f>
        <v>0.22381264637002343</v>
      </c>
      <c r="J84">
        <f>Bgls_oxides!J87/GlassStdCalc!J$17</f>
        <v>15.839569063926939</v>
      </c>
      <c r="K84">
        <f>Bgls_oxides!K87/GlassStdCalc!K$17</f>
        <v>0.78891047148154692</v>
      </c>
      <c r="L84">
        <f>Bgls_oxides!L87/GlassStdCalc!L$17</f>
        <v>4.6555337078651684</v>
      </c>
      <c r="M84">
        <f>Bgls_oxides!M87/GlassStdCalc!M$17</f>
        <v>11.513628318584072</v>
      </c>
      <c r="N84">
        <f>Bgls_oxides!N87/GlassStdCalc!N$17</f>
        <v>3.2951569506726459</v>
      </c>
      <c r="O84">
        <f t="shared" si="4"/>
        <v>100.1652484197097</v>
      </c>
      <c r="P84" t="s">
        <v>231</v>
      </c>
      <c r="S84">
        <f t="shared" si="5"/>
        <v>37.844609599028267</v>
      </c>
      <c r="T84">
        <f t="shared" si="6"/>
        <v>62.155390400971733</v>
      </c>
      <c r="U84">
        <f t="shared" si="7"/>
        <v>100</v>
      </c>
    </row>
    <row r="85" spans="1:21">
      <c r="A85">
        <v>84</v>
      </c>
      <c r="B85">
        <f>Bgls_oxides!B88/GlassStdCalc!B$17</f>
        <v>3.7156363636363636</v>
      </c>
      <c r="C85">
        <f>Bgls_oxides!C88/GlassStdCalc!C$17</f>
        <v>1.6235865642639027E-2</v>
      </c>
      <c r="D85">
        <f>Bgls_oxides!D88/GlassStdCalc!D$17</f>
        <v>13.928825263157895</v>
      </c>
      <c r="E85">
        <f>Bgls_oxides!E88/GlassStdCalc!E$17</f>
        <v>44.202802629531661</v>
      </c>
      <c r="F85">
        <f>Bgls_oxides!F88/GlassStdCalc!F$17</f>
        <v>0.17360226161369194</v>
      </c>
      <c r="G85">
        <f>Bgls_oxides!G88/GlassStdCalc!G$17</f>
        <v>0.10260565840027944</v>
      </c>
      <c r="H85">
        <f>Bgls_oxides!H88/GlassStdCalc!H$17</f>
        <v>1.7513015276948025</v>
      </c>
      <c r="I85">
        <f>Bgls_oxides!I88/GlassStdCalc!I$17</f>
        <v>0.25946604215456676</v>
      </c>
      <c r="J85">
        <f>Bgls_oxides!J88/GlassStdCalc!J$17</f>
        <v>15.508533105022831</v>
      </c>
      <c r="K85">
        <f>Bgls_oxides!K88/GlassStdCalc!K$17</f>
        <v>0.77757372417446591</v>
      </c>
      <c r="L85">
        <f>Bgls_oxides!L88/GlassStdCalc!L$17</f>
        <v>4.8817134831460667</v>
      </c>
      <c r="M85">
        <f>Bgls_oxides!M88/GlassStdCalc!M$17</f>
        <v>11.149522123893806</v>
      </c>
      <c r="N85">
        <f>Bgls_oxides!N88/GlassStdCalc!N$17</f>
        <v>3.2951569506726459</v>
      </c>
      <c r="O85">
        <f t="shared" si="4"/>
        <v>99.762974998741711</v>
      </c>
      <c r="P85" t="s">
        <v>232</v>
      </c>
      <c r="S85">
        <f t="shared" si="5"/>
        <v>38.451736335868766</v>
      </c>
      <c r="T85">
        <f t="shared" si="6"/>
        <v>61.548263664131234</v>
      </c>
      <c r="U85">
        <f t="shared" si="7"/>
        <v>100</v>
      </c>
    </row>
    <row r="86" spans="1:21">
      <c r="A86">
        <v>85</v>
      </c>
      <c r="B86">
        <f>Bgls_oxides!B89/GlassStdCalc!B$17</f>
        <v>3.6775272727272723</v>
      </c>
      <c r="C86">
        <f>Bgls_oxides!C89/GlassStdCalc!C$17</f>
        <v>1.6831313037845838E-2</v>
      </c>
      <c r="D86">
        <f>Bgls_oxides!D89/GlassStdCalc!D$17</f>
        <v>13.310652631578947</v>
      </c>
      <c r="E86">
        <f>Bgls_oxides!E89/GlassStdCalc!E$17</f>
        <v>45.092195036564497</v>
      </c>
      <c r="F86">
        <f>Bgls_oxides!F89/GlassStdCalc!F$17</f>
        <v>0.1706854217603912</v>
      </c>
      <c r="G86">
        <f>Bgls_oxides!G89/GlassStdCalc!G$17</f>
        <v>7.9536150890674132E-2</v>
      </c>
      <c r="H86">
        <f>Bgls_oxides!H89/GlassStdCalc!H$17</f>
        <v>1.7707604335580782</v>
      </c>
      <c r="I86">
        <f>Bgls_oxides!I89/GlassStdCalc!I$17</f>
        <v>0.23318969555035129</v>
      </c>
      <c r="J86">
        <f>Bgls_oxides!J89/GlassStdCalc!J$17</f>
        <v>15.669035388127853</v>
      </c>
      <c r="K86">
        <f>Bgls_oxides!K89/GlassStdCalc!K$17</f>
        <v>0.84612396256401201</v>
      </c>
      <c r="L86">
        <f>Bgls_oxides!L89/GlassStdCalc!L$17</f>
        <v>4.7968960674157302</v>
      </c>
      <c r="M86">
        <f>Bgls_oxides!M89/GlassStdCalc!M$17</f>
        <v>11.27745132743363</v>
      </c>
      <c r="N86">
        <f>Bgls_oxides!N89/GlassStdCalc!N$17</f>
        <v>3.2852017937219729</v>
      </c>
      <c r="O86">
        <f t="shared" si="4"/>
        <v>100.22608649493124</v>
      </c>
      <c r="P86" t="s">
        <v>233</v>
      </c>
      <c r="S86">
        <f t="shared" si="5"/>
        <v>39.113370761342111</v>
      </c>
      <c r="T86">
        <f t="shared" si="6"/>
        <v>60.886629238657889</v>
      </c>
      <c r="U86">
        <f t="shared" si="7"/>
        <v>100</v>
      </c>
    </row>
    <row r="87" spans="1:21">
      <c r="A87">
        <v>86</v>
      </c>
      <c r="B87">
        <f>Bgls_oxides!B90/GlassStdCalc!B$17</f>
        <v>3.5346181818181819</v>
      </c>
      <c r="C87">
        <f>Bgls_oxides!C90/GlassStdCalc!C$17</f>
        <v>1.2107430369205145E-2</v>
      </c>
      <c r="D87">
        <f>Bgls_oxides!D90/GlassStdCalc!D$17</f>
        <v>13.849061052631578</v>
      </c>
      <c r="E87">
        <f>Bgls_oxides!E90/GlassStdCalc!E$17</f>
        <v>45.596184067216434</v>
      </c>
      <c r="F87">
        <f>Bgls_oxides!F90/GlassStdCalc!F$17</f>
        <v>0.15962154645476775</v>
      </c>
      <c r="G87">
        <f>Bgls_oxides!G90/GlassStdCalc!G$17</f>
        <v>0.12158435207823962</v>
      </c>
      <c r="H87">
        <f>Bgls_oxides!H90/GlassStdCalc!H$17</f>
        <v>1.7999487923529915</v>
      </c>
      <c r="I87">
        <f>Bgls_oxides!I90/GlassStdCalc!I$17</f>
        <v>0.25503512880562063</v>
      </c>
      <c r="J87">
        <f>Bgls_oxides!J90/GlassStdCalc!J$17</f>
        <v>15.488470319634702</v>
      </c>
      <c r="K87">
        <f>Bgls_oxides!K90/GlassStdCalc!K$17</f>
        <v>0.76528341868267713</v>
      </c>
      <c r="L87">
        <f>Bgls_oxides!L90/GlassStdCalc!L$17</f>
        <v>4.6932303370786519</v>
      </c>
      <c r="M87">
        <f>Bgls_oxides!M90/GlassStdCalc!M$17</f>
        <v>11.375858407079647</v>
      </c>
      <c r="N87">
        <f>Bgls_oxides!N90/GlassStdCalc!N$17</f>
        <v>3.2752466367713007</v>
      </c>
      <c r="O87">
        <f t="shared" si="4"/>
        <v>100.92624967097397</v>
      </c>
      <c r="P87" t="s">
        <v>234</v>
      </c>
      <c r="S87">
        <f t="shared" si="5"/>
        <v>37.65893915204002</v>
      </c>
      <c r="T87">
        <f t="shared" si="6"/>
        <v>62.34106084795998</v>
      </c>
      <c r="U87">
        <f t="shared" si="7"/>
        <v>100</v>
      </c>
    </row>
    <row r="88" spans="1:21">
      <c r="A88">
        <v>87</v>
      </c>
      <c r="B88">
        <f>Bgls_oxides!B91/GlassStdCalc!B$17</f>
        <v>3.6775272727272723</v>
      </c>
      <c r="C88">
        <f>Bgls_oxides!C91/GlassStdCalc!C$17</f>
        <v>1.7823725363190525E-2</v>
      </c>
      <c r="D88">
        <f>Bgls_oxides!D91/GlassStdCalc!D$17</f>
        <v>13.61973894736842</v>
      </c>
      <c r="E88">
        <f>Bgls_oxides!E91/GlassStdCalc!E$17</f>
        <v>44.568441730200718</v>
      </c>
      <c r="F88">
        <f>Bgls_oxides!F91/GlassStdCalc!F$17</f>
        <v>0.17621735941320293</v>
      </c>
      <c r="G88">
        <f>Bgls_oxides!G91/GlassStdCalc!G$17</f>
        <v>5.2577017114914429E-2</v>
      </c>
      <c r="H88">
        <f>Bgls_oxides!H91/GlassStdCalc!H$17</f>
        <v>1.7513015276948025</v>
      </c>
      <c r="I88">
        <f>Bgls_oxides!I91/GlassStdCalc!I$17</f>
        <v>0.26843091334894614</v>
      </c>
      <c r="J88">
        <f>Bgls_oxides!J91/GlassStdCalc!J$17</f>
        <v>15.508533105022831</v>
      </c>
      <c r="K88">
        <f>Bgls_oxides!K91/GlassStdCalc!K$17</f>
        <v>0.71082465124492322</v>
      </c>
      <c r="L88">
        <f>Bgls_oxides!L91/GlassStdCalc!L$17</f>
        <v>4.6649578651685397</v>
      </c>
      <c r="M88">
        <f>Bgls_oxides!M91/GlassStdCalc!M$17</f>
        <v>11.405380530973453</v>
      </c>
      <c r="N88">
        <f>Bgls_oxides!N91/GlassStdCalc!N$17</f>
        <v>3.2354260089686102</v>
      </c>
      <c r="O88">
        <f t="shared" si="4"/>
        <v>99.657180654609832</v>
      </c>
      <c r="P88" t="s">
        <v>235</v>
      </c>
      <c r="S88">
        <f t="shared" si="5"/>
        <v>37.909413107492405</v>
      </c>
      <c r="T88">
        <f t="shared" si="6"/>
        <v>62.090586892507595</v>
      </c>
      <c r="U88">
        <f t="shared" si="7"/>
        <v>100</v>
      </c>
    </row>
    <row r="89" spans="1:21">
      <c r="A89">
        <v>88</v>
      </c>
      <c r="B89">
        <f>Bgls_oxides!B92/GlassStdCalc!B$17</f>
        <v>3.5346181818181819</v>
      </c>
      <c r="C89">
        <f>Bgls_oxides!C92/GlassStdCalc!C$17</f>
        <v>1.1948644397149993E-2</v>
      </c>
      <c r="D89">
        <f>Bgls_oxides!D92/GlassStdCalc!D$17</f>
        <v>13.390416842105262</v>
      </c>
      <c r="E89">
        <f>Bgls_oxides!E92/GlassStdCalc!E$17</f>
        <v>45.052666485140819</v>
      </c>
      <c r="F89">
        <f>Bgls_oxides!F92/GlassStdCalc!F$17</f>
        <v>0.16113025672371639</v>
      </c>
      <c r="G89">
        <f>Bgls_oxides!G92/GlassStdCalc!G$17</f>
        <v>6.9879147747118411E-2</v>
      </c>
      <c r="H89">
        <f>Bgls_oxides!H92/GlassStdCalc!H$17</f>
        <v>1.7415720747631647</v>
      </c>
      <c r="I89">
        <f>Bgls_oxides!I92/GlassStdCalc!I$17</f>
        <v>0.28460889929742389</v>
      </c>
      <c r="J89">
        <f>Bgls_oxides!J92/GlassStdCalc!J$17</f>
        <v>15.408219178082192</v>
      </c>
      <c r="K89">
        <f>Bgls_oxides!K92/GlassStdCalc!K$17</f>
        <v>0.75119194773088471</v>
      </c>
      <c r="L89">
        <f>Bgls_oxides!L92/GlassStdCalc!L$17</f>
        <v>4.7497752808988762</v>
      </c>
      <c r="M89">
        <f>Bgls_oxides!M92/GlassStdCalc!M$17</f>
        <v>11.592353982300885</v>
      </c>
      <c r="N89">
        <f>Bgls_oxides!N92/GlassStdCalc!N$17</f>
        <v>3.3747982062780273</v>
      </c>
      <c r="O89">
        <f t="shared" si="4"/>
        <v>100.12317912728369</v>
      </c>
      <c r="P89" t="s">
        <v>236</v>
      </c>
      <c r="S89">
        <f t="shared" si="5"/>
        <v>38.736650100656433</v>
      </c>
      <c r="T89">
        <f t="shared" si="6"/>
        <v>61.263349899343567</v>
      </c>
      <c r="U89">
        <f t="shared" si="7"/>
        <v>100</v>
      </c>
    </row>
    <row r="90" spans="1:21">
      <c r="A90">
        <v>89</v>
      </c>
      <c r="B90">
        <f>Bgls_oxides!B93/GlassStdCalc!B$17</f>
        <v>3.6775272727272723</v>
      </c>
      <c r="C90">
        <f>Bgls_oxides!C93/GlassStdCalc!C$17</f>
        <v>1.1948644397149993E-2</v>
      </c>
      <c r="D90">
        <f>Bgls_oxides!D93/GlassStdCalc!D$17</f>
        <v>13.589827368421053</v>
      </c>
      <c r="E90">
        <f>Bgls_oxides!E93/GlassStdCalc!E$17</f>
        <v>44.894552279446089</v>
      </c>
      <c r="F90">
        <f>Bgls_oxides!F93/GlassStdCalc!F$17</f>
        <v>0.14976463936430318</v>
      </c>
      <c r="G90">
        <f>Bgls_oxides!G93/GlassStdCalc!G$17</f>
        <v>3.8024449877750617E-2</v>
      </c>
      <c r="H90">
        <f>Bgls_oxides!H93/GlassStdCalc!H$17</f>
        <v>1.7513015276948025</v>
      </c>
      <c r="I90">
        <f>Bgls_oxides!I93/GlassStdCalc!I$17</f>
        <v>0.34190163934426226</v>
      </c>
      <c r="J90">
        <f>Bgls_oxides!J93/GlassStdCalc!J$17</f>
        <v>15.488470319634702</v>
      </c>
      <c r="K90">
        <f>Bgls_oxides!K93/GlassStdCalc!K$17</f>
        <v>0.69101183118488441</v>
      </c>
      <c r="L90">
        <f>Bgls_oxides!L93/GlassStdCalc!L$17</f>
        <v>4.8534410112359554</v>
      </c>
      <c r="M90">
        <f>Bgls_oxides!M93/GlassStdCalc!M$17</f>
        <v>11.247929203539824</v>
      </c>
      <c r="N90">
        <f>Bgls_oxides!N93/GlassStdCalc!N$17</f>
        <v>3.3051121076233185</v>
      </c>
      <c r="O90">
        <f t="shared" si="4"/>
        <v>100.04081229449136</v>
      </c>
      <c r="P90" t="s">
        <v>219</v>
      </c>
      <c r="S90">
        <f t="shared" si="5"/>
        <v>38.898346067976966</v>
      </c>
      <c r="T90">
        <f t="shared" si="6"/>
        <v>61.101653932023034</v>
      </c>
      <c r="U90">
        <f t="shared" si="7"/>
        <v>100</v>
      </c>
    </row>
    <row r="91" spans="1:21">
      <c r="A91">
        <v>90</v>
      </c>
      <c r="B91">
        <f>Bgls_oxides!B94/GlassStdCalc!B$17</f>
        <v>3.391709090909091</v>
      </c>
      <c r="C91">
        <f>Bgls_oxides!C94/GlassStdCalc!C$17</f>
        <v>1.7545849912094014E-2</v>
      </c>
      <c r="D91">
        <f>Bgls_oxides!D94/GlassStdCalc!D$17</f>
        <v>14.118265263157895</v>
      </c>
      <c r="E91">
        <f>Bgls_oxides!E94/GlassStdCalc!E$17</f>
        <v>45.052666485140819</v>
      </c>
      <c r="F91">
        <f>Bgls_oxides!F94/GlassStdCalc!F$17</f>
        <v>0.14574141198044011</v>
      </c>
      <c r="G91">
        <f>Bgls_oxides!G94/GlassStdCalc!G$17</f>
        <v>8.1950401676563062E-2</v>
      </c>
      <c r="H91">
        <f>Bgls_oxides!H94/GlassStdCalc!H$17</f>
        <v>1.8388666040795425</v>
      </c>
      <c r="I91">
        <f>Bgls_oxides!I94/GlassStdCalc!I$17</f>
        <v>0.22948009367681499</v>
      </c>
      <c r="J91">
        <f>Bgls_oxides!J94/GlassStdCalc!J$17</f>
        <v>15.558690068493149</v>
      </c>
      <c r="K91">
        <f>Bgls_oxides!K94/GlassStdCalc!K$17</f>
        <v>0.76199894049090588</v>
      </c>
      <c r="L91">
        <f>Bgls_oxides!L94/GlassStdCalc!L$17</f>
        <v>4.6932303370786519</v>
      </c>
      <c r="M91">
        <f>Bgls_oxides!M94/GlassStdCalc!M$17</f>
        <v>11.080637168141594</v>
      </c>
      <c r="N91">
        <f>Bgls_oxides!N94/GlassStdCalc!N$17</f>
        <v>3.2453811659192824</v>
      </c>
      <c r="O91">
        <f t="shared" si="4"/>
        <v>100.21616288065684</v>
      </c>
      <c r="P91" t="s">
        <v>220</v>
      </c>
      <c r="S91">
        <f t="shared" si="5"/>
        <v>37.20804709690146</v>
      </c>
      <c r="T91">
        <f t="shared" si="6"/>
        <v>62.79195290309854</v>
      </c>
      <c r="U91">
        <f t="shared" si="7"/>
        <v>100</v>
      </c>
    </row>
    <row r="92" spans="1:21">
      <c r="A92">
        <v>91</v>
      </c>
      <c r="B92">
        <f>Bgls_oxides!B95/GlassStdCalc!B$17</f>
        <v>3.6298909090909088</v>
      </c>
      <c r="C92">
        <f>Bgls_oxides!C95/GlassStdCalc!C$17</f>
        <v>1.6513741093735539E-2</v>
      </c>
      <c r="D92">
        <f>Bgls_oxides!D95/GlassStdCalc!D$17</f>
        <v>12.732362105263157</v>
      </c>
      <c r="E92">
        <f>Bgls_oxides!E95/GlassStdCalc!E$17</f>
        <v>44.716673798039523</v>
      </c>
      <c r="F92">
        <f>Bgls_oxides!F95/GlassStdCalc!F$17</f>
        <v>0.13779553789731053</v>
      </c>
      <c r="G92">
        <f>Bgls_oxides!G95/GlassStdCalc!G$17</f>
        <v>7.1555710792874622E-2</v>
      </c>
      <c r="H92">
        <f>Bgls_oxides!H95/GlassStdCalc!H$17</f>
        <v>1.6442775454467866</v>
      </c>
      <c r="I92">
        <f>Bgls_oxides!I95/GlassStdCalc!I$17</f>
        <v>0.29831381733021073</v>
      </c>
      <c r="J92">
        <f>Bgls_oxides!J95/GlassStdCalc!J$17</f>
        <v>15.478438926940639</v>
      </c>
      <c r="K92">
        <f>Bgls_oxides!K95/GlassStdCalc!K$17</f>
        <v>0.85036199894049092</v>
      </c>
      <c r="L92">
        <f>Bgls_oxides!L95/GlassStdCalc!L$17</f>
        <v>4.7120786516853927</v>
      </c>
      <c r="M92">
        <f>Bgls_oxides!M95/GlassStdCalc!M$17</f>
        <v>11.897415929203541</v>
      </c>
      <c r="N92">
        <f>Bgls_oxides!N95/GlassStdCalc!N$17</f>
        <v>3.2652914798206276</v>
      </c>
      <c r="O92">
        <f t="shared" si="4"/>
        <v>99.450970151545192</v>
      </c>
      <c r="P92" t="s">
        <v>221</v>
      </c>
      <c r="S92">
        <f t="shared" si="5"/>
        <v>39.748115242634704</v>
      </c>
      <c r="T92">
        <f t="shared" si="6"/>
        <v>60.251884757365296</v>
      </c>
      <c r="U92">
        <f t="shared" si="7"/>
        <v>100</v>
      </c>
    </row>
    <row r="93" spans="1:21">
      <c r="A93">
        <v>92</v>
      </c>
      <c r="B93">
        <f>Bgls_oxides!B96/GlassStdCalc!B$17</f>
        <v>3.7156363636363636</v>
      </c>
      <c r="C93">
        <f>Bgls_oxides!C96/GlassStdCalc!C$17</f>
        <v>1.0519570648653649E-2</v>
      </c>
      <c r="D93">
        <f>Bgls_oxides!D96/GlassStdCalc!D$17</f>
        <v>13.310652631578947</v>
      </c>
      <c r="E93">
        <f>Bgls_oxides!E96/GlassStdCalc!E$17</f>
        <v>44.509148903065196</v>
      </c>
      <c r="F93">
        <f>Bgls_oxides!F96/GlassStdCalc!F$17</f>
        <v>0.144333282396088</v>
      </c>
      <c r="G93">
        <f>Bgls_oxides!G96/GlassStdCalc!G$17</f>
        <v>2.8434509256025153E-2</v>
      </c>
      <c r="H93">
        <f>Bgls_oxides!H96/GlassStdCalc!H$17</f>
        <v>1.8680549628744558</v>
      </c>
      <c r="I93">
        <f>Bgls_oxides!I96/GlassStdCalc!I$17</f>
        <v>0.21505386416861827</v>
      </c>
      <c r="J93">
        <f>Bgls_oxides!J96/GlassStdCalc!J$17</f>
        <v>15.337999429223743</v>
      </c>
      <c r="K93">
        <f>Bgls_oxides!K96/GlassStdCalc!K$17</f>
        <v>0.74864912590499744</v>
      </c>
      <c r="L93">
        <f>Bgls_oxides!L96/GlassStdCalc!L$17</f>
        <v>4.6461095505617971</v>
      </c>
      <c r="M93">
        <f>Bgls_oxides!M96/GlassStdCalc!M$17</f>
        <v>11.031433628318586</v>
      </c>
      <c r="N93">
        <f>Bgls_oxides!N96/GlassStdCalc!N$17</f>
        <v>3.3150672645739911</v>
      </c>
      <c r="O93">
        <f t="shared" si="4"/>
        <v>98.881093086207471</v>
      </c>
      <c r="P93" t="s">
        <v>222</v>
      </c>
      <c r="S93">
        <f t="shared" si="5"/>
        <v>38.355452954185189</v>
      </c>
      <c r="T93">
        <f t="shared" si="6"/>
        <v>61.644547045814811</v>
      </c>
      <c r="U93">
        <f t="shared" si="7"/>
        <v>100</v>
      </c>
    </row>
    <row r="94" spans="1:21">
      <c r="A94">
        <v>93</v>
      </c>
      <c r="B94">
        <f>Bgls_oxides!B97/GlassStdCalc!B$17</f>
        <v>3.7346909090909088</v>
      </c>
      <c r="C94">
        <f>Bgls_oxides!C97/GlassStdCalc!C$17</f>
        <v>1.2941056722494678E-2</v>
      </c>
      <c r="D94">
        <f>Bgls_oxides!D97/GlassStdCalc!D$17</f>
        <v>12.47312842105263</v>
      </c>
      <c r="E94">
        <f>Bgls_oxides!E97/GlassStdCalc!E$17</f>
        <v>45.240427104403302</v>
      </c>
      <c r="F94">
        <f>Bgls_oxides!F97/GlassStdCalc!F$17</f>
        <v>0.1650529034229829</v>
      </c>
      <c r="G94">
        <f>Bgls_oxides!G97/GlassStdCalc!G$17</f>
        <v>4.251763884037723E-2</v>
      </c>
      <c r="H94">
        <f>Bgls_oxides!H97/GlassStdCalc!H$17</f>
        <v>1.8875138687377315</v>
      </c>
      <c r="I94">
        <f>Bgls_oxides!I97/GlassStdCalc!I$17</f>
        <v>0.25184074941451989</v>
      </c>
      <c r="J94">
        <f>Bgls_oxides!J97/GlassStdCalc!J$17</f>
        <v>15.297873858447488</v>
      </c>
      <c r="K94">
        <f>Bgls_oxides!K97/GlassStdCalc!K$17</f>
        <v>0.75860851138972274</v>
      </c>
      <c r="L94">
        <f>Bgls_oxides!L97/GlassStdCalc!L$17</f>
        <v>4.7026544943820223</v>
      </c>
      <c r="M94">
        <f>Bgls_oxides!M97/GlassStdCalc!M$17</f>
        <v>11.326654867256638</v>
      </c>
      <c r="N94">
        <f>Bgls_oxides!N97/GlassStdCalc!N$17</f>
        <v>3.3349775784753364</v>
      </c>
      <c r="O94">
        <f t="shared" si="4"/>
        <v>99.228881961636148</v>
      </c>
      <c r="P94" t="s">
        <v>223</v>
      </c>
      <c r="S94">
        <f t="shared" si="5"/>
        <v>40.193643583953126</v>
      </c>
      <c r="T94">
        <f t="shared" si="6"/>
        <v>59.806356416046874</v>
      </c>
      <c r="U94">
        <f t="shared" si="7"/>
        <v>100</v>
      </c>
    </row>
    <row r="95" spans="1:21">
      <c r="A95">
        <v>94</v>
      </c>
      <c r="B95">
        <f>Bgls_oxides!B98/GlassStdCalc!B$17</f>
        <v>3.6203636363636362</v>
      </c>
      <c r="C95">
        <f>Bgls_oxides!C98/GlassStdCalc!C$17</f>
        <v>2.4532432682520589E-2</v>
      </c>
      <c r="D95">
        <f>Bgls_oxides!D98/GlassStdCalc!D$17</f>
        <v>13.898913684210525</v>
      </c>
      <c r="E95">
        <f>Bgls_oxides!E98/GlassStdCalc!E$17</f>
        <v>44.924198693013849</v>
      </c>
      <c r="F95">
        <f>Bgls_oxides!F98/GlassStdCalc!F$17</f>
        <v>0.1706854217603912</v>
      </c>
      <c r="G95">
        <f>Bgls_oxides!G98/GlassStdCalc!G$17</f>
        <v>2.246594481313308E-2</v>
      </c>
      <c r="H95">
        <f>Bgls_oxides!H98/GlassStdCalc!H$17</f>
        <v>1.9653494921908339</v>
      </c>
      <c r="I95">
        <f>Bgls_oxides!I98/GlassStdCalc!I$17</f>
        <v>0.28419672131147539</v>
      </c>
      <c r="J95">
        <f>Bgls_oxides!J98/GlassStdCalc!J$17</f>
        <v>15.538627283105022</v>
      </c>
      <c r="K95">
        <f>Bgls_oxides!K98/GlassStdCalc!K$17</f>
        <v>0.85915592442168465</v>
      </c>
      <c r="L95">
        <f>Bgls_oxides!L98/GlassStdCalc!L$17</f>
        <v>4.5047471910112362</v>
      </c>
      <c r="M95">
        <f>Bgls_oxides!M98/GlassStdCalc!M$17</f>
        <v>10.421309734513276</v>
      </c>
      <c r="N95">
        <f>Bgls_oxides!N98/GlassStdCalc!N$17</f>
        <v>3.2852017937219729</v>
      </c>
      <c r="O95">
        <f t="shared" si="4"/>
        <v>99.519747953119548</v>
      </c>
      <c r="P95" t="s">
        <v>224</v>
      </c>
      <c r="S95">
        <f t="shared" si="5"/>
        <v>36.618173047816136</v>
      </c>
      <c r="T95">
        <f t="shared" si="6"/>
        <v>63.381826952183864</v>
      </c>
      <c r="U95">
        <f t="shared" si="7"/>
        <v>100</v>
      </c>
    </row>
    <row r="96" spans="1:21">
      <c r="A96">
        <v>95</v>
      </c>
      <c r="B96">
        <f>Bgls_oxides!B99/GlassStdCalc!B$17</f>
        <v>3.391709090909091</v>
      </c>
      <c r="C96">
        <f>Bgls_oxides!C99/GlassStdCalc!C$17</f>
        <v>2.4214860738410289E-2</v>
      </c>
      <c r="D96">
        <f>Bgls_oxides!D99/GlassStdCalc!D$17</f>
        <v>13.510063157894736</v>
      </c>
      <c r="E96">
        <f>Bgls_oxides!E99/GlassStdCalc!E$17</f>
        <v>44.766084487319119</v>
      </c>
      <c r="F96">
        <f>Bgls_oxides!F99/GlassStdCalc!F$17</f>
        <v>0.14171818459657701</v>
      </c>
      <c r="G96">
        <f>Bgls_oxides!G99/GlassStdCalc!G$17</f>
        <v>2.3740132727907794E-2</v>
      </c>
      <c r="H96">
        <f>Bgls_oxides!H99/GlassStdCalc!H$17</f>
        <v>1.7026542630366135</v>
      </c>
      <c r="I96">
        <f>Bgls_oxides!I99/GlassStdCalc!I$17</f>
        <v>0.30037470725995313</v>
      </c>
      <c r="J96">
        <f>Bgls_oxides!J99/GlassStdCalc!J$17</f>
        <v>15.418250570776255</v>
      </c>
      <c r="K96">
        <f>Bgls_oxides!K99/GlassStdCalc!K$17</f>
        <v>0.76761433868974049</v>
      </c>
      <c r="L96">
        <f>Bgls_oxides!L99/GlassStdCalc!L$17</f>
        <v>4.7309269662921345</v>
      </c>
      <c r="M96">
        <f>Bgls_oxides!M99/GlassStdCalc!M$17</f>
        <v>11.454584070796463</v>
      </c>
      <c r="N96">
        <f>Bgls_oxides!N99/GlassStdCalc!N$17</f>
        <v>3.2852017937219729</v>
      </c>
      <c r="O96">
        <f t="shared" si="4"/>
        <v>99.517136624758962</v>
      </c>
      <c r="P96" t="s">
        <v>225</v>
      </c>
      <c r="S96">
        <f t="shared" si="5"/>
        <v>38.431633802596366</v>
      </c>
      <c r="T96">
        <f t="shared" si="6"/>
        <v>61.568366197403634</v>
      </c>
      <c r="U96">
        <f t="shared" si="7"/>
        <v>100</v>
      </c>
    </row>
    <row r="97" spans="1:21">
      <c r="A97">
        <v>96</v>
      </c>
      <c r="B97">
        <f>Bgls_oxides!B100/GlassStdCalc!B$17</f>
        <v>3.5632000000000001</v>
      </c>
      <c r="C97">
        <f>Bgls_oxides!C100/GlassStdCalc!C$17</f>
        <v>2.1912464143610619E-2</v>
      </c>
      <c r="D97">
        <f>Bgls_oxides!D100/GlassStdCalc!D$17</f>
        <v>13.171065263157894</v>
      </c>
      <c r="E97">
        <f>Bgls_oxides!E100/GlassStdCalc!E$17</f>
        <v>43.926102769565901</v>
      </c>
      <c r="F97">
        <f>Bgls_oxides!F100/GlassStdCalc!F$17</f>
        <v>0.18406265281173595</v>
      </c>
      <c r="G97">
        <f>Bgls_oxides!G100/GlassStdCalc!G$17</f>
        <v>0</v>
      </c>
      <c r="H97">
        <f>Bgls_oxides!H100/GlassStdCalc!H$17</f>
        <v>1.7804898864897158</v>
      </c>
      <c r="I97">
        <f>Bgls_oxides!I100/GlassStdCalc!I$17</f>
        <v>0.16847775175644028</v>
      </c>
      <c r="J97">
        <f>Bgls_oxides!J100/GlassStdCalc!J$17</f>
        <v>14.625770547945205</v>
      </c>
      <c r="K97">
        <f>Bgls_oxides!K100/GlassStdCalc!K$17</f>
        <v>0.72978986402966628</v>
      </c>
      <c r="L97">
        <f>Bgls_oxides!L100/GlassStdCalc!L$17</f>
        <v>4.891137640449438</v>
      </c>
      <c r="M97">
        <f>Bgls_oxides!M100/GlassStdCalc!M$17</f>
        <v>11.051115044247789</v>
      </c>
      <c r="N97">
        <f>Bgls_oxides!N100/GlassStdCalc!N$17</f>
        <v>3.344932735426009</v>
      </c>
      <c r="O97">
        <f t="shared" si="4"/>
        <v>97.458056620023427</v>
      </c>
      <c r="P97" t="s">
        <v>226</v>
      </c>
      <c r="S97">
        <f t="shared" si="5"/>
        <v>39.830057489627414</v>
      </c>
      <c r="T97">
        <f t="shared" si="6"/>
        <v>60.169942510372586</v>
      </c>
      <c r="U97">
        <f t="shared" si="7"/>
        <v>100</v>
      </c>
    </row>
    <row r="98" spans="1:21">
      <c r="A98">
        <v>97</v>
      </c>
      <c r="B98">
        <f>Bgls_oxides!B101/GlassStdCalc!B$17</f>
        <v>3.2488000000000001</v>
      </c>
      <c r="C98">
        <f>Bgls_oxides!C101/GlassStdCalc!C$17</f>
        <v>2.3023965947996668E-2</v>
      </c>
      <c r="D98">
        <f>Bgls_oxides!D101/GlassStdCalc!D$17</f>
        <v>13.500092631578946</v>
      </c>
      <c r="E98">
        <f>Bgls_oxides!E101/GlassStdCalc!E$17</f>
        <v>44.311506145946794</v>
      </c>
      <c r="F98">
        <f>Bgls_oxides!F101/GlassStdCalc!F$17</f>
        <v>0.13749379584352078</v>
      </c>
      <c r="G98">
        <f>Bgls_oxides!G101/GlassStdCalc!G$17</f>
        <v>2.9373384561648622E-2</v>
      </c>
      <c r="H98">
        <f>Bgls_oxides!H101/GlassStdCalc!H$17</f>
        <v>1.7123837159682513</v>
      </c>
      <c r="I98">
        <f>Bgls_oxides!I101/GlassStdCalc!I$17</f>
        <v>0.19320843091334894</v>
      </c>
      <c r="J98">
        <f>Bgls_oxides!J101/GlassStdCalc!J$17</f>
        <v>15.006963470319635</v>
      </c>
      <c r="K98">
        <f>Bgls_oxides!K101/GlassStdCalc!K$17</f>
        <v>0.72322090764612401</v>
      </c>
      <c r="L98">
        <f>Bgls_oxides!L101/GlassStdCalc!L$17</f>
        <v>4.8722893258426963</v>
      </c>
      <c r="M98">
        <f>Bgls_oxides!M101/GlassStdCalc!M$17</f>
        <v>11.552991150442478</v>
      </c>
      <c r="N98">
        <f>Bgls_oxides!N101/GlassStdCalc!N$17</f>
        <v>3.3250224215246638</v>
      </c>
      <c r="O98">
        <f t="shared" si="4"/>
        <v>98.636369346536114</v>
      </c>
      <c r="P98" t="s">
        <v>227</v>
      </c>
      <c r="S98">
        <f t="shared" si="5"/>
        <v>39.148216788734636</v>
      </c>
      <c r="T98">
        <f t="shared" si="6"/>
        <v>60.851783211265364</v>
      </c>
      <c r="U98">
        <f t="shared" si="7"/>
        <v>100</v>
      </c>
    </row>
    <row r="99" spans="1:21">
      <c r="A99">
        <v>98</v>
      </c>
      <c r="B99">
        <f>Bgls_oxides!B102/GlassStdCalc!B$17</f>
        <v>2.5914181818181818</v>
      </c>
      <c r="C99">
        <f>Bgls_oxides!C102/GlassStdCalc!C$17</f>
        <v>1.6593134079763115E-2</v>
      </c>
      <c r="D99">
        <f>Bgls_oxides!D102/GlassStdCalc!D$17</f>
        <v>13.200976842105263</v>
      </c>
      <c r="E99">
        <f>Bgls_oxides!E102/GlassStdCalc!E$17</f>
        <v>49.845503345262173</v>
      </c>
      <c r="F99">
        <f>Bgls_oxides!F102/GlassStdCalc!F$17</f>
        <v>2.1323105134474329E-2</v>
      </c>
      <c r="G99">
        <f>Bgls_oxides!G102/GlassStdCalc!G$17</f>
        <v>5.3515892420537899E-2</v>
      </c>
      <c r="H99">
        <f>Bgls_oxides!H102/GlassStdCalc!H$17</f>
        <v>0.7940206537509602</v>
      </c>
      <c r="I99">
        <f>Bgls_oxides!I102/GlassStdCalc!I$17</f>
        <v>0.21031381733021079</v>
      </c>
      <c r="J99">
        <f>Bgls_oxides!J102/GlassStdCalc!J$17</f>
        <v>12.077796803652967</v>
      </c>
      <c r="K99">
        <f>Bgls_oxides!K102/GlassStdCalc!K$17</f>
        <v>0.38756842662899527</v>
      </c>
      <c r="L99">
        <f>Bgls_oxides!L102/GlassStdCalc!L$17</f>
        <v>4.891137640449438</v>
      </c>
      <c r="M99">
        <f>Bgls_oxides!M102/GlassStdCalc!M$17</f>
        <v>9.1715398230088514</v>
      </c>
      <c r="N99">
        <f>Bgls_oxides!N102/GlassStdCalc!N$17</f>
        <v>4.0218834080717487</v>
      </c>
      <c r="O99">
        <f t="shared" si="4"/>
        <v>97.28359107371358</v>
      </c>
      <c r="P99" t="s">
        <v>161</v>
      </c>
      <c r="S99">
        <f t="shared" si="5"/>
        <v>39.77570544020319</v>
      </c>
      <c r="T99">
        <f t="shared" si="6"/>
        <v>60.22429455979681</v>
      </c>
      <c r="U99">
        <f t="shared" si="7"/>
        <v>100</v>
      </c>
    </row>
    <row r="100" spans="1:21">
      <c r="A100">
        <v>99</v>
      </c>
      <c r="B100">
        <f>Bgls_oxides!B103/GlassStdCalc!B$17</f>
        <v>2.7819636363636362</v>
      </c>
      <c r="C100">
        <f>Bgls_oxides!C103/GlassStdCalc!C$17</f>
        <v>7.0262792634403623E-3</v>
      </c>
      <c r="D100">
        <f>Bgls_oxides!D103/GlassStdCalc!D$17</f>
        <v>13.161094736842104</v>
      </c>
      <c r="E100">
        <f>Bgls_oxides!E103/GlassStdCalc!E$17</f>
        <v>49.875149758829934</v>
      </c>
      <c r="F100">
        <f>Bgls_oxides!F103/GlassStdCalc!F$17</f>
        <v>3.2487561124694378E-2</v>
      </c>
      <c r="G100">
        <f>Bgls_oxides!G103/GlassStdCalc!G$17</f>
        <v>5.3650017464198403E-2</v>
      </c>
      <c r="H100">
        <f>Bgls_oxides!H103/GlassStdCalc!H$17</f>
        <v>0.78915592728514128</v>
      </c>
      <c r="I100">
        <f>Bgls_oxides!I103/GlassStdCalc!I$17</f>
        <v>0.20268852459016395</v>
      </c>
      <c r="J100">
        <f>Bgls_oxides!J103/GlassStdCalc!J$17</f>
        <v>11.977482876712328</v>
      </c>
      <c r="K100">
        <f>Bgls_oxides!K103/GlassStdCalc!K$17</f>
        <v>0.47360056507151688</v>
      </c>
      <c r="L100">
        <f>Bgls_oxides!L103/GlassStdCalc!L$17</f>
        <v>4.891137640449438</v>
      </c>
      <c r="M100">
        <f>Bgls_oxides!M103/GlassStdCalc!M$17</f>
        <v>9.2601061946902661</v>
      </c>
      <c r="N100">
        <f>Bgls_oxides!N103/GlassStdCalc!N$17</f>
        <v>4.1313901345291484</v>
      </c>
      <c r="O100">
        <f t="shared" si="4"/>
        <v>97.636933853216021</v>
      </c>
      <c r="P100" t="s">
        <v>161</v>
      </c>
      <c r="S100">
        <f t="shared" si="5"/>
        <v>39.848207863406998</v>
      </c>
      <c r="T100">
        <f t="shared" si="6"/>
        <v>60.151792136593002</v>
      </c>
      <c r="U100">
        <f t="shared" si="7"/>
        <v>100</v>
      </c>
    </row>
    <row r="101" spans="1:21">
      <c r="A101">
        <v>100</v>
      </c>
      <c r="B101">
        <f>Bgls_oxides!B104/GlassStdCalc!B$17</f>
        <v>2.7343272727272727</v>
      </c>
      <c r="C101">
        <f>Bgls_oxides!C104/GlassStdCalc!C$17</f>
        <v>0.14219283797538632</v>
      </c>
      <c r="D101">
        <f>Bgls_oxides!D104/GlassStdCalc!D$17</f>
        <v>11.894837894736842</v>
      </c>
      <c r="E101">
        <f>Bgls_oxides!E104/GlassStdCalc!E$17</f>
        <v>49.796092655982577</v>
      </c>
      <c r="F101">
        <f>Bgls_oxides!F104/GlassStdCalc!F$17</f>
        <v>2.192658924205379E-2</v>
      </c>
      <c r="G101">
        <f>Bgls_oxides!G104/GlassStdCalc!G$17</f>
        <v>6.8403772266852963E-3</v>
      </c>
      <c r="H101">
        <f>Bgls_oxides!H104/GlassStdCalc!H$17</f>
        <v>0.18651361269949648</v>
      </c>
      <c r="I101">
        <f>Bgls_oxides!I104/GlassStdCalc!I$17</f>
        <v>0.19506323185011709</v>
      </c>
      <c r="J101">
        <f>Bgls_oxides!J104/GlassStdCalc!J$17</f>
        <v>13.592537100456621</v>
      </c>
      <c r="K101">
        <f>Bgls_oxides!K104/GlassStdCalc!K$17</f>
        <v>0.23690623344517039</v>
      </c>
      <c r="L101">
        <f>Bgls_oxides!L104/GlassStdCalc!L$17</f>
        <v>6.7571207865168539</v>
      </c>
      <c r="M101">
        <f>Bgls_oxides!M104/GlassStdCalc!M$17</f>
        <v>11.051115044247789</v>
      </c>
      <c r="N101">
        <f>Bgls_oxides!N104/GlassStdCalc!N$17</f>
        <v>1.8616143497757849</v>
      </c>
      <c r="O101">
        <f t="shared" si="4"/>
        <v>98.477087986882651</v>
      </c>
      <c r="P101" t="s">
        <v>162</v>
      </c>
      <c r="S101">
        <f t="shared" si="5"/>
        <v>50.313464559278628</v>
      </c>
      <c r="T101">
        <f t="shared" si="6"/>
        <v>49.686535440721372</v>
      </c>
      <c r="U101">
        <f t="shared" si="7"/>
        <v>100</v>
      </c>
    </row>
    <row r="102" spans="1:21">
      <c r="A102">
        <v>101</v>
      </c>
      <c r="B102">
        <f>Bgls_oxides!B105/GlassStdCalc!B$17</f>
        <v>2.6390545454545453</v>
      </c>
      <c r="C102">
        <f>Bgls_oxides!C105/GlassStdCalc!C$17</f>
        <v>0.13659563246044229</v>
      </c>
      <c r="D102">
        <f>Bgls_oxides!D105/GlassStdCalc!D$17</f>
        <v>11.91477894736842</v>
      </c>
      <c r="E102">
        <f>Bgls_oxides!E105/GlassStdCalc!E$17</f>
        <v>50.566899408744362</v>
      </c>
      <c r="F102">
        <f>Bgls_oxides!F105/GlassStdCalc!F$17</f>
        <v>3.128059290953545E-2</v>
      </c>
      <c r="G102">
        <f>Bgls_oxides!G105/GlassStdCalc!G$17</f>
        <v>6.5050646175340565E-2</v>
      </c>
      <c r="H102">
        <f>Bgls_oxides!H105/GlassStdCalc!H$17</f>
        <v>0.20052402492105489</v>
      </c>
      <c r="I102">
        <f>Bgls_oxides!I105/GlassStdCalc!I$17</f>
        <v>0.15807025761124122</v>
      </c>
      <c r="J102">
        <f>Bgls_oxides!J105/GlassStdCalc!J$17</f>
        <v>14.02388698630137</v>
      </c>
      <c r="K102">
        <f>Bgls_oxides!K105/GlassStdCalc!K$17</f>
        <v>0.20480310789334275</v>
      </c>
      <c r="L102">
        <f>Bgls_oxides!L105/GlassStdCalc!L$17</f>
        <v>6.6251825842696626</v>
      </c>
      <c r="M102">
        <f>Bgls_oxides!M105/GlassStdCalc!M$17</f>
        <v>11.06095575221239</v>
      </c>
      <c r="N102">
        <f>Bgls_oxides!N105/GlassStdCalc!N$17</f>
        <v>1.8715695067264573</v>
      </c>
      <c r="O102">
        <f t="shared" si="4"/>
        <v>99.498651993048185</v>
      </c>
      <c r="P102" t="s">
        <v>162</v>
      </c>
      <c r="S102">
        <f t="shared" si="5"/>
        <v>49.778620336392642</v>
      </c>
      <c r="T102">
        <f t="shared" si="6"/>
        <v>50.221379663607358</v>
      </c>
      <c r="U102">
        <f t="shared" si="7"/>
        <v>100</v>
      </c>
    </row>
    <row r="103" spans="1:21">
      <c r="A103">
        <v>102</v>
      </c>
      <c r="B103">
        <f>Bgls_oxides!B106/GlassStdCalc!B$17</f>
        <v>6.1355636363636368</v>
      </c>
      <c r="C103">
        <f>Bgls_oxides!C106/GlassStdCalc!C$17</f>
        <v>1.8379476265383547E-2</v>
      </c>
      <c r="D103">
        <f>Bgls_oxides!D106/GlassStdCalc!D$17</f>
        <v>7.896656842105263</v>
      </c>
      <c r="E103">
        <f>Bgls_oxides!E106/GlassStdCalc!E$17</f>
        <v>69.767893262797571</v>
      </c>
      <c r="F103">
        <f>Bgls_oxides!F106/GlassStdCalc!F$17</f>
        <v>0.39508092909535453</v>
      </c>
      <c r="G103">
        <f>Bgls_oxides!G106/GlassStdCalc!G$17</f>
        <v>0.24598533007334966</v>
      </c>
      <c r="H103">
        <f>Bgls_oxides!H106/GlassStdCalc!H$17</f>
        <v>4.1544764018093367</v>
      </c>
      <c r="I103">
        <f>Bgls_oxides!I106/GlassStdCalc!I$17</f>
        <v>0.19537236533957844</v>
      </c>
      <c r="J103">
        <f>Bgls_oxides!J106/GlassStdCalc!J$17</f>
        <v>8.777468607305936</v>
      </c>
      <c r="K103">
        <f>Bgls_oxides!K106/GlassStdCalc!K$17</f>
        <v>0</v>
      </c>
      <c r="L103">
        <f>Bgls_oxides!L106/GlassStdCalc!L$17</f>
        <v>1.9790730337078653E-2</v>
      </c>
      <c r="M103">
        <f>Bgls_oxides!M106/GlassStdCalc!M$17</f>
        <v>0.41813168141592927</v>
      </c>
      <c r="N103">
        <f>Bgls_oxides!N106/GlassStdCalc!N$17</f>
        <v>0.29258206278026905</v>
      </c>
      <c r="O103">
        <f t="shared" si="4"/>
        <v>98.317381325688686</v>
      </c>
      <c r="P103" t="s">
        <v>163</v>
      </c>
      <c r="S103">
        <f t="shared" si="5"/>
        <v>0.44475929827910299</v>
      </c>
      <c r="T103">
        <f t="shared" si="6"/>
        <v>99.555240701720891</v>
      </c>
      <c r="U103">
        <f t="shared" si="7"/>
        <v>100</v>
      </c>
    </row>
    <row r="104" spans="1:21">
      <c r="A104">
        <v>103</v>
      </c>
      <c r="B104">
        <f>Bgls_oxides!B107/GlassStdCalc!B$17</f>
        <v>5.9545454545454541</v>
      </c>
      <c r="C104">
        <f>Bgls_oxides!C107/GlassStdCalc!C$17</f>
        <v>1.6871009530859626E-2</v>
      </c>
      <c r="D104">
        <f>Bgls_oxides!D107/GlassStdCalc!D$17</f>
        <v>7.607511578947368</v>
      </c>
      <c r="E104">
        <f>Bgls_oxides!E107/GlassStdCalc!E$17</f>
        <v>69.540604092111408</v>
      </c>
      <c r="F104">
        <f>Bgls_oxides!F107/GlassStdCalc!F$17</f>
        <v>0.37757988997555014</v>
      </c>
      <c r="G104">
        <f>Bgls_oxides!G107/GlassStdCalc!G$17</f>
        <v>0.28903946908836886</v>
      </c>
      <c r="H104">
        <f>Bgls_oxides!H107/GlassStdCalc!H$17</f>
        <v>4.1739353076726129</v>
      </c>
      <c r="I104">
        <f>Bgls_oxides!I107/GlassStdCalc!I$17</f>
        <v>0.33911943793911009</v>
      </c>
      <c r="J104">
        <f>Bgls_oxides!J107/GlassStdCalc!J$17</f>
        <v>8.7273116438356162</v>
      </c>
      <c r="K104">
        <f>Bgls_oxides!K107/GlassStdCalc!K$17</f>
        <v>4.2380363764788983E-4</v>
      </c>
      <c r="L104">
        <f>Bgls_oxides!L107/GlassStdCalc!L$17</f>
        <v>1.5832584269662921E-2</v>
      </c>
      <c r="M104">
        <f>Bgls_oxides!M107/GlassStdCalc!M$17</f>
        <v>0.44450477876106198</v>
      </c>
      <c r="N104">
        <f>Bgls_oxides!N107/GlassStdCalc!N$17</f>
        <v>0.33777847533632288</v>
      </c>
      <c r="O104">
        <f t="shared" si="4"/>
        <v>97.825057525651019</v>
      </c>
      <c r="P104" t="s">
        <v>163</v>
      </c>
      <c r="S104">
        <f t="shared" si="5"/>
        <v>0.36960970986535308</v>
      </c>
      <c r="T104">
        <f t="shared" si="6"/>
        <v>99.630390290134642</v>
      </c>
      <c r="U104">
        <f t="shared" si="7"/>
        <v>100</v>
      </c>
    </row>
    <row r="105" spans="1:21">
      <c r="A105">
        <v>104</v>
      </c>
      <c r="B105">
        <f>Bgls_oxides!B108/GlassStdCalc!B$17</f>
        <v>4.9541818181818185</v>
      </c>
      <c r="C105">
        <f>Bgls_oxides!C108/GlassStdCalc!C$17</f>
        <v>0.55130489497547885</v>
      </c>
      <c r="D105">
        <f>Bgls_oxides!D108/GlassStdCalc!D$17</f>
        <v>9.0532378947368417E-2</v>
      </c>
      <c r="E105">
        <f>Bgls_oxides!E108/GlassStdCalc!E$17</f>
        <v>50.122203205227947</v>
      </c>
      <c r="F105">
        <f>Bgls_oxides!F108/GlassStdCalc!F$17</f>
        <v>1.4584199266503668</v>
      </c>
      <c r="G105">
        <f>Bgls_oxides!G108/GlassStdCalc!G$17</f>
        <v>0</v>
      </c>
      <c r="H105">
        <f>Bgls_oxides!H108/GlassStdCalc!H$17</f>
        <v>0.84344627464368016</v>
      </c>
      <c r="I105">
        <f>Bgls_oxides!I108/GlassStdCalc!I$17</f>
        <v>2.3391100702576113E-2</v>
      </c>
      <c r="J105">
        <f>Bgls_oxides!J108/GlassStdCalc!J$17</f>
        <v>25.610145547945205</v>
      </c>
      <c r="K105">
        <f>Bgls_oxides!K108/GlassStdCalc!K$17</f>
        <v>4.8419565601271412E-2</v>
      </c>
      <c r="L105">
        <f>Bgls_oxides!L108/GlassStdCalc!L$17</f>
        <v>0</v>
      </c>
      <c r="M105">
        <f>Bgls_oxides!M108/GlassStdCalc!M$17</f>
        <v>13.826194690265488</v>
      </c>
      <c r="N105">
        <f>Bgls_oxides!N108/GlassStdCalc!N$17</f>
        <v>2.3892376681614348E-3</v>
      </c>
      <c r="O105">
        <f t="shared" si="4"/>
        <v>97.53062864080934</v>
      </c>
      <c r="P105" t="s">
        <v>164</v>
      </c>
      <c r="S105">
        <f t="shared" si="5"/>
        <v>0</v>
      </c>
      <c r="T105">
        <f t="shared" si="6"/>
        <v>100</v>
      </c>
      <c r="U105">
        <f t="shared" si="7"/>
        <v>100</v>
      </c>
    </row>
    <row r="106" spans="1:21">
      <c r="A106">
        <v>105</v>
      </c>
      <c r="B106">
        <f>Bgls_oxides!B109/GlassStdCalc!B$17</f>
        <v>4.8684363636363637</v>
      </c>
      <c r="C106">
        <f>Bgls_oxides!C109/GlassStdCalc!C$17</f>
        <v>0.51410928102156006</v>
      </c>
      <c r="D106">
        <f>Bgls_oxides!D109/GlassStdCalc!D$17</f>
        <v>0.10060261052631579</v>
      </c>
      <c r="E106">
        <f>Bgls_oxides!E109/GlassStdCalc!E$17</f>
        <v>50.151849618795708</v>
      </c>
      <c r="F106">
        <f>Bgls_oxides!F109/GlassStdCalc!F$17</f>
        <v>1.4383037897310513</v>
      </c>
      <c r="G106">
        <f>Bgls_oxides!G109/GlassStdCalc!G$17</f>
        <v>1.0193503318197695E-2</v>
      </c>
      <c r="H106">
        <f>Bgls_oxides!H109/GlassStdCalc!H$17</f>
        <v>0.81766322437484007</v>
      </c>
      <c r="I106">
        <f>Bgls_oxides!I109/GlassStdCalc!I$17</f>
        <v>5.5128805620608901E-2</v>
      </c>
      <c r="J106">
        <f>Bgls_oxides!J109/GlassStdCalc!J$17</f>
        <v>25.850898972602739</v>
      </c>
      <c r="K106">
        <f>Bgls_oxides!K109/GlassStdCalc!K$17</f>
        <v>1.7269998234151509E-2</v>
      </c>
      <c r="L106">
        <f>Bgls_oxides!L109/GlassStdCalc!L$17</f>
        <v>8.5759831460674157E-3</v>
      </c>
      <c r="M106">
        <f>Bgls_oxides!M109/GlassStdCalc!M$17</f>
        <v>13.826194690265488</v>
      </c>
      <c r="N106">
        <f>Bgls_oxides!N109/GlassStdCalc!N$17</f>
        <v>1.5729147982062784E-2</v>
      </c>
      <c r="O106">
        <f t="shared" si="4"/>
        <v>97.674955989255153</v>
      </c>
      <c r="P106" t="s">
        <v>164</v>
      </c>
      <c r="S106">
        <f t="shared" si="5"/>
        <v>13.191106933800814</v>
      </c>
      <c r="T106">
        <f t="shared" si="6"/>
        <v>86.80889306619919</v>
      </c>
      <c r="U106">
        <f t="shared" si="7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Bgls_std-cnd</vt:lpstr>
      <vt:lpstr>Bgls_oxides</vt:lpstr>
      <vt:lpstr>Bgls_all</vt:lpstr>
      <vt:lpstr>GlassStdCalc</vt:lpstr>
      <vt:lpstr>GlassCorrected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Fernando Fajardo Tenesaca</dc:creator>
  <cp:lastModifiedBy>Alejandro V.</cp:lastModifiedBy>
  <dcterms:created xsi:type="dcterms:W3CDTF">2026-09-17T10:53:53Z</dcterms:created>
  <dcterms:modified xsi:type="dcterms:W3CDTF">2026-10-10T14:49:53Z</dcterms:modified>
</cp:coreProperties>
</file>