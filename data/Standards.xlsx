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anderfm/Geomar/Data info/"/>
    </mc:Choice>
  </mc:AlternateContent>
  <xr:revisionPtr revIDLastSave="0" documentId="13_ncr:1_{ED7AB79A-7642-DC49-B782-0C13254417FD}" xr6:coauthVersionLast="47" xr6:coauthVersionMax="47" xr10:uidLastSave="{00000000-0000-0000-0000-000000000000}"/>
  <bookViews>
    <workbookView xWindow="9640" yWindow="2340" windowWidth="28800" windowHeight="17460" tabRatio="500" xr2:uid="{00000000-000D-0000-FFFF-FFFF00000000}"/>
  </bookViews>
  <sheets>
    <sheet name="major elements" sheetId="1" r:id="rId1"/>
    <sheet name="trace elements" sheetId="2" r:id="rId2"/>
    <sheet name="Trace elements LA sorted" sheetId="4" r:id="rId3"/>
    <sheet name="f045434212019320384.csv" sheetId="3" r:id="rId4"/>
    <sheet name="f025449772019322537.csv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9" i="4" l="1"/>
  <c r="D20" i="4"/>
  <c r="E19" i="4"/>
  <c r="F19" i="4"/>
  <c r="G19" i="4"/>
  <c r="H19" i="4"/>
  <c r="I19" i="4"/>
  <c r="J19" i="4"/>
  <c r="E20" i="4"/>
  <c r="F20" i="4"/>
  <c r="G20" i="4"/>
  <c r="H20" i="4"/>
  <c r="I20" i="4"/>
  <c r="J20" i="4"/>
  <c r="L19" i="4"/>
  <c r="L20" i="4"/>
  <c r="N19" i="4"/>
  <c r="N20" i="4"/>
  <c r="O19" i="4"/>
  <c r="O20" i="4"/>
  <c r="D5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3" i="4"/>
  <c r="D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3" i="4"/>
</calcChain>
</file>

<file path=xl/sharedStrings.xml><?xml version="1.0" encoding="utf-8"?>
<sst xmlns="http://schemas.openxmlformats.org/spreadsheetml/2006/main" count="6433" uniqueCount="216">
  <si>
    <t>Std VGA99</t>
  </si>
  <si>
    <t>Std VG2</t>
  </si>
  <si>
    <t>Std Scapolite</t>
  </si>
  <si>
    <t xml:space="preserve">Comment  </t>
  </si>
  <si>
    <t xml:space="preserve">   TiO2  </t>
  </si>
  <si>
    <t xml:space="preserve">   FeO   </t>
  </si>
  <si>
    <t xml:space="preserve">   MgO   </t>
  </si>
  <si>
    <t xml:space="preserve">   K2O   </t>
  </si>
  <si>
    <t xml:space="preserve">   P2O5  </t>
  </si>
  <si>
    <t xml:space="preserve">   Al2O3 </t>
  </si>
  <si>
    <t>Std ALV98</t>
  </si>
  <si>
    <t>Std KE3</t>
  </si>
  <si>
    <t xml:space="preserve">   SiO2 </t>
  </si>
  <si>
    <t xml:space="preserve">   MnO</t>
  </si>
  <si>
    <t xml:space="preserve">   CaO </t>
  </si>
  <si>
    <t xml:space="preserve">   Na2O</t>
  </si>
  <si>
    <t xml:space="preserve">   Cl</t>
  </si>
  <si>
    <t xml:space="preserve">   F </t>
  </si>
  <si>
    <t xml:space="preserve">   S </t>
  </si>
  <si>
    <t>Std Plagioclase</t>
  </si>
  <si>
    <t>Std Anorthit</t>
  </si>
  <si>
    <t>&lt; 0.02</t>
  </si>
  <si>
    <t>Std Microcline</t>
  </si>
  <si>
    <t>Std Kak. Augit</t>
  </si>
  <si>
    <t>Total</t>
  </si>
  <si>
    <t>H2O</t>
  </si>
  <si>
    <t>CO2</t>
  </si>
  <si>
    <t>Na2O</t>
  </si>
  <si>
    <t>MgO</t>
  </si>
  <si>
    <t>Al2O3</t>
  </si>
  <si>
    <t>SiO2</t>
  </si>
  <si>
    <t>P2O5</t>
  </si>
  <si>
    <t>K2O</t>
  </si>
  <si>
    <t>CaO</t>
  </si>
  <si>
    <t>TiO2</t>
  </si>
  <si>
    <t>MnO</t>
  </si>
  <si>
    <t>FeO(t)</t>
  </si>
  <si>
    <t>Li</t>
  </si>
  <si>
    <t>Be</t>
  </si>
  <si>
    <t>B</t>
  </si>
  <si>
    <t>O</t>
  </si>
  <si>
    <t>F</t>
  </si>
  <si>
    <t>S</t>
  </si>
  <si>
    <t>Cl</t>
  </si>
  <si>
    <t>Sc</t>
  </si>
  <si>
    <t>V</t>
  </si>
  <si>
    <t>Cr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</si>
  <si>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</si>
  <si>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</si>
  <si>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</si>
  <si>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</si>
  <si>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</si>
  <si>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</si>
  <si>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</si>
  <si>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</si>
  <si>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</si>
  <si>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Rb</t>
  </si>
  <si>
    <t>Sr</t>
  </si>
  <si>
    <t>Y</t>
  </si>
  <si>
    <t>Zr</t>
  </si>
  <si>
    <t>Nb</t>
  </si>
  <si>
    <t>Mo</t>
  </si>
  <si>
    <t>Pd</t>
  </si>
  <si>
    <t>Ag</t>
  </si>
  <si>
    <t>Cd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</si>
  <si>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</si>
  <si>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</si>
  <si>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</si>
  <si>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</si>
  <si>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</si>
  <si>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</si>
  <si>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</si>
  <si>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</si>
  <si>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</si>
  <si>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</si>
  <si>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</si>
  <si>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</si>
  <si>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</si>
  <si>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</si>
  <si>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</si>
  <si>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</si>
  <si>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</si>
  <si>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</si>
  <si>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</si>
  <si>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</si>
  <si>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</si>
  <si>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</si>
  <si>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</si>
  <si>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</si>
  <si>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</si>
  <si>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</si>
  <si>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</si>
  <si>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</si>
  <si>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</si>
  <si>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</si>
  <si>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</si>
  <si>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</si>
  <si>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</si>
  <si>
    <t>d17O</t>
  </si>
  <si>
    <t>d18O</t>
  </si>
  <si>
    <t>d29Si</t>
  </si>
  <si>
    <t>d30Si</t>
  </si>
  <si>
    <t>d44/40Ca</t>
  </si>
  <si>
    <t>87Sr/86Sr</t>
  </si>
  <si>
    <t>143Nd/144Nd</t>
  </si>
  <si>
    <t>176Hf/177Hf</t>
  </si>
  <si>
    <t>206Pb/204Pb</t>
  </si>
  <si>
    <t>207Pb/204Pb</t>
  </si>
  <si>
    <t>207Pb/206Pb</t>
  </si>
  <si>
    <t>208Pb/204Pb</t>
  </si>
  <si>
    <t>208Pb/206Pb</t>
  </si>
  <si>
    <t>230Th/232Th</t>
  </si>
  <si>
    <t>230Th/232Th(act)</t>
  </si>
  <si>
    <t>230Th/238U</t>
  </si>
  <si>
    <t>230Th/238U(act)</t>
  </si>
  <si>
    <t>234U/238U</t>
  </si>
  <si>
    <t>234U/238U(act)</t>
  </si>
  <si>
    <t>238U/235U</t>
  </si>
  <si>
    <t>()</t>
  </si>
  <si>
    <t>&lt;</t>
  </si>
  <si>
    <t>95%CL</t>
  </si>
  <si>
    <t>%m/m</t>
  </si>
  <si>
    <t>µg/g</t>
  </si>
  <si>
    <t>‰VSMOW</t>
  </si>
  <si>
    <t>‰NIST8546</t>
  </si>
  <si>
    <t>‰NIST915a</t>
  </si>
  <si>
    <t>GeoReM 658</t>
  </si>
  <si>
    <t>GeoReM 4456</t>
  </si>
  <si>
    <t>GeoReM 5025</t>
  </si>
  <si>
    <t>information value</t>
  </si>
  <si>
    <t>certified value</t>
  </si>
  <si>
    <t>information value print. err. in publ.</t>
  </si>
  <si>
    <t>revised value</t>
  </si>
  <si>
    <t>reference value</t>
  </si>
  <si>
    <t>a</t>
  </si>
  <si>
    <t>b</t>
  </si>
  <si>
    <t>ATHO-G</t>
  </si>
  <si>
    <t>BM90/21-G</t>
  </si>
  <si>
    <t>Our criteria for the "GeoRem preferred values" are primarily certified data</t>
  </si>
  <si>
    <t>as well as data from high precision and definitive methods such as ID-TIMS.</t>
  </si>
  <si>
    <t>Values with "()" are information values.</t>
  </si>
  <si>
    <t>MPI-DING ATHO-G: GeoReM preferred Values</t>
  </si>
  <si>
    <t>Jochum (Max-Planck-Institut fuer Chemie)</t>
  </si>
  <si>
    <t>(3/2011)</t>
  </si>
  <si>
    <t>Item</t>
  </si>
  <si>
    <t>less/more</t>
  </si>
  <si>
    <t>Value</t>
  </si>
  <si>
    <t>Uncertainty</t>
  </si>
  <si>
    <t>Uncertainty Type</t>
  </si>
  <si>
    <t>Unit</t>
  </si>
  <si>
    <t>GeoReM-Id</t>
  </si>
  <si>
    <t>Comment</t>
  </si>
  <si>
    <t>MPI-DING BM90/21-G: GeoReM preferred Values</t>
  </si>
  <si>
    <t>MPI-DING GOR128-G: GeoReM preferred Values</t>
  </si>
  <si>
    <t>d7Li</t>
  </si>
  <si>
    <t>‰LSVEC</t>
  </si>
  <si>
    <t>d11B</t>
  </si>
  <si>
    <t>‰NIST951</t>
  </si>
  <si>
    <t>MPI-DING GOR132-G: GeoReM preferred Values</t>
  </si>
  <si>
    <t>MPI-DING KL2-G: GeoReM preferred Values</t>
  </si>
  <si>
    <t>Rh</t>
  </si>
  <si>
    <t>MPI-DING ML3B-G: GeoReM preferred Values</t>
  </si>
  <si>
    <t>MPI-DING StHs6/80-G: GeoReM preferred Values</t>
  </si>
  <si>
    <t>dD</t>
  </si>
  <si>
    <t>MPI-DING T1-G: GeoReM preferred Values</t>
  </si>
  <si>
    <t>Download from GeoReM - the Reference Material Database</t>
  </si>
  <si>
    <t>Date of Query: Mar 20. 2019</t>
  </si>
  <si>
    <t>GOR128-G</t>
  </si>
  <si>
    <t>GOR132-G</t>
  </si>
  <si>
    <t>KL2-G</t>
  </si>
  <si>
    <t>ML3B-G</t>
  </si>
  <si>
    <t>StHs6/80-G</t>
  </si>
  <si>
    <t>T1-G</t>
  </si>
  <si>
    <t>uncertainty</t>
  </si>
  <si>
    <t>Type of uncertainty</t>
  </si>
  <si>
    <t>Na</t>
  </si>
  <si>
    <t>Mg</t>
  </si>
  <si>
    <t>Al</t>
  </si>
  <si>
    <t>Si</t>
  </si>
  <si>
    <t>P</t>
  </si>
  <si>
    <t>K</t>
  </si>
  <si>
    <t>Ca</t>
  </si>
  <si>
    <t>Ti</t>
  </si>
  <si>
    <t>Mn</t>
  </si>
  <si>
    <t>Fe</t>
  </si>
  <si>
    <t>Date of Query: Mar 22. 2019</t>
  </si>
  <si>
    <t>TIMS</t>
  </si>
  <si>
    <t>GeoReM 3629</t>
  </si>
  <si>
    <t>2RSE(%)</t>
  </si>
  <si>
    <t>LA-MC-ICPMS</t>
  </si>
  <si>
    <t>GeoReM 911</t>
  </si>
  <si>
    <t>SD</t>
  </si>
  <si>
    <t>mean of new data</t>
  </si>
  <si>
    <t>GeoReM 480</t>
  </si>
  <si>
    <t>LA-ICPMS</t>
  </si>
  <si>
    <t>GeoReM 684</t>
  </si>
  <si>
    <t>mean of LA-ICPMS</t>
  </si>
  <si>
    <t>ID-TIMS</t>
  </si>
  <si>
    <t>GeoReM 492</t>
  </si>
  <si>
    <t>UNCERT</t>
  </si>
  <si>
    <t>GeoReM 693</t>
  </si>
  <si>
    <t>mean of ICPMS</t>
  </si>
  <si>
    <t>GeoReM 1265</t>
  </si>
  <si>
    <t>mean of EPMA data</t>
  </si>
  <si>
    <t>EPMA</t>
  </si>
  <si>
    <t>GeoReM 431</t>
  </si>
  <si>
    <t>Fe2O3(t)</t>
  </si>
  <si>
    <t>(1/2009)</t>
  </si>
  <si>
    <t>USGS BCR-2G: GeoReM preferred Values</t>
  </si>
  <si>
    <t>Our criteria for the "GeoReM preferred values" are primarily certified data</t>
  </si>
  <si>
    <t>BCR2-G</t>
  </si>
  <si>
    <t xml:space="preserve">   MnO   </t>
  </si>
  <si>
    <t xml:space="preserve">   Cr2O3 </t>
  </si>
  <si>
    <t xml:space="preserve">   NiO   </t>
  </si>
  <si>
    <t>Fo corr</t>
  </si>
  <si>
    <t>SC_Olivine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</si>
</sst>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808080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2" fontId="0" fillId="0" borderId="0" xfId="0" applyNumberFormat="1"/>
    <xf numFmtId="164" fontId="4" fillId="0" borderId="0" xfId="0" applyNumberFormat="1" applyFont="1"/>
    <xf numFmtId="0" fontId="7" fillId="0" borderId="0" xfId="0" applyFont="1"/>
    <xf numFmtId="2" fontId="7" fillId="0" borderId="0" xfId="0" applyNumberFormat="1" applyFont="1"/>
    <xf numFmtId="0" fontId="8" fillId="0" borderId="0" xfId="0" applyFont="1"/>
    <xf numFmtId="0" fontId="0" fillId="0" borderId="0" xfId="0" applyFont="1"/>
    <xf numFmtId="0" fontId="8" fillId="2" borderId="0" xfId="0" applyFont="1" applyFill="1"/>
    <xf numFmtId="165" fontId="0" fillId="0" borderId="0" xfId="0" applyNumberFormat="1"/>
    <xf numFmtId="0" fontId="0" fillId="0" borderId="0" xfId="0" applyFill="1"/>
  </cellXfs>
  <cellStyles count="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Normal" xfId="0" builtinId="0"/>
  </cellStyles>
  <dxfs count="0"/>
  <tableStyles count="0" defaultTableStyle="TableStyleMedium9" defaultPivotStyle="PivotStyleMedium4"/>
  <colors>
    <mruColors>
      <color rgb="FFFF008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'Trace elements LA sorted'!$A$3</c:f>
              <c:strCache>
                <c:ptCount val="1"/>
                <c:pt idx="0">
                  <c:v>ATHO-G</c:v>
                </c:pt>
              </c:strCache>
            </c:strRef>
          </c:tx>
          <c:spPr>
            <a:ln>
              <a:solidFill>
                <a:srgbClr val="FF6600"/>
              </a:solidFill>
            </a:ln>
          </c:spPr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sorted'!$B$3:$AP$3</c:f>
              <c:numCache>
                <c:formatCode>General</c:formatCode>
                <c:ptCount val="41"/>
                <c:pt idx="0">
                  <c:v>28.6</c:v>
                </c:pt>
                <c:pt idx="1">
                  <c:v>5.7</c:v>
                </c:pt>
                <c:pt idx="2" formatCode="0.0">
                  <c:v>27819.906742606367</c:v>
                </c:pt>
                <c:pt idx="3" formatCode="0.0">
                  <c:v>621.13313815005949</c:v>
                </c:pt>
                <c:pt idx="4" formatCode="0.0">
                  <c:v>64569.864948362614</c:v>
                </c:pt>
                <c:pt idx="5" formatCode="0.0">
                  <c:v>353388.85560215695</c:v>
                </c:pt>
                <c:pt idx="6" formatCode="0.0">
                  <c:v>109.1071768245</c:v>
                </c:pt>
                <c:pt idx="7" formatCode="0.0">
                  <c:v>21915.965815595308</c:v>
                </c:pt>
                <c:pt idx="8" formatCode="0.0">
                  <c:v>12149.829698450345</c:v>
                </c:pt>
                <c:pt idx="9">
                  <c:v>5</c:v>
                </c:pt>
                <c:pt idx="10" formatCode="0.0">
                  <c:v>1528.3396982407812</c:v>
                </c:pt>
                <c:pt idx="11">
                  <c:v>3.91</c:v>
                </c:pt>
                <c:pt idx="12" formatCode="0.0">
                  <c:v>820.92955721273813</c:v>
                </c:pt>
                <c:pt idx="13" formatCode="0.0">
                  <c:v>25418.009854685151</c:v>
                </c:pt>
                <c:pt idx="14">
                  <c:v>1.4</c:v>
                </c:pt>
                <c:pt idx="15">
                  <c:v>65.3</c:v>
                </c:pt>
                <c:pt idx="16">
                  <c:v>94.1</c:v>
                </c:pt>
                <c:pt idx="17">
                  <c:v>94.5</c:v>
                </c:pt>
                <c:pt idx="18">
                  <c:v>512</c:v>
                </c:pt>
                <c:pt idx="19">
                  <c:v>62.4</c:v>
                </c:pt>
                <c:pt idx="20">
                  <c:v>1.08</c:v>
                </c:pt>
                <c:pt idx="21">
                  <c:v>547</c:v>
                </c:pt>
                <c:pt idx="22">
                  <c:v>55.6</c:v>
                </c:pt>
                <c:pt idx="23">
                  <c:v>121</c:v>
                </c:pt>
                <c:pt idx="24">
                  <c:v>14.6</c:v>
                </c:pt>
                <c:pt idx="25">
                  <c:v>60.9</c:v>
                </c:pt>
                <c:pt idx="26">
                  <c:v>14.2</c:v>
                </c:pt>
                <c:pt idx="27">
                  <c:v>2.76</c:v>
                </c:pt>
                <c:pt idx="28">
                  <c:v>15.3</c:v>
                </c:pt>
                <c:pt idx="29">
                  <c:v>2.5099999999999998</c:v>
                </c:pt>
                <c:pt idx="30">
                  <c:v>16.2</c:v>
                </c:pt>
                <c:pt idx="31">
                  <c:v>3.43</c:v>
                </c:pt>
                <c:pt idx="32">
                  <c:v>10.3</c:v>
                </c:pt>
                <c:pt idx="33">
                  <c:v>1.52</c:v>
                </c:pt>
                <c:pt idx="34">
                  <c:v>10.5</c:v>
                </c:pt>
                <c:pt idx="35">
                  <c:v>1.54</c:v>
                </c:pt>
                <c:pt idx="36">
                  <c:v>13.7</c:v>
                </c:pt>
                <c:pt idx="37">
                  <c:v>3.9</c:v>
                </c:pt>
                <c:pt idx="38">
                  <c:v>5.67</c:v>
                </c:pt>
                <c:pt idx="39">
                  <c:v>7.4</c:v>
                </c:pt>
                <c:pt idx="40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9-4F49-9595-35C42F730FB9}"/>
            </c:ext>
          </c:extLst>
        </c:ser>
        <c:ser>
          <c:idx val="2"/>
          <c:order val="1"/>
          <c:tx>
            <c:strRef>
              <c:f>'Trace elements LA sorted'!$A$5</c:f>
              <c:strCache>
                <c:ptCount val="1"/>
                <c:pt idx="0">
                  <c:v>BM90/21-G</c:v>
                </c:pt>
              </c:strCache>
            </c:strRef>
          </c:tx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sorted'!$B$5:$AP$5</c:f>
              <c:numCache>
                <c:formatCode>General</c:formatCode>
                <c:ptCount val="41"/>
                <c:pt idx="0">
                  <c:v>2.2000000000000002</c:v>
                </c:pt>
                <c:pt idx="1">
                  <c:v>4.2</c:v>
                </c:pt>
                <c:pt idx="2" formatCode="0.0">
                  <c:v>853.14380677326187</c:v>
                </c:pt>
                <c:pt idx="3" formatCode="0.0">
                  <c:v>206843.3654227868</c:v>
                </c:pt>
                <c:pt idx="4" formatCode="0.0">
                  <c:v>12331.785682761056</c:v>
                </c:pt>
                <c:pt idx="5" formatCode="0.0">
                  <c:v>248213.60095865786</c:v>
                </c:pt>
                <c:pt idx="6" formatCode="0.0">
                  <c:v>1.7457148291920002</c:v>
                </c:pt>
                <c:pt idx="7" formatCode="0.0">
                  <c:v>30.881588194702484</c:v>
                </c:pt>
                <c:pt idx="8" formatCode="0.0">
                  <c:v>15008.61315690925</c:v>
                </c:pt>
                <c:pt idx="9">
                  <c:v>13.3</c:v>
                </c:pt>
                <c:pt idx="10" formatCode="0.0">
                  <c:v>371.59631878795466</c:v>
                </c:pt>
                <c:pt idx="11">
                  <c:v>61</c:v>
                </c:pt>
                <c:pt idx="12" formatCode="0.0">
                  <c:v>844.16341260555134</c:v>
                </c:pt>
                <c:pt idx="13" formatCode="0.0">
                  <c:v>52857.023551027232</c:v>
                </c:pt>
                <c:pt idx="14">
                  <c:v>0.03</c:v>
                </c:pt>
                <c:pt idx="15">
                  <c:v>0.374</c:v>
                </c:pt>
                <c:pt idx="16">
                  <c:v>0.78</c:v>
                </c:pt>
                <c:pt idx="17">
                  <c:v>2.1800000000000002</c:v>
                </c:pt>
                <c:pt idx="18">
                  <c:v>20</c:v>
                </c:pt>
                <c:pt idx="19">
                  <c:v>3.9E-2</c:v>
                </c:pt>
                <c:pt idx="20">
                  <c:v>1.07</c:v>
                </c:pt>
                <c:pt idx="21">
                  <c:v>0.53300000000000003</c:v>
                </c:pt>
                <c:pt idx="22">
                  <c:v>0.223</c:v>
                </c:pt>
                <c:pt idx="23">
                  <c:v>0.47099999999999997</c:v>
                </c:pt>
                <c:pt idx="24">
                  <c:v>7.4999999999999997E-2</c:v>
                </c:pt>
                <c:pt idx="25">
                  <c:v>0.36699999999999999</c:v>
                </c:pt>
                <c:pt idx="26">
                  <c:v>0.14699999999999999</c:v>
                </c:pt>
                <c:pt idx="27">
                  <c:v>5.2999999999999999E-2</c:v>
                </c:pt>
                <c:pt idx="28">
                  <c:v>0.253</c:v>
                </c:pt>
                <c:pt idx="29">
                  <c:v>5.0999999999999997E-2</c:v>
                </c:pt>
                <c:pt idx="30">
                  <c:v>0.36099999999999999</c:v>
                </c:pt>
                <c:pt idx="31">
                  <c:v>8.3000000000000004E-2</c:v>
                </c:pt>
                <c:pt idx="32">
                  <c:v>0.26400000000000001</c:v>
                </c:pt>
                <c:pt idx="33">
                  <c:v>4.1000000000000002E-2</c:v>
                </c:pt>
                <c:pt idx="34">
                  <c:v>0.28000000000000003</c:v>
                </c:pt>
                <c:pt idx="35">
                  <c:v>4.4999999999999998E-2</c:v>
                </c:pt>
                <c:pt idx="36">
                  <c:v>0.52</c:v>
                </c:pt>
                <c:pt idx="37">
                  <c:v>3.0999999999999999E-3</c:v>
                </c:pt>
                <c:pt idx="38">
                  <c:v>0.56999999999999995</c:v>
                </c:pt>
                <c:pt idx="39">
                  <c:v>5.3999999999999999E-2</c:v>
                </c:pt>
                <c:pt idx="40">
                  <c:v>8.4000000000000005E-2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9-4F49-9595-35C42F730FB9}"/>
            </c:ext>
          </c:extLst>
        </c:ser>
        <c:ser>
          <c:idx val="4"/>
          <c:order val="2"/>
          <c:tx>
            <c:strRef>
              <c:f>'Trace elements LA sorted'!$A$7</c:f>
              <c:strCache>
                <c:ptCount val="1"/>
                <c:pt idx="0">
                  <c:v>GOR128-G</c:v>
                </c:pt>
              </c:strCache>
            </c:strRef>
          </c:tx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sorted'!$B$7:$AP$7</c:f>
              <c:numCache>
                <c:formatCode>General</c:formatCode>
                <c:ptCount val="41"/>
                <c:pt idx="0">
                  <c:v>10.4</c:v>
                </c:pt>
                <c:pt idx="1">
                  <c:v>23.5</c:v>
                </c:pt>
                <c:pt idx="2" formatCode="0.0">
                  <c:v>4258.3003920682804</c:v>
                </c:pt>
                <c:pt idx="3" formatCode="0.0">
                  <c:v>156790.8892417626</c:v>
                </c:pt>
                <c:pt idx="4" formatCode="0.0">
                  <c:v>52449.783740842096</c:v>
                </c:pt>
                <c:pt idx="5" formatCode="0.0">
                  <c:v>215492.41062512482</c:v>
                </c:pt>
                <c:pt idx="6" formatCode="0.0">
                  <c:v>109.1071768245</c:v>
                </c:pt>
                <c:pt idx="7" formatCode="0.0">
                  <c:v>298.85407930357241</c:v>
                </c:pt>
                <c:pt idx="8" formatCode="0.0">
                  <c:v>44597.021951958915</c:v>
                </c:pt>
                <c:pt idx="9">
                  <c:v>32.1</c:v>
                </c:pt>
                <c:pt idx="10" formatCode="0.0">
                  <c:v>1726.1248356601766</c:v>
                </c:pt>
                <c:pt idx="11">
                  <c:v>189</c:v>
                </c:pt>
                <c:pt idx="12" formatCode="0.0">
                  <c:v>1363.0528497117159</c:v>
                </c:pt>
                <c:pt idx="13" formatCode="0.0">
                  <c:v>76254.029564055454</c:v>
                </c:pt>
                <c:pt idx="14">
                  <c:v>0.1</c:v>
                </c:pt>
                <c:pt idx="15">
                  <c:v>0.40600000000000003</c:v>
                </c:pt>
                <c:pt idx="16">
                  <c:v>30</c:v>
                </c:pt>
                <c:pt idx="17">
                  <c:v>11.8</c:v>
                </c:pt>
                <c:pt idx="18">
                  <c:v>10</c:v>
                </c:pt>
                <c:pt idx="19">
                  <c:v>9.9000000000000005E-2</c:v>
                </c:pt>
                <c:pt idx="20">
                  <c:v>0.24</c:v>
                </c:pt>
                <c:pt idx="21">
                  <c:v>1.06</c:v>
                </c:pt>
                <c:pt idx="22">
                  <c:v>0.121</c:v>
                </c:pt>
                <c:pt idx="23">
                  <c:v>0.45</c:v>
                </c:pt>
                <c:pt idx="24">
                  <c:v>0.1</c:v>
                </c:pt>
                <c:pt idx="25">
                  <c:v>0.78400000000000003</c:v>
                </c:pt>
                <c:pt idx="26">
                  <c:v>0.52500000000000002</c:v>
                </c:pt>
                <c:pt idx="27">
                  <c:v>0.26400000000000001</c:v>
                </c:pt>
                <c:pt idx="28">
                  <c:v>1.17</c:v>
                </c:pt>
                <c:pt idx="29">
                  <c:v>0.248</c:v>
                </c:pt>
                <c:pt idx="30">
                  <c:v>1.98</c:v>
                </c:pt>
                <c:pt idx="31">
                  <c:v>0.443</c:v>
                </c:pt>
                <c:pt idx="32">
                  <c:v>1.4</c:v>
                </c:pt>
                <c:pt idx="33">
                  <c:v>0.20399999999999999</c:v>
                </c:pt>
                <c:pt idx="34">
                  <c:v>1.41</c:v>
                </c:pt>
                <c:pt idx="35">
                  <c:v>0.20599999999999999</c:v>
                </c:pt>
                <c:pt idx="36">
                  <c:v>0.34899999999999998</c:v>
                </c:pt>
                <c:pt idx="37">
                  <c:v>1.9E-2</c:v>
                </c:pt>
                <c:pt idx="38">
                  <c:v>0.34499999999999997</c:v>
                </c:pt>
                <c:pt idx="39">
                  <c:v>8.0000000000000002E-3</c:v>
                </c:pt>
                <c:pt idx="40">
                  <c:v>1.21E-2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49-4F49-9595-35C42F730FB9}"/>
            </c:ext>
          </c:extLst>
        </c:ser>
        <c:ser>
          <c:idx val="6"/>
          <c:order val="3"/>
          <c:tx>
            <c:strRef>
              <c:f>'Trace elements LA sorted'!$A$9</c:f>
              <c:strCache>
                <c:ptCount val="1"/>
                <c:pt idx="0">
                  <c:v>GOR132-G</c:v>
                </c:pt>
              </c:strCache>
            </c:strRef>
          </c:tx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sorted'!$B$9:$AP$9</c:f>
              <c:numCache>
                <c:formatCode>General</c:formatCode>
                <c:ptCount val="41"/>
                <c:pt idx="0">
                  <c:v>8.9</c:v>
                </c:pt>
                <c:pt idx="1">
                  <c:v>17.2</c:v>
                </c:pt>
                <c:pt idx="2" formatCode="0.0">
                  <c:v>6157.4726923635417</c:v>
                </c:pt>
                <c:pt idx="3" formatCode="0.0">
                  <c:v>135081.38150059545</c:v>
                </c:pt>
                <c:pt idx="4" formatCode="0.0">
                  <c:v>58218.730691146622</c:v>
                </c:pt>
                <c:pt idx="5" formatCode="0.0">
                  <c:v>212687.73716796481</c:v>
                </c:pt>
                <c:pt idx="6" formatCode="0.0">
                  <c:v>157.11433462727999</c:v>
                </c:pt>
                <c:pt idx="7" formatCode="0.0">
                  <c:v>255.68626784861195</c:v>
                </c:pt>
                <c:pt idx="8" formatCode="0.0">
                  <c:v>60391.800559944357</c:v>
                </c:pt>
                <c:pt idx="9">
                  <c:v>36.5</c:v>
                </c:pt>
                <c:pt idx="10" formatCode="0.0">
                  <c:v>1834.0076378889378</c:v>
                </c:pt>
                <c:pt idx="11">
                  <c:v>214</c:v>
                </c:pt>
                <c:pt idx="12" formatCode="0.0">
                  <c:v>1192.6712434977514</c:v>
                </c:pt>
                <c:pt idx="13" formatCode="0.0">
                  <c:v>78508.226156672783</c:v>
                </c:pt>
                <c:pt idx="14">
                  <c:v>0.16</c:v>
                </c:pt>
                <c:pt idx="15">
                  <c:v>2.1</c:v>
                </c:pt>
                <c:pt idx="16">
                  <c:v>15.3</c:v>
                </c:pt>
                <c:pt idx="17">
                  <c:v>12.9</c:v>
                </c:pt>
                <c:pt idx="18">
                  <c:v>9.9</c:v>
                </c:pt>
                <c:pt idx="19">
                  <c:v>7.2999999999999995E-2</c:v>
                </c:pt>
                <c:pt idx="20">
                  <c:v>7.45</c:v>
                </c:pt>
                <c:pt idx="21">
                  <c:v>0.81499999999999995</c:v>
                </c:pt>
                <c:pt idx="22">
                  <c:v>8.4199999999999997E-2</c:v>
                </c:pt>
                <c:pt idx="23">
                  <c:v>0.39300000000000002</c:v>
                </c:pt>
                <c:pt idx="24">
                  <c:v>8.8999999999999996E-2</c:v>
                </c:pt>
                <c:pt idx="25">
                  <c:v>0.68899999999999995</c:v>
                </c:pt>
                <c:pt idx="26">
                  <c:v>0.50800000000000001</c:v>
                </c:pt>
                <c:pt idx="27">
                  <c:v>0.255</c:v>
                </c:pt>
                <c:pt idx="28">
                  <c:v>1.19</c:v>
                </c:pt>
                <c:pt idx="29">
                  <c:v>0.26900000000000002</c:v>
                </c:pt>
                <c:pt idx="30">
                  <c:v>2.15</c:v>
                </c:pt>
                <c:pt idx="31">
                  <c:v>0.50700000000000001</c:v>
                </c:pt>
                <c:pt idx="32">
                  <c:v>1.56</c:v>
                </c:pt>
                <c:pt idx="33">
                  <c:v>0.23400000000000001</c:v>
                </c:pt>
                <c:pt idx="34">
                  <c:v>1.61</c:v>
                </c:pt>
                <c:pt idx="35">
                  <c:v>0.23699999999999999</c:v>
                </c:pt>
                <c:pt idx="36">
                  <c:v>0.35699999999999998</c:v>
                </c:pt>
                <c:pt idx="37">
                  <c:v>3.1E-2</c:v>
                </c:pt>
                <c:pt idx="38">
                  <c:v>19.5</c:v>
                </c:pt>
                <c:pt idx="39">
                  <c:v>8.9999999999999993E-3</c:v>
                </c:pt>
                <c:pt idx="40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49-4F49-9595-35C42F730FB9}"/>
            </c:ext>
          </c:extLst>
        </c:ser>
        <c:ser>
          <c:idx val="10"/>
          <c:order val="4"/>
          <c:tx>
            <c:strRef>
              <c:f>'Trace elements LA sorted'!$A$13</c:f>
              <c:strCache>
                <c:ptCount val="1"/>
                <c:pt idx="0">
                  <c:v>ML3B-G</c:v>
                </c:pt>
              </c:strCache>
            </c:strRef>
          </c:tx>
          <c:spPr>
            <a:ln>
              <a:solidFill>
                <a:srgbClr val="FF0080"/>
              </a:solidFill>
            </a:ln>
          </c:spPr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sorted'!$B$13:$AP$13</c:f>
              <c:numCache>
                <c:formatCode>General</c:formatCode>
                <c:ptCount val="41"/>
                <c:pt idx="0">
                  <c:v>4.5</c:v>
                </c:pt>
                <c:pt idx="1">
                  <c:v>2.5</c:v>
                </c:pt>
                <c:pt idx="2" formatCode="0.0">
                  <c:v>17804.740315268074</c:v>
                </c:pt>
                <c:pt idx="3" formatCode="0.0">
                  <c:v>39740.460003969827</c:v>
                </c:pt>
                <c:pt idx="4" formatCode="0.0">
                  <c:v>71979.521581781271</c:v>
                </c:pt>
                <c:pt idx="5" formatCode="0.0">
                  <c:v>240267.02616337125</c:v>
                </c:pt>
                <c:pt idx="6" formatCode="0.0">
                  <c:v>1003.7860267853999</c:v>
                </c:pt>
                <c:pt idx="7" formatCode="0.0">
                  <c:v>3196.0783481076492</c:v>
                </c:pt>
                <c:pt idx="8" formatCode="0.0">
                  <c:v>75043.065784546241</c:v>
                </c:pt>
                <c:pt idx="9">
                  <c:v>31.6</c:v>
                </c:pt>
                <c:pt idx="10" formatCode="0.0">
                  <c:v>12766.131597070056</c:v>
                </c:pt>
                <c:pt idx="11">
                  <c:v>268</c:v>
                </c:pt>
                <c:pt idx="12" formatCode="0.0">
                  <c:v>1316.5851389260897</c:v>
                </c:pt>
                <c:pt idx="13" formatCode="0.0">
                  <c:v>84726.699515617176</c:v>
                </c:pt>
                <c:pt idx="14">
                  <c:v>0.28000000000000003</c:v>
                </c:pt>
                <c:pt idx="15">
                  <c:v>5.8</c:v>
                </c:pt>
                <c:pt idx="16">
                  <c:v>312</c:v>
                </c:pt>
                <c:pt idx="17">
                  <c:v>23.9</c:v>
                </c:pt>
                <c:pt idx="18">
                  <c:v>122</c:v>
                </c:pt>
                <c:pt idx="19">
                  <c:v>8.61</c:v>
                </c:pt>
                <c:pt idx="20">
                  <c:v>0.14000000000000001</c:v>
                </c:pt>
                <c:pt idx="21">
                  <c:v>80.099999999999994</c:v>
                </c:pt>
                <c:pt idx="22">
                  <c:v>8.99</c:v>
                </c:pt>
                <c:pt idx="23">
                  <c:v>23.1</c:v>
                </c:pt>
                <c:pt idx="24">
                  <c:v>3.43</c:v>
                </c:pt>
                <c:pt idx="25">
                  <c:v>16.7</c:v>
                </c:pt>
                <c:pt idx="26">
                  <c:v>4.75</c:v>
                </c:pt>
                <c:pt idx="27">
                  <c:v>1.67</c:v>
                </c:pt>
                <c:pt idx="28">
                  <c:v>5.26</c:v>
                </c:pt>
                <c:pt idx="29">
                  <c:v>0.79700000000000004</c:v>
                </c:pt>
                <c:pt idx="30">
                  <c:v>4.84</c:v>
                </c:pt>
                <c:pt idx="31">
                  <c:v>0.90600000000000003</c:v>
                </c:pt>
                <c:pt idx="32">
                  <c:v>2.44</c:v>
                </c:pt>
                <c:pt idx="33">
                  <c:v>0.32400000000000001</c:v>
                </c:pt>
                <c:pt idx="34">
                  <c:v>2.06</c:v>
                </c:pt>
                <c:pt idx="35">
                  <c:v>0.28599999999999998</c:v>
                </c:pt>
                <c:pt idx="36">
                  <c:v>3.22</c:v>
                </c:pt>
                <c:pt idx="37">
                  <c:v>0.55500000000000005</c:v>
                </c:pt>
                <c:pt idx="38">
                  <c:v>1.38</c:v>
                </c:pt>
                <c:pt idx="39">
                  <c:v>0.54800000000000004</c:v>
                </c:pt>
                <c:pt idx="40">
                  <c:v>0.442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49-4F49-9595-35C42F730FB9}"/>
            </c:ext>
          </c:extLst>
        </c:ser>
        <c:ser>
          <c:idx val="14"/>
          <c:order val="5"/>
          <c:tx>
            <c:strRef>
              <c:f>'Trace elements LA sorted'!$A$17</c:f>
              <c:strCache>
                <c:ptCount val="1"/>
                <c:pt idx="0">
                  <c:v>T1-G</c:v>
                </c:pt>
              </c:strCache>
            </c:strRef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sorted'!$B$17:$AP$17</c:f>
              <c:numCache>
                <c:formatCode>General</c:formatCode>
                <c:ptCount val="41"/>
                <c:pt idx="0">
                  <c:v>19.899999999999999</c:v>
                </c:pt>
                <c:pt idx="1">
                  <c:v>4.0999999999999996</c:v>
                </c:pt>
                <c:pt idx="2" formatCode="0.0">
                  <c:v>23220.348827828777</c:v>
                </c:pt>
                <c:pt idx="3" formatCode="0.0">
                  <c:v>22614.070563715759</c:v>
                </c:pt>
                <c:pt idx="4" formatCode="0.0">
                  <c:v>90503.663165327947</c:v>
                </c:pt>
                <c:pt idx="5" formatCode="0.0">
                  <c:v>273923.10764929093</c:v>
                </c:pt>
                <c:pt idx="6" formatCode="0.0">
                  <c:v>733.20022826063996</c:v>
                </c:pt>
                <c:pt idx="7" formatCode="0.0">
                  <c:v>16270.944317638943</c:v>
                </c:pt>
                <c:pt idx="8" formatCode="0.0">
                  <c:v>50743.406387645555</c:v>
                </c:pt>
                <c:pt idx="9">
                  <c:v>26.9</c:v>
                </c:pt>
                <c:pt idx="10" formatCode="0.0">
                  <c:v>4525.0842045952541</c:v>
                </c:pt>
                <c:pt idx="11">
                  <c:v>190</c:v>
                </c:pt>
                <c:pt idx="12" formatCode="0.0">
                  <c:v>983.56654496243164</c:v>
                </c:pt>
                <c:pt idx="13" formatCode="0.0">
                  <c:v>50058.710539502259</c:v>
                </c:pt>
                <c:pt idx="14">
                  <c:v>0.96</c:v>
                </c:pt>
                <c:pt idx="15">
                  <c:v>79.7</c:v>
                </c:pt>
                <c:pt idx="16">
                  <c:v>284</c:v>
                </c:pt>
                <c:pt idx="17">
                  <c:v>23.9</c:v>
                </c:pt>
                <c:pt idx="18">
                  <c:v>144</c:v>
                </c:pt>
                <c:pt idx="19">
                  <c:v>8.8699999999999992</c:v>
                </c:pt>
                <c:pt idx="20">
                  <c:v>2.69</c:v>
                </c:pt>
                <c:pt idx="21">
                  <c:v>388</c:v>
                </c:pt>
                <c:pt idx="22">
                  <c:v>70.400000000000006</c:v>
                </c:pt>
                <c:pt idx="23">
                  <c:v>127</c:v>
                </c:pt>
                <c:pt idx="24">
                  <c:v>12.4</c:v>
                </c:pt>
                <c:pt idx="25">
                  <c:v>41.4</c:v>
                </c:pt>
                <c:pt idx="26">
                  <c:v>6.57</c:v>
                </c:pt>
                <c:pt idx="27">
                  <c:v>1.21</c:v>
                </c:pt>
                <c:pt idx="28">
                  <c:v>5.31</c:v>
                </c:pt>
                <c:pt idx="29">
                  <c:v>0.77300000000000002</c:v>
                </c:pt>
                <c:pt idx="30">
                  <c:v>4.5</c:v>
                </c:pt>
                <c:pt idx="31">
                  <c:v>0.86</c:v>
                </c:pt>
                <c:pt idx="32">
                  <c:v>2.4900000000000002</c:v>
                </c:pt>
                <c:pt idx="33">
                  <c:v>0.35399999999999998</c:v>
                </c:pt>
                <c:pt idx="34">
                  <c:v>2.38</c:v>
                </c:pt>
                <c:pt idx="35">
                  <c:v>0.35399999999999998</c:v>
                </c:pt>
                <c:pt idx="36">
                  <c:v>3.88</c:v>
                </c:pt>
                <c:pt idx="37">
                  <c:v>0.46400000000000002</c:v>
                </c:pt>
                <c:pt idx="38">
                  <c:v>11.6</c:v>
                </c:pt>
                <c:pt idx="39">
                  <c:v>31.3</c:v>
                </c:pt>
                <c:pt idx="40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49-4F49-9595-35C42F730FB9}"/>
            </c:ext>
          </c:extLst>
        </c:ser>
        <c:ser>
          <c:idx val="16"/>
          <c:order val="6"/>
          <c:tx>
            <c:strRef>
              <c:f>'Trace elements LA sorted'!$A$19</c:f>
              <c:strCache>
                <c:ptCount val="1"/>
                <c:pt idx="0">
                  <c:v>BCR2-G</c:v>
                </c:pt>
              </c:strCache>
            </c:strRef>
          </c:tx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sorted'!$B$19:$AP$19</c:f>
              <c:numCache>
                <c:formatCode>General</c:formatCode>
                <c:ptCount val="41"/>
                <c:pt idx="0">
                  <c:v>9</c:v>
                </c:pt>
                <c:pt idx="1">
                  <c:v>6</c:v>
                </c:pt>
                <c:pt idx="2" formatCode="0.0">
                  <c:v>23962.213007631617</c:v>
                </c:pt>
                <c:pt idx="3" formatCode="0.0">
                  <c:v>21468.290988487493</c:v>
                </c:pt>
                <c:pt idx="4" formatCode="0.0">
                  <c:v>70920.999205578628</c:v>
                </c:pt>
                <c:pt idx="5" formatCode="0.0">
                  <c:v>254290.39344917113</c:v>
                </c:pt>
                <c:pt idx="6" formatCode="0.0">
                  <c:v>1614.7862170025999</c:v>
                </c:pt>
                <c:pt idx="7" formatCode="0.0">
                  <c:v>14444.613833005998</c:v>
                </c:pt>
                <c:pt idx="8" formatCode="0.0">
                  <c:v>50457.528041799662</c:v>
                </c:pt>
                <c:pt idx="9">
                  <c:v>33</c:v>
                </c:pt>
                <c:pt idx="10" formatCode="0.0">
                  <c:v>13605.220058849307</c:v>
                </c:pt>
                <c:pt idx="11">
                  <c:v>425</c:v>
                </c:pt>
                <c:pt idx="12" formatCode="0.0">
                  <c:v>1471.4775082115116</c:v>
                </c:pt>
                <c:pt idx="13" formatCode="0.0">
                  <c:v>96386.337063637897</c:v>
                </c:pt>
                <c:pt idx="15">
                  <c:v>47</c:v>
                </c:pt>
                <c:pt idx="16">
                  <c:v>342</c:v>
                </c:pt>
                <c:pt idx="17">
                  <c:v>35</c:v>
                </c:pt>
                <c:pt idx="18">
                  <c:v>184</c:v>
                </c:pt>
                <c:pt idx="19">
                  <c:v>12.5</c:v>
                </c:pt>
                <c:pt idx="20">
                  <c:v>1.1599999999999999</c:v>
                </c:pt>
                <c:pt idx="21">
                  <c:v>683</c:v>
                </c:pt>
                <c:pt idx="22">
                  <c:v>24.7</c:v>
                </c:pt>
                <c:pt idx="23">
                  <c:v>53.3</c:v>
                </c:pt>
                <c:pt idx="24">
                  <c:v>6.7</c:v>
                </c:pt>
                <c:pt idx="25">
                  <c:v>28.9</c:v>
                </c:pt>
                <c:pt idx="26">
                  <c:v>6.59</c:v>
                </c:pt>
                <c:pt idx="27">
                  <c:v>1.97</c:v>
                </c:pt>
                <c:pt idx="28">
                  <c:v>6.71</c:v>
                </c:pt>
                <c:pt idx="29">
                  <c:v>1.02</c:v>
                </c:pt>
                <c:pt idx="30">
                  <c:v>6.44</c:v>
                </c:pt>
                <c:pt idx="31">
                  <c:v>1.27</c:v>
                </c:pt>
                <c:pt idx="32">
                  <c:v>3.7</c:v>
                </c:pt>
                <c:pt idx="33">
                  <c:v>0.51</c:v>
                </c:pt>
                <c:pt idx="34">
                  <c:v>3.39</c:v>
                </c:pt>
                <c:pt idx="35">
                  <c:v>0.503</c:v>
                </c:pt>
                <c:pt idx="36">
                  <c:v>4.84</c:v>
                </c:pt>
                <c:pt idx="37">
                  <c:v>0.78</c:v>
                </c:pt>
                <c:pt idx="38">
                  <c:v>11</c:v>
                </c:pt>
                <c:pt idx="39">
                  <c:v>5.9</c:v>
                </c:pt>
                <c:pt idx="40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49-4F49-9595-35C42F730FB9}"/>
            </c:ext>
          </c:extLst>
        </c:ser>
        <c:ser>
          <c:idx val="12"/>
          <c:order val="7"/>
          <c:tx>
            <c:strRef>
              <c:f>'Trace elements LA sorted'!$A$15</c:f>
              <c:strCache>
                <c:ptCount val="1"/>
                <c:pt idx="0">
                  <c:v>StHs6/80-G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sorted'!$B$15:$AP$15</c:f>
              <c:numCache>
                <c:formatCode>General</c:formatCode>
                <c:ptCount val="41"/>
                <c:pt idx="0">
                  <c:v>20.7</c:v>
                </c:pt>
                <c:pt idx="1">
                  <c:v>11.8</c:v>
                </c:pt>
                <c:pt idx="2" formatCode="0.0">
                  <c:v>32938.769583245936</c:v>
                </c:pt>
                <c:pt idx="3" formatCode="0.0">
                  <c:v>11879.92506947201</c:v>
                </c:pt>
                <c:pt idx="4" formatCode="0.0">
                  <c:v>94208.491482037265</c:v>
                </c:pt>
                <c:pt idx="5" formatCode="0.0">
                  <c:v>297762.83203515079</c:v>
                </c:pt>
                <c:pt idx="6" formatCode="0.0">
                  <c:v>715.74307996871994</c:v>
                </c:pt>
                <c:pt idx="7" formatCode="0.0">
                  <c:v>10708.937841711344</c:v>
                </c:pt>
                <c:pt idx="8" formatCode="0.0">
                  <c:v>37735.941651657544</c:v>
                </c:pt>
                <c:pt idx="9">
                  <c:v>11.5</c:v>
                </c:pt>
                <c:pt idx="10" formatCode="0.0">
                  <c:v>4213.4227759343894</c:v>
                </c:pt>
                <c:pt idx="11">
                  <c:v>90.3</c:v>
                </c:pt>
                <c:pt idx="12" formatCode="0.0">
                  <c:v>588.59100328460465</c:v>
                </c:pt>
                <c:pt idx="13" formatCode="0.0">
                  <c:v>33968.410723233676</c:v>
                </c:pt>
                <c:pt idx="14">
                  <c:v>2.73</c:v>
                </c:pt>
                <c:pt idx="15">
                  <c:v>30.7</c:v>
                </c:pt>
                <c:pt idx="16">
                  <c:v>482</c:v>
                </c:pt>
                <c:pt idx="17">
                  <c:v>11.4</c:v>
                </c:pt>
                <c:pt idx="18">
                  <c:v>118</c:v>
                </c:pt>
                <c:pt idx="19">
                  <c:v>6.94</c:v>
                </c:pt>
                <c:pt idx="20">
                  <c:v>1.75</c:v>
                </c:pt>
                <c:pt idx="21">
                  <c:v>298</c:v>
                </c:pt>
                <c:pt idx="22">
                  <c:v>12</c:v>
                </c:pt>
                <c:pt idx="23">
                  <c:v>26.1</c:v>
                </c:pt>
                <c:pt idx="24">
                  <c:v>3.2</c:v>
                </c:pt>
                <c:pt idx="25">
                  <c:v>13</c:v>
                </c:pt>
                <c:pt idx="26">
                  <c:v>2.78</c:v>
                </c:pt>
                <c:pt idx="27">
                  <c:v>0.95299999999999996</c:v>
                </c:pt>
                <c:pt idx="28">
                  <c:v>2.59</c:v>
                </c:pt>
                <c:pt idx="29">
                  <c:v>0.371</c:v>
                </c:pt>
                <c:pt idx="30">
                  <c:v>2.2200000000000002</c:v>
                </c:pt>
                <c:pt idx="31">
                  <c:v>0.42</c:v>
                </c:pt>
                <c:pt idx="32">
                  <c:v>1.18</c:v>
                </c:pt>
                <c:pt idx="33">
                  <c:v>0.17199999999999999</c:v>
                </c:pt>
                <c:pt idx="34">
                  <c:v>1.1299999999999999</c:v>
                </c:pt>
                <c:pt idx="35">
                  <c:v>0.16800000000000001</c:v>
                </c:pt>
                <c:pt idx="36">
                  <c:v>3.07</c:v>
                </c:pt>
                <c:pt idx="37">
                  <c:v>0.42</c:v>
                </c:pt>
                <c:pt idx="38">
                  <c:v>10.3</c:v>
                </c:pt>
                <c:pt idx="39">
                  <c:v>2.2799999999999998</c:v>
                </c:pt>
                <c:pt idx="40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49-4F49-9595-35C42F730FB9}"/>
            </c:ext>
          </c:extLst>
        </c:ser>
        <c:ser>
          <c:idx val="8"/>
          <c:order val="8"/>
          <c:tx>
            <c:strRef>
              <c:f>'Trace elements LA sorted'!$A$11</c:f>
              <c:strCache>
                <c:ptCount val="1"/>
                <c:pt idx="0">
                  <c:v>KL2-G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multiLvlStrRef>
              <c:f>'Trace elements LA sorted'!$B$1:$AP$2</c:f>
              <c:multiLvlStrCache>
                <c:ptCount val="41"/>
                <c:lvl>
                  <c:pt idx="0">
                    <c:v>µg/g</c:v>
                  </c:pt>
                  <c:pt idx="1">
                    <c:v>µg/g</c:v>
                  </c:pt>
                  <c:pt idx="2">
                    <c:v>µg/g</c:v>
                  </c:pt>
                  <c:pt idx="3">
                    <c:v>µg/g</c:v>
                  </c:pt>
                  <c:pt idx="4">
                    <c:v>µg/g</c:v>
                  </c:pt>
                  <c:pt idx="5">
                    <c:v>µg/g</c:v>
                  </c:pt>
                  <c:pt idx="6">
                    <c:v>µg/g</c:v>
                  </c:pt>
                  <c:pt idx="7">
                    <c:v>µg/g</c:v>
                  </c:pt>
                  <c:pt idx="8">
                    <c:v>µg/g</c:v>
                  </c:pt>
                  <c:pt idx="9">
                    <c:v>µg/g</c:v>
                  </c:pt>
                  <c:pt idx="10">
                    <c:v>µg/g</c:v>
                  </c:pt>
                  <c:pt idx="11">
                    <c:v>µg/g</c:v>
                  </c:pt>
                  <c:pt idx="12">
                    <c:v>µg/g</c:v>
                  </c:pt>
                  <c:pt idx="13">
                    <c:v>µg/g</c:v>
                  </c:pt>
                  <c:pt idx="14">
                    <c:v>µg/g</c:v>
                  </c:pt>
                  <c:pt idx="15">
                    <c:v>µg/g</c:v>
                  </c:pt>
                  <c:pt idx="16">
                    <c:v>µg/g</c:v>
                  </c:pt>
                  <c:pt idx="17">
                    <c:v>µg/g</c:v>
                  </c:pt>
                  <c:pt idx="18">
                    <c:v>µg/g</c:v>
                  </c:pt>
                  <c:pt idx="19">
                    <c:v>µg/g</c:v>
                  </c:pt>
                  <c:pt idx="20">
                    <c:v>µg/g</c:v>
                  </c:pt>
                  <c:pt idx="21">
                    <c:v>µg/g</c:v>
                  </c:pt>
                  <c:pt idx="22">
                    <c:v>µg/g</c:v>
                  </c:pt>
                  <c:pt idx="23">
                    <c:v>µg/g</c:v>
                  </c:pt>
                  <c:pt idx="24">
                    <c:v>µg/g</c:v>
                  </c:pt>
                  <c:pt idx="25">
                    <c:v>µg/g</c:v>
                  </c:pt>
                  <c:pt idx="26">
                    <c:v>µg/g</c:v>
                  </c:pt>
                  <c:pt idx="27">
                    <c:v>µg/g</c:v>
                  </c:pt>
                  <c:pt idx="28">
                    <c:v>µg/g</c:v>
                  </c:pt>
                  <c:pt idx="29">
                    <c:v>µg/g</c:v>
                  </c:pt>
                  <c:pt idx="30">
                    <c:v>µg/g</c:v>
                  </c:pt>
                  <c:pt idx="31">
                    <c:v>µg/g</c:v>
                  </c:pt>
                  <c:pt idx="32">
                    <c:v>µg/g</c:v>
                  </c:pt>
                  <c:pt idx="33">
                    <c:v>µg/g</c:v>
                  </c:pt>
                  <c:pt idx="34">
                    <c:v>µg/g</c:v>
                  </c:pt>
                  <c:pt idx="35">
                    <c:v>µg/g</c:v>
                  </c:pt>
                  <c:pt idx="36">
                    <c:v>µg/g</c:v>
                  </c:pt>
                  <c:pt idx="37">
                    <c:v>µg/g</c:v>
                  </c:pt>
                  <c:pt idx="38">
                    <c:v>µg/g</c:v>
                  </c:pt>
                  <c:pt idx="39">
                    <c:v>µg/g</c:v>
                  </c:pt>
                  <c:pt idx="40">
                    <c:v>µg/g</c:v>
                  </c:pt>
                </c:lvl>
                <c:lvl>
                  <c:pt idx="0">
                    <c:v>Li</c:v>
                  </c:pt>
                  <c:pt idx="1">
                    <c:v>B</c:v>
                  </c:pt>
                  <c:pt idx="2">
                    <c:v>Na</c:v>
                  </c:pt>
                  <c:pt idx="3">
                    <c:v>Mg</c:v>
                  </c:pt>
                  <c:pt idx="4">
                    <c:v>Al</c:v>
                  </c:pt>
                  <c:pt idx="5">
                    <c:v>Si</c:v>
                  </c:pt>
                  <c:pt idx="6">
                    <c:v>P</c:v>
                  </c:pt>
                  <c:pt idx="7">
                    <c:v>K</c:v>
                  </c:pt>
                  <c:pt idx="8">
                    <c:v>Ca</c:v>
                  </c:pt>
                  <c:pt idx="9">
                    <c:v>Sc</c:v>
                  </c:pt>
                  <c:pt idx="10">
                    <c:v>Ti</c:v>
                  </c:pt>
                  <c:pt idx="11">
                    <c:v>V</c:v>
                  </c:pt>
                  <c:pt idx="12">
                    <c:v>Mn</c:v>
                  </c:pt>
                  <c:pt idx="13">
                    <c:v>Fe</c:v>
                  </c:pt>
                  <c:pt idx="14">
                    <c:v>As</c:v>
                  </c:pt>
                  <c:pt idx="15">
                    <c:v>Rb</c:v>
                  </c:pt>
                  <c:pt idx="16">
                    <c:v>Sr</c:v>
                  </c:pt>
                  <c:pt idx="17">
                    <c:v>Y</c:v>
                  </c:pt>
                  <c:pt idx="18">
                    <c:v>Zr</c:v>
                  </c:pt>
                  <c:pt idx="19">
                    <c:v>Nb</c:v>
                  </c:pt>
                  <c:pt idx="20">
                    <c:v>Cs</c:v>
                  </c:pt>
                  <c:pt idx="21">
                    <c:v>Ba</c:v>
                  </c:pt>
                  <c:pt idx="22">
                    <c:v>La</c:v>
                  </c:pt>
                  <c:pt idx="23">
                    <c:v>Ce</c:v>
                  </c:pt>
                  <c:pt idx="24">
                    <c:v>Pr</c:v>
                  </c:pt>
                  <c:pt idx="25">
                    <c:v>Nd</c:v>
                  </c:pt>
                  <c:pt idx="26">
                    <c:v>Sm</c:v>
                  </c:pt>
                  <c:pt idx="27">
                    <c:v>Eu</c:v>
                  </c:pt>
                  <c:pt idx="28">
                    <c:v>Gd</c:v>
                  </c:pt>
                  <c:pt idx="29">
                    <c:v>Tb</c:v>
                  </c:pt>
                  <c:pt idx="30">
                    <c:v>Dy</c:v>
                  </c:pt>
                  <c:pt idx="31">
                    <c:v>Ho</c:v>
                  </c:pt>
                  <c:pt idx="32">
                    <c:v>Er</c:v>
                  </c:pt>
                  <c:pt idx="33">
                    <c:v>Tm</c:v>
                  </c:pt>
                  <c:pt idx="34">
                    <c:v>Yb</c:v>
                  </c:pt>
                  <c:pt idx="35">
                    <c:v>Lu</c:v>
                  </c:pt>
                  <c:pt idx="36">
                    <c:v>Hf</c:v>
                  </c:pt>
                  <c:pt idx="37">
                    <c:v>Ta</c:v>
                  </c:pt>
                  <c:pt idx="38">
                    <c:v>Pb</c:v>
                  </c:pt>
                  <c:pt idx="39">
                    <c:v>Th</c:v>
                  </c:pt>
                  <c:pt idx="40">
                    <c:v>U</c:v>
                  </c:pt>
                </c:lvl>
              </c:multiLvlStrCache>
            </c:multiLvlStrRef>
          </c:cat>
          <c:val>
            <c:numRef>
              <c:f>'Trace elements LA sorted'!$B$11:$AP$11</c:f>
              <c:numCache>
                <c:formatCode>General</c:formatCode>
                <c:ptCount val="41"/>
                <c:pt idx="0">
                  <c:v>5.0999999999999996</c:v>
                </c:pt>
                <c:pt idx="1">
                  <c:v>2.73</c:v>
                </c:pt>
                <c:pt idx="2" formatCode="0.0">
                  <c:v>17433.808225366654</c:v>
                </c:pt>
                <c:pt idx="3" formatCode="0.0">
                  <c:v>44263.274116712979</c:v>
                </c:pt>
                <c:pt idx="4" formatCode="0.0">
                  <c:v>70391.73801747727</c:v>
                </c:pt>
                <c:pt idx="5" formatCode="0.0">
                  <c:v>235125.12482524459</c:v>
                </c:pt>
                <c:pt idx="6" formatCode="0.0">
                  <c:v>1012.51460093136</c:v>
                </c:pt>
                <c:pt idx="7" formatCode="0.0">
                  <c:v>3984.7210573809657</c:v>
                </c:pt>
                <c:pt idx="8" formatCode="0.0">
                  <c:v>77901.849243005156</c:v>
                </c:pt>
                <c:pt idx="9">
                  <c:v>31.8</c:v>
                </c:pt>
                <c:pt idx="10" formatCode="0.0">
                  <c:v>15343.331872534904</c:v>
                </c:pt>
                <c:pt idx="11">
                  <c:v>309</c:v>
                </c:pt>
                <c:pt idx="12" formatCode="0.0">
                  <c:v>1277.8620466047339</c:v>
                </c:pt>
                <c:pt idx="13" formatCode="0.0">
                  <c:v>83172.081175881074</c:v>
                </c:pt>
                <c:pt idx="14">
                  <c:v>0.17</c:v>
                </c:pt>
                <c:pt idx="15">
                  <c:v>8.6999999999999993</c:v>
                </c:pt>
                <c:pt idx="16">
                  <c:v>356</c:v>
                </c:pt>
                <c:pt idx="17">
                  <c:v>25.4</c:v>
                </c:pt>
                <c:pt idx="18">
                  <c:v>152</c:v>
                </c:pt>
                <c:pt idx="19">
                  <c:v>15</c:v>
                </c:pt>
                <c:pt idx="20">
                  <c:v>0.115</c:v>
                </c:pt>
                <c:pt idx="21">
                  <c:v>123</c:v>
                </c:pt>
                <c:pt idx="22">
                  <c:v>13.1</c:v>
                </c:pt>
                <c:pt idx="23">
                  <c:v>32.4</c:v>
                </c:pt>
                <c:pt idx="24">
                  <c:v>4.5999999999999996</c:v>
                </c:pt>
                <c:pt idx="25">
                  <c:v>21.6</c:v>
                </c:pt>
                <c:pt idx="26">
                  <c:v>5.54</c:v>
                </c:pt>
                <c:pt idx="27">
                  <c:v>1.92</c:v>
                </c:pt>
                <c:pt idx="28">
                  <c:v>5.92</c:v>
                </c:pt>
                <c:pt idx="29">
                  <c:v>0.89</c:v>
                </c:pt>
                <c:pt idx="30">
                  <c:v>5.22</c:v>
                </c:pt>
                <c:pt idx="31">
                  <c:v>0.96099999999999997</c:v>
                </c:pt>
                <c:pt idx="32">
                  <c:v>2.54</c:v>
                </c:pt>
                <c:pt idx="33">
                  <c:v>0.33100000000000002</c:v>
                </c:pt>
                <c:pt idx="34">
                  <c:v>2.1</c:v>
                </c:pt>
                <c:pt idx="35">
                  <c:v>0.28499999999999998</c:v>
                </c:pt>
                <c:pt idx="36">
                  <c:v>3.93</c:v>
                </c:pt>
                <c:pt idx="37">
                  <c:v>0.96099999999999997</c:v>
                </c:pt>
                <c:pt idx="38">
                  <c:v>2.0699999999999998</c:v>
                </c:pt>
                <c:pt idx="39">
                  <c:v>1.02</c:v>
                </c:pt>
                <c:pt idx="40">
                  <c:v>0.54800000000000004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49-4F49-9595-35C42F730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443192"/>
        <c:axId val="2145890696"/>
      </c:lineChart>
      <c:catAx>
        <c:axId val="2141443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45890696"/>
        <c:crosses val="autoZero"/>
        <c:auto val="1"/>
        <c:lblAlgn val="ctr"/>
        <c:lblOffset val="100"/>
        <c:noMultiLvlLbl val="0"/>
      </c:catAx>
      <c:valAx>
        <c:axId val="214589069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1443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736606</xdr:colOff>
      <xdr:row>21</xdr:row>
      <xdr:rowOff>0</xdr:rowOff>
    </xdr:from>
    <xdr:to>
      <xdr:col>16</xdr:col>
      <xdr:colOff>63500</xdr:colOff>
      <xdr:row>63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13" sqref="A13:L14"/>
    </sheetView>
  </sheetViews>
  <sheetFormatPr baseColWidth="10" defaultRowHeight="16" x14ac:dyDescent="0.2"/>
  <sheetData>
    <row r="1" spans="1:14" s="1" customFormat="1" x14ac:dyDescent="0.2">
      <c r="A1" s="2" t="s">
        <v>3</v>
      </c>
      <c r="B1" s="2" t="s">
        <v>12</v>
      </c>
      <c r="C1" s="2" t="s">
        <v>4</v>
      </c>
      <c r="D1" s="2" t="s">
        <v>9</v>
      </c>
      <c r="E1" s="2" t="s">
        <v>5</v>
      </c>
      <c r="F1" s="2" t="s">
        <v>13</v>
      </c>
      <c r="G1" s="2" t="s">
        <v>6</v>
      </c>
      <c r="H1" s="2" t="s">
        <v>14</v>
      </c>
      <c r="I1" s="2" t="s">
        <v>15</v>
      </c>
      <c r="J1" s="2" t="s">
        <v>7</v>
      </c>
      <c r="K1" s="2" t="s">
        <v>8</v>
      </c>
      <c r="L1" s="2" t="s">
        <v>16</v>
      </c>
      <c r="M1" s="2" t="s">
        <v>17</v>
      </c>
      <c r="N1" s="2" t="s">
        <v>18</v>
      </c>
    </row>
    <row r="2" spans="1:14" x14ac:dyDescent="0.2">
      <c r="A2" t="s">
        <v>0</v>
      </c>
      <c r="B2" s="6">
        <v>50.94</v>
      </c>
      <c r="C2" s="6">
        <v>4.0599999999999996</v>
      </c>
      <c r="D2" s="6">
        <v>12.49</v>
      </c>
      <c r="E2" s="6">
        <v>13.3</v>
      </c>
      <c r="F2" s="3">
        <v>0.15</v>
      </c>
      <c r="G2" s="6">
        <v>5.08</v>
      </c>
      <c r="H2" s="6">
        <v>9.3000000000000007</v>
      </c>
      <c r="I2" s="6">
        <v>2.66</v>
      </c>
      <c r="J2" s="6">
        <v>0.82</v>
      </c>
      <c r="K2" s="6">
        <v>0.38</v>
      </c>
      <c r="L2" s="3">
        <v>2.7130000000000001E-2</v>
      </c>
      <c r="M2" s="6"/>
      <c r="N2" s="3">
        <v>1.7000000000000001E-2</v>
      </c>
    </row>
    <row r="3" spans="1:14" x14ac:dyDescent="0.2">
      <c r="A3" t="s">
        <v>1</v>
      </c>
      <c r="B3" s="6">
        <v>50.81</v>
      </c>
      <c r="C3" s="6">
        <v>1.85</v>
      </c>
      <c r="D3" s="6">
        <v>14.06</v>
      </c>
      <c r="E3" s="6">
        <v>11.84</v>
      </c>
      <c r="F3" s="3">
        <v>0.22</v>
      </c>
      <c r="G3" s="6">
        <v>6.71</v>
      </c>
      <c r="H3" s="6">
        <v>11.12</v>
      </c>
      <c r="I3" s="6">
        <v>2.62</v>
      </c>
      <c r="J3" s="6">
        <v>0.19</v>
      </c>
      <c r="K3" s="6">
        <v>0.2</v>
      </c>
      <c r="L3" s="3">
        <v>3.2910000000000002E-2</v>
      </c>
      <c r="M3" s="7">
        <v>3.2000000000000001E-2</v>
      </c>
      <c r="N3" s="3">
        <v>0.14299999999999999</v>
      </c>
    </row>
    <row r="4" spans="1:14" x14ac:dyDescent="0.2">
      <c r="A4" t="s">
        <v>2</v>
      </c>
      <c r="B4" s="6">
        <v>49.78</v>
      </c>
      <c r="C4" s="6"/>
      <c r="D4" s="6">
        <v>25.05</v>
      </c>
      <c r="E4" s="6">
        <v>0.17</v>
      </c>
      <c r="F4" s="6"/>
      <c r="G4" s="6"/>
      <c r="H4" s="6">
        <v>13.58</v>
      </c>
      <c r="I4" s="6">
        <v>5.2</v>
      </c>
      <c r="J4" s="6">
        <v>0.94</v>
      </c>
      <c r="K4" s="6"/>
      <c r="L4" s="3">
        <v>1.43</v>
      </c>
      <c r="M4" s="7">
        <v>1.6E-2</v>
      </c>
      <c r="N4" s="3">
        <v>0.53</v>
      </c>
    </row>
    <row r="5" spans="1:14" x14ac:dyDescent="0.2">
      <c r="A5" s="2" t="s">
        <v>10</v>
      </c>
      <c r="B5" s="2">
        <v>49.53</v>
      </c>
      <c r="C5" s="2">
        <v>1.27</v>
      </c>
      <c r="D5" s="2">
        <v>16.579999999999998</v>
      </c>
      <c r="E5" s="2">
        <v>8.42</v>
      </c>
      <c r="F5" s="2">
        <v>0.14000000000000001</v>
      </c>
      <c r="G5" s="2">
        <v>8.68</v>
      </c>
      <c r="H5" s="2">
        <v>11.81</v>
      </c>
      <c r="I5" s="2">
        <v>2.88</v>
      </c>
      <c r="J5" s="2">
        <v>0.05</v>
      </c>
      <c r="K5" s="2">
        <v>0.06</v>
      </c>
      <c r="L5" s="4">
        <v>8.9999999999999993E-3</v>
      </c>
      <c r="M5" s="5">
        <v>1.2999999999999999E-2</v>
      </c>
      <c r="N5" s="5">
        <v>0.113</v>
      </c>
    </row>
    <row r="6" spans="1:14" x14ac:dyDescent="0.2">
      <c r="A6" s="2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5">
        <v>0.39</v>
      </c>
      <c r="M6" s="5">
        <v>0.47</v>
      </c>
      <c r="N6" s="4">
        <v>1.2E-2</v>
      </c>
    </row>
    <row r="7" spans="1:14" x14ac:dyDescent="0.2">
      <c r="B7" s="2" t="s">
        <v>12</v>
      </c>
      <c r="C7" s="2" t="s">
        <v>4</v>
      </c>
      <c r="D7" s="2" t="s">
        <v>9</v>
      </c>
      <c r="E7" s="2" t="s">
        <v>5</v>
      </c>
      <c r="F7" s="2" t="s">
        <v>6</v>
      </c>
      <c r="G7" s="2" t="s">
        <v>14</v>
      </c>
      <c r="H7" s="2" t="s">
        <v>15</v>
      </c>
      <c r="I7" s="2" t="s">
        <v>7</v>
      </c>
      <c r="J7" s="2" t="s">
        <v>24</v>
      </c>
    </row>
    <row r="8" spans="1:14" x14ac:dyDescent="0.2">
      <c r="A8" s="8" t="s">
        <v>19</v>
      </c>
      <c r="B8" s="9">
        <v>51.25</v>
      </c>
      <c r="C8" s="9">
        <v>0.05</v>
      </c>
      <c r="D8" s="9">
        <v>30.91</v>
      </c>
      <c r="E8" s="9">
        <v>0.46</v>
      </c>
      <c r="F8" s="9">
        <v>0.14000000000000001</v>
      </c>
      <c r="G8" s="9">
        <v>13.64</v>
      </c>
      <c r="H8" s="9">
        <v>3.45</v>
      </c>
      <c r="I8" s="9">
        <v>0.18</v>
      </c>
      <c r="J8" s="9">
        <v>100.17</v>
      </c>
    </row>
    <row r="9" spans="1:14" x14ac:dyDescent="0.2">
      <c r="A9" s="8" t="s">
        <v>20</v>
      </c>
      <c r="B9" s="9">
        <v>44</v>
      </c>
      <c r="C9" s="9">
        <v>0.03</v>
      </c>
      <c r="D9" s="9">
        <v>36.03</v>
      </c>
      <c r="E9" s="9">
        <v>0.67</v>
      </c>
      <c r="F9" s="9" t="s">
        <v>21</v>
      </c>
      <c r="G9" s="9">
        <v>19.09</v>
      </c>
      <c r="H9" s="9">
        <v>0.53</v>
      </c>
      <c r="I9" s="9">
        <v>0.03</v>
      </c>
      <c r="J9" s="9">
        <v>100.38</v>
      </c>
    </row>
    <row r="10" spans="1:14" x14ac:dyDescent="0.2">
      <c r="A10" s="8" t="s">
        <v>22</v>
      </c>
      <c r="B10" s="9">
        <v>64.239999999999995</v>
      </c>
      <c r="C10" s="9">
        <v>0.01</v>
      </c>
      <c r="D10" s="9">
        <v>18.3</v>
      </c>
      <c r="E10" s="9">
        <v>0.04</v>
      </c>
      <c r="F10" s="9">
        <v>0.03</v>
      </c>
      <c r="G10" s="9">
        <v>0.02</v>
      </c>
      <c r="H10" s="9">
        <v>1.3</v>
      </c>
      <c r="I10" s="9">
        <v>15.14</v>
      </c>
      <c r="J10" s="9">
        <v>99.12</v>
      </c>
    </row>
    <row r="11" spans="1:14" x14ac:dyDescent="0.2">
      <c r="A11" s="8" t="s">
        <v>23</v>
      </c>
      <c r="B11" s="9">
        <v>50.73</v>
      </c>
      <c r="C11" s="9">
        <v>0.74</v>
      </c>
      <c r="D11" s="9">
        <v>8.73</v>
      </c>
      <c r="E11" s="9">
        <v>6.37</v>
      </c>
      <c r="F11" s="9">
        <v>16.649999999999999</v>
      </c>
      <c r="G11" s="9">
        <v>15.82</v>
      </c>
      <c r="H11" s="9">
        <v>1.27</v>
      </c>
      <c r="I11" s="9">
        <v>0</v>
      </c>
      <c r="J11" s="9">
        <v>100.56</v>
      </c>
    </row>
    <row r="13" spans="1:14" x14ac:dyDescent="0.2">
      <c r="B13" s="2" t="s">
        <v>12</v>
      </c>
      <c r="C13" t="s">
        <v>9</v>
      </c>
      <c r="D13" s="2" t="s">
        <v>5</v>
      </c>
      <c r="E13" t="s">
        <v>211</v>
      </c>
      <c r="F13" s="2" t="s">
        <v>6</v>
      </c>
      <c r="G13" s="2" t="s">
        <v>14</v>
      </c>
      <c r="H13" t="s">
        <v>212</v>
      </c>
      <c r="I13" t="s">
        <v>213</v>
      </c>
      <c r="J13" t="s">
        <v>24</v>
      </c>
      <c r="L13" t="s">
        <v>214</v>
      </c>
    </row>
    <row r="14" spans="1:14" x14ac:dyDescent="0.2">
      <c r="A14" s="14" t="s">
        <v>215</v>
      </c>
      <c r="B14" s="6">
        <v>40.81</v>
      </c>
      <c r="C14" s="3">
        <v>3.3000000000000002E-2</v>
      </c>
      <c r="D14" s="6">
        <v>9.5500000000000007</v>
      </c>
      <c r="E14" s="3">
        <v>0.14000000000000001</v>
      </c>
      <c r="F14" s="6">
        <v>49.42</v>
      </c>
      <c r="G14" s="3">
        <v>9.1999999999999998E-2</v>
      </c>
      <c r="H14" s="3">
        <v>1.4E-2</v>
      </c>
      <c r="I14" s="6">
        <v>0.37</v>
      </c>
      <c r="L14">
        <v>90.22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XFD1"/>
    </sheetView>
  </sheetViews>
  <sheetFormatPr baseColWidth="10" defaultRowHeight="16" x14ac:dyDescent="0.2"/>
  <cols>
    <col min="1" max="1" width="10.83203125" style="10"/>
  </cols>
  <sheetData>
    <row r="1" spans="1:114" x14ac:dyDescent="0.2"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206</v>
      </c>
      <c r="O1" s="10" t="s">
        <v>37</v>
      </c>
      <c r="P1" s="10" t="s">
        <v>38</v>
      </c>
      <c r="Q1" s="10" t="s">
        <v>39</v>
      </c>
      <c r="R1" s="10" t="s">
        <v>40</v>
      </c>
      <c r="S1" s="10" t="s">
        <v>41</v>
      </c>
      <c r="T1" s="10" t="s">
        <v>42</v>
      </c>
      <c r="U1" s="10" t="s">
        <v>43</v>
      </c>
      <c r="V1" s="10" t="s">
        <v>44</v>
      </c>
      <c r="W1" s="10" t="s">
        <v>45</v>
      </c>
      <c r="X1" s="10" t="s">
        <v>46</v>
      </c>
      <c r="Y1" s="10" t="s">
        <v>47</v>
      </c>
      <c r="Z1" s="10" t="s">
        <v>48</v>
      </c>
      <c r="AA1" s="10" t="s">
        <v>49</v>
      </c>
      <c r="AB1" s="10" t="s">
        <v>50</v>
      </c>
      <c r="AC1" s="10" t="s">
        <v>51</v>
      </c>
      <c r="AD1" s="10" t="s">
        <v>52</v>
      </c>
      <c r="AE1" s="10" t="s">
        <v>53</v>
      </c>
      <c r="AF1" s="10" t="s">
        <v>54</v>
      </c>
      <c r="AG1" s="10" t="s">
        <v>55</v>
      </c>
      <c r="AH1" s="10" t="s">
        <v>56</v>
      </c>
      <c r="AI1" s="10" t="s">
        <v>57</v>
      </c>
      <c r="AJ1" s="10" t="s">
        <v>58</v>
      </c>
      <c r="AK1" s="10" t="s">
        <v>59</v>
      </c>
      <c r="AL1" s="10" t="s">
        <v>60</v>
      </c>
      <c r="AM1" s="10" t="s">
        <v>61</v>
      </c>
      <c r="AN1" s="10" t="s">
        <v>160</v>
      </c>
      <c r="AO1" s="10" t="s">
        <v>62</v>
      </c>
      <c r="AP1" s="10" t="s">
        <v>63</v>
      </c>
      <c r="AQ1" s="10" t="s">
        <v>64</v>
      </c>
      <c r="AR1" s="10" t="s">
        <v>65</v>
      </c>
      <c r="AS1" s="10" t="s">
        <v>66</v>
      </c>
      <c r="AT1" s="10" t="s">
        <v>67</v>
      </c>
      <c r="AU1" s="10" t="s">
        <v>68</v>
      </c>
      <c r="AV1" s="10" t="s">
        <v>69</v>
      </c>
      <c r="AW1" s="10" t="s">
        <v>70</v>
      </c>
      <c r="AX1" s="10" t="s">
        <v>71</v>
      </c>
      <c r="AY1" s="10" t="s">
        <v>72</v>
      </c>
      <c r="AZ1" s="10" t="s">
        <v>73</v>
      </c>
      <c r="BA1" s="10" t="s">
        <v>74</v>
      </c>
      <c r="BB1" s="10" t="s">
        <v>75</v>
      </c>
      <c r="BC1" s="10" t="s">
        <v>76</v>
      </c>
      <c r="BD1" s="10" t="s">
        <v>77</v>
      </c>
      <c r="BE1" s="10" t="s">
        <v>78</v>
      </c>
      <c r="BF1" s="10" t="s">
        <v>79</v>
      </c>
      <c r="BG1" s="10" t="s">
        <v>80</v>
      </c>
      <c r="BH1" s="10" t="s">
        <v>81</v>
      </c>
      <c r="BI1" s="10" t="s">
        <v>82</v>
      </c>
      <c r="BJ1" s="10" t="s">
        <v>83</v>
      </c>
      <c r="BK1" s="10" t="s">
        <v>84</v>
      </c>
      <c r="BL1" s="10" t="s">
        <v>85</v>
      </c>
      <c r="BM1" s="10" t="s">
        <v>86</v>
      </c>
      <c r="BN1" s="10" t="s">
        <v>87</v>
      </c>
      <c r="BO1" s="10" t="s">
        <v>88</v>
      </c>
      <c r="BP1" s="10" t="s">
        <v>89</v>
      </c>
      <c r="BQ1" s="10" t="s">
        <v>90</v>
      </c>
      <c r="BR1" s="10" t="s">
        <v>91</v>
      </c>
      <c r="BS1" s="10" t="s">
        <v>92</v>
      </c>
      <c r="BT1" s="10" t="s">
        <v>93</v>
      </c>
      <c r="BU1" s="10" t="s">
        <v>94</v>
      </c>
      <c r="BV1" s="10" t="s">
        <v>95</v>
      </c>
      <c r="BW1" s="10" t="s">
        <v>96</v>
      </c>
      <c r="BX1" s="10" t="s">
        <v>97</v>
      </c>
      <c r="BY1" s="10" t="s">
        <v>163</v>
      </c>
      <c r="BZ1" s="10" t="s">
        <v>154</v>
      </c>
      <c r="CA1" s="10" t="s">
        <v>156</v>
      </c>
      <c r="CB1" s="10" t="s">
        <v>98</v>
      </c>
      <c r="CC1" s="10" t="s">
        <v>99</v>
      </c>
      <c r="CD1" s="10" t="s">
        <v>100</v>
      </c>
      <c r="CE1" s="10" t="s">
        <v>101</v>
      </c>
      <c r="CF1" s="10" t="s">
        <v>102</v>
      </c>
      <c r="CG1" s="10" t="s">
        <v>103</v>
      </c>
      <c r="CH1" s="10" t="s">
        <v>104</v>
      </c>
      <c r="CI1" s="10" t="s">
        <v>105</v>
      </c>
      <c r="CJ1" s="10" t="s">
        <v>106</v>
      </c>
      <c r="CK1" s="10" t="s">
        <v>107</v>
      </c>
      <c r="CL1" s="10" t="s">
        <v>108</v>
      </c>
      <c r="CM1" s="10" t="s">
        <v>109</v>
      </c>
      <c r="CN1" s="10" t="s">
        <v>110</v>
      </c>
      <c r="CO1" s="10" t="s">
        <v>111</v>
      </c>
      <c r="CP1" s="10" t="s">
        <v>112</v>
      </c>
      <c r="CQ1" s="10" t="s">
        <v>113</v>
      </c>
      <c r="CR1" s="10" t="s">
        <v>114</v>
      </c>
      <c r="CS1" s="10" t="s">
        <v>115</v>
      </c>
      <c r="CT1" s="10" t="s">
        <v>116</v>
      </c>
      <c r="CU1" s="10" t="s">
        <v>117</v>
      </c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</row>
    <row r="2" spans="1:114" s="10" customFormat="1" x14ac:dyDescent="0.2"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t="s">
        <v>121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122</v>
      </c>
      <c r="AN2" t="s">
        <v>122</v>
      </c>
      <c r="AO2" t="s">
        <v>122</v>
      </c>
      <c r="AP2" t="s">
        <v>122</v>
      </c>
      <c r="AQ2" t="s">
        <v>122</v>
      </c>
      <c r="AR2" t="s">
        <v>122</v>
      </c>
      <c r="AS2" t="s">
        <v>122</v>
      </c>
      <c r="AT2" t="s">
        <v>122</v>
      </c>
      <c r="AU2" t="s">
        <v>122</v>
      </c>
      <c r="AV2" t="s">
        <v>122</v>
      </c>
      <c r="AW2" t="s">
        <v>122</v>
      </c>
      <c r="AX2" t="s">
        <v>122</v>
      </c>
      <c r="AY2" t="s">
        <v>122</v>
      </c>
      <c r="AZ2" t="s">
        <v>122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123</v>
      </c>
      <c r="BZ2" t="s">
        <v>155</v>
      </c>
      <c r="CA2" t="s">
        <v>157</v>
      </c>
      <c r="CB2" t="s">
        <v>123</v>
      </c>
      <c r="CC2" t="s">
        <v>123</v>
      </c>
      <c r="CD2" t="s">
        <v>124</v>
      </c>
      <c r="CE2" t="s">
        <v>124</v>
      </c>
      <c r="CF2" t="s">
        <v>125</v>
      </c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</row>
    <row r="4" spans="1:114" x14ac:dyDescent="0.2">
      <c r="A4" s="10" t="s">
        <v>136</v>
      </c>
      <c r="B4">
        <v>1.4E-2</v>
      </c>
      <c r="C4">
        <v>3.6999999999999999E-4</v>
      </c>
      <c r="D4">
        <v>3.75</v>
      </c>
      <c r="E4">
        <v>0.10299999999999999</v>
      </c>
      <c r="F4">
        <v>12.2</v>
      </c>
      <c r="G4">
        <v>75.599999999999994</v>
      </c>
      <c r="H4">
        <v>2.5000000000000001E-2</v>
      </c>
      <c r="I4">
        <v>2.64</v>
      </c>
      <c r="J4">
        <v>1.7</v>
      </c>
      <c r="K4">
        <v>0.255</v>
      </c>
      <c r="L4">
        <v>0.106</v>
      </c>
      <c r="M4">
        <v>3.27</v>
      </c>
      <c r="O4">
        <v>28.6</v>
      </c>
      <c r="P4">
        <v>3.2</v>
      </c>
      <c r="Q4">
        <v>5.7</v>
      </c>
      <c r="R4">
        <v>487000</v>
      </c>
      <c r="S4">
        <v>0.7</v>
      </c>
      <c r="T4">
        <v>0.6</v>
      </c>
      <c r="U4">
        <v>430</v>
      </c>
      <c r="V4">
        <v>5</v>
      </c>
      <c r="W4">
        <v>3.91</v>
      </c>
      <c r="X4">
        <v>6.1</v>
      </c>
      <c r="Y4">
        <v>2.13</v>
      </c>
      <c r="Z4">
        <v>13</v>
      </c>
      <c r="AA4">
        <v>18.600000000000001</v>
      </c>
      <c r="AB4">
        <v>141</v>
      </c>
      <c r="AC4">
        <v>25.3</v>
      </c>
      <c r="AD4">
        <v>1.8</v>
      </c>
      <c r="AE4">
        <v>1.4</v>
      </c>
      <c r="AF4">
        <v>0.1</v>
      </c>
      <c r="AG4">
        <v>1.2</v>
      </c>
      <c r="AH4">
        <v>65.3</v>
      </c>
      <c r="AI4">
        <v>94.1</v>
      </c>
      <c r="AJ4">
        <v>94.5</v>
      </c>
      <c r="AK4">
        <v>512</v>
      </c>
      <c r="AL4">
        <v>62.4</v>
      </c>
      <c r="AM4">
        <v>4.8</v>
      </c>
      <c r="AO4">
        <v>20</v>
      </c>
      <c r="AP4">
        <v>0.3</v>
      </c>
      <c r="AQ4">
        <v>0.5</v>
      </c>
      <c r="AR4">
        <v>0.17</v>
      </c>
      <c r="AS4">
        <v>5.41</v>
      </c>
      <c r="AT4">
        <v>0.32</v>
      </c>
      <c r="AU4">
        <v>1.08</v>
      </c>
      <c r="AV4">
        <v>547</v>
      </c>
      <c r="AW4">
        <v>55.6</v>
      </c>
      <c r="AX4">
        <v>121</v>
      </c>
      <c r="AY4">
        <v>14.6</v>
      </c>
      <c r="AZ4">
        <v>60.9</v>
      </c>
      <c r="BA4">
        <v>14.2</v>
      </c>
      <c r="BB4">
        <v>2.76</v>
      </c>
      <c r="BC4">
        <v>15.3</v>
      </c>
      <c r="BD4">
        <v>2.5099999999999998</v>
      </c>
      <c r="BE4">
        <v>16.2</v>
      </c>
      <c r="BF4">
        <v>3.43</v>
      </c>
      <c r="BG4">
        <v>10.3</v>
      </c>
      <c r="BH4">
        <v>1.52</v>
      </c>
      <c r="BI4">
        <v>10.5</v>
      </c>
      <c r="BJ4">
        <v>1.54</v>
      </c>
      <c r="BK4">
        <v>13.7</v>
      </c>
      <c r="BL4">
        <v>3.9</v>
      </c>
      <c r="BM4">
        <v>9.3000000000000007</v>
      </c>
      <c r="BN4">
        <v>5.0000000000000001E-4</v>
      </c>
      <c r="BO4">
        <v>2</v>
      </c>
      <c r="BP4">
        <v>0.09</v>
      </c>
      <c r="BQ4">
        <v>8</v>
      </c>
      <c r="BR4">
        <v>0.03</v>
      </c>
      <c r="BS4">
        <v>1</v>
      </c>
      <c r="BT4">
        <v>7.0000000000000007E-2</v>
      </c>
      <c r="BU4">
        <v>5.67</v>
      </c>
      <c r="BV4">
        <v>0.05</v>
      </c>
      <c r="BW4">
        <v>7.4</v>
      </c>
      <c r="BX4">
        <v>2.37</v>
      </c>
      <c r="CB4">
        <v>1.59</v>
      </c>
      <c r="CC4">
        <v>3.2</v>
      </c>
      <c r="CD4">
        <v>-0.28000000000000003</v>
      </c>
      <c r="CE4">
        <v>-0.6</v>
      </c>
      <c r="CF4">
        <v>0.85</v>
      </c>
      <c r="CG4">
        <v>0.70327099999999998</v>
      </c>
      <c r="CH4">
        <v>0.513015</v>
      </c>
      <c r="CI4">
        <v>0.28317100000000001</v>
      </c>
      <c r="CJ4">
        <v>18.382999999999999</v>
      </c>
      <c r="CK4">
        <v>15.481</v>
      </c>
      <c r="CL4">
        <v>0.84206999999999999</v>
      </c>
      <c r="CM4">
        <v>38.11</v>
      </c>
      <c r="CN4">
        <v>2.0739399999999999</v>
      </c>
      <c r="CO4">
        <v>5.4840000000000003E-6</v>
      </c>
      <c r="CP4">
        <v>1.018</v>
      </c>
      <c r="CQ4">
        <v>1.8300000000000001E-5</v>
      </c>
      <c r="CR4">
        <v>1.1020000000000001</v>
      </c>
      <c r="CS4">
        <v>5.4889999999999998E-5</v>
      </c>
      <c r="CT4">
        <v>0.999</v>
      </c>
      <c r="CU4">
        <v>138.03</v>
      </c>
    </row>
    <row r="5" spans="1:114" x14ac:dyDescent="0.2">
      <c r="A5" s="11" t="s">
        <v>173</v>
      </c>
      <c r="D5">
        <v>0.31</v>
      </c>
      <c r="E5">
        <v>0.01</v>
      </c>
      <c r="F5">
        <v>0.2</v>
      </c>
      <c r="G5">
        <v>0.7</v>
      </c>
      <c r="H5">
        <v>4.0000000000000001E-3</v>
      </c>
      <c r="I5">
        <v>0.09</v>
      </c>
      <c r="J5">
        <v>0.03</v>
      </c>
      <c r="K5">
        <v>1.6E-2</v>
      </c>
      <c r="L5">
        <v>5.0000000000000001E-3</v>
      </c>
      <c r="M5">
        <v>0.1</v>
      </c>
      <c r="O5">
        <v>1.8</v>
      </c>
      <c r="P5">
        <v>0.34</v>
      </c>
      <c r="Q5">
        <v>0.5</v>
      </c>
      <c r="V5">
        <v>0.8</v>
      </c>
      <c r="W5">
        <v>0.34</v>
      </c>
      <c r="X5">
        <v>1.4</v>
      </c>
      <c r="Y5">
        <v>0.47</v>
      </c>
      <c r="Z5">
        <v>5</v>
      </c>
      <c r="AA5">
        <v>2.2000000000000002</v>
      </c>
      <c r="AB5">
        <v>15</v>
      </c>
      <c r="AC5">
        <v>2.4</v>
      </c>
      <c r="AD5">
        <v>0.9</v>
      </c>
      <c r="AE5">
        <v>0.5</v>
      </c>
      <c r="AG5">
        <v>0.3</v>
      </c>
      <c r="AH5">
        <v>3</v>
      </c>
      <c r="AI5">
        <v>2.7</v>
      </c>
      <c r="AJ5">
        <v>3.5</v>
      </c>
      <c r="AK5">
        <v>20</v>
      </c>
      <c r="AL5">
        <v>2.6</v>
      </c>
      <c r="AM5">
        <v>1</v>
      </c>
      <c r="AS5">
        <v>0.73</v>
      </c>
      <c r="AT5">
        <v>0.1</v>
      </c>
      <c r="AU5">
        <v>0.11</v>
      </c>
      <c r="AV5">
        <v>16</v>
      </c>
      <c r="AW5">
        <v>1.5</v>
      </c>
      <c r="AX5">
        <v>4</v>
      </c>
      <c r="AY5">
        <v>0.4</v>
      </c>
      <c r="AZ5">
        <v>2</v>
      </c>
      <c r="BA5">
        <v>0.4</v>
      </c>
      <c r="BB5">
        <v>0.1</v>
      </c>
      <c r="BC5">
        <v>0.7</v>
      </c>
      <c r="BD5">
        <v>0.08</v>
      </c>
      <c r="BE5">
        <v>0.7</v>
      </c>
      <c r="BF5">
        <v>0.11</v>
      </c>
      <c r="BG5">
        <v>0.5</v>
      </c>
      <c r="BH5">
        <v>7.0000000000000007E-2</v>
      </c>
      <c r="BI5">
        <v>0.4</v>
      </c>
      <c r="BJ5">
        <v>0.05</v>
      </c>
      <c r="BK5">
        <v>0.5</v>
      </c>
      <c r="BL5">
        <v>0.2</v>
      </c>
      <c r="BM5">
        <v>1.2</v>
      </c>
      <c r="BR5">
        <v>0.03</v>
      </c>
      <c r="BU5">
        <v>0.62</v>
      </c>
      <c r="BW5">
        <v>0.27</v>
      </c>
      <c r="BX5">
        <v>0.12</v>
      </c>
      <c r="CF5">
        <v>0.06</v>
      </c>
      <c r="CG5">
        <v>1.5E-5</v>
      </c>
      <c r="CH5">
        <v>9.0000000000000002E-6</v>
      </c>
      <c r="CI5">
        <v>2.5000000000000001E-5</v>
      </c>
      <c r="CJ5">
        <v>8.9999999999999993E-3</v>
      </c>
      <c r="CK5">
        <v>4.0000000000000001E-3</v>
      </c>
      <c r="CL5">
        <v>5.5999999999999995E-4</v>
      </c>
      <c r="CM5">
        <v>1.0999999999999999E-2</v>
      </c>
      <c r="CN5">
        <v>8.4999999999999995E-4</v>
      </c>
      <c r="CS5">
        <v>7.6000000000000003E-7</v>
      </c>
    </row>
    <row r="6" spans="1:114" x14ac:dyDescent="0.2">
      <c r="A6" s="11" t="s">
        <v>174</v>
      </c>
      <c r="D6" t="s">
        <v>120</v>
      </c>
      <c r="E6" t="s">
        <v>120</v>
      </c>
      <c r="F6" t="s">
        <v>120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O6" t="s">
        <v>120</v>
      </c>
      <c r="P6" t="s">
        <v>120</v>
      </c>
      <c r="Q6" t="s">
        <v>120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120</v>
      </c>
      <c r="BK6" t="s">
        <v>120</v>
      </c>
      <c r="BL6" t="s">
        <v>120</v>
      </c>
      <c r="BM6" t="s">
        <v>120</v>
      </c>
      <c r="BR6" t="s">
        <v>120</v>
      </c>
      <c r="BU6" t="s">
        <v>120</v>
      </c>
      <c r="BW6" t="s">
        <v>120</v>
      </c>
      <c r="BX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S6" t="s">
        <v>120</v>
      </c>
    </row>
    <row r="7" spans="1:114" x14ac:dyDescent="0.2">
      <c r="B7" t="s">
        <v>129</v>
      </c>
      <c r="C7" t="s">
        <v>129</v>
      </c>
      <c r="D7" t="s">
        <v>130</v>
      </c>
      <c r="E7" t="s">
        <v>130</v>
      </c>
      <c r="F7" t="s">
        <v>130</v>
      </c>
      <c r="G7" t="s">
        <v>130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O7" t="s">
        <v>130</v>
      </c>
      <c r="P7" t="s">
        <v>129</v>
      </c>
      <c r="Q7" t="s">
        <v>129</v>
      </c>
      <c r="R7" t="s">
        <v>129</v>
      </c>
      <c r="S7" t="s">
        <v>129</v>
      </c>
      <c r="T7" t="s">
        <v>129</v>
      </c>
      <c r="U7" t="s">
        <v>131</v>
      </c>
      <c r="V7" t="s">
        <v>132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129</v>
      </c>
      <c r="AE7" t="s">
        <v>130</v>
      </c>
      <c r="AF7" t="s">
        <v>129</v>
      </c>
      <c r="AG7" t="s">
        <v>129</v>
      </c>
      <c r="AH7" t="s">
        <v>130</v>
      </c>
      <c r="AI7" t="s">
        <v>130</v>
      </c>
      <c r="AJ7" t="s">
        <v>130</v>
      </c>
      <c r="AK7" t="s">
        <v>130</v>
      </c>
      <c r="AL7" t="s">
        <v>130</v>
      </c>
      <c r="AM7" t="s">
        <v>130</v>
      </c>
      <c r="AO7" t="s">
        <v>129</v>
      </c>
      <c r="AP7" t="s">
        <v>129</v>
      </c>
      <c r="AQ7" t="s">
        <v>129</v>
      </c>
      <c r="AR7" t="s">
        <v>129</v>
      </c>
      <c r="AS7" t="s">
        <v>130</v>
      </c>
      <c r="AT7" t="s">
        <v>130</v>
      </c>
      <c r="AU7" t="s">
        <v>130</v>
      </c>
      <c r="AV7" t="s">
        <v>130</v>
      </c>
      <c r="AW7" t="s">
        <v>130</v>
      </c>
      <c r="AX7" t="s">
        <v>130</v>
      </c>
      <c r="AY7" t="s">
        <v>130</v>
      </c>
      <c r="AZ7" t="s">
        <v>130</v>
      </c>
      <c r="BA7" t="s">
        <v>130</v>
      </c>
      <c r="BB7" t="s">
        <v>130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130</v>
      </c>
      <c r="BI7" t="s">
        <v>130</v>
      </c>
      <c r="BJ7" t="s">
        <v>130</v>
      </c>
      <c r="BK7" t="s">
        <v>130</v>
      </c>
      <c r="BL7" t="s">
        <v>130</v>
      </c>
      <c r="BM7" t="s">
        <v>130</v>
      </c>
      <c r="BN7" t="s">
        <v>129</v>
      </c>
      <c r="BO7" t="s">
        <v>129</v>
      </c>
      <c r="BP7" t="s">
        <v>129</v>
      </c>
      <c r="BQ7" t="s">
        <v>129</v>
      </c>
      <c r="BR7" t="s">
        <v>129</v>
      </c>
      <c r="BS7" t="s">
        <v>129</v>
      </c>
      <c r="BT7" t="s">
        <v>129</v>
      </c>
      <c r="BU7" t="s">
        <v>130</v>
      </c>
      <c r="BV7" t="s">
        <v>129</v>
      </c>
      <c r="BW7" t="s">
        <v>130</v>
      </c>
      <c r="BX7" t="s">
        <v>130</v>
      </c>
      <c r="CB7" t="s">
        <v>129</v>
      </c>
      <c r="CC7" t="s">
        <v>129</v>
      </c>
      <c r="CD7" t="s">
        <v>129</v>
      </c>
      <c r="CE7" t="s">
        <v>129</v>
      </c>
      <c r="CF7" t="s">
        <v>133</v>
      </c>
      <c r="CG7" t="s">
        <v>133</v>
      </c>
      <c r="CH7" t="s">
        <v>133</v>
      </c>
      <c r="CI7" t="s">
        <v>129</v>
      </c>
      <c r="CJ7" t="s">
        <v>133</v>
      </c>
      <c r="CK7" t="s">
        <v>133</v>
      </c>
      <c r="CL7" t="s">
        <v>133</v>
      </c>
      <c r="CM7" t="s">
        <v>133</v>
      </c>
      <c r="CN7" t="s">
        <v>133</v>
      </c>
      <c r="CO7" t="s">
        <v>129</v>
      </c>
      <c r="CP7" t="s">
        <v>129</v>
      </c>
      <c r="CQ7" t="s">
        <v>129</v>
      </c>
      <c r="CR7" t="s">
        <v>129</v>
      </c>
      <c r="CS7" t="s">
        <v>133</v>
      </c>
      <c r="CT7" t="s">
        <v>129</v>
      </c>
      <c r="CU7" t="s">
        <v>129</v>
      </c>
    </row>
    <row r="9" spans="1:114" x14ac:dyDescent="0.2">
      <c r="A9" s="10" t="s">
        <v>137</v>
      </c>
      <c r="B9">
        <v>1.4E-2</v>
      </c>
      <c r="C9">
        <v>5.9999999999999995E-4</v>
      </c>
      <c r="D9">
        <v>0.115</v>
      </c>
      <c r="E9">
        <v>34.299999999999997</v>
      </c>
      <c r="F9">
        <v>2.33</v>
      </c>
      <c r="G9">
        <v>53.1</v>
      </c>
      <c r="H9">
        <v>4.0000000000000002E-4</v>
      </c>
      <c r="I9">
        <v>3.7200000000000002E-3</v>
      </c>
      <c r="J9">
        <v>2.1</v>
      </c>
      <c r="K9">
        <v>6.2E-2</v>
      </c>
      <c r="L9">
        <v>0.109</v>
      </c>
      <c r="M9">
        <v>6.8</v>
      </c>
      <c r="O9">
        <v>2.2000000000000002</v>
      </c>
      <c r="P9">
        <v>0.01</v>
      </c>
      <c r="Q9">
        <v>4.2</v>
      </c>
      <c r="R9">
        <v>458000</v>
      </c>
      <c r="S9">
        <v>2.6</v>
      </c>
      <c r="T9">
        <v>1.2</v>
      </c>
      <c r="U9">
        <v>0.7</v>
      </c>
      <c r="V9">
        <v>13.3</v>
      </c>
      <c r="W9">
        <v>61</v>
      </c>
      <c r="X9">
        <v>2190</v>
      </c>
      <c r="Y9">
        <v>97.6</v>
      </c>
      <c r="Z9">
        <v>1900</v>
      </c>
      <c r="AA9">
        <v>37.9</v>
      </c>
      <c r="AB9">
        <v>39.9</v>
      </c>
      <c r="AC9">
        <v>2.2999999999999998</v>
      </c>
      <c r="AD9">
        <v>0.44</v>
      </c>
      <c r="AE9">
        <v>0.03</v>
      </c>
      <c r="AF9">
        <v>8.9999999999999993E-3</v>
      </c>
      <c r="AG9">
        <v>0.1</v>
      </c>
      <c r="AH9">
        <v>0.374</v>
      </c>
      <c r="AI9">
        <v>0.78</v>
      </c>
      <c r="AJ9">
        <v>2.1800000000000002</v>
      </c>
      <c r="AK9">
        <v>20</v>
      </c>
      <c r="AL9">
        <v>3.9E-2</v>
      </c>
      <c r="AM9">
        <v>19</v>
      </c>
      <c r="AO9">
        <v>6</v>
      </c>
      <c r="AP9">
        <v>0.3</v>
      </c>
      <c r="AQ9">
        <v>0.1</v>
      </c>
      <c r="AR9">
        <v>0.19</v>
      </c>
      <c r="AS9">
        <v>0.4</v>
      </c>
      <c r="AT9">
        <v>3.6999999999999998E-2</v>
      </c>
      <c r="AU9">
        <v>1.07</v>
      </c>
      <c r="AV9">
        <v>0.53300000000000003</v>
      </c>
      <c r="AW9">
        <v>0.223</v>
      </c>
      <c r="AX9">
        <v>0.47099999999999997</v>
      </c>
      <c r="AY9">
        <v>7.4999999999999997E-2</v>
      </c>
      <c r="AZ9">
        <v>0.36699999999999999</v>
      </c>
      <c r="BA9">
        <v>0.14699999999999999</v>
      </c>
      <c r="BB9">
        <v>5.2999999999999999E-2</v>
      </c>
      <c r="BC9">
        <v>0.253</v>
      </c>
      <c r="BD9">
        <v>5.0999999999999997E-2</v>
      </c>
      <c r="BE9">
        <v>0.36099999999999999</v>
      </c>
      <c r="BF9">
        <v>8.3000000000000004E-2</v>
      </c>
      <c r="BG9">
        <v>0.26400000000000001</v>
      </c>
      <c r="BH9">
        <v>4.1000000000000002E-2</v>
      </c>
      <c r="BI9">
        <v>0.28000000000000003</v>
      </c>
      <c r="BJ9">
        <v>4.4999999999999998E-2</v>
      </c>
      <c r="BK9">
        <v>0.52</v>
      </c>
      <c r="BL9">
        <v>3.0999999999999999E-3</v>
      </c>
      <c r="BM9">
        <v>0.49</v>
      </c>
      <c r="BN9">
        <v>8.0000000000000004E-4</v>
      </c>
      <c r="BO9">
        <v>0.3</v>
      </c>
      <c r="BP9">
        <v>6.5000000000000002E-2</v>
      </c>
      <c r="BQ9">
        <v>20</v>
      </c>
      <c r="BR9">
        <v>6.4000000000000001E-2</v>
      </c>
      <c r="BS9">
        <v>0.3</v>
      </c>
      <c r="BT9">
        <v>6.0000000000000001E-3</v>
      </c>
      <c r="BU9">
        <v>0.56999999999999995</v>
      </c>
      <c r="BV9">
        <v>1.5E-3</v>
      </c>
      <c r="BW9">
        <v>5.3999999999999999E-2</v>
      </c>
      <c r="BX9">
        <v>8.4000000000000005E-2</v>
      </c>
      <c r="CB9">
        <v>4.2699999999999996</v>
      </c>
      <c r="CC9">
        <v>8.4</v>
      </c>
      <c r="CF9">
        <v>1.01</v>
      </c>
      <c r="CG9">
        <v>0.70631999999999995</v>
      </c>
      <c r="CH9">
        <v>0.51260499999999998</v>
      </c>
    </row>
    <row r="10" spans="1:114" x14ac:dyDescent="0.2">
      <c r="D10">
        <v>1.4E-2</v>
      </c>
      <c r="E10">
        <v>0.5</v>
      </c>
      <c r="F10">
        <v>0.05</v>
      </c>
      <c r="G10">
        <v>0.5</v>
      </c>
      <c r="I10">
        <v>2.5000000000000001E-4</v>
      </c>
      <c r="J10">
        <v>0.02</v>
      </c>
      <c r="K10">
        <v>7.0000000000000001E-3</v>
      </c>
      <c r="L10">
        <v>8.9999999999999993E-3</v>
      </c>
      <c r="M10">
        <v>0.14000000000000001</v>
      </c>
      <c r="O10">
        <v>1.7</v>
      </c>
      <c r="V10">
        <v>2.2999999999999998</v>
      </c>
      <c r="W10">
        <v>15</v>
      </c>
      <c r="X10">
        <v>210</v>
      </c>
      <c r="Y10">
        <v>7.6</v>
      </c>
      <c r="Z10">
        <v>120</v>
      </c>
      <c r="AA10">
        <v>7.4</v>
      </c>
      <c r="AB10">
        <v>5.9</v>
      </c>
      <c r="AC10">
        <v>1</v>
      </c>
      <c r="AH10">
        <v>9.2999999999999999E-2</v>
      </c>
      <c r="AI10">
        <v>0.08</v>
      </c>
      <c r="AJ10">
        <v>0.2</v>
      </c>
      <c r="AK10">
        <v>0.9</v>
      </c>
      <c r="AL10">
        <v>5.0000000000000001E-3</v>
      </c>
      <c r="AM10">
        <v>4</v>
      </c>
      <c r="AR10">
        <v>0.06</v>
      </c>
      <c r="AT10">
        <v>3.7999999999999999E-2</v>
      </c>
      <c r="AU10">
        <v>0.17</v>
      </c>
      <c r="AV10">
        <v>3.2000000000000001E-2</v>
      </c>
      <c r="AW10">
        <v>8.9999999999999993E-3</v>
      </c>
      <c r="AX10">
        <v>3.3000000000000002E-2</v>
      </c>
      <c r="AY10">
        <v>8.9999999999999993E-3</v>
      </c>
      <c r="AZ10">
        <v>0.02</v>
      </c>
      <c r="BA10">
        <v>8.9999999999999993E-3</v>
      </c>
      <c r="BB10">
        <v>2E-3</v>
      </c>
      <c r="BC10">
        <v>2.3E-2</v>
      </c>
      <c r="BD10">
        <v>5.0000000000000001E-3</v>
      </c>
      <c r="BE10">
        <v>1.2999999999999999E-2</v>
      </c>
      <c r="BF10">
        <v>7.0000000000000001E-3</v>
      </c>
      <c r="BG10">
        <v>1.6E-2</v>
      </c>
      <c r="BH10">
        <v>6.0000000000000001E-3</v>
      </c>
      <c r="BI10">
        <v>1.2999999999999999E-2</v>
      </c>
      <c r="BJ10">
        <v>2E-3</v>
      </c>
      <c r="BK10">
        <v>2.5000000000000001E-2</v>
      </c>
      <c r="BL10">
        <v>8.9999999999999998E-4</v>
      </c>
      <c r="BM10">
        <v>0.13</v>
      </c>
      <c r="BU10">
        <v>0.17</v>
      </c>
      <c r="BW10">
        <v>4.0000000000000001E-3</v>
      </c>
      <c r="BX10">
        <v>5.0000000000000001E-3</v>
      </c>
    </row>
    <row r="11" spans="1:114" x14ac:dyDescent="0.2">
      <c r="D11" t="s">
        <v>120</v>
      </c>
      <c r="E11" t="s">
        <v>120</v>
      </c>
      <c r="F11" t="s">
        <v>120</v>
      </c>
      <c r="G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O11" t="s">
        <v>120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R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120</v>
      </c>
      <c r="BK11" t="s">
        <v>120</v>
      </c>
      <c r="BL11" t="s">
        <v>120</v>
      </c>
      <c r="BM11" t="s">
        <v>120</v>
      </c>
      <c r="BU11" t="s">
        <v>120</v>
      </c>
      <c r="BW11" t="s">
        <v>120</v>
      </c>
      <c r="BX11" t="s">
        <v>120</v>
      </c>
    </row>
    <row r="12" spans="1:114" x14ac:dyDescent="0.2">
      <c r="B12" t="s">
        <v>129</v>
      </c>
      <c r="C12" t="s">
        <v>129</v>
      </c>
      <c r="D12" t="s">
        <v>130</v>
      </c>
      <c r="E12" t="s">
        <v>129</v>
      </c>
      <c r="F12" t="s">
        <v>129</v>
      </c>
      <c r="G12" t="s">
        <v>129</v>
      </c>
      <c r="H12" t="s">
        <v>129</v>
      </c>
      <c r="I12" t="s">
        <v>129</v>
      </c>
      <c r="J12" t="s">
        <v>129</v>
      </c>
      <c r="K12" t="s">
        <v>130</v>
      </c>
      <c r="L12" t="s">
        <v>130</v>
      </c>
      <c r="M12" t="s">
        <v>130</v>
      </c>
      <c r="O12" t="s">
        <v>129</v>
      </c>
      <c r="P12" t="s">
        <v>129</v>
      </c>
      <c r="Q12" t="s">
        <v>129</v>
      </c>
      <c r="R12" t="s">
        <v>129</v>
      </c>
      <c r="S12" t="s">
        <v>129</v>
      </c>
      <c r="T12" t="s">
        <v>129</v>
      </c>
      <c r="U12" t="s">
        <v>129</v>
      </c>
      <c r="V12" t="s">
        <v>129</v>
      </c>
      <c r="W12" t="s">
        <v>129</v>
      </c>
      <c r="X12" t="s">
        <v>130</v>
      </c>
      <c r="Y12" t="s">
        <v>130</v>
      </c>
      <c r="Z12" t="s">
        <v>130</v>
      </c>
      <c r="AA12" t="s">
        <v>129</v>
      </c>
      <c r="AB12" t="s">
        <v>130</v>
      </c>
      <c r="AC12" t="s">
        <v>129</v>
      </c>
      <c r="AD12" t="s">
        <v>129</v>
      </c>
      <c r="AE12" t="s">
        <v>129</v>
      </c>
      <c r="AF12" t="s">
        <v>129</v>
      </c>
      <c r="AG12" t="s">
        <v>129</v>
      </c>
      <c r="AH12" t="s">
        <v>130</v>
      </c>
      <c r="AI12" t="s">
        <v>130</v>
      </c>
      <c r="AJ12" t="s">
        <v>130</v>
      </c>
      <c r="AK12" t="s">
        <v>130</v>
      </c>
      <c r="AL12" t="s">
        <v>130</v>
      </c>
      <c r="AM12" t="s">
        <v>129</v>
      </c>
      <c r="AO12" t="s">
        <v>129</v>
      </c>
      <c r="AP12" t="s">
        <v>129</v>
      </c>
      <c r="AQ12" t="s">
        <v>129</v>
      </c>
      <c r="AR12" t="s">
        <v>129</v>
      </c>
      <c r="AS12" t="s">
        <v>129</v>
      </c>
      <c r="AT12" t="s">
        <v>129</v>
      </c>
      <c r="AU12" t="s">
        <v>130</v>
      </c>
      <c r="AV12" t="s">
        <v>130</v>
      </c>
      <c r="AW12" t="s">
        <v>130</v>
      </c>
      <c r="AX12" t="s">
        <v>130</v>
      </c>
      <c r="AY12" t="s">
        <v>130</v>
      </c>
      <c r="AZ12" t="s">
        <v>130</v>
      </c>
      <c r="BA12" t="s">
        <v>130</v>
      </c>
      <c r="BB12" t="s">
        <v>130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129</v>
      </c>
      <c r="BI12" t="s">
        <v>130</v>
      </c>
      <c r="BJ12" t="s">
        <v>130</v>
      </c>
      <c r="BK12" t="s">
        <v>130</v>
      </c>
      <c r="BL12" t="s">
        <v>129</v>
      </c>
      <c r="BM12" t="s">
        <v>129</v>
      </c>
      <c r="BN12" t="s">
        <v>129</v>
      </c>
      <c r="BO12" t="s">
        <v>129</v>
      </c>
      <c r="BP12" t="s">
        <v>129</v>
      </c>
      <c r="BQ12" t="s">
        <v>129</v>
      </c>
      <c r="BR12" t="s">
        <v>129</v>
      </c>
      <c r="BS12" t="s">
        <v>129</v>
      </c>
      <c r="BT12" t="s">
        <v>129</v>
      </c>
      <c r="BU12" t="s">
        <v>129</v>
      </c>
      <c r="BV12" t="s">
        <v>129</v>
      </c>
      <c r="BW12" t="s">
        <v>130</v>
      </c>
      <c r="BX12" t="s">
        <v>130</v>
      </c>
      <c r="CB12" t="s">
        <v>129</v>
      </c>
      <c r="CC12" t="s">
        <v>129</v>
      </c>
      <c r="CF12" t="s">
        <v>129</v>
      </c>
      <c r="CG12" t="s">
        <v>129</v>
      </c>
      <c r="CH12" t="s">
        <v>129</v>
      </c>
    </row>
    <row r="14" spans="1:114" x14ac:dyDescent="0.2">
      <c r="A14" s="10" t="s">
        <v>167</v>
      </c>
      <c r="B14">
        <v>2.5999999999999999E-2</v>
      </c>
      <c r="C14">
        <v>4.4000000000000002E-4</v>
      </c>
      <c r="D14">
        <v>0.57399999999999995</v>
      </c>
      <c r="E14">
        <v>26</v>
      </c>
      <c r="F14">
        <v>9.91</v>
      </c>
      <c r="G14">
        <v>46.1</v>
      </c>
      <c r="H14">
        <v>2.5000000000000001E-2</v>
      </c>
      <c r="I14">
        <v>3.5999999999999997E-2</v>
      </c>
      <c r="J14">
        <v>6.24</v>
      </c>
      <c r="K14">
        <v>0.28799999999999998</v>
      </c>
      <c r="L14">
        <v>0.17599999999999999</v>
      </c>
      <c r="M14">
        <v>9.81</v>
      </c>
      <c r="O14">
        <v>10.4</v>
      </c>
      <c r="P14">
        <v>3.4000000000000002E-2</v>
      </c>
      <c r="Q14">
        <v>23.5</v>
      </c>
      <c r="R14">
        <v>444000</v>
      </c>
      <c r="S14">
        <v>25</v>
      </c>
      <c r="T14">
        <v>4.3</v>
      </c>
      <c r="U14">
        <v>12</v>
      </c>
      <c r="V14">
        <v>32.1</v>
      </c>
      <c r="W14">
        <v>189</v>
      </c>
      <c r="X14">
        <v>2272</v>
      </c>
      <c r="Y14">
        <v>92.4</v>
      </c>
      <c r="Z14">
        <v>1074</v>
      </c>
      <c r="AA14">
        <v>63.8</v>
      </c>
      <c r="AB14">
        <v>74.7</v>
      </c>
      <c r="AC14">
        <v>8.67</v>
      </c>
      <c r="AD14">
        <v>0.96</v>
      </c>
      <c r="AE14">
        <v>0.1</v>
      </c>
      <c r="AF14">
        <v>0.03</v>
      </c>
      <c r="AG14">
        <v>0.3</v>
      </c>
      <c r="AH14">
        <v>0.40600000000000003</v>
      </c>
      <c r="AI14">
        <v>30</v>
      </c>
      <c r="AJ14">
        <v>11.8</v>
      </c>
      <c r="AK14">
        <v>10</v>
      </c>
      <c r="AL14">
        <v>9.9000000000000005E-2</v>
      </c>
      <c r="AM14">
        <v>0.71</v>
      </c>
      <c r="AP14">
        <v>0.5</v>
      </c>
      <c r="AQ14">
        <v>7.1999999999999995E-2</v>
      </c>
      <c r="AR14">
        <v>6.7000000000000004E-2</v>
      </c>
      <c r="AS14">
        <v>0.224</v>
      </c>
      <c r="AT14">
        <v>0.01</v>
      </c>
      <c r="AU14">
        <v>0.24</v>
      </c>
      <c r="AV14">
        <v>1.06</v>
      </c>
      <c r="AW14">
        <v>0.121</v>
      </c>
      <c r="AX14">
        <v>0.45</v>
      </c>
      <c r="AY14">
        <v>0.1</v>
      </c>
      <c r="AZ14">
        <v>0.78400000000000003</v>
      </c>
      <c r="BA14">
        <v>0.52500000000000002</v>
      </c>
      <c r="BB14">
        <v>0.26400000000000001</v>
      </c>
      <c r="BC14">
        <v>1.17</v>
      </c>
      <c r="BD14">
        <v>0.248</v>
      </c>
      <c r="BE14">
        <v>1.98</v>
      </c>
      <c r="BF14">
        <v>0.443</v>
      </c>
      <c r="BG14">
        <v>1.4</v>
      </c>
      <c r="BH14">
        <v>0.20399999999999999</v>
      </c>
      <c r="BI14">
        <v>1.41</v>
      </c>
      <c r="BJ14">
        <v>0.20599999999999999</v>
      </c>
      <c r="BK14">
        <v>0.34899999999999998</v>
      </c>
      <c r="BL14">
        <v>1.9E-2</v>
      </c>
      <c r="BM14">
        <v>15.5</v>
      </c>
      <c r="BN14">
        <v>5.9999999999999995E-4</v>
      </c>
      <c r="BP14">
        <v>6.3E-2</v>
      </c>
      <c r="BQ14">
        <v>11.1</v>
      </c>
      <c r="BR14">
        <v>2.4E-2</v>
      </c>
      <c r="BS14">
        <v>0.2</v>
      </c>
      <c r="BT14">
        <v>3.0000000000000001E-3</v>
      </c>
      <c r="BU14">
        <v>0.34499999999999997</v>
      </c>
      <c r="BV14">
        <v>8.9999999999999998E-4</v>
      </c>
      <c r="BW14">
        <v>8.0000000000000002E-3</v>
      </c>
      <c r="BX14">
        <v>1.21E-2</v>
      </c>
      <c r="BZ14">
        <v>14.4</v>
      </c>
      <c r="CA14">
        <v>13.7</v>
      </c>
      <c r="CB14">
        <v>4.83</v>
      </c>
      <c r="CC14">
        <v>9.43</v>
      </c>
      <c r="CD14">
        <v>-0.21</v>
      </c>
      <c r="CE14">
        <v>-0.46</v>
      </c>
      <c r="CF14">
        <v>0.77</v>
      </c>
      <c r="CG14">
        <v>0.706932</v>
      </c>
      <c r="CH14">
        <v>0.51324099999999995</v>
      </c>
      <c r="CJ14">
        <v>18.518000000000001</v>
      </c>
      <c r="CK14">
        <v>15.629</v>
      </c>
      <c r="CL14">
        <v>0.84499999999999997</v>
      </c>
      <c r="CM14">
        <v>38.286000000000001</v>
      </c>
      <c r="CN14">
        <v>2.069</v>
      </c>
    </row>
    <row r="15" spans="1:114" x14ac:dyDescent="0.2">
      <c r="D15">
        <v>2.5999999999999999E-2</v>
      </c>
      <c r="E15">
        <v>0.3</v>
      </c>
      <c r="F15">
        <v>0.17</v>
      </c>
      <c r="G15">
        <v>0.4</v>
      </c>
      <c r="H15">
        <v>5.0000000000000001E-3</v>
      </c>
      <c r="I15">
        <v>5.0000000000000001E-3</v>
      </c>
      <c r="J15">
        <v>0.12</v>
      </c>
      <c r="K15">
        <v>1.2E-2</v>
      </c>
      <c r="L15">
        <v>8.9999999999999993E-3</v>
      </c>
      <c r="M15">
        <v>0.12</v>
      </c>
      <c r="O15">
        <v>1.7</v>
      </c>
      <c r="P15">
        <v>7.0000000000000001E-3</v>
      </c>
      <c r="Q15">
        <v>2.8</v>
      </c>
      <c r="V15">
        <v>1.4</v>
      </c>
      <c r="W15">
        <v>13</v>
      </c>
      <c r="X15">
        <v>171</v>
      </c>
      <c r="Y15">
        <v>6.2</v>
      </c>
      <c r="Z15">
        <v>61</v>
      </c>
      <c r="AA15">
        <v>12.5</v>
      </c>
      <c r="AB15">
        <v>6.7</v>
      </c>
      <c r="AC15">
        <v>1.07</v>
      </c>
      <c r="AH15">
        <v>2.5000000000000001E-2</v>
      </c>
      <c r="AI15">
        <v>1</v>
      </c>
      <c r="AJ15">
        <v>0.5</v>
      </c>
      <c r="AK15">
        <v>0.5</v>
      </c>
      <c r="AL15">
        <v>7.0000000000000001E-3</v>
      </c>
      <c r="AM15">
        <v>0.26</v>
      </c>
      <c r="AS15">
        <v>9.1999999999999998E-2</v>
      </c>
      <c r="AT15">
        <v>2.1000000000000001E-2</v>
      </c>
      <c r="AU15">
        <v>2.5000000000000001E-2</v>
      </c>
      <c r="AV15">
        <v>0.03</v>
      </c>
      <c r="AW15">
        <v>4.0000000000000001E-3</v>
      </c>
      <c r="AX15">
        <v>1.6E-2</v>
      </c>
      <c r="AY15">
        <v>4.0000000000000001E-3</v>
      </c>
      <c r="AZ15">
        <v>4.7E-2</v>
      </c>
      <c r="BA15">
        <v>0.02</v>
      </c>
      <c r="BB15">
        <v>8.0000000000000002E-3</v>
      </c>
      <c r="BC15">
        <v>0.04</v>
      </c>
      <c r="BD15">
        <v>1.2E-2</v>
      </c>
      <c r="BE15">
        <v>7.0000000000000007E-2</v>
      </c>
      <c r="BF15">
        <v>1.9E-2</v>
      </c>
      <c r="BG15">
        <v>0.06</v>
      </c>
      <c r="BH15">
        <v>8.9999999999999993E-3</v>
      </c>
      <c r="BI15">
        <v>0.06</v>
      </c>
      <c r="BJ15">
        <v>8.9999999999999993E-3</v>
      </c>
      <c r="BK15">
        <v>1.7000000000000001E-2</v>
      </c>
      <c r="BL15">
        <v>1E-3</v>
      </c>
      <c r="BM15">
        <v>2.4</v>
      </c>
      <c r="BU15">
        <v>4.2999999999999997E-2</v>
      </c>
      <c r="BW15">
        <v>1E-3</v>
      </c>
      <c r="BX15">
        <v>1.1999999999999999E-3</v>
      </c>
      <c r="CA15">
        <v>0.6</v>
      </c>
      <c r="CL15">
        <v>3.3999999999999998E-3</v>
      </c>
      <c r="CN15">
        <v>1.4E-2</v>
      </c>
    </row>
    <row r="16" spans="1:114" x14ac:dyDescent="0.2">
      <c r="D16" t="s">
        <v>120</v>
      </c>
      <c r="E16" t="s">
        <v>120</v>
      </c>
      <c r="F16" t="s">
        <v>120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O16" t="s">
        <v>120</v>
      </c>
      <c r="P16" t="s">
        <v>120</v>
      </c>
      <c r="Q16" t="s">
        <v>120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120</v>
      </c>
      <c r="BK16" t="s">
        <v>120</v>
      </c>
      <c r="BL16" t="s">
        <v>120</v>
      </c>
      <c r="BM16" t="s">
        <v>120</v>
      </c>
      <c r="BU16" t="s">
        <v>120</v>
      </c>
      <c r="BW16" t="s">
        <v>120</v>
      </c>
      <c r="BX16" t="s">
        <v>120</v>
      </c>
      <c r="CA16" t="s">
        <v>120</v>
      </c>
      <c r="CL16" t="s">
        <v>120</v>
      </c>
      <c r="CN16" t="s">
        <v>120</v>
      </c>
    </row>
    <row r="17" spans="1:98" x14ac:dyDescent="0.2">
      <c r="B17" t="s">
        <v>129</v>
      </c>
      <c r="C17" t="s">
        <v>129</v>
      </c>
      <c r="D17" t="s">
        <v>130</v>
      </c>
      <c r="E17" t="s">
        <v>130</v>
      </c>
      <c r="F17" t="s">
        <v>129</v>
      </c>
      <c r="G17" t="s">
        <v>130</v>
      </c>
      <c r="H17" t="s">
        <v>130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O17" t="s">
        <v>130</v>
      </c>
      <c r="P17" t="s">
        <v>129</v>
      </c>
      <c r="Q17" t="s">
        <v>130</v>
      </c>
      <c r="R17" t="s">
        <v>129</v>
      </c>
      <c r="S17" t="s">
        <v>129</v>
      </c>
      <c r="T17" t="s">
        <v>129</v>
      </c>
      <c r="U17" t="s">
        <v>129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129</v>
      </c>
      <c r="AE17" t="s">
        <v>129</v>
      </c>
      <c r="AF17" t="s">
        <v>129</v>
      </c>
      <c r="AG17" t="s">
        <v>129</v>
      </c>
      <c r="AH17" t="s">
        <v>130</v>
      </c>
      <c r="AI17" t="s">
        <v>130</v>
      </c>
      <c r="AJ17" t="s">
        <v>130</v>
      </c>
      <c r="AK17" t="s">
        <v>130</v>
      </c>
      <c r="AL17" t="s">
        <v>130</v>
      </c>
      <c r="AM17" t="s">
        <v>129</v>
      </c>
      <c r="AP17" t="s">
        <v>129</v>
      </c>
      <c r="AQ17" t="s">
        <v>129</v>
      </c>
      <c r="AR17" t="s">
        <v>129</v>
      </c>
      <c r="AS17" t="s">
        <v>129</v>
      </c>
      <c r="AT17" t="s">
        <v>129</v>
      </c>
      <c r="AU17" t="s">
        <v>130</v>
      </c>
      <c r="AV17" t="s">
        <v>130</v>
      </c>
      <c r="AW17" t="s">
        <v>130</v>
      </c>
      <c r="AX17" t="s">
        <v>130</v>
      </c>
      <c r="AY17" t="s">
        <v>130</v>
      </c>
      <c r="AZ17" t="s">
        <v>130</v>
      </c>
      <c r="BA17" t="s">
        <v>130</v>
      </c>
      <c r="BB17" t="s">
        <v>130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130</v>
      </c>
      <c r="BI17" t="s">
        <v>130</v>
      </c>
      <c r="BJ17" t="s">
        <v>130</v>
      </c>
      <c r="BK17" t="s">
        <v>130</v>
      </c>
      <c r="BL17" t="s">
        <v>130</v>
      </c>
      <c r="BM17" t="s">
        <v>129</v>
      </c>
      <c r="BN17" t="s">
        <v>129</v>
      </c>
      <c r="BP17" t="s">
        <v>129</v>
      </c>
      <c r="BQ17" t="s">
        <v>129</v>
      </c>
      <c r="BR17" t="s">
        <v>129</v>
      </c>
      <c r="BS17" t="s">
        <v>129</v>
      </c>
      <c r="BT17" t="s">
        <v>129</v>
      </c>
      <c r="BU17" t="s">
        <v>130</v>
      </c>
      <c r="BV17" t="s">
        <v>129</v>
      </c>
      <c r="BW17" t="s">
        <v>130</v>
      </c>
      <c r="BX17" t="s">
        <v>130</v>
      </c>
      <c r="BZ17" t="s">
        <v>129</v>
      </c>
      <c r="CA17" t="s">
        <v>133</v>
      </c>
      <c r="CB17" t="s">
        <v>129</v>
      </c>
      <c r="CC17" t="s">
        <v>129</v>
      </c>
      <c r="CD17" t="s">
        <v>129</v>
      </c>
      <c r="CE17" t="s">
        <v>129</v>
      </c>
      <c r="CF17" t="s">
        <v>129</v>
      </c>
      <c r="CG17" t="s">
        <v>129</v>
      </c>
      <c r="CH17" t="s">
        <v>129</v>
      </c>
      <c r="CJ17" t="s">
        <v>129</v>
      </c>
      <c r="CK17" t="s">
        <v>129</v>
      </c>
      <c r="CL17" t="s">
        <v>133</v>
      </c>
      <c r="CM17" t="s">
        <v>129</v>
      </c>
      <c r="CN17" t="s">
        <v>133</v>
      </c>
    </row>
    <row r="19" spans="1:98" x14ac:dyDescent="0.2">
      <c r="A19" s="10" t="s">
        <v>168</v>
      </c>
      <c r="B19">
        <v>2.5999999999999999E-2</v>
      </c>
      <c r="C19">
        <v>5.8E-4</v>
      </c>
      <c r="D19">
        <v>0.83</v>
      </c>
      <c r="E19">
        <v>22.4</v>
      </c>
      <c r="F19">
        <v>11</v>
      </c>
      <c r="G19">
        <v>45.5</v>
      </c>
      <c r="H19">
        <v>3.5999999999999997E-2</v>
      </c>
      <c r="I19">
        <v>3.0800000000000001E-2</v>
      </c>
      <c r="J19">
        <v>8.4499999999999993</v>
      </c>
      <c r="K19">
        <v>0.30599999999999999</v>
      </c>
      <c r="L19">
        <v>0.154</v>
      </c>
      <c r="M19">
        <v>10.1</v>
      </c>
      <c r="O19">
        <v>8.9</v>
      </c>
      <c r="P19">
        <v>0.08</v>
      </c>
      <c r="Q19">
        <v>17.2</v>
      </c>
      <c r="R19">
        <v>440000</v>
      </c>
      <c r="S19">
        <v>22</v>
      </c>
      <c r="T19">
        <v>1.8</v>
      </c>
      <c r="U19">
        <v>6.2</v>
      </c>
      <c r="V19">
        <v>36.5</v>
      </c>
      <c r="W19">
        <v>214</v>
      </c>
      <c r="X19">
        <v>2528</v>
      </c>
      <c r="Y19">
        <v>92.7</v>
      </c>
      <c r="Z19">
        <v>1187</v>
      </c>
      <c r="AA19">
        <v>205</v>
      </c>
      <c r="AB19">
        <v>76.8</v>
      </c>
      <c r="AC19">
        <v>10.4</v>
      </c>
      <c r="AD19">
        <v>0.68</v>
      </c>
      <c r="AE19">
        <v>0.16</v>
      </c>
      <c r="AF19">
        <v>0.03</v>
      </c>
      <c r="AG19">
        <v>0.2</v>
      </c>
      <c r="AH19">
        <v>2.1</v>
      </c>
      <c r="AI19">
        <v>15.3</v>
      </c>
      <c r="AJ19">
        <v>12.9</v>
      </c>
      <c r="AK19">
        <v>9.9</v>
      </c>
      <c r="AL19">
        <v>7.2999999999999995E-2</v>
      </c>
      <c r="AM19">
        <v>30.5</v>
      </c>
      <c r="AP19">
        <v>0.04</v>
      </c>
      <c r="AQ19">
        <v>0.08</v>
      </c>
      <c r="AR19">
        <v>0.09</v>
      </c>
      <c r="AS19">
        <v>0.34</v>
      </c>
      <c r="AT19">
        <v>0.06</v>
      </c>
      <c r="AU19">
        <v>7.45</v>
      </c>
      <c r="AV19">
        <v>0.81499999999999995</v>
      </c>
      <c r="AW19">
        <v>8.4199999999999997E-2</v>
      </c>
      <c r="AX19">
        <v>0.39300000000000002</v>
      </c>
      <c r="AY19">
        <v>8.8999999999999996E-2</v>
      </c>
      <c r="AZ19">
        <v>0.68899999999999995</v>
      </c>
      <c r="BA19">
        <v>0.50800000000000001</v>
      </c>
      <c r="BB19">
        <v>0.255</v>
      </c>
      <c r="BC19">
        <v>1.19</v>
      </c>
      <c r="BD19">
        <v>0.26900000000000002</v>
      </c>
      <c r="BE19">
        <v>2.15</v>
      </c>
      <c r="BF19">
        <v>0.50700000000000001</v>
      </c>
      <c r="BG19">
        <v>1.56</v>
      </c>
      <c r="BH19">
        <v>0.23400000000000001</v>
      </c>
      <c r="BI19">
        <v>1.61</v>
      </c>
      <c r="BJ19">
        <v>0.23699999999999999</v>
      </c>
      <c r="BK19">
        <v>0.35699999999999998</v>
      </c>
      <c r="BL19">
        <v>3.1E-2</v>
      </c>
      <c r="BM19">
        <v>25.4</v>
      </c>
      <c r="BN19">
        <v>8.9999999999999998E-4</v>
      </c>
      <c r="BO19">
        <v>0.2</v>
      </c>
      <c r="BP19">
        <v>1.28</v>
      </c>
      <c r="BQ19">
        <v>13</v>
      </c>
      <c r="BR19">
        <v>0.11</v>
      </c>
      <c r="BS19">
        <v>0.4</v>
      </c>
      <c r="BT19">
        <v>1E-3</v>
      </c>
      <c r="BU19">
        <v>19.5</v>
      </c>
      <c r="BV19">
        <v>7.0000000000000001E-3</v>
      </c>
      <c r="BW19">
        <v>8.9999999999999993E-3</v>
      </c>
      <c r="BX19">
        <v>4.8000000000000001E-2</v>
      </c>
      <c r="BZ19">
        <v>8.9</v>
      </c>
      <c r="CA19">
        <v>7.1</v>
      </c>
      <c r="CB19">
        <v>4.34</v>
      </c>
      <c r="CC19">
        <v>8.52</v>
      </c>
      <c r="CD19">
        <v>-0.15</v>
      </c>
      <c r="CE19">
        <v>-0.27</v>
      </c>
      <c r="CF19">
        <v>0.61</v>
      </c>
      <c r="CG19">
        <v>0.70720000000000005</v>
      </c>
      <c r="CH19">
        <v>0.513289</v>
      </c>
      <c r="CJ19">
        <v>19.25</v>
      </c>
      <c r="CK19">
        <v>15.72</v>
      </c>
      <c r="CL19">
        <v>0.81599999999999995</v>
      </c>
      <c r="CM19">
        <v>38.72</v>
      </c>
      <c r="CN19">
        <v>2.008</v>
      </c>
    </row>
    <row r="20" spans="1:98" x14ac:dyDescent="0.2">
      <c r="D20">
        <v>0.04</v>
      </c>
      <c r="E20">
        <v>0.2</v>
      </c>
      <c r="F20">
        <v>0.2</v>
      </c>
      <c r="G20">
        <v>0.4</v>
      </c>
      <c r="H20">
        <v>1.2E-2</v>
      </c>
      <c r="I20">
        <v>3.3999999999999998E-3</v>
      </c>
      <c r="J20">
        <v>0.12</v>
      </c>
      <c r="K20">
        <v>1.2999999999999999E-2</v>
      </c>
      <c r="L20">
        <v>7.0000000000000001E-3</v>
      </c>
      <c r="M20">
        <v>0.1</v>
      </c>
      <c r="O20">
        <v>1.2</v>
      </c>
      <c r="Q20">
        <v>2.6</v>
      </c>
      <c r="V20">
        <v>1.2</v>
      </c>
      <c r="W20">
        <v>17</v>
      </c>
      <c r="X20">
        <v>183</v>
      </c>
      <c r="Y20">
        <v>5.7</v>
      </c>
      <c r="Z20">
        <v>58</v>
      </c>
      <c r="AA20">
        <v>21</v>
      </c>
      <c r="AB20">
        <v>12.5</v>
      </c>
      <c r="AC20">
        <v>0.9</v>
      </c>
      <c r="AH20">
        <v>0.1</v>
      </c>
      <c r="AI20">
        <v>0.6</v>
      </c>
      <c r="AJ20">
        <v>0.5</v>
      </c>
      <c r="AK20">
        <v>0.3</v>
      </c>
      <c r="AL20">
        <v>1.2999999999999999E-2</v>
      </c>
      <c r="AM20">
        <v>2.6</v>
      </c>
      <c r="AS20">
        <v>0.09</v>
      </c>
      <c r="AT20">
        <v>0.04</v>
      </c>
      <c r="AU20">
        <v>0.63</v>
      </c>
      <c r="AV20">
        <v>6.2E-2</v>
      </c>
      <c r="AW20">
        <v>2.8999999999999998E-3</v>
      </c>
      <c r="AX20">
        <v>1.7999999999999999E-2</v>
      </c>
      <c r="AY20">
        <v>4.0000000000000001E-3</v>
      </c>
      <c r="AZ20">
        <v>1.7000000000000001E-2</v>
      </c>
      <c r="BA20">
        <v>1.4999999999999999E-2</v>
      </c>
      <c r="BB20">
        <v>7.0000000000000001E-3</v>
      </c>
      <c r="BC20">
        <v>0.04</v>
      </c>
      <c r="BD20">
        <v>1.0999999999999999E-2</v>
      </c>
      <c r="BE20">
        <v>0.06</v>
      </c>
      <c r="BF20">
        <v>1.9E-2</v>
      </c>
      <c r="BG20">
        <v>0.05</v>
      </c>
      <c r="BH20">
        <v>8.9999999999999993E-3</v>
      </c>
      <c r="BI20">
        <v>0.04</v>
      </c>
      <c r="BJ20">
        <v>8.9999999999999993E-3</v>
      </c>
      <c r="BK20">
        <v>1.7999999999999999E-2</v>
      </c>
      <c r="BL20">
        <v>2E-3</v>
      </c>
      <c r="BM20">
        <v>3.4</v>
      </c>
      <c r="BQ20">
        <v>11</v>
      </c>
      <c r="BR20">
        <v>0.09</v>
      </c>
      <c r="BU20">
        <v>1.7</v>
      </c>
      <c r="BV20">
        <v>3.0000000000000001E-3</v>
      </c>
      <c r="BW20">
        <v>3.0000000000000001E-3</v>
      </c>
      <c r="BX20">
        <v>5.0000000000000001E-3</v>
      </c>
      <c r="CL20">
        <v>2.5999999999999999E-3</v>
      </c>
      <c r="CN20">
        <v>5.0000000000000001E-3</v>
      </c>
    </row>
    <row r="21" spans="1:98" x14ac:dyDescent="0.2">
      <c r="D21" t="s">
        <v>120</v>
      </c>
      <c r="E21" t="s">
        <v>120</v>
      </c>
      <c r="F21" t="s">
        <v>120</v>
      </c>
      <c r="G21" t="s">
        <v>120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O21" t="s">
        <v>120</v>
      </c>
      <c r="Q21" t="s">
        <v>120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120</v>
      </c>
      <c r="BI21" t="s">
        <v>120</v>
      </c>
      <c r="BJ21" t="s">
        <v>120</v>
      </c>
      <c r="BK21" t="s">
        <v>120</v>
      </c>
      <c r="BL21" t="s">
        <v>120</v>
      </c>
      <c r="BM21" t="s">
        <v>120</v>
      </c>
      <c r="BQ21" t="s">
        <v>120</v>
      </c>
      <c r="BR21" t="s">
        <v>120</v>
      </c>
      <c r="BU21" t="s">
        <v>120</v>
      </c>
      <c r="BV21" t="s">
        <v>120</v>
      </c>
      <c r="BW21" t="s">
        <v>120</v>
      </c>
      <c r="BX21" t="s">
        <v>120</v>
      </c>
      <c r="CL21" t="s">
        <v>120</v>
      </c>
      <c r="CN21" t="s">
        <v>120</v>
      </c>
    </row>
    <row r="22" spans="1:98" x14ac:dyDescent="0.2">
      <c r="B22" t="s">
        <v>129</v>
      </c>
      <c r="C22" t="s">
        <v>129</v>
      </c>
      <c r="D22" t="s">
        <v>130</v>
      </c>
      <c r="E22" t="s">
        <v>130</v>
      </c>
      <c r="F22" t="s">
        <v>130</v>
      </c>
      <c r="G22" t="s">
        <v>130</v>
      </c>
      <c r="H22" t="s">
        <v>129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O22" t="s">
        <v>130</v>
      </c>
      <c r="P22" t="s">
        <v>129</v>
      </c>
      <c r="Q22" t="s">
        <v>130</v>
      </c>
      <c r="R22" t="s">
        <v>129</v>
      </c>
      <c r="S22" t="s">
        <v>129</v>
      </c>
      <c r="T22" t="s">
        <v>129</v>
      </c>
      <c r="U22" t="s">
        <v>129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129</v>
      </c>
      <c r="AE22" t="s">
        <v>129</v>
      </c>
      <c r="AF22" t="s">
        <v>129</v>
      </c>
      <c r="AG22" t="s">
        <v>129</v>
      </c>
      <c r="AH22" t="s">
        <v>130</v>
      </c>
      <c r="AI22" t="s">
        <v>130</v>
      </c>
      <c r="AJ22" t="s">
        <v>130</v>
      </c>
      <c r="AK22" t="s">
        <v>130</v>
      </c>
      <c r="AL22" t="s">
        <v>130</v>
      </c>
      <c r="AM22" t="s">
        <v>130</v>
      </c>
      <c r="AP22" t="s">
        <v>129</v>
      </c>
      <c r="AQ22" t="s">
        <v>129</v>
      </c>
      <c r="AR22" t="s">
        <v>129</v>
      </c>
      <c r="AS22" t="s">
        <v>129</v>
      </c>
      <c r="AT22" t="s">
        <v>130</v>
      </c>
      <c r="AU22" t="s">
        <v>130</v>
      </c>
      <c r="AV22" t="s">
        <v>130</v>
      </c>
      <c r="AW22" t="s">
        <v>130</v>
      </c>
      <c r="AX22" t="s">
        <v>130</v>
      </c>
      <c r="AY22" t="s">
        <v>130</v>
      </c>
      <c r="AZ22" t="s">
        <v>130</v>
      </c>
      <c r="BA22" t="s">
        <v>130</v>
      </c>
      <c r="BB22" t="s">
        <v>130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130</v>
      </c>
      <c r="BI22" t="s">
        <v>130</v>
      </c>
      <c r="BJ22" t="s">
        <v>130</v>
      </c>
      <c r="BK22" t="s">
        <v>130</v>
      </c>
      <c r="BL22" t="s">
        <v>130</v>
      </c>
      <c r="BM22" t="s">
        <v>129</v>
      </c>
      <c r="BN22" t="s">
        <v>129</v>
      </c>
      <c r="BO22" t="s">
        <v>129</v>
      </c>
      <c r="BP22" t="s">
        <v>129</v>
      </c>
      <c r="BQ22" t="s">
        <v>129</v>
      </c>
      <c r="BR22" t="s">
        <v>129</v>
      </c>
      <c r="BS22" t="s">
        <v>129</v>
      </c>
      <c r="BT22" t="s">
        <v>129</v>
      </c>
      <c r="BU22" t="s">
        <v>130</v>
      </c>
      <c r="BV22" t="s">
        <v>129</v>
      </c>
      <c r="BW22" t="s">
        <v>130</v>
      </c>
      <c r="BX22" t="s">
        <v>130</v>
      </c>
      <c r="BZ22" t="s">
        <v>129</v>
      </c>
      <c r="CA22" t="s">
        <v>129</v>
      </c>
      <c r="CB22" t="s">
        <v>129</v>
      </c>
      <c r="CC22" t="s">
        <v>129</v>
      </c>
      <c r="CD22" t="s">
        <v>129</v>
      </c>
      <c r="CE22" t="s">
        <v>129</v>
      </c>
      <c r="CF22" t="s">
        <v>129</v>
      </c>
      <c r="CG22" t="s">
        <v>129</v>
      </c>
      <c r="CH22" t="s">
        <v>129</v>
      </c>
      <c r="CJ22" t="s">
        <v>129</v>
      </c>
      <c r="CK22" t="s">
        <v>129</v>
      </c>
      <c r="CL22" t="s">
        <v>133</v>
      </c>
      <c r="CM22" t="s">
        <v>129</v>
      </c>
      <c r="CN22" t="s">
        <v>133</v>
      </c>
    </row>
    <row r="25" spans="1:98" x14ac:dyDescent="0.2">
      <c r="A25" s="10" t="s">
        <v>169</v>
      </c>
      <c r="B25">
        <v>1.4999999999999999E-2</v>
      </c>
      <c r="C25">
        <v>5.1999999999999995E-4</v>
      </c>
      <c r="D25">
        <v>2.35</v>
      </c>
      <c r="E25">
        <v>7.34</v>
      </c>
      <c r="F25">
        <v>13.3</v>
      </c>
      <c r="G25">
        <v>50.3</v>
      </c>
      <c r="H25">
        <v>0.23200000000000001</v>
      </c>
      <c r="I25">
        <v>0.48</v>
      </c>
      <c r="J25">
        <v>10.9</v>
      </c>
      <c r="K25">
        <v>2.56</v>
      </c>
      <c r="L25">
        <v>0.16500000000000001</v>
      </c>
      <c r="M25">
        <v>10.7</v>
      </c>
      <c r="O25">
        <v>5.0999999999999996</v>
      </c>
      <c r="P25">
        <v>0.88</v>
      </c>
      <c r="Q25">
        <v>2.73</v>
      </c>
      <c r="R25">
        <v>444000</v>
      </c>
      <c r="S25">
        <v>177</v>
      </c>
      <c r="T25">
        <v>7.7</v>
      </c>
      <c r="U25">
        <v>26</v>
      </c>
      <c r="V25">
        <v>31.8</v>
      </c>
      <c r="W25">
        <v>309</v>
      </c>
      <c r="X25">
        <v>294</v>
      </c>
      <c r="Y25">
        <v>41.2</v>
      </c>
      <c r="Z25">
        <v>112</v>
      </c>
      <c r="AA25">
        <v>87.9</v>
      </c>
      <c r="AB25">
        <v>110</v>
      </c>
      <c r="AC25">
        <v>20</v>
      </c>
      <c r="AD25">
        <v>1.3</v>
      </c>
      <c r="AE25">
        <v>0.17</v>
      </c>
      <c r="AF25">
        <v>7.0000000000000007E-2</v>
      </c>
      <c r="AH25">
        <v>8.6999999999999993</v>
      </c>
      <c r="AI25">
        <v>356</v>
      </c>
      <c r="AJ25">
        <v>25.4</v>
      </c>
      <c r="AK25">
        <v>152</v>
      </c>
      <c r="AL25">
        <v>15</v>
      </c>
      <c r="AM25">
        <v>3.6</v>
      </c>
      <c r="AN25">
        <v>37</v>
      </c>
      <c r="AO25">
        <v>6</v>
      </c>
      <c r="AP25">
        <v>0.15</v>
      </c>
      <c r="AQ25">
        <v>0.09</v>
      </c>
      <c r="AR25">
        <v>0.24</v>
      </c>
      <c r="AS25">
        <v>1.54</v>
      </c>
      <c r="AT25">
        <v>0.14000000000000001</v>
      </c>
      <c r="AU25">
        <v>0.115</v>
      </c>
      <c r="AV25">
        <v>123</v>
      </c>
      <c r="AW25">
        <v>13.1</v>
      </c>
      <c r="AX25">
        <v>32.4</v>
      </c>
      <c r="AY25">
        <v>4.5999999999999996</v>
      </c>
      <c r="AZ25">
        <v>21.6</v>
      </c>
      <c r="BA25">
        <v>5.54</v>
      </c>
      <c r="BB25">
        <v>1.92</v>
      </c>
      <c r="BC25">
        <v>5.92</v>
      </c>
      <c r="BD25">
        <v>0.89</v>
      </c>
      <c r="BE25">
        <v>5.22</v>
      </c>
      <c r="BF25">
        <v>0.96099999999999997</v>
      </c>
      <c r="BG25">
        <v>2.54</v>
      </c>
      <c r="BH25">
        <v>0.33100000000000002</v>
      </c>
      <c r="BI25">
        <v>2.1</v>
      </c>
      <c r="BJ25">
        <v>0.28499999999999998</v>
      </c>
      <c r="BK25">
        <v>3.93</v>
      </c>
      <c r="BL25">
        <v>0.96099999999999997</v>
      </c>
      <c r="BM25">
        <v>0.37</v>
      </c>
      <c r="BN25">
        <v>6.9999999999999999E-4</v>
      </c>
      <c r="BO25">
        <v>0.3</v>
      </c>
      <c r="BP25">
        <v>0.1</v>
      </c>
      <c r="BQ25">
        <v>16</v>
      </c>
      <c r="BR25">
        <v>0.4</v>
      </c>
      <c r="BU25">
        <v>2.0699999999999998</v>
      </c>
      <c r="BV25">
        <v>3.5999999999999997E-2</v>
      </c>
      <c r="BW25">
        <v>1.02</v>
      </c>
      <c r="BX25">
        <v>0.54800000000000004</v>
      </c>
      <c r="BZ25">
        <v>4.0999999999999996</v>
      </c>
      <c r="CB25">
        <v>4.3099999999999996</v>
      </c>
      <c r="CC25">
        <v>8.6300000000000008</v>
      </c>
      <c r="CD25">
        <v>-0.21</v>
      </c>
      <c r="CE25">
        <v>-0.44</v>
      </c>
      <c r="CF25">
        <v>0.77</v>
      </c>
      <c r="CG25">
        <v>0.703565</v>
      </c>
      <c r="CH25">
        <v>0.51295199999999996</v>
      </c>
      <c r="CI25">
        <v>0.28310800000000003</v>
      </c>
      <c r="CJ25">
        <v>19.038</v>
      </c>
      <c r="CK25">
        <v>15.634</v>
      </c>
      <c r="CL25">
        <v>0.82099</v>
      </c>
      <c r="CM25">
        <v>38.509</v>
      </c>
      <c r="CN25">
        <v>2.0232000000000001</v>
      </c>
      <c r="CS25">
        <v>5.3199999999999999E-5</v>
      </c>
      <c r="CT25">
        <v>141</v>
      </c>
    </row>
    <row r="26" spans="1:98" x14ac:dyDescent="0.2">
      <c r="D26">
        <v>0.08</v>
      </c>
      <c r="E26">
        <v>0.09</v>
      </c>
      <c r="F26">
        <v>0.2</v>
      </c>
      <c r="G26">
        <v>0.3</v>
      </c>
      <c r="H26">
        <v>2.5999999999999999E-2</v>
      </c>
      <c r="I26">
        <v>0.01</v>
      </c>
      <c r="J26">
        <v>0.2</v>
      </c>
      <c r="K26">
        <v>0.09</v>
      </c>
      <c r="L26">
        <v>8.9999999999999993E-3</v>
      </c>
      <c r="M26">
        <v>0.1</v>
      </c>
      <c r="O26">
        <v>0.5</v>
      </c>
      <c r="P26">
        <v>0.34</v>
      </c>
      <c r="Q26">
        <v>0.28000000000000003</v>
      </c>
      <c r="V26">
        <v>0.9</v>
      </c>
      <c r="W26">
        <v>38</v>
      </c>
      <c r="X26">
        <v>27</v>
      </c>
      <c r="Y26">
        <v>2.2999999999999998</v>
      </c>
      <c r="Z26">
        <v>5</v>
      </c>
      <c r="AA26">
        <v>9.1</v>
      </c>
      <c r="AB26">
        <v>10</v>
      </c>
      <c r="AC26">
        <v>1.2</v>
      </c>
      <c r="AD26">
        <v>0.8</v>
      </c>
      <c r="AH26">
        <v>0.4</v>
      </c>
      <c r="AI26">
        <v>8</v>
      </c>
      <c r="AJ26">
        <v>1.1000000000000001</v>
      </c>
      <c r="AK26">
        <v>5</v>
      </c>
      <c r="AL26">
        <v>0.5</v>
      </c>
      <c r="AM26">
        <v>0.6</v>
      </c>
      <c r="AS26">
        <v>0.28999999999999998</v>
      </c>
      <c r="AT26">
        <v>0.03</v>
      </c>
      <c r="AU26">
        <v>8.9999999999999993E-3</v>
      </c>
      <c r="AV26">
        <v>5</v>
      </c>
      <c r="AW26">
        <v>0.2</v>
      </c>
      <c r="AX26">
        <v>0.7</v>
      </c>
      <c r="AY26">
        <v>0.1</v>
      </c>
      <c r="AZ26">
        <v>0.4</v>
      </c>
      <c r="BA26">
        <v>0.09</v>
      </c>
      <c r="BB26">
        <v>0.04</v>
      </c>
      <c r="BC26">
        <v>0.2</v>
      </c>
      <c r="BD26">
        <v>3.1E-2</v>
      </c>
      <c r="BE26">
        <v>0.12</v>
      </c>
      <c r="BF26">
        <v>2.1999999999999999E-2</v>
      </c>
      <c r="BG26">
        <v>7.0000000000000007E-2</v>
      </c>
      <c r="BH26">
        <v>8.9999999999999993E-3</v>
      </c>
      <c r="BI26">
        <v>0.05</v>
      </c>
      <c r="BJ26">
        <v>8.9999999999999993E-3</v>
      </c>
      <c r="BK26">
        <v>0.14000000000000001</v>
      </c>
      <c r="BL26">
        <v>2.1999999999999999E-2</v>
      </c>
      <c r="BM26">
        <v>0.06</v>
      </c>
      <c r="BU26">
        <v>0.1</v>
      </c>
      <c r="BV26">
        <v>1.4E-2</v>
      </c>
      <c r="BW26">
        <v>0.03</v>
      </c>
      <c r="BX26">
        <v>1.6E-2</v>
      </c>
      <c r="CG26">
        <v>2.1999999999999999E-5</v>
      </c>
      <c r="CH26">
        <v>1.7E-5</v>
      </c>
      <c r="CI26">
        <v>1.9999999999999999E-6</v>
      </c>
      <c r="CJ26">
        <v>8.9999999999999993E-3</v>
      </c>
      <c r="CK26">
        <v>6.0000000000000001E-3</v>
      </c>
      <c r="CL26">
        <v>6.6E-4</v>
      </c>
      <c r="CM26">
        <v>4.7E-2</v>
      </c>
      <c r="CN26">
        <v>1.6000000000000001E-3</v>
      </c>
    </row>
    <row r="27" spans="1:98" x14ac:dyDescent="0.2">
      <c r="D27" t="s">
        <v>120</v>
      </c>
      <c r="E27" t="s">
        <v>120</v>
      </c>
      <c r="F27" t="s">
        <v>120</v>
      </c>
      <c r="G27" t="s">
        <v>120</v>
      </c>
      <c r="H27" t="s">
        <v>120</v>
      </c>
      <c r="I27" t="s">
        <v>120</v>
      </c>
      <c r="J27" t="s">
        <v>120</v>
      </c>
      <c r="K27" t="s">
        <v>120</v>
      </c>
      <c r="L27" t="s">
        <v>120</v>
      </c>
      <c r="M27" t="s">
        <v>120</v>
      </c>
      <c r="O27" t="s">
        <v>120</v>
      </c>
      <c r="P27" t="s">
        <v>120</v>
      </c>
      <c r="Q27" t="s">
        <v>120</v>
      </c>
      <c r="V27" t="s">
        <v>120</v>
      </c>
      <c r="W27" t="s">
        <v>120</v>
      </c>
      <c r="X27" t="s">
        <v>120</v>
      </c>
      <c r="Y27" t="s">
        <v>120</v>
      </c>
      <c r="Z27" t="s">
        <v>120</v>
      </c>
      <c r="AA27" t="s">
        <v>120</v>
      </c>
      <c r="AB27" t="s">
        <v>120</v>
      </c>
      <c r="AC27" t="s">
        <v>120</v>
      </c>
      <c r="AD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120</v>
      </c>
      <c r="BD27" t="s">
        <v>120</v>
      </c>
      <c r="BE27" t="s">
        <v>120</v>
      </c>
      <c r="BF27" t="s">
        <v>120</v>
      </c>
      <c r="BG27" t="s">
        <v>120</v>
      </c>
      <c r="BH27" t="s">
        <v>120</v>
      </c>
      <c r="BI27" t="s">
        <v>120</v>
      </c>
      <c r="BJ27" t="s">
        <v>120</v>
      </c>
      <c r="BK27" t="s">
        <v>120</v>
      </c>
      <c r="BL27" t="s">
        <v>120</v>
      </c>
      <c r="BM27" t="s">
        <v>120</v>
      </c>
      <c r="BU27" t="s">
        <v>120</v>
      </c>
      <c r="BV27" t="s">
        <v>120</v>
      </c>
      <c r="BW27" t="s">
        <v>120</v>
      </c>
      <c r="BX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120</v>
      </c>
      <c r="CL27" t="s">
        <v>120</v>
      </c>
      <c r="CM27" t="s">
        <v>120</v>
      </c>
      <c r="CN27" t="s">
        <v>120</v>
      </c>
    </row>
    <row r="28" spans="1:98" x14ac:dyDescent="0.2">
      <c r="B28" t="s">
        <v>129</v>
      </c>
      <c r="C28" t="s">
        <v>129</v>
      </c>
      <c r="D28" t="s">
        <v>130</v>
      </c>
      <c r="E28" t="s">
        <v>130</v>
      </c>
      <c r="F28" t="s">
        <v>130</v>
      </c>
      <c r="G28" t="s">
        <v>130</v>
      </c>
      <c r="H28" t="s">
        <v>130</v>
      </c>
      <c r="I28" t="s">
        <v>130</v>
      </c>
      <c r="J28" t="s">
        <v>130</v>
      </c>
      <c r="K28" t="s">
        <v>130</v>
      </c>
      <c r="L28" t="s">
        <v>130</v>
      </c>
      <c r="M28" t="s">
        <v>130</v>
      </c>
      <c r="O28" t="s">
        <v>130</v>
      </c>
      <c r="P28" t="s">
        <v>129</v>
      </c>
      <c r="Q28" t="s">
        <v>129</v>
      </c>
      <c r="R28" t="s">
        <v>129</v>
      </c>
      <c r="S28" t="s">
        <v>129</v>
      </c>
      <c r="T28" t="s">
        <v>129</v>
      </c>
      <c r="U28" t="s">
        <v>129</v>
      </c>
      <c r="V28" t="s">
        <v>130</v>
      </c>
      <c r="W28" t="s">
        <v>130</v>
      </c>
      <c r="X28" t="s">
        <v>130</v>
      </c>
      <c r="Y28" t="s">
        <v>130</v>
      </c>
      <c r="Z28" t="s">
        <v>130</v>
      </c>
      <c r="AA28" t="s">
        <v>130</v>
      </c>
      <c r="AB28" t="s">
        <v>130</v>
      </c>
      <c r="AC28" t="s">
        <v>130</v>
      </c>
      <c r="AD28" t="s">
        <v>129</v>
      </c>
      <c r="AE28" t="s">
        <v>129</v>
      </c>
      <c r="AF28" t="s">
        <v>129</v>
      </c>
      <c r="AH28" t="s">
        <v>130</v>
      </c>
      <c r="AI28" t="s">
        <v>130</v>
      </c>
      <c r="AJ28" t="s">
        <v>130</v>
      </c>
      <c r="AK28" t="s">
        <v>130</v>
      </c>
      <c r="AL28" t="s">
        <v>130</v>
      </c>
      <c r="AM28" t="s">
        <v>130</v>
      </c>
      <c r="AN28" t="s">
        <v>129</v>
      </c>
      <c r="AO28" t="s">
        <v>129</v>
      </c>
      <c r="AP28" t="s">
        <v>129</v>
      </c>
      <c r="AQ28" t="s">
        <v>129</v>
      </c>
      <c r="AR28" t="s">
        <v>129</v>
      </c>
      <c r="AS28" t="s">
        <v>130</v>
      </c>
      <c r="AT28" t="s">
        <v>130</v>
      </c>
      <c r="AU28" t="s">
        <v>130</v>
      </c>
      <c r="AV28" t="s">
        <v>130</v>
      </c>
      <c r="AW28" t="s">
        <v>130</v>
      </c>
      <c r="AX28" t="s">
        <v>130</v>
      </c>
      <c r="AY28" t="s">
        <v>130</v>
      </c>
      <c r="AZ28" t="s">
        <v>130</v>
      </c>
      <c r="BA28" t="s">
        <v>130</v>
      </c>
      <c r="BB28" t="s">
        <v>130</v>
      </c>
      <c r="BC28" t="s">
        <v>130</v>
      </c>
      <c r="BD28" t="s">
        <v>130</v>
      </c>
      <c r="BE28" t="s">
        <v>130</v>
      </c>
      <c r="BF28" t="s">
        <v>130</v>
      </c>
      <c r="BG28" t="s">
        <v>130</v>
      </c>
      <c r="BH28" t="s">
        <v>130</v>
      </c>
      <c r="BI28" t="s">
        <v>130</v>
      </c>
      <c r="BJ28" t="s">
        <v>130</v>
      </c>
      <c r="BK28" t="s">
        <v>130</v>
      </c>
      <c r="BL28" t="s">
        <v>130</v>
      </c>
      <c r="BM28" t="s">
        <v>129</v>
      </c>
      <c r="BN28" t="s">
        <v>129</v>
      </c>
      <c r="BO28" t="s">
        <v>129</v>
      </c>
      <c r="BP28" t="s">
        <v>129</v>
      </c>
      <c r="BQ28" t="s">
        <v>129</v>
      </c>
      <c r="BR28" t="s">
        <v>129</v>
      </c>
      <c r="BU28" t="s">
        <v>130</v>
      </c>
      <c r="BV28" t="s">
        <v>129</v>
      </c>
      <c r="BW28" t="s">
        <v>130</v>
      </c>
      <c r="BX28" t="s">
        <v>130</v>
      </c>
      <c r="BZ28" t="s">
        <v>129</v>
      </c>
      <c r="CB28" t="s">
        <v>129</v>
      </c>
      <c r="CC28" t="s">
        <v>129</v>
      </c>
      <c r="CD28" t="s">
        <v>129</v>
      </c>
      <c r="CE28" t="s">
        <v>129</v>
      </c>
      <c r="CF28" t="s">
        <v>129</v>
      </c>
      <c r="CG28" t="s">
        <v>133</v>
      </c>
      <c r="CH28" t="s">
        <v>133</v>
      </c>
      <c r="CI28" t="s">
        <v>129</v>
      </c>
      <c r="CJ28" t="s">
        <v>133</v>
      </c>
      <c r="CK28" t="s">
        <v>133</v>
      </c>
      <c r="CL28" t="s">
        <v>133</v>
      </c>
      <c r="CM28" t="s">
        <v>133</v>
      </c>
      <c r="CN28" t="s">
        <v>133</v>
      </c>
      <c r="CS28" t="s">
        <v>129</v>
      </c>
      <c r="CT28" t="s">
        <v>129</v>
      </c>
    </row>
    <row r="30" spans="1:98" x14ac:dyDescent="0.2">
      <c r="A30" s="10" t="s">
        <v>170</v>
      </c>
      <c r="B30">
        <v>1.4999999999999999E-2</v>
      </c>
      <c r="C30">
        <v>4.6999999999999999E-4</v>
      </c>
      <c r="D30">
        <v>2.4</v>
      </c>
      <c r="E30">
        <v>6.59</v>
      </c>
      <c r="F30">
        <v>13.6</v>
      </c>
      <c r="G30">
        <v>51.4</v>
      </c>
      <c r="H30">
        <v>0.23</v>
      </c>
      <c r="I30">
        <v>0.38500000000000001</v>
      </c>
      <c r="J30">
        <v>10.5</v>
      </c>
      <c r="K30">
        <v>2.13</v>
      </c>
      <c r="L30">
        <v>0.17</v>
      </c>
      <c r="M30">
        <v>10.9</v>
      </c>
      <c r="O30">
        <v>4.5</v>
      </c>
      <c r="P30">
        <v>0.62</v>
      </c>
      <c r="Q30">
        <v>2.5</v>
      </c>
      <c r="R30">
        <v>447000</v>
      </c>
      <c r="S30">
        <v>70</v>
      </c>
      <c r="T30">
        <v>1.2</v>
      </c>
      <c r="U30">
        <v>7.5</v>
      </c>
      <c r="V30">
        <v>31.6</v>
      </c>
      <c r="W30">
        <v>268</v>
      </c>
      <c r="X30">
        <v>177</v>
      </c>
      <c r="Y30">
        <v>41.2</v>
      </c>
      <c r="Z30">
        <v>107</v>
      </c>
      <c r="AA30">
        <v>112</v>
      </c>
      <c r="AB30">
        <v>108</v>
      </c>
      <c r="AC30">
        <v>19.600000000000001</v>
      </c>
      <c r="AD30">
        <v>1.1000000000000001</v>
      </c>
      <c r="AE30">
        <v>0.28000000000000003</v>
      </c>
      <c r="AF30">
        <v>0.06</v>
      </c>
      <c r="AG30">
        <v>0.2</v>
      </c>
      <c r="AH30">
        <v>5.8</v>
      </c>
      <c r="AI30">
        <v>312</v>
      </c>
      <c r="AJ30">
        <v>23.9</v>
      </c>
      <c r="AK30">
        <v>122</v>
      </c>
      <c r="AL30">
        <v>8.61</v>
      </c>
      <c r="AM30">
        <v>16.7</v>
      </c>
      <c r="AP30">
        <v>0.03</v>
      </c>
      <c r="AQ30">
        <v>0.1</v>
      </c>
      <c r="AR30">
        <v>0.2</v>
      </c>
      <c r="AS30">
        <v>1.1399999999999999</v>
      </c>
      <c r="AT30">
        <v>0.11</v>
      </c>
      <c r="AU30">
        <v>0.14000000000000001</v>
      </c>
      <c r="AV30">
        <v>80.099999999999994</v>
      </c>
      <c r="AW30">
        <v>8.99</v>
      </c>
      <c r="AX30">
        <v>23.1</v>
      </c>
      <c r="AY30">
        <v>3.43</v>
      </c>
      <c r="AZ30">
        <v>16.7</v>
      </c>
      <c r="BA30">
        <v>4.75</v>
      </c>
      <c r="BB30">
        <v>1.67</v>
      </c>
      <c r="BC30">
        <v>5.26</v>
      </c>
      <c r="BD30">
        <v>0.79700000000000004</v>
      </c>
      <c r="BE30">
        <v>4.84</v>
      </c>
      <c r="BF30">
        <v>0.90600000000000003</v>
      </c>
      <c r="BG30">
        <v>2.44</v>
      </c>
      <c r="BH30">
        <v>0.32400000000000001</v>
      </c>
      <c r="BI30">
        <v>2.06</v>
      </c>
      <c r="BJ30">
        <v>0.28599999999999998</v>
      </c>
      <c r="BK30">
        <v>3.22</v>
      </c>
      <c r="BL30">
        <v>0.55500000000000005</v>
      </c>
      <c r="BM30">
        <v>0.35</v>
      </c>
      <c r="BN30">
        <v>6.9999999999999999E-4</v>
      </c>
      <c r="BP30">
        <v>0.03</v>
      </c>
      <c r="BQ30">
        <v>8.8000000000000007</v>
      </c>
      <c r="BR30">
        <v>6.5000000000000002E-2</v>
      </c>
      <c r="BS30">
        <v>0.3</v>
      </c>
      <c r="BT30">
        <v>8.0000000000000002E-3</v>
      </c>
      <c r="BU30">
        <v>1.38</v>
      </c>
      <c r="BV30">
        <v>6.0000000000000001E-3</v>
      </c>
      <c r="BW30">
        <v>0.54800000000000004</v>
      </c>
      <c r="BX30">
        <v>0.442</v>
      </c>
      <c r="BZ30">
        <v>4.3499999999999996</v>
      </c>
      <c r="CB30">
        <v>4.28</v>
      </c>
      <c r="CC30">
        <v>8.35</v>
      </c>
      <c r="CD30">
        <v>-0.16</v>
      </c>
      <c r="CE30">
        <v>-0.35</v>
      </c>
      <c r="CF30">
        <v>0.7</v>
      </c>
      <c r="CG30">
        <v>0.70384899999999995</v>
      </c>
      <c r="CH30">
        <v>0.51288199999999995</v>
      </c>
      <c r="CI30">
        <v>0.28306700000000001</v>
      </c>
      <c r="CJ30">
        <v>18.72</v>
      </c>
      <c r="CK30">
        <v>15.58</v>
      </c>
      <c r="CL30">
        <v>0.83289999999999997</v>
      </c>
      <c r="CM30">
        <v>38.42</v>
      </c>
      <c r="CN30">
        <v>2.0539999999999998</v>
      </c>
    </row>
    <row r="31" spans="1:98" x14ac:dyDescent="0.2">
      <c r="D31">
        <v>0.06</v>
      </c>
      <c r="E31">
        <v>0.08</v>
      </c>
      <c r="F31">
        <v>0.2</v>
      </c>
      <c r="G31">
        <v>0.6</v>
      </c>
      <c r="H31">
        <v>2.5000000000000001E-2</v>
      </c>
      <c r="I31">
        <v>4.0000000000000001E-3</v>
      </c>
      <c r="J31">
        <v>0.1</v>
      </c>
      <c r="K31">
        <v>0.09</v>
      </c>
      <c r="L31">
        <v>8.9999999999999993E-3</v>
      </c>
      <c r="M31">
        <v>0.1</v>
      </c>
      <c r="O31">
        <v>0.4</v>
      </c>
      <c r="P31">
        <v>0.14000000000000001</v>
      </c>
      <c r="Q31">
        <v>0.6</v>
      </c>
      <c r="V31">
        <v>1.6</v>
      </c>
      <c r="W31">
        <v>23</v>
      </c>
      <c r="X31">
        <v>23</v>
      </c>
      <c r="Y31">
        <v>3.5</v>
      </c>
      <c r="Z31">
        <v>9</v>
      </c>
      <c r="AA31">
        <v>10</v>
      </c>
      <c r="AB31">
        <v>14</v>
      </c>
      <c r="AC31">
        <v>2.1</v>
      </c>
      <c r="AD31">
        <v>1.1000000000000001</v>
      </c>
      <c r="AH31">
        <v>0.21</v>
      </c>
      <c r="AI31">
        <v>4</v>
      </c>
      <c r="AJ31">
        <v>0.7</v>
      </c>
      <c r="AK31">
        <v>3</v>
      </c>
      <c r="AL31">
        <v>0.22</v>
      </c>
      <c r="AM31">
        <v>2.2999999999999998</v>
      </c>
      <c r="AS31">
        <v>0.33</v>
      </c>
      <c r="AT31">
        <v>0.05</v>
      </c>
      <c r="AU31">
        <v>1.2E-2</v>
      </c>
      <c r="AV31">
        <v>2.2000000000000002</v>
      </c>
      <c r="AW31">
        <v>0.13</v>
      </c>
      <c r="AX31">
        <v>0.3</v>
      </c>
      <c r="AY31">
        <v>0.06</v>
      </c>
      <c r="AZ31">
        <v>0.2</v>
      </c>
      <c r="BA31">
        <v>7.0000000000000007E-2</v>
      </c>
      <c r="BB31">
        <v>0.02</v>
      </c>
      <c r="BC31">
        <v>0.23</v>
      </c>
      <c r="BD31">
        <v>2.1000000000000001E-2</v>
      </c>
      <c r="BE31">
        <v>7.0000000000000007E-2</v>
      </c>
      <c r="BF31">
        <v>1.7999999999999999E-2</v>
      </c>
      <c r="BG31">
        <v>0.05</v>
      </c>
      <c r="BH31">
        <v>7.0000000000000001E-3</v>
      </c>
      <c r="BI31">
        <v>0.04</v>
      </c>
      <c r="BJ31">
        <v>6.0000000000000001E-3</v>
      </c>
      <c r="BK31">
        <v>0.08</v>
      </c>
      <c r="BL31">
        <v>1.2999999999999999E-2</v>
      </c>
      <c r="BM31">
        <v>0.09</v>
      </c>
      <c r="BQ31">
        <v>8.8000000000000007</v>
      </c>
      <c r="BR31">
        <v>8.2000000000000003E-2</v>
      </c>
      <c r="BU31">
        <v>7.0000000000000007E-2</v>
      </c>
      <c r="BV31">
        <v>8.9999999999999993E-3</v>
      </c>
      <c r="BW31">
        <v>1.0999999999999999E-2</v>
      </c>
      <c r="BX31">
        <v>1.7999999999999999E-2</v>
      </c>
      <c r="CF31">
        <v>0.05</v>
      </c>
      <c r="CJ31">
        <v>0.04</v>
      </c>
      <c r="CK31">
        <v>0.1</v>
      </c>
      <c r="CL31">
        <v>2E-3</v>
      </c>
      <c r="CM31">
        <v>0.15</v>
      </c>
      <c r="CN31">
        <v>2E-3</v>
      </c>
    </row>
    <row r="32" spans="1:98" x14ac:dyDescent="0.2">
      <c r="D32" t="s">
        <v>120</v>
      </c>
      <c r="E32" t="s">
        <v>120</v>
      </c>
      <c r="F32" t="s">
        <v>120</v>
      </c>
      <c r="G32" t="s">
        <v>120</v>
      </c>
      <c r="H32" t="s">
        <v>120</v>
      </c>
      <c r="I32" t="s">
        <v>120</v>
      </c>
      <c r="J32" t="s">
        <v>120</v>
      </c>
      <c r="K32" t="s">
        <v>120</v>
      </c>
      <c r="L32" t="s">
        <v>120</v>
      </c>
      <c r="M32" t="s">
        <v>120</v>
      </c>
      <c r="O32" t="s">
        <v>120</v>
      </c>
      <c r="P32" t="s">
        <v>120</v>
      </c>
      <c r="Q32" t="s">
        <v>120</v>
      </c>
      <c r="V32" t="s">
        <v>120</v>
      </c>
      <c r="W32" t="s">
        <v>120</v>
      </c>
      <c r="X32" t="s">
        <v>120</v>
      </c>
      <c r="Y32" t="s">
        <v>120</v>
      </c>
      <c r="Z32" t="s">
        <v>120</v>
      </c>
      <c r="AA32" t="s">
        <v>120</v>
      </c>
      <c r="AB32" t="s">
        <v>120</v>
      </c>
      <c r="AC32" t="s">
        <v>120</v>
      </c>
      <c r="AD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120</v>
      </c>
      <c r="BD32" t="s">
        <v>120</v>
      </c>
      <c r="BE32" t="s">
        <v>120</v>
      </c>
      <c r="BF32" t="s">
        <v>120</v>
      </c>
      <c r="BG32" t="s">
        <v>120</v>
      </c>
      <c r="BH32" t="s">
        <v>120</v>
      </c>
      <c r="BI32" t="s">
        <v>120</v>
      </c>
      <c r="BJ32" t="s">
        <v>120</v>
      </c>
      <c r="BK32" t="s">
        <v>120</v>
      </c>
      <c r="BL32" t="s">
        <v>120</v>
      </c>
      <c r="BM32" t="s">
        <v>120</v>
      </c>
      <c r="BQ32" t="s">
        <v>120</v>
      </c>
      <c r="BR32" t="s">
        <v>120</v>
      </c>
      <c r="BU32" t="s">
        <v>120</v>
      </c>
      <c r="BV32" t="s">
        <v>120</v>
      </c>
      <c r="BW32" t="s">
        <v>120</v>
      </c>
      <c r="BX32" t="s">
        <v>120</v>
      </c>
      <c r="CF32" t="s">
        <v>120</v>
      </c>
      <c r="CJ32" t="s">
        <v>120</v>
      </c>
      <c r="CK32" t="s">
        <v>120</v>
      </c>
      <c r="CL32" t="s">
        <v>120</v>
      </c>
      <c r="CM32" t="s">
        <v>120</v>
      </c>
      <c r="CN32" t="s">
        <v>120</v>
      </c>
    </row>
    <row r="33" spans="1:98" x14ac:dyDescent="0.2">
      <c r="B33" t="s">
        <v>129</v>
      </c>
      <c r="C33" t="s">
        <v>129</v>
      </c>
      <c r="D33" t="s">
        <v>130</v>
      </c>
      <c r="E33" t="s">
        <v>130</v>
      </c>
      <c r="F33" t="s">
        <v>130</v>
      </c>
      <c r="G33" t="s">
        <v>130</v>
      </c>
      <c r="H33" t="s">
        <v>130</v>
      </c>
      <c r="I33" t="s">
        <v>130</v>
      </c>
      <c r="J33" t="s">
        <v>130</v>
      </c>
      <c r="K33" t="s">
        <v>130</v>
      </c>
      <c r="L33" t="s">
        <v>130</v>
      </c>
      <c r="M33" t="s">
        <v>130</v>
      </c>
      <c r="O33" t="s">
        <v>130</v>
      </c>
      <c r="P33" t="s">
        <v>129</v>
      </c>
      <c r="Q33" t="s">
        <v>129</v>
      </c>
      <c r="R33" t="s">
        <v>129</v>
      </c>
      <c r="S33" t="s">
        <v>129</v>
      </c>
      <c r="T33" t="s">
        <v>129</v>
      </c>
      <c r="U33" t="s">
        <v>129</v>
      </c>
      <c r="V33" t="s">
        <v>130</v>
      </c>
      <c r="W33" t="s">
        <v>130</v>
      </c>
      <c r="X33" t="s">
        <v>130</v>
      </c>
      <c r="Y33" t="s">
        <v>130</v>
      </c>
      <c r="Z33" t="s">
        <v>130</v>
      </c>
      <c r="AA33" t="s">
        <v>130</v>
      </c>
      <c r="AB33" t="s">
        <v>130</v>
      </c>
      <c r="AC33" t="s">
        <v>130</v>
      </c>
      <c r="AD33" t="s">
        <v>129</v>
      </c>
      <c r="AE33" t="s">
        <v>129</v>
      </c>
      <c r="AF33" t="s">
        <v>129</v>
      </c>
      <c r="AG33" t="s">
        <v>129</v>
      </c>
      <c r="AH33" t="s">
        <v>130</v>
      </c>
      <c r="AI33" t="s">
        <v>130</v>
      </c>
      <c r="AJ33" t="s">
        <v>130</v>
      </c>
      <c r="AK33" t="s">
        <v>130</v>
      </c>
      <c r="AL33" t="s">
        <v>130</v>
      </c>
      <c r="AM33" t="s">
        <v>130</v>
      </c>
      <c r="AP33" t="s">
        <v>129</v>
      </c>
      <c r="AQ33" t="s">
        <v>129</v>
      </c>
      <c r="AR33" t="s">
        <v>129</v>
      </c>
      <c r="AS33" t="s">
        <v>130</v>
      </c>
      <c r="AT33" t="s">
        <v>129</v>
      </c>
      <c r="AU33" t="s">
        <v>130</v>
      </c>
      <c r="AV33" t="s">
        <v>130</v>
      </c>
      <c r="AW33" t="s">
        <v>130</v>
      </c>
      <c r="AX33" t="s">
        <v>130</v>
      </c>
      <c r="AY33" t="s">
        <v>130</v>
      </c>
      <c r="AZ33" t="s">
        <v>130</v>
      </c>
      <c r="BA33" t="s">
        <v>130</v>
      </c>
      <c r="BB33" t="s">
        <v>130</v>
      </c>
      <c r="BC33" t="s">
        <v>130</v>
      </c>
      <c r="BD33" t="s">
        <v>130</v>
      </c>
      <c r="BE33" t="s">
        <v>130</v>
      </c>
      <c r="BF33" t="s">
        <v>130</v>
      </c>
      <c r="BG33" t="s">
        <v>130</v>
      </c>
      <c r="BH33" t="s">
        <v>130</v>
      </c>
      <c r="BI33" t="s">
        <v>130</v>
      </c>
      <c r="BJ33" t="s">
        <v>130</v>
      </c>
      <c r="BK33" t="s">
        <v>130</v>
      </c>
      <c r="BL33" t="s">
        <v>130</v>
      </c>
      <c r="BM33" t="s">
        <v>129</v>
      </c>
      <c r="BN33" t="s">
        <v>129</v>
      </c>
      <c r="BP33" t="s">
        <v>129</v>
      </c>
      <c r="BQ33" t="s">
        <v>130</v>
      </c>
      <c r="BR33" t="s">
        <v>129</v>
      </c>
      <c r="BS33" t="s">
        <v>129</v>
      </c>
      <c r="BT33" t="s">
        <v>129</v>
      </c>
      <c r="BU33" t="s">
        <v>130</v>
      </c>
      <c r="BV33" t="s">
        <v>129</v>
      </c>
      <c r="BW33" t="s">
        <v>130</v>
      </c>
      <c r="BX33" t="s">
        <v>130</v>
      </c>
      <c r="BZ33" t="s">
        <v>129</v>
      </c>
      <c r="CB33" t="s">
        <v>129</v>
      </c>
      <c r="CC33" t="s">
        <v>129</v>
      </c>
      <c r="CD33" t="s">
        <v>129</v>
      </c>
      <c r="CE33" t="s">
        <v>129</v>
      </c>
      <c r="CF33" t="s">
        <v>129</v>
      </c>
      <c r="CG33" t="s">
        <v>129</v>
      </c>
      <c r="CH33" t="s">
        <v>129</v>
      </c>
      <c r="CI33" t="s">
        <v>129</v>
      </c>
      <c r="CJ33" t="s">
        <v>133</v>
      </c>
      <c r="CK33" t="s">
        <v>133</v>
      </c>
      <c r="CL33" t="s">
        <v>133</v>
      </c>
      <c r="CM33" t="s">
        <v>133</v>
      </c>
      <c r="CN33" t="s">
        <v>133</v>
      </c>
    </row>
    <row r="36" spans="1:98" x14ac:dyDescent="0.2">
      <c r="A36" s="10" t="s">
        <v>171</v>
      </c>
      <c r="B36">
        <v>2.5000000000000001E-2</v>
      </c>
      <c r="C36">
        <v>4.4000000000000002E-4</v>
      </c>
      <c r="D36">
        <v>4.4400000000000004</v>
      </c>
      <c r="E36">
        <v>1.97</v>
      </c>
      <c r="F36">
        <v>17.8</v>
      </c>
      <c r="G36">
        <v>63.7</v>
      </c>
      <c r="H36">
        <v>0.16400000000000001</v>
      </c>
      <c r="I36">
        <v>1.29</v>
      </c>
      <c r="J36">
        <v>5.28</v>
      </c>
      <c r="K36">
        <v>0.70299999999999996</v>
      </c>
      <c r="L36">
        <v>7.5999999999999998E-2</v>
      </c>
      <c r="M36">
        <v>4.37</v>
      </c>
      <c r="O36">
        <v>20.7</v>
      </c>
      <c r="P36">
        <v>1.2</v>
      </c>
      <c r="Q36">
        <v>11.8</v>
      </c>
      <c r="R36">
        <v>479000</v>
      </c>
      <c r="S36">
        <v>320</v>
      </c>
      <c r="T36">
        <v>2.7</v>
      </c>
      <c r="U36">
        <v>231</v>
      </c>
      <c r="V36">
        <v>11.5</v>
      </c>
      <c r="W36">
        <v>90.3</v>
      </c>
      <c r="X36">
        <v>16.899999999999999</v>
      </c>
      <c r="Y36">
        <v>13.2</v>
      </c>
      <c r="Z36">
        <v>23.7</v>
      </c>
      <c r="AA36">
        <v>41.5</v>
      </c>
      <c r="AB36">
        <v>67</v>
      </c>
      <c r="AC36">
        <v>20.9</v>
      </c>
      <c r="AD36">
        <v>1.1000000000000001</v>
      </c>
      <c r="AE36">
        <v>2.73</v>
      </c>
      <c r="AF36">
        <v>0.04</v>
      </c>
      <c r="AG36">
        <v>0.8</v>
      </c>
      <c r="AH36">
        <v>30.7</v>
      </c>
      <c r="AI36">
        <v>482</v>
      </c>
      <c r="AJ36">
        <v>11.4</v>
      </c>
      <c r="AK36">
        <v>118</v>
      </c>
      <c r="AL36">
        <v>6.94</v>
      </c>
      <c r="AM36">
        <v>2</v>
      </c>
      <c r="AO36">
        <v>6</v>
      </c>
      <c r="AP36">
        <v>0.02</v>
      </c>
      <c r="AQ36">
        <v>0.1</v>
      </c>
      <c r="AR36">
        <v>0.5</v>
      </c>
      <c r="AS36">
        <v>1.1000000000000001</v>
      </c>
      <c r="AT36">
        <v>0.2</v>
      </c>
      <c r="AU36">
        <v>1.75</v>
      </c>
      <c r="AV36">
        <v>298</v>
      </c>
      <c r="AW36">
        <v>12</v>
      </c>
      <c r="AX36">
        <v>26.1</v>
      </c>
      <c r="AY36">
        <v>3.2</v>
      </c>
      <c r="AZ36">
        <v>13</v>
      </c>
      <c r="BA36">
        <v>2.78</v>
      </c>
      <c r="BB36">
        <v>0.95299999999999996</v>
      </c>
      <c r="BC36">
        <v>2.59</v>
      </c>
      <c r="BD36">
        <v>0.371</v>
      </c>
      <c r="BE36">
        <v>2.2200000000000002</v>
      </c>
      <c r="BF36">
        <v>0.42</v>
      </c>
      <c r="BG36">
        <v>1.18</v>
      </c>
      <c r="BH36">
        <v>0.17199999999999999</v>
      </c>
      <c r="BI36">
        <v>1.1299999999999999</v>
      </c>
      <c r="BJ36">
        <v>0.16800000000000001</v>
      </c>
      <c r="BK36">
        <v>3.07</v>
      </c>
      <c r="BL36">
        <v>0.42</v>
      </c>
      <c r="BM36">
        <v>0.47</v>
      </c>
      <c r="BN36">
        <v>8.9999999999999998E-4</v>
      </c>
      <c r="BO36">
        <v>1</v>
      </c>
      <c r="BP36">
        <v>0.02</v>
      </c>
      <c r="BQ36">
        <v>1</v>
      </c>
      <c r="BR36">
        <v>4.8000000000000001E-2</v>
      </c>
      <c r="BS36">
        <v>0.2</v>
      </c>
      <c r="BT36">
        <v>0.11</v>
      </c>
      <c r="BU36">
        <v>10.3</v>
      </c>
      <c r="BV36">
        <v>0.11</v>
      </c>
      <c r="BW36">
        <v>2.2799999999999998</v>
      </c>
      <c r="BX36">
        <v>1.01</v>
      </c>
      <c r="BY36">
        <v>-95</v>
      </c>
      <c r="BZ36">
        <v>3.6</v>
      </c>
      <c r="CA36">
        <v>-4.7</v>
      </c>
      <c r="CB36">
        <v>3.21</v>
      </c>
      <c r="CC36">
        <v>6.12</v>
      </c>
      <c r="CD36">
        <v>-0.1</v>
      </c>
      <c r="CE36">
        <v>-0.17</v>
      </c>
      <c r="CF36">
        <v>0.75</v>
      </c>
      <c r="CG36">
        <v>0.703538</v>
      </c>
      <c r="CH36">
        <v>0.51290999999999998</v>
      </c>
      <c r="CJ36">
        <v>18.902000000000001</v>
      </c>
      <c r="CK36">
        <v>15.618</v>
      </c>
      <c r="CL36">
        <v>0.82643999999999995</v>
      </c>
      <c r="CM36">
        <v>38.520000000000003</v>
      </c>
      <c r="CN36">
        <v>2.0379999999999998</v>
      </c>
    </row>
    <row r="37" spans="1:98" x14ac:dyDescent="0.2">
      <c r="D37">
        <v>0.14000000000000001</v>
      </c>
      <c r="E37">
        <v>0.04</v>
      </c>
      <c r="F37">
        <v>0.2</v>
      </c>
      <c r="G37">
        <v>0.5</v>
      </c>
      <c r="H37">
        <v>1.7999999999999999E-2</v>
      </c>
      <c r="I37">
        <v>0.02</v>
      </c>
      <c r="J37">
        <v>0.09</v>
      </c>
      <c r="K37">
        <v>2.1000000000000001E-2</v>
      </c>
      <c r="L37">
        <v>4.0000000000000001E-3</v>
      </c>
      <c r="M37">
        <v>7.0000000000000007E-2</v>
      </c>
      <c r="O37">
        <v>2.2999999999999998</v>
      </c>
      <c r="P37">
        <v>0.1</v>
      </c>
      <c r="Q37">
        <v>1.3</v>
      </c>
      <c r="U37">
        <v>50</v>
      </c>
      <c r="V37">
        <v>0.8</v>
      </c>
      <c r="W37">
        <v>6.7</v>
      </c>
      <c r="X37">
        <v>3.3</v>
      </c>
      <c r="Y37">
        <v>1.1000000000000001</v>
      </c>
      <c r="Z37">
        <v>3.8</v>
      </c>
      <c r="AA37">
        <v>8.3000000000000007</v>
      </c>
      <c r="AB37">
        <v>7</v>
      </c>
      <c r="AC37">
        <v>2.7</v>
      </c>
      <c r="AD37">
        <v>0.7</v>
      </c>
      <c r="AE37">
        <v>0.48</v>
      </c>
      <c r="AG37">
        <v>0.3</v>
      </c>
      <c r="AH37">
        <v>1.7</v>
      </c>
      <c r="AI37">
        <v>8</v>
      </c>
      <c r="AJ37">
        <v>0.4</v>
      </c>
      <c r="AK37">
        <v>3</v>
      </c>
      <c r="AL37">
        <v>0.25</v>
      </c>
      <c r="AM37">
        <v>0.6</v>
      </c>
      <c r="AS37">
        <v>0.2</v>
      </c>
      <c r="AT37">
        <v>7.0000000000000007E-2</v>
      </c>
      <c r="AU37">
        <v>0.11</v>
      </c>
      <c r="AV37">
        <v>9</v>
      </c>
      <c r="AW37">
        <v>0.3</v>
      </c>
      <c r="AX37">
        <v>0.7</v>
      </c>
      <c r="AY37">
        <v>0.06</v>
      </c>
      <c r="AZ37">
        <v>0.3</v>
      </c>
      <c r="BA37">
        <v>0.05</v>
      </c>
      <c r="BB37">
        <v>2.1999999999999999E-2</v>
      </c>
      <c r="BC37">
        <v>0.09</v>
      </c>
      <c r="BD37">
        <v>1.0999999999999999E-2</v>
      </c>
      <c r="BE37">
        <v>0.06</v>
      </c>
      <c r="BF37">
        <v>1.0999999999999999E-2</v>
      </c>
      <c r="BG37">
        <v>0.04</v>
      </c>
      <c r="BH37">
        <v>7.0000000000000001E-3</v>
      </c>
      <c r="BI37">
        <v>0.03</v>
      </c>
      <c r="BJ37">
        <v>6.0000000000000001E-3</v>
      </c>
      <c r="BK37">
        <v>0.09</v>
      </c>
      <c r="BL37">
        <v>1.4999999999999999E-2</v>
      </c>
      <c r="BM37">
        <v>0.18</v>
      </c>
      <c r="BN37">
        <v>1.6999999999999999E-3</v>
      </c>
      <c r="BR37">
        <v>3.2000000000000001E-2</v>
      </c>
      <c r="BU37">
        <v>0.9</v>
      </c>
      <c r="BV37">
        <v>7.0000000000000007E-2</v>
      </c>
      <c r="BW37">
        <v>7.0000000000000007E-2</v>
      </c>
      <c r="BX37">
        <v>0.04</v>
      </c>
      <c r="CA37">
        <v>0.4</v>
      </c>
      <c r="CG37">
        <v>3.8000000000000002E-5</v>
      </c>
      <c r="CH37">
        <v>1.1E-4</v>
      </c>
      <c r="CJ37">
        <v>4.0000000000000001E-3</v>
      </c>
      <c r="CK37">
        <v>2.1999999999999999E-2</v>
      </c>
      <c r="CL37">
        <v>9.6000000000000002E-4</v>
      </c>
      <c r="CM37">
        <v>0.08</v>
      </c>
      <c r="CN37">
        <v>3.0999999999999999E-3</v>
      </c>
    </row>
    <row r="38" spans="1:98" x14ac:dyDescent="0.2">
      <c r="D38" t="s">
        <v>120</v>
      </c>
      <c r="E38" t="s">
        <v>120</v>
      </c>
      <c r="F38" t="s">
        <v>120</v>
      </c>
      <c r="G38" t="s">
        <v>120</v>
      </c>
      <c r="H38" t="s">
        <v>120</v>
      </c>
      <c r="I38" t="s">
        <v>120</v>
      </c>
      <c r="J38" t="s">
        <v>120</v>
      </c>
      <c r="K38" t="s">
        <v>120</v>
      </c>
      <c r="L38" t="s">
        <v>120</v>
      </c>
      <c r="M38" t="s">
        <v>120</v>
      </c>
      <c r="O38" t="s">
        <v>120</v>
      </c>
      <c r="P38" t="s">
        <v>120</v>
      </c>
      <c r="Q38" t="s">
        <v>120</v>
      </c>
      <c r="U38" t="s">
        <v>120</v>
      </c>
      <c r="V38" t="s">
        <v>120</v>
      </c>
      <c r="W38" t="s">
        <v>120</v>
      </c>
      <c r="X38" t="s">
        <v>120</v>
      </c>
      <c r="Y38" t="s">
        <v>120</v>
      </c>
      <c r="Z38" t="s">
        <v>120</v>
      </c>
      <c r="AA38" t="s">
        <v>120</v>
      </c>
      <c r="AB38" t="s">
        <v>120</v>
      </c>
      <c r="AC38" t="s">
        <v>120</v>
      </c>
      <c r="AD38" t="s">
        <v>120</v>
      </c>
      <c r="AE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120</v>
      </c>
      <c r="BD38" t="s">
        <v>120</v>
      </c>
      <c r="BE38" t="s">
        <v>120</v>
      </c>
      <c r="BF38" t="s">
        <v>120</v>
      </c>
      <c r="BG38" t="s">
        <v>120</v>
      </c>
      <c r="BH38" t="s">
        <v>120</v>
      </c>
      <c r="BI38" t="s">
        <v>120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R38" t="s">
        <v>120</v>
      </c>
      <c r="BU38" t="s">
        <v>120</v>
      </c>
      <c r="BV38" t="s">
        <v>120</v>
      </c>
      <c r="BW38" t="s">
        <v>120</v>
      </c>
      <c r="BX38" t="s">
        <v>120</v>
      </c>
      <c r="CA38" t="s">
        <v>120</v>
      </c>
      <c r="CG38" t="s">
        <v>120</v>
      </c>
      <c r="CH38" t="s">
        <v>120</v>
      </c>
      <c r="CJ38" t="s">
        <v>120</v>
      </c>
      <c r="CK38" t="s">
        <v>120</v>
      </c>
      <c r="CL38" t="s">
        <v>120</v>
      </c>
      <c r="CM38" t="s">
        <v>120</v>
      </c>
      <c r="CN38" t="s">
        <v>120</v>
      </c>
    </row>
    <row r="39" spans="1:98" x14ac:dyDescent="0.2">
      <c r="B39" t="s">
        <v>129</v>
      </c>
      <c r="C39" t="s">
        <v>129</v>
      </c>
      <c r="D39" t="s">
        <v>130</v>
      </c>
      <c r="E39" t="s">
        <v>130</v>
      </c>
      <c r="F39" t="s">
        <v>130</v>
      </c>
      <c r="G39" t="s">
        <v>130</v>
      </c>
      <c r="H39" t="s">
        <v>130</v>
      </c>
      <c r="I39" t="s">
        <v>130</v>
      </c>
      <c r="J39" t="s">
        <v>130</v>
      </c>
      <c r="K39" t="s">
        <v>130</v>
      </c>
      <c r="L39" t="s">
        <v>130</v>
      </c>
      <c r="M39" t="s">
        <v>130</v>
      </c>
      <c r="O39" t="s">
        <v>130</v>
      </c>
      <c r="P39" t="s">
        <v>129</v>
      </c>
      <c r="Q39" t="s">
        <v>130</v>
      </c>
      <c r="R39" t="s">
        <v>129</v>
      </c>
      <c r="S39" t="s">
        <v>129</v>
      </c>
      <c r="T39" t="s">
        <v>129</v>
      </c>
      <c r="U39" t="s">
        <v>130</v>
      </c>
      <c r="V39" t="s">
        <v>130</v>
      </c>
      <c r="W39" t="s">
        <v>130</v>
      </c>
      <c r="X39" t="s">
        <v>130</v>
      </c>
      <c r="Y39" t="s">
        <v>130</v>
      </c>
      <c r="Z39" t="s">
        <v>130</v>
      </c>
      <c r="AA39" t="s">
        <v>130</v>
      </c>
      <c r="AB39" t="s">
        <v>130</v>
      </c>
      <c r="AC39" t="s">
        <v>130</v>
      </c>
      <c r="AD39" t="s">
        <v>130</v>
      </c>
      <c r="AE39" t="s">
        <v>130</v>
      </c>
      <c r="AF39" t="s">
        <v>129</v>
      </c>
      <c r="AG39" t="s">
        <v>129</v>
      </c>
      <c r="AH39" t="s">
        <v>130</v>
      </c>
      <c r="AI39" t="s">
        <v>130</v>
      </c>
      <c r="AJ39" t="s">
        <v>130</v>
      </c>
      <c r="AK39" t="s">
        <v>130</v>
      </c>
      <c r="AL39" t="s">
        <v>130</v>
      </c>
      <c r="AM39" t="s">
        <v>130</v>
      </c>
      <c r="AO39" t="s">
        <v>129</v>
      </c>
      <c r="AP39" t="s">
        <v>129</v>
      </c>
      <c r="AQ39" t="s">
        <v>129</v>
      </c>
      <c r="AR39" t="s">
        <v>129</v>
      </c>
      <c r="AS39" t="s">
        <v>130</v>
      </c>
      <c r="AT39" t="s">
        <v>130</v>
      </c>
      <c r="AU39" t="s">
        <v>130</v>
      </c>
      <c r="AV39" t="s">
        <v>130</v>
      </c>
      <c r="AW39" t="s">
        <v>130</v>
      </c>
      <c r="AX39" t="s">
        <v>130</v>
      </c>
      <c r="AY39" t="s">
        <v>130</v>
      </c>
      <c r="AZ39" t="s">
        <v>130</v>
      </c>
      <c r="BA39" t="s">
        <v>130</v>
      </c>
      <c r="BB39" t="s">
        <v>130</v>
      </c>
      <c r="BC39" t="s">
        <v>130</v>
      </c>
      <c r="BD39" t="s">
        <v>130</v>
      </c>
      <c r="BE39" t="s">
        <v>130</v>
      </c>
      <c r="BF39" t="s">
        <v>130</v>
      </c>
      <c r="BG39" t="s">
        <v>130</v>
      </c>
      <c r="BH39" t="s">
        <v>130</v>
      </c>
      <c r="BI39" t="s">
        <v>130</v>
      </c>
      <c r="BJ39" t="s">
        <v>130</v>
      </c>
      <c r="BK39" t="s">
        <v>130</v>
      </c>
      <c r="BL39" t="s">
        <v>130</v>
      </c>
      <c r="BM39" t="s">
        <v>129</v>
      </c>
      <c r="BN39" t="s">
        <v>129</v>
      </c>
      <c r="BO39" t="s">
        <v>129</v>
      </c>
      <c r="BP39" t="s">
        <v>129</v>
      </c>
      <c r="BQ39" t="s">
        <v>129</v>
      </c>
      <c r="BR39" t="s">
        <v>129</v>
      </c>
      <c r="BS39" t="s">
        <v>129</v>
      </c>
      <c r="BT39" t="s">
        <v>129</v>
      </c>
      <c r="BU39" t="s">
        <v>130</v>
      </c>
      <c r="BV39" t="s">
        <v>129</v>
      </c>
      <c r="BW39" t="s">
        <v>130</v>
      </c>
      <c r="BX39" t="s">
        <v>130</v>
      </c>
      <c r="BY39" t="s">
        <v>129</v>
      </c>
      <c r="BZ39" t="s">
        <v>129</v>
      </c>
      <c r="CA39" t="s">
        <v>133</v>
      </c>
      <c r="CB39" t="s">
        <v>129</v>
      </c>
      <c r="CC39" t="s">
        <v>129</v>
      </c>
      <c r="CD39" t="s">
        <v>129</v>
      </c>
      <c r="CE39" t="s">
        <v>129</v>
      </c>
      <c r="CF39" t="s">
        <v>129</v>
      </c>
      <c r="CG39" t="s">
        <v>129</v>
      </c>
      <c r="CH39" t="s">
        <v>129</v>
      </c>
      <c r="CJ39" t="s">
        <v>133</v>
      </c>
      <c r="CK39" t="s">
        <v>133</v>
      </c>
      <c r="CL39" t="s">
        <v>133</v>
      </c>
      <c r="CM39" t="s">
        <v>133</v>
      </c>
      <c r="CN39" t="s">
        <v>133</v>
      </c>
    </row>
    <row r="41" spans="1:98" x14ac:dyDescent="0.2">
      <c r="A41" s="10" t="s">
        <v>172</v>
      </c>
      <c r="B41">
        <v>2.5999999999999999E-2</v>
      </c>
      <c r="C41">
        <v>6.3000000000000003E-4</v>
      </c>
      <c r="D41">
        <v>3.13</v>
      </c>
      <c r="E41">
        <v>3.75</v>
      </c>
      <c r="F41">
        <v>17.100000000000001</v>
      </c>
      <c r="G41">
        <v>58.6</v>
      </c>
      <c r="H41">
        <v>0.16800000000000001</v>
      </c>
      <c r="I41">
        <v>1.96</v>
      </c>
      <c r="J41">
        <v>7.1</v>
      </c>
      <c r="K41">
        <v>0.755</v>
      </c>
      <c r="L41">
        <v>0.127</v>
      </c>
      <c r="M41">
        <v>6.44</v>
      </c>
      <c r="O41">
        <v>19.899999999999999</v>
      </c>
      <c r="P41">
        <v>2</v>
      </c>
      <c r="Q41">
        <v>4.0999999999999996</v>
      </c>
      <c r="R41">
        <v>464000</v>
      </c>
      <c r="S41">
        <v>321</v>
      </c>
      <c r="T41">
        <v>2.6</v>
      </c>
      <c r="U41">
        <v>113</v>
      </c>
      <c r="V41">
        <v>26.9</v>
      </c>
      <c r="W41">
        <v>190</v>
      </c>
      <c r="X41">
        <v>20.9</v>
      </c>
      <c r="Y41">
        <v>18.899999999999999</v>
      </c>
      <c r="Z41">
        <v>10.6</v>
      </c>
      <c r="AA41">
        <v>18.8</v>
      </c>
      <c r="AB41">
        <v>74</v>
      </c>
      <c r="AC41">
        <v>19.399999999999999</v>
      </c>
      <c r="AD41">
        <v>1.8</v>
      </c>
      <c r="AE41">
        <v>0.96</v>
      </c>
      <c r="AF41">
        <v>0.05</v>
      </c>
      <c r="AG41">
        <v>0.3</v>
      </c>
      <c r="AH41">
        <v>79.7</v>
      </c>
      <c r="AI41">
        <v>284</v>
      </c>
      <c r="AJ41">
        <v>23.9</v>
      </c>
      <c r="AK41">
        <v>144</v>
      </c>
      <c r="AL41">
        <v>8.8699999999999992</v>
      </c>
      <c r="AM41">
        <v>4.2</v>
      </c>
      <c r="AP41">
        <v>0.1</v>
      </c>
      <c r="AQ41">
        <v>0.2</v>
      </c>
      <c r="AR41">
        <v>0.3</v>
      </c>
      <c r="AS41">
        <v>2</v>
      </c>
      <c r="AT41">
        <v>0.25</v>
      </c>
      <c r="AU41">
        <v>2.69</v>
      </c>
      <c r="AV41">
        <v>388</v>
      </c>
      <c r="AW41">
        <v>70.400000000000006</v>
      </c>
      <c r="AX41">
        <v>127</v>
      </c>
      <c r="AY41">
        <v>12.4</v>
      </c>
      <c r="AZ41">
        <v>41.4</v>
      </c>
      <c r="BA41">
        <v>6.57</v>
      </c>
      <c r="BB41">
        <v>1.21</v>
      </c>
      <c r="BC41">
        <v>5.31</v>
      </c>
      <c r="BD41">
        <v>0.77300000000000002</v>
      </c>
      <c r="BE41">
        <v>4.5</v>
      </c>
      <c r="BF41">
        <v>0.86</v>
      </c>
      <c r="BG41">
        <v>2.4900000000000002</v>
      </c>
      <c r="BH41">
        <v>0.35399999999999998</v>
      </c>
      <c r="BI41">
        <v>2.38</v>
      </c>
      <c r="BJ41">
        <v>0.35399999999999998</v>
      </c>
      <c r="BK41">
        <v>3.88</v>
      </c>
      <c r="BL41">
        <v>0.46400000000000002</v>
      </c>
      <c r="BM41">
        <v>0.69</v>
      </c>
      <c r="BN41">
        <v>1.8E-3</v>
      </c>
      <c r="BP41">
        <v>0.2</v>
      </c>
      <c r="BQ41">
        <v>6</v>
      </c>
      <c r="BR41">
        <v>0.1</v>
      </c>
      <c r="BS41">
        <v>0.3</v>
      </c>
      <c r="BT41">
        <v>0.13</v>
      </c>
      <c r="BU41">
        <v>11.6</v>
      </c>
      <c r="BV41">
        <v>0.1</v>
      </c>
      <c r="BW41">
        <v>31.3</v>
      </c>
      <c r="BX41">
        <v>1.71</v>
      </c>
      <c r="BY41">
        <v>-117</v>
      </c>
      <c r="BZ41">
        <v>2.1</v>
      </c>
      <c r="CB41">
        <v>3.89</v>
      </c>
      <c r="CC41">
        <v>7.53</v>
      </c>
      <c r="CD41">
        <v>-0.13</v>
      </c>
      <c r="CE41">
        <v>-0.23</v>
      </c>
      <c r="CF41">
        <v>0.8</v>
      </c>
      <c r="CG41">
        <v>0.71013700000000002</v>
      </c>
      <c r="CH41">
        <v>0.51233300000000004</v>
      </c>
      <c r="CJ41">
        <v>18.731000000000002</v>
      </c>
      <c r="CK41">
        <v>15.678000000000001</v>
      </c>
      <c r="CL41">
        <v>0.83740000000000003</v>
      </c>
      <c r="CM41">
        <v>38.976999999999997</v>
      </c>
      <c r="CN41">
        <v>2.0811000000000002</v>
      </c>
      <c r="CO41">
        <v>9.9000000000000005E-7</v>
      </c>
      <c r="CP41">
        <v>0.184</v>
      </c>
      <c r="CQ41">
        <v>1.8660000000000001E-5</v>
      </c>
      <c r="CR41">
        <v>1.1020000000000001</v>
      </c>
      <c r="CS41">
        <v>5.4969999999999997E-5</v>
      </c>
      <c r="CT41">
        <v>1.0009999999999999</v>
      </c>
    </row>
    <row r="42" spans="1:98" x14ac:dyDescent="0.2">
      <c r="D42">
        <v>0.09</v>
      </c>
      <c r="E42">
        <v>0.04</v>
      </c>
      <c r="F42">
        <v>0.2</v>
      </c>
      <c r="G42">
        <v>0.4</v>
      </c>
      <c r="H42">
        <v>2.5999999999999999E-2</v>
      </c>
      <c r="I42">
        <v>0.04</v>
      </c>
      <c r="J42">
        <v>0.09</v>
      </c>
      <c r="K42">
        <v>1.7000000000000001E-2</v>
      </c>
      <c r="L42">
        <v>6.0000000000000001E-3</v>
      </c>
      <c r="M42">
        <v>0.06</v>
      </c>
      <c r="O42">
        <v>0.9</v>
      </c>
      <c r="P42">
        <v>0.6</v>
      </c>
      <c r="Q42">
        <v>1.1000000000000001</v>
      </c>
      <c r="U42">
        <v>37</v>
      </c>
      <c r="V42">
        <v>1.1000000000000001</v>
      </c>
      <c r="W42">
        <v>11</v>
      </c>
      <c r="X42">
        <v>2</v>
      </c>
      <c r="Y42">
        <v>0.8</v>
      </c>
      <c r="Z42">
        <v>1.3</v>
      </c>
      <c r="AA42">
        <v>2</v>
      </c>
      <c r="AB42">
        <v>10</v>
      </c>
      <c r="AC42">
        <v>0.9</v>
      </c>
      <c r="AD42">
        <v>1.5</v>
      </c>
      <c r="AE42">
        <v>0.44</v>
      </c>
      <c r="AH42">
        <v>3.5</v>
      </c>
      <c r="AI42">
        <v>6</v>
      </c>
      <c r="AJ42">
        <v>0.8</v>
      </c>
      <c r="AK42">
        <v>4</v>
      </c>
      <c r="AL42">
        <v>0.43</v>
      </c>
      <c r="AM42">
        <v>1.8</v>
      </c>
      <c r="AR42">
        <v>0.4</v>
      </c>
      <c r="AS42">
        <v>0.5</v>
      </c>
      <c r="AT42">
        <v>0.05</v>
      </c>
      <c r="AU42">
        <v>0.19</v>
      </c>
      <c r="AV42">
        <v>12</v>
      </c>
      <c r="AW42">
        <v>2.4</v>
      </c>
      <c r="AX42">
        <v>4</v>
      </c>
      <c r="AY42">
        <v>0.4</v>
      </c>
      <c r="AZ42">
        <v>1.2</v>
      </c>
      <c r="BA42">
        <v>0.14000000000000001</v>
      </c>
      <c r="BB42">
        <v>0.04</v>
      </c>
      <c r="BC42">
        <v>0.28999999999999998</v>
      </c>
      <c r="BD42">
        <v>2.9000000000000001E-2</v>
      </c>
      <c r="BE42">
        <v>0.12</v>
      </c>
      <c r="BF42">
        <v>3.1E-2</v>
      </c>
      <c r="BG42">
        <v>0.08</v>
      </c>
      <c r="BH42">
        <v>1.4999999999999999E-2</v>
      </c>
      <c r="BI42">
        <v>0.08</v>
      </c>
      <c r="BJ42">
        <v>1.2E-2</v>
      </c>
      <c r="BK42">
        <v>0.15</v>
      </c>
      <c r="BL42">
        <v>2.1000000000000001E-2</v>
      </c>
      <c r="BM42">
        <v>0.12</v>
      </c>
      <c r="BN42">
        <v>2E-3</v>
      </c>
      <c r="BR42">
        <v>0.11</v>
      </c>
      <c r="BT42">
        <v>0.08</v>
      </c>
      <c r="BU42">
        <v>1.5</v>
      </c>
      <c r="BV42">
        <v>0.05</v>
      </c>
      <c r="BW42">
        <v>1</v>
      </c>
      <c r="BX42">
        <v>0.1</v>
      </c>
      <c r="CJ42">
        <v>6.0000000000000001E-3</v>
      </c>
      <c r="CK42">
        <v>2.3E-2</v>
      </c>
      <c r="CL42">
        <v>7.2000000000000005E-4</v>
      </c>
      <c r="CM42">
        <v>1.2E-2</v>
      </c>
      <c r="CN42">
        <v>2.0000000000000001E-4</v>
      </c>
    </row>
    <row r="43" spans="1:98" x14ac:dyDescent="0.2">
      <c r="D43" t="s">
        <v>120</v>
      </c>
      <c r="E43" t="s">
        <v>120</v>
      </c>
      <c r="F43" t="s">
        <v>120</v>
      </c>
      <c r="G43" t="s">
        <v>120</v>
      </c>
      <c r="H43" t="s">
        <v>120</v>
      </c>
      <c r="I43" t="s">
        <v>120</v>
      </c>
      <c r="J43" t="s">
        <v>120</v>
      </c>
      <c r="K43" t="s">
        <v>120</v>
      </c>
      <c r="L43" t="s">
        <v>120</v>
      </c>
      <c r="M43" t="s">
        <v>120</v>
      </c>
      <c r="O43" t="s">
        <v>120</v>
      </c>
      <c r="P43" t="s">
        <v>120</v>
      </c>
      <c r="Q43" t="s">
        <v>120</v>
      </c>
      <c r="U43" t="s">
        <v>120</v>
      </c>
      <c r="V43" t="s">
        <v>120</v>
      </c>
      <c r="W43" t="s">
        <v>120</v>
      </c>
      <c r="X43" t="s">
        <v>120</v>
      </c>
      <c r="Y43" t="s">
        <v>120</v>
      </c>
      <c r="Z43" t="s">
        <v>120</v>
      </c>
      <c r="AA43" t="s">
        <v>120</v>
      </c>
      <c r="AB43" t="s">
        <v>120</v>
      </c>
      <c r="AC43" t="s">
        <v>120</v>
      </c>
      <c r="AD43" t="s">
        <v>120</v>
      </c>
      <c r="AE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120</v>
      </c>
      <c r="BD43" t="s">
        <v>120</v>
      </c>
      <c r="BE43" t="s">
        <v>120</v>
      </c>
      <c r="BF43" t="s">
        <v>120</v>
      </c>
      <c r="BG43" t="s">
        <v>120</v>
      </c>
      <c r="BH43" t="s">
        <v>120</v>
      </c>
      <c r="BI43" t="s">
        <v>120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R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CJ43" t="s">
        <v>120</v>
      </c>
      <c r="CK43" t="s">
        <v>120</v>
      </c>
      <c r="CL43" t="s">
        <v>120</v>
      </c>
      <c r="CM43" t="s">
        <v>120</v>
      </c>
      <c r="CN43" t="s">
        <v>120</v>
      </c>
    </row>
    <row r="44" spans="1:98" x14ac:dyDescent="0.2">
      <c r="B44" t="s">
        <v>129</v>
      </c>
      <c r="C44" t="s">
        <v>129</v>
      </c>
      <c r="D44" t="s">
        <v>130</v>
      </c>
      <c r="E44" t="s">
        <v>130</v>
      </c>
      <c r="F44" t="s">
        <v>130</v>
      </c>
      <c r="G44" t="s">
        <v>130</v>
      </c>
      <c r="H44" t="s">
        <v>130</v>
      </c>
      <c r="I44" t="s">
        <v>130</v>
      </c>
      <c r="J44" t="s">
        <v>130</v>
      </c>
      <c r="K44" t="s">
        <v>130</v>
      </c>
      <c r="L44" t="s">
        <v>130</v>
      </c>
      <c r="M44" t="s">
        <v>130</v>
      </c>
      <c r="O44" t="s">
        <v>130</v>
      </c>
      <c r="P44" t="s">
        <v>129</v>
      </c>
      <c r="Q44" t="s">
        <v>129</v>
      </c>
      <c r="R44" t="s">
        <v>129</v>
      </c>
      <c r="S44" t="s">
        <v>129</v>
      </c>
      <c r="T44" t="s">
        <v>129</v>
      </c>
      <c r="U44" t="s">
        <v>130</v>
      </c>
      <c r="V44" t="s">
        <v>130</v>
      </c>
      <c r="W44" t="s">
        <v>130</v>
      </c>
      <c r="X44" t="s">
        <v>130</v>
      </c>
      <c r="Y44" t="s">
        <v>130</v>
      </c>
      <c r="Z44" t="s">
        <v>130</v>
      </c>
      <c r="AA44" t="s">
        <v>130</v>
      </c>
      <c r="AB44" t="s">
        <v>130</v>
      </c>
      <c r="AC44" t="s">
        <v>130</v>
      </c>
      <c r="AD44" t="s">
        <v>129</v>
      </c>
      <c r="AE44" t="s">
        <v>130</v>
      </c>
      <c r="AF44" t="s">
        <v>129</v>
      </c>
      <c r="AG44" t="s">
        <v>129</v>
      </c>
      <c r="AH44" t="s">
        <v>130</v>
      </c>
      <c r="AI44" t="s">
        <v>130</v>
      </c>
      <c r="AJ44" t="s">
        <v>130</v>
      </c>
      <c r="AK44" t="s">
        <v>130</v>
      </c>
      <c r="AL44" t="s">
        <v>130</v>
      </c>
      <c r="AM44" t="s">
        <v>130</v>
      </c>
      <c r="AP44" t="s">
        <v>129</v>
      </c>
      <c r="AQ44" t="s">
        <v>129</v>
      </c>
      <c r="AR44" t="s">
        <v>129</v>
      </c>
      <c r="AS44" t="s">
        <v>130</v>
      </c>
      <c r="AT44" t="s">
        <v>130</v>
      </c>
      <c r="AU44" t="s">
        <v>130</v>
      </c>
      <c r="AV44" t="s">
        <v>130</v>
      </c>
      <c r="AW44" t="s">
        <v>130</v>
      </c>
      <c r="AX44" t="s">
        <v>130</v>
      </c>
      <c r="AY44" t="s">
        <v>130</v>
      </c>
      <c r="AZ44" t="s">
        <v>130</v>
      </c>
      <c r="BA44" t="s">
        <v>130</v>
      </c>
      <c r="BB44" t="s">
        <v>130</v>
      </c>
      <c r="BC44" t="s">
        <v>130</v>
      </c>
      <c r="BD44" t="s">
        <v>130</v>
      </c>
      <c r="BE44" t="s">
        <v>130</v>
      </c>
      <c r="BF44" t="s">
        <v>130</v>
      </c>
      <c r="BG44" t="s">
        <v>130</v>
      </c>
      <c r="BH44" t="s">
        <v>130</v>
      </c>
      <c r="BI44" t="s">
        <v>130</v>
      </c>
      <c r="BJ44" t="s">
        <v>130</v>
      </c>
      <c r="BK44" t="s">
        <v>130</v>
      </c>
      <c r="BL44" t="s">
        <v>130</v>
      </c>
      <c r="BM44" t="s">
        <v>130</v>
      </c>
      <c r="BN44" t="s">
        <v>129</v>
      </c>
      <c r="BP44" t="s">
        <v>129</v>
      </c>
      <c r="BQ44" t="s">
        <v>129</v>
      </c>
      <c r="BR44" t="s">
        <v>129</v>
      </c>
      <c r="BS44" t="s">
        <v>129</v>
      </c>
      <c r="BT44" t="s">
        <v>129</v>
      </c>
      <c r="BU44" t="s">
        <v>130</v>
      </c>
      <c r="BV44" t="s">
        <v>129</v>
      </c>
      <c r="BW44" t="s">
        <v>130</v>
      </c>
      <c r="BX44" t="s">
        <v>130</v>
      </c>
      <c r="BY44" t="s">
        <v>129</v>
      </c>
      <c r="BZ44" t="s">
        <v>129</v>
      </c>
      <c r="CB44" t="s">
        <v>129</v>
      </c>
      <c r="CC44" t="s">
        <v>129</v>
      </c>
      <c r="CD44" t="s">
        <v>129</v>
      </c>
      <c r="CE44" t="s">
        <v>129</v>
      </c>
      <c r="CF44" t="s">
        <v>129</v>
      </c>
      <c r="CG44" t="s">
        <v>129</v>
      </c>
      <c r="CH44" t="s">
        <v>129</v>
      </c>
      <c r="CJ44" t="s">
        <v>133</v>
      </c>
      <c r="CK44" t="s">
        <v>133</v>
      </c>
      <c r="CL44" t="s">
        <v>133</v>
      </c>
      <c r="CM44" t="s">
        <v>133</v>
      </c>
      <c r="CN44" t="s">
        <v>133</v>
      </c>
      <c r="CO44" t="s">
        <v>129</v>
      </c>
      <c r="CP44" t="s">
        <v>129</v>
      </c>
      <c r="CQ44" t="s">
        <v>129</v>
      </c>
      <c r="CR44" t="s">
        <v>129</v>
      </c>
      <c r="CS44" t="s">
        <v>129</v>
      </c>
      <c r="CT44" t="s">
        <v>129</v>
      </c>
    </row>
    <row r="45" spans="1:98" x14ac:dyDescent="0.2">
      <c r="B45" t="s">
        <v>134</v>
      </c>
      <c r="C45" t="s">
        <v>134</v>
      </c>
      <c r="D45" t="s">
        <v>134</v>
      </c>
      <c r="E45" t="s">
        <v>134</v>
      </c>
      <c r="F45" t="s">
        <v>134</v>
      </c>
      <c r="G45" t="s">
        <v>134</v>
      </c>
      <c r="H45" t="s">
        <v>134</v>
      </c>
      <c r="I45" t="s">
        <v>134</v>
      </c>
      <c r="J45" t="s">
        <v>134</v>
      </c>
      <c r="K45" t="s">
        <v>134</v>
      </c>
      <c r="L45" t="s">
        <v>134</v>
      </c>
      <c r="M45" t="s">
        <v>134</v>
      </c>
      <c r="O45" t="s">
        <v>134</v>
      </c>
      <c r="P45" t="s">
        <v>134</v>
      </c>
      <c r="Q45" t="s">
        <v>134</v>
      </c>
      <c r="R45" t="s">
        <v>134</v>
      </c>
      <c r="S45" t="s">
        <v>134</v>
      </c>
      <c r="T45" t="s">
        <v>134</v>
      </c>
      <c r="U45" t="s">
        <v>134</v>
      </c>
      <c r="V45" t="s">
        <v>134</v>
      </c>
      <c r="W45" t="s">
        <v>134</v>
      </c>
      <c r="X45" t="s">
        <v>134</v>
      </c>
      <c r="Y45" t="s">
        <v>134</v>
      </c>
      <c r="Z45" t="s">
        <v>134</v>
      </c>
      <c r="AA45" t="s">
        <v>134</v>
      </c>
      <c r="AB45" t="s">
        <v>134</v>
      </c>
      <c r="AC45" t="s">
        <v>134</v>
      </c>
      <c r="AD45" t="s">
        <v>134</v>
      </c>
      <c r="AE45" t="s">
        <v>134</v>
      </c>
      <c r="AF45" t="s">
        <v>134</v>
      </c>
      <c r="AG45" t="s">
        <v>134</v>
      </c>
      <c r="AH45" t="s">
        <v>134</v>
      </c>
      <c r="AI45" t="s">
        <v>134</v>
      </c>
      <c r="AJ45" t="s">
        <v>134</v>
      </c>
      <c r="AK45" t="s">
        <v>134</v>
      </c>
      <c r="AL45" t="s">
        <v>134</v>
      </c>
      <c r="AM45" t="s">
        <v>134</v>
      </c>
      <c r="AP45" t="s">
        <v>134</v>
      </c>
      <c r="AQ45" t="s">
        <v>134</v>
      </c>
      <c r="AR45" t="s">
        <v>134</v>
      </c>
      <c r="AS45" t="s">
        <v>134</v>
      </c>
      <c r="AT45" t="s">
        <v>134</v>
      </c>
      <c r="AU45" t="s">
        <v>134</v>
      </c>
      <c r="AV45" t="s">
        <v>134</v>
      </c>
      <c r="AW45" t="s">
        <v>134</v>
      </c>
      <c r="AX45" t="s">
        <v>134</v>
      </c>
      <c r="AY45" t="s">
        <v>134</v>
      </c>
      <c r="AZ45" t="s">
        <v>134</v>
      </c>
      <c r="BA45" t="s">
        <v>134</v>
      </c>
      <c r="BB45" t="s">
        <v>134</v>
      </c>
      <c r="BC45" t="s">
        <v>134</v>
      </c>
      <c r="BD45" t="s">
        <v>134</v>
      </c>
      <c r="BE45" t="s">
        <v>134</v>
      </c>
      <c r="BF45" t="s">
        <v>134</v>
      </c>
      <c r="BG45" t="s">
        <v>134</v>
      </c>
      <c r="BH45" t="s">
        <v>134</v>
      </c>
      <c r="BI45" t="s">
        <v>134</v>
      </c>
      <c r="BJ45" t="s">
        <v>134</v>
      </c>
      <c r="BK45" t="s">
        <v>134</v>
      </c>
      <c r="BL45" t="s">
        <v>134</v>
      </c>
      <c r="BM45" t="s">
        <v>134</v>
      </c>
      <c r="BN45" t="s">
        <v>134</v>
      </c>
      <c r="BP45" t="s">
        <v>134</v>
      </c>
      <c r="BQ45" t="s">
        <v>134</v>
      </c>
      <c r="BR45" t="s">
        <v>134</v>
      </c>
      <c r="BS45" t="s">
        <v>134</v>
      </c>
      <c r="BT45" t="s">
        <v>134</v>
      </c>
      <c r="BU45" t="s">
        <v>134</v>
      </c>
      <c r="BV45" t="s">
        <v>134</v>
      </c>
      <c r="BW45" t="s">
        <v>134</v>
      </c>
      <c r="BX45" t="s">
        <v>134</v>
      </c>
      <c r="BY45" t="s">
        <v>135</v>
      </c>
      <c r="BZ45" t="s">
        <v>135</v>
      </c>
      <c r="CB45" t="s">
        <v>135</v>
      </c>
      <c r="CC45" t="s">
        <v>135</v>
      </c>
      <c r="CD45" t="s">
        <v>135</v>
      </c>
      <c r="CE45" t="s">
        <v>135</v>
      </c>
      <c r="CF45" t="s">
        <v>135</v>
      </c>
      <c r="CG45" t="s">
        <v>135</v>
      </c>
      <c r="CH45" t="s">
        <v>135</v>
      </c>
      <c r="CJ45" t="s">
        <v>135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 t="s">
        <v>135</v>
      </c>
      <c r="CQ45" t="s">
        <v>135</v>
      </c>
      <c r="CR45" t="s">
        <v>135</v>
      </c>
      <c r="CS45" t="s">
        <v>135</v>
      </c>
      <c r="CT45" t="s">
        <v>135</v>
      </c>
    </row>
    <row r="47" spans="1:98" x14ac:dyDescent="0.2">
      <c r="A47" s="10" t="s">
        <v>210</v>
      </c>
      <c r="B47" s="10"/>
      <c r="C47" s="10"/>
      <c r="D47">
        <v>3.23</v>
      </c>
      <c r="E47">
        <v>3.56</v>
      </c>
      <c r="F47">
        <v>13.4</v>
      </c>
      <c r="G47">
        <v>54.4</v>
      </c>
      <c r="H47">
        <v>0.37</v>
      </c>
      <c r="I47">
        <v>1.74</v>
      </c>
      <c r="J47">
        <v>7.06</v>
      </c>
      <c r="K47">
        <v>2.27</v>
      </c>
      <c r="L47">
        <v>0.19</v>
      </c>
      <c r="M47">
        <v>12.4</v>
      </c>
      <c r="N47">
        <v>13.9</v>
      </c>
      <c r="O47">
        <v>9</v>
      </c>
      <c r="P47">
        <v>2.2999999999999998</v>
      </c>
      <c r="Q47">
        <v>6</v>
      </c>
      <c r="V47">
        <v>33</v>
      </c>
      <c r="W47">
        <v>425</v>
      </c>
      <c r="X47">
        <v>17</v>
      </c>
      <c r="Y47">
        <v>38</v>
      </c>
      <c r="Z47">
        <v>13</v>
      </c>
      <c r="AA47">
        <v>21</v>
      </c>
      <c r="AB47">
        <v>125</v>
      </c>
      <c r="AC47">
        <v>23</v>
      </c>
      <c r="AD47">
        <v>1.5</v>
      </c>
      <c r="AH47">
        <v>47</v>
      </c>
      <c r="AI47">
        <v>342</v>
      </c>
      <c r="AJ47">
        <v>35</v>
      </c>
      <c r="AK47">
        <v>184</v>
      </c>
      <c r="AL47">
        <v>12.5</v>
      </c>
      <c r="AM47">
        <v>270</v>
      </c>
      <c r="AP47">
        <v>0.5</v>
      </c>
      <c r="AQ47">
        <v>0.2</v>
      </c>
      <c r="AR47">
        <v>0.11</v>
      </c>
      <c r="AS47">
        <v>2.6</v>
      </c>
      <c r="AT47">
        <v>0.35</v>
      </c>
      <c r="AU47">
        <v>1.1599999999999999</v>
      </c>
      <c r="AV47">
        <v>683</v>
      </c>
      <c r="AW47">
        <v>24.7</v>
      </c>
      <c r="AX47">
        <v>53.3</v>
      </c>
      <c r="AY47">
        <v>6.7</v>
      </c>
      <c r="AZ47">
        <v>28.9</v>
      </c>
      <c r="BA47">
        <v>6.59</v>
      </c>
      <c r="BB47">
        <v>1.97</v>
      </c>
      <c r="BC47">
        <v>6.71</v>
      </c>
      <c r="BD47">
        <v>1.02</v>
      </c>
      <c r="BE47">
        <v>6.44</v>
      </c>
      <c r="BF47">
        <v>1.27</v>
      </c>
      <c r="BG47">
        <v>3.7</v>
      </c>
      <c r="BH47">
        <v>0.51</v>
      </c>
      <c r="BI47">
        <v>3.39</v>
      </c>
      <c r="BJ47">
        <v>0.503</v>
      </c>
      <c r="BK47">
        <v>4.84</v>
      </c>
      <c r="BL47">
        <v>0.78</v>
      </c>
      <c r="BM47">
        <v>0.5</v>
      </c>
      <c r="BN47">
        <v>6.1999999999999998E-3</v>
      </c>
      <c r="BQ47">
        <v>0.78</v>
      </c>
      <c r="BT47">
        <v>0.3</v>
      </c>
      <c r="BU47">
        <v>11</v>
      </c>
      <c r="BV47">
        <v>0.05</v>
      </c>
      <c r="BW47">
        <v>5.9</v>
      </c>
      <c r="BX47">
        <v>1.69</v>
      </c>
      <c r="BZ47">
        <v>4.5</v>
      </c>
      <c r="CG47">
        <v>0.70500300000000005</v>
      </c>
      <c r="CJ47">
        <v>18.765000000000001</v>
      </c>
      <c r="CK47">
        <v>15.625999999999999</v>
      </c>
      <c r="CL47">
        <v>0.83299999999999996</v>
      </c>
      <c r="CM47">
        <v>38.729999999999997</v>
      </c>
      <c r="CN47">
        <v>2.0659999999999998</v>
      </c>
      <c r="CO47">
        <v>4.724E-6</v>
      </c>
      <c r="CP47">
        <v>0.877</v>
      </c>
      <c r="CS47">
        <v>5.4929999999999998E-5</v>
      </c>
      <c r="CT47">
        <v>1.0009999999999999</v>
      </c>
    </row>
    <row r="48" spans="1:98" x14ac:dyDescent="0.2">
      <c r="B48" s="10"/>
      <c r="C48" s="10"/>
      <c r="D48">
        <v>7.0000000000000007E-2</v>
      </c>
      <c r="E48">
        <v>0.09</v>
      </c>
      <c r="F48">
        <v>0.4</v>
      </c>
      <c r="G48">
        <v>0.4</v>
      </c>
      <c r="H48">
        <v>0.01</v>
      </c>
      <c r="I48">
        <v>0.04</v>
      </c>
      <c r="J48">
        <v>0.11</v>
      </c>
      <c r="K48">
        <v>0.04</v>
      </c>
      <c r="L48">
        <v>0.01</v>
      </c>
      <c r="M48">
        <v>0.3</v>
      </c>
      <c r="N48">
        <v>0.1</v>
      </c>
      <c r="O48">
        <v>1</v>
      </c>
      <c r="P48">
        <v>0.4</v>
      </c>
      <c r="Q48">
        <v>1</v>
      </c>
      <c r="V48">
        <v>2</v>
      </c>
      <c r="W48">
        <v>18</v>
      </c>
      <c r="X48">
        <v>2</v>
      </c>
      <c r="Y48">
        <v>2</v>
      </c>
      <c r="Z48">
        <v>2</v>
      </c>
      <c r="AA48">
        <v>5</v>
      </c>
      <c r="AB48">
        <v>5</v>
      </c>
      <c r="AC48">
        <v>1</v>
      </c>
      <c r="AD48">
        <v>0.1</v>
      </c>
      <c r="AH48">
        <v>0.5</v>
      </c>
      <c r="AI48">
        <v>4</v>
      </c>
      <c r="AJ48">
        <v>3</v>
      </c>
      <c r="AK48">
        <v>15</v>
      </c>
      <c r="AL48">
        <v>1</v>
      </c>
      <c r="AM48">
        <v>30</v>
      </c>
      <c r="AP48">
        <v>0.4</v>
      </c>
      <c r="AR48">
        <v>0.02</v>
      </c>
      <c r="AS48">
        <v>0.4</v>
      </c>
      <c r="AT48">
        <v>0.08</v>
      </c>
      <c r="AU48">
        <v>7.0000000000000007E-2</v>
      </c>
      <c r="AV48">
        <v>7</v>
      </c>
      <c r="AW48">
        <v>0.3</v>
      </c>
      <c r="AX48">
        <v>0.5</v>
      </c>
      <c r="AY48">
        <v>0.4</v>
      </c>
      <c r="AZ48">
        <v>0.3</v>
      </c>
      <c r="BA48">
        <v>7.0000000000000007E-2</v>
      </c>
      <c r="BB48">
        <v>0.02</v>
      </c>
      <c r="BC48">
        <v>7.0000000000000007E-2</v>
      </c>
      <c r="BD48">
        <v>0.08</v>
      </c>
      <c r="BE48">
        <v>0.06</v>
      </c>
      <c r="BF48">
        <v>0.08</v>
      </c>
      <c r="BG48">
        <v>0.04</v>
      </c>
      <c r="BH48">
        <v>0.04</v>
      </c>
      <c r="BI48">
        <v>0.03</v>
      </c>
      <c r="BJ48">
        <v>5.0000000000000001E-3</v>
      </c>
      <c r="BK48">
        <v>0.28000000000000003</v>
      </c>
      <c r="BL48">
        <v>0.06</v>
      </c>
      <c r="BM48">
        <v>7.0000000000000007E-2</v>
      </c>
      <c r="BN48">
        <v>6.9999999999999999E-4</v>
      </c>
      <c r="BQ48">
        <v>0.6</v>
      </c>
      <c r="BT48">
        <v>0.1</v>
      </c>
      <c r="BU48">
        <v>1</v>
      </c>
      <c r="BV48">
        <v>0.01</v>
      </c>
      <c r="BW48">
        <v>0.3</v>
      </c>
      <c r="BX48">
        <v>0.12</v>
      </c>
      <c r="BZ48">
        <v>0.6</v>
      </c>
      <c r="CG48">
        <v>3.9999999999999998E-6</v>
      </c>
      <c r="CJ48">
        <v>7.0000000000000001E-3</v>
      </c>
      <c r="CK48">
        <v>6.0000000000000001E-3</v>
      </c>
      <c r="CL48">
        <v>1E-3</v>
      </c>
      <c r="CM48">
        <v>0.02</v>
      </c>
      <c r="CN48">
        <v>1E-3</v>
      </c>
      <c r="CO48">
        <v>0.69</v>
      </c>
      <c r="CP48">
        <v>0.69</v>
      </c>
      <c r="CS48">
        <v>0.3</v>
      </c>
      <c r="CT48">
        <v>0.3</v>
      </c>
    </row>
    <row r="49" spans="2:98" x14ac:dyDescent="0.2">
      <c r="B49" s="10"/>
      <c r="C49" s="10"/>
      <c r="D49" t="s">
        <v>191</v>
      </c>
      <c r="E49" t="s">
        <v>191</v>
      </c>
      <c r="F49" t="s">
        <v>191</v>
      </c>
      <c r="G49" t="s">
        <v>191</v>
      </c>
      <c r="H49" t="s">
        <v>191</v>
      </c>
      <c r="I49" t="s">
        <v>191</v>
      </c>
      <c r="J49" t="s">
        <v>191</v>
      </c>
      <c r="K49" t="s">
        <v>191</v>
      </c>
      <c r="L49" t="s">
        <v>191</v>
      </c>
      <c r="M49" t="s">
        <v>191</v>
      </c>
      <c r="N49" t="s">
        <v>191</v>
      </c>
      <c r="O49" t="s">
        <v>191</v>
      </c>
      <c r="P49" t="s">
        <v>191</v>
      </c>
      <c r="Q49" t="s">
        <v>191</v>
      </c>
      <c r="V49" t="s">
        <v>191</v>
      </c>
      <c r="W49" t="s">
        <v>191</v>
      </c>
      <c r="X49" t="s">
        <v>191</v>
      </c>
      <c r="Y49" t="s">
        <v>191</v>
      </c>
      <c r="Z49" t="s">
        <v>191</v>
      </c>
      <c r="AA49" t="s">
        <v>191</v>
      </c>
      <c r="AB49" t="s">
        <v>191</v>
      </c>
      <c r="AC49" t="s">
        <v>191</v>
      </c>
      <c r="AD49" t="s">
        <v>199</v>
      </c>
      <c r="AH49" t="s">
        <v>199</v>
      </c>
      <c r="AI49" t="s">
        <v>199</v>
      </c>
      <c r="AJ49" t="s">
        <v>191</v>
      </c>
      <c r="AK49" t="s">
        <v>191</v>
      </c>
      <c r="AL49" t="s">
        <v>191</v>
      </c>
      <c r="AM49" t="s">
        <v>191</v>
      </c>
      <c r="AP49" t="s">
        <v>191</v>
      </c>
      <c r="AR49" t="s">
        <v>191</v>
      </c>
      <c r="AS49" t="s">
        <v>191</v>
      </c>
      <c r="AT49" t="s">
        <v>191</v>
      </c>
      <c r="AU49" t="s">
        <v>191</v>
      </c>
      <c r="AV49" t="s">
        <v>199</v>
      </c>
      <c r="AW49" t="s">
        <v>199</v>
      </c>
      <c r="AX49" t="s">
        <v>199</v>
      </c>
      <c r="AY49" t="s">
        <v>191</v>
      </c>
      <c r="AZ49" t="s">
        <v>199</v>
      </c>
      <c r="BA49" t="s">
        <v>199</v>
      </c>
      <c r="BB49" t="s">
        <v>199</v>
      </c>
      <c r="BC49" t="s">
        <v>199</v>
      </c>
      <c r="BD49" t="s">
        <v>191</v>
      </c>
      <c r="BE49" t="s">
        <v>199</v>
      </c>
      <c r="BF49" t="s">
        <v>191</v>
      </c>
      <c r="BG49" t="s">
        <v>199</v>
      </c>
      <c r="BH49" t="s">
        <v>191</v>
      </c>
      <c r="BI49" t="s">
        <v>191</v>
      </c>
      <c r="BJ49" t="s">
        <v>199</v>
      </c>
      <c r="BK49" t="s">
        <v>191</v>
      </c>
      <c r="BL49" t="s">
        <v>191</v>
      </c>
      <c r="BM49" t="s">
        <v>191</v>
      </c>
      <c r="BN49" t="s">
        <v>191</v>
      </c>
      <c r="BQ49" t="s">
        <v>191</v>
      </c>
      <c r="BT49" t="s">
        <v>191</v>
      </c>
      <c r="BU49" t="s">
        <v>191</v>
      </c>
      <c r="BV49" t="s">
        <v>191</v>
      </c>
      <c r="BW49" t="s">
        <v>191</v>
      </c>
      <c r="BX49" t="s">
        <v>191</v>
      </c>
      <c r="BZ49" t="s">
        <v>191</v>
      </c>
      <c r="CG49" t="s">
        <v>191</v>
      </c>
      <c r="CJ49" t="s">
        <v>191</v>
      </c>
      <c r="CK49" t="s">
        <v>191</v>
      </c>
      <c r="CL49" t="s">
        <v>191</v>
      </c>
      <c r="CM49" t="s">
        <v>191</v>
      </c>
      <c r="CN49" t="s">
        <v>191</v>
      </c>
      <c r="CO49" t="s">
        <v>188</v>
      </c>
      <c r="CP49" t="s">
        <v>188</v>
      </c>
      <c r="CS49" t="s">
        <v>188</v>
      </c>
      <c r="CT49" t="s">
        <v>188</v>
      </c>
    </row>
    <row r="50" spans="2:98" x14ac:dyDescent="0.2">
      <c r="B50" s="10"/>
      <c r="C50" s="10"/>
      <c r="D50" t="s">
        <v>203</v>
      </c>
      <c r="E50" t="s">
        <v>203</v>
      </c>
      <c r="F50" t="s">
        <v>192</v>
      </c>
      <c r="G50" t="s">
        <v>192</v>
      </c>
      <c r="H50" t="s">
        <v>203</v>
      </c>
      <c r="I50" t="s">
        <v>203</v>
      </c>
      <c r="J50" t="s">
        <v>192</v>
      </c>
      <c r="K50" t="s">
        <v>203</v>
      </c>
      <c r="L50" t="s">
        <v>192</v>
      </c>
      <c r="M50" t="s">
        <v>203</v>
      </c>
      <c r="N50" t="s">
        <v>204</v>
      </c>
      <c r="O50" t="s">
        <v>192</v>
      </c>
      <c r="P50" t="s">
        <v>192</v>
      </c>
      <c r="Q50" t="s">
        <v>194</v>
      </c>
      <c r="V50" t="s">
        <v>192</v>
      </c>
      <c r="W50" t="s">
        <v>192</v>
      </c>
      <c r="X50" t="s">
        <v>192</v>
      </c>
      <c r="Y50" t="s">
        <v>192</v>
      </c>
      <c r="Z50" t="s">
        <v>192</v>
      </c>
      <c r="AA50" t="s">
        <v>192</v>
      </c>
      <c r="AB50" t="s">
        <v>201</v>
      </c>
      <c r="AC50" t="s">
        <v>192</v>
      </c>
      <c r="AD50" t="s">
        <v>194</v>
      </c>
      <c r="AH50" t="s">
        <v>197</v>
      </c>
      <c r="AI50" t="s">
        <v>197</v>
      </c>
      <c r="AJ50" t="s">
        <v>192</v>
      </c>
      <c r="AK50" t="s">
        <v>192</v>
      </c>
      <c r="AL50" t="s">
        <v>192</v>
      </c>
      <c r="AM50" t="s">
        <v>192</v>
      </c>
      <c r="AP50" t="s">
        <v>194</v>
      </c>
      <c r="AQ50" t="s">
        <v>194</v>
      </c>
      <c r="AR50" t="s">
        <v>192</v>
      </c>
      <c r="AS50" t="s">
        <v>192</v>
      </c>
      <c r="AT50" t="s">
        <v>192</v>
      </c>
      <c r="AU50" t="s">
        <v>192</v>
      </c>
      <c r="AV50" t="s">
        <v>197</v>
      </c>
      <c r="AW50" t="s">
        <v>197</v>
      </c>
      <c r="AX50" t="s">
        <v>197</v>
      </c>
      <c r="AY50" t="s">
        <v>192</v>
      </c>
      <c r="AZ50" t="s">
        <v>197</v>
      </c>
      <c r="BA50" t="s">
        <v>197</v>
      </c>
      <c r="BB50" t="s">
        <v>197</v>
      </c>
      <c r="BC50" t="s">
        <v>197</v>
      </c>
      <c r="BD50" t="s">
        <v>192</v>
      </c>
      <c r="BE50" t="s">
        <v>197</v>
      </c>
      <c r="BF50" t="s">
        <v>192</v>
      </c>
      <c r="BG50" t="s">
        <v>197</v>
      </c>
      <c r="BH50" t="s">
        <v>192</v>
      </c>
      <c r="BI50" t="s">
        <v>197</v>
      </c>
      <c r="BJ50" t="s">
        <v>197</v>
      </c>
      <c r="BK50" t="s">
        <v>192</v>
      </c>
      <c r="BL50" t="s">
        <v>192</v>
      </c>
      <c r="BM50" t="s">
        <v>196</v>
      </c>
      <c r="BN50" t="s">
        <v>194</v>
      </c>
      <c r="BQ50" t="s">
        <v>194</v>
      </c>
      <c r="BT50" t="s">
        <v>192</v>
      </c>
      <c r="BU50" t="s">
        <v>192</v>
      </c>
      <c r="BV50" t="s">
        <v>192</v>
      </c>
      <c r="BW50" t="s">
        <v>192</v>
      </c>
      <c r="BX50" t="s">
        <v>192</v>
      </c>
      <c r="BZ50" t="s">
        <v>192</v>
      </c>
      <c r="CG50" t="s">
        <v>186</v>
      </c>
      <c r="CJ50" t="s">
        <v>192</v>
      </c>
      <c r="CK50" t="s">
        <v>192</v>
      </c>
      <c r="CL50" t="s">
        <v>189</v>
      </c>
      <c r="CM50" t="s">
        <v>192</v>
      </c>
      <c r="CN50" t="s">
        <v>189</v>
      </c>
      <c r="CO50" t="s">
        <v>186</v>
      </c>
      <c r="CP50" t="s">
        <v>186</v>
      </c>
      <c r="CS50" t="s">
        <v>186</v>
      </c>
      <c r="CT50" t="s">
        <v>186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S2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5" sqref="B15:AP15"/>
    </sheetView>
  </sheetViews>
  <sheetFormatPr baseColWidth="10" defaultRowHeight="16" x14ac:dyDescent="0.2"/>
  <sheetData>
    <row r="1" spans="1:123" x14ac:dyDescent="0.2">
      <c r="A1" s="10"/>
      <c r="B1" s="12" t="s">
        <v>37</v>
      </c>
      <c r="C1" s="12" t="s">
        <v>39</v>
      </c>
      <c r="D1" s="12" t="s">
        <v>175</v>
      </c>
      <c r="E1" s="12" t="s">
        <v>176</v>
      </c>
      <c r="F1" s="12" t="s">
        <v>177</v>
      </c>
      <c r="G1" s="12" t="s">
        <v>178</v>
      </c>
      <c r="H1" s="12" t="s">
        <v>179</v>
      </c>
      <c r="I1" s="12" t="s">
        <v>180</v>
      </c>
      <c r="J1" s="12" t="s">
        <v>181</v>
      </c>
      <c r="K1" s="12" t="s">
        <v>44</v>
      </c>
      <c r="L1" s="12" t="s">
        <v>182</v>
      </c>
      <c r="M1" s="12" t="s">
        <v>45</v>
      </c>
      <c r="N1" s="12" t="s">
        <v>183</v>
      </c>
      <c r="O1" s="12" t="s">
        <v>184</v>
      </c>
      <c r="P1" s="12" t="s">
        <v>53</v>
      </c>
      <c r="Q1" s="12" t="s">
        <v>56</v>
      </c>
      <c r="R1" s="12" t="s">
        <v>57</v>
      </c>
      <c r="S1" s="12" t="s">
        <v>58</v>
      </c>
      <c r="T1" s="12" t="s">
        <v>59</v>
      </c>
      <c r="U1" s="12" t="s">
        <v>60</v>
      </c>
      <c r="V1" s="12" t="s">
        <v>68</v>
      </c>
      <c r="W1" s="12" t="s">
        <v>69</v>
      </c>
      <c r="X1" s="12" t="s">
        <v>70</v>
      </c>
      <c r="Y1" s="12" t="s">
        <v>71</v>
      </c>
      <c r="Z1" s="12" t="s">
        <v>72</v>
      </c>
      <c r="AA1" s="12" t="s">
        <v>73</v>
      </c>
      <c r="AB1" s="12" t="s">
        <v>74</v>
      </c>
      <c r="AC1" s="12" t="s">
        <v>75</v>
      </c>
      <c r="AD1" s="12" t="s">
        <v>76</v>
      </c>
      <c r="AE1" s="12" t="s">
        <v>77</v>
      </c>
      <c r="AF1" s="12" t="s">
        <v>78</v>
      </c>
      <c r="AG1" s="12" t="s">
        <v>79</v>
      </c>
      <c r="AH1" s="12" t="s">
        <v>80</v>
      </c>
      <c r="AI1" s="12" t="s">
        <v>81</v>
      </c>
      <c r="AJ1" s="12" t="s">
        <v>82</v>
      </c>
      <c r="AK1" s="12" t="s">
        <v>83</v>
      </c>
      <c r="AL1" s="12" t="s">
        <v>84</v>
      </c>
      <c r="AM1" s="12" t="s">
        <v>85</v>
      </c>
      <c r="AN1" s="12" t="s">
        <v>94</v>
      </c>
      <c r="AO1" s="12" t="s">
        <v>96</v>
      </c>
      <c r="AP1" s="12" t="s">
        <v>97</v>
      </c>
      <c r="AQ1" s="10" t="s">
        <v>25</v>
      </c>
      <c r="AR1" s="10" t="s">
        <v>26</v>
      </c>
      <c r="AS1" s="10" t="s">
        <v>27</v>
      </c>
      <c r="AT1" s="10" t="s">
        <v>28</v>
      </c>
      <c r="AU1" s="10" t="s">
        <v>29</v>
      </c>
      <c r="AV1" s="10" t="s">
        <v>30</v>
      </c>
      <c r="AW1" s="10" t="s">
        <v>31</v>
      </c>
      <c r="AX1" s="10" t="s">
        <v>32</v>
      </c>
      <c r="AY1" s="10" t="s">
        <v>33</v>
      </c>
      <c r="AZ1" s="10" t="s">
        <v>34</v>
      </c>
      <c r="BA1" s="10" t="s">
        <v>35</v>
      </c>
      <c r="BB1" s="10" t="s">
        <v>36</v>
      </c>
      <c r="BC1" s="10" t="s">
        <v>38</v>
      </c>
      <c r="BD1" s="10" t="s">
        <v>40</v>
      </c>
      <c r="BE1" s="10" t="s">
        <v>41</v>
      </c>
      <c r="BF1" s="10" t="s">
        <v>42</v>
      </c>
      <c r="BG1" s="10" t="s">
        <v>43</v>
      </c>
      <c r="BH1" s="10" t="s">
        <v>46</v>
      </c>
      <c r="BI1" s="10" t="s">
        <v>47</v>
      </c>
      <c r="BJ1" s="10" t="s">
        <v>48</v>
      </c>
      <c r="BK1" s="10" t="s">
        <v>49</v>
      </c>
      <c r="BL1" s="10" t="s">
        <v>50</v>
      </c>
      <c r="BM1" s="10" t="s">
        <v>51</v>
      </c>
      <c r="BN1" s="10" t="s">
        <v>52</v>
      </c>
      <c r="BO1" s="10" t="s">
        <v>54</v>
      </c>
      <c r="BP1" s="10" t="s">
        <v>55</v>
      </c>
      <c r="BQ1" s="10" t="s">
        <v>61</v>
      </c>
      <c r="BR1" s="10" t="s">
        <v>160</v>
      </c>
      <c r="BS1" s="10" t="s">
        <v>62</v>
      </c>
      <c r="BT1" s="10" t="s">
        <v>63</v>
      </c>
      <c r="BU1" s="10" t="s">
        <v>64</v>
      </c>
      <c r="BV1" s="10" t="s">
        <v>65</v>
      </c>
      <c r="BW1" s="10" t="s">
        <v>66</v>
      </c>
      <c r="BX1" s="10" t="s">
        <v>67</v>
      </c>
      <c r="BY1" s="10" t="s">
        <v>86</v>
      </c>
      <c r="BZ1" s="10" t="s">
        <v>87</v>
      </c>
      <c r="CA1" s="10" t="s">
        <v>88</v>
      </c>
      <c r="CB1" s="10" t="s">
        <v>89</v>
      </c>
      <c r="CC1" s="10" t="s">
        <v>90</v>
      </c>
      <c r="CD1" s="10" t="s">
        <v>91</v>
      </c>
      <c r="CE1" s="10" t="s">
        <v>92</v>
      </c>
      <c r="CF1" s="10" t="s">
        <v>93</v>
      </c>
      <c r="CG1" s="10" t="s">
        <v>95</v>
      </c>
      <c r="CH1" s="10" t="s">
        <v>163</v>
      </c>
      <c r="CI1" s="10" t="s">
        <v>154</v>
      </c>
      <c r="CJ1" s="10" t="s">
        <v>156</v>
      </c>
      <c r="CK1" s="10" t="s">
        <v>98</v>
      </c>
      <c r="CL1" s="10" t="s">
        <v>99</v>
      </c>
      <c r="CM1" s="10" t="s">
        <v>100</v>
      </c>
      <c r="CN1" s="10" t="s">
        <v>101</v>
      </c>
      <c r="CO1" s="10" t="s">
        <v>102</v>
      </c>
      <c r="CP1" s="10" t="s">
        <v>103</v>
      </c>
      <c r="CQ1" s="10" t="s">
        <v>104</v>
      </c>
      <c r="CR1" s="10" t="s">
        <v>105</v>
      </c>
      <c r="CS1" s="10" t="s">
        <v>106</v>
      </c>
      <c r="CT1" s="10" t="s">
        <v>107</v>
      </c>
      <c r="CU1" s="10" t="s">
        <v>108</v>
      </c>
      <c r="CV1" s="10" t="s">
        <v>109</v>
      </c>
      <c r="CW1" s="10" t="s">
        <v>110</v>
      </c>
      <c r="CX1" s="10" t="s">
        <v>111</v>
      </c>
      <c r="CY1" s="10" t="s">
        <v>112</v>
      </c>
      <c r="CZ1" s="10" t="s">
        <v>113</v>
      </c>
      <c r="DA1" s="10" t="s">
        <v>114</v>
      </c>
      <c r="DB1" s="10" t="s">
        <v>115</v>
      </c>
      <c r="DC1" s="10" t="s">
        <v>116</v>
      </c>
      <c r="DD1" s="10" t="s">
        <v>117</v>
      </c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</row>
    <row r="2" spans="1:123" s="10" customFormat="1" x14ac:dyDescent="0.2"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">
        <v>122</v>
      </c>
      <c r="N2" t="s">
        <v>122</v>
      </c>
      <c r="O2" t="s">
        <v>122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t="s">
        <v>122</v>
      </c>
      <c r="W2" t="s">
        <v>122</v>
      </c>
      <c r="X2" t="s">
        <v>122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122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t="s">
        <v>122</v>
      </c>
      <c r="AN2" t="s">
        <v>122</v>
      </c>
      <c r="AO2" t="s">
        <v>122</v>
      </c>
      <c r="AP2" t="s">
        <v>122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123</v>
      </c>
      <c r="CI2" t="s">
        <v>155</v>
      </c>
      <c r="CJ2" t="s">
        <v>157</v>
      </c>
      <c r="CK2" t="s">
        <v>123</v>
      </c>
      <c r="CL2" t="s">
        <v>123</v>
      </c>
      <c r="CM2" t="s">
        <v>124</v>
      </c>
      <c r="CN2" t="s">
        <v>124</v>
      </c>
      <c r="CO2" t="s">
        <v>125</v>
      </c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</row>
    <row r="3" spans="1:123" x14ac:dyDescent="0.2">
      <c r="A3" s="10" t="s">
        <v>136</v>
      </c>
      <c r="B3">
        <v>28.6</v>
      </c>
      <c r="C3">
        <v>5.7</v>
      </c>
      <c r="D3" s="13">
        <f t="shared" ref="D3:D20" si="0">(AS3/(22.99+22.99+15.999)*(22.99)*2)*10000</f>
        <v>27819.906742606367</v>
      </c>
      <c r="E3" s="13">
        <f t="shared" ref="E3:E20" si="1">(AT3/(24.305+15.999)*(24.305)*10000)</f>
        <v>621.13313815005949</v>
      </c>
      <c r="F3" s="13">
        <f t="shared" ref="F3:F20" si="2">(AU3/(26.982+26.982+15.999+15.999+15.999)*(26.982)*2*10000)</f>
        <v>64569.864948362614</v>
      </c>
      <c r="G3" s="13">
        <f t="shared" ref="G3:G20" si="3">(AV3/(28.086+15.999+15.999)*(28.086)*10000)</f>
        <v>353388.85560215695</v>
      </c>
      <c r="H3" s="13">
        <f t="shared" ref="H3:H20" si="4">(AW3/(30.974+30.974+15.999+15.999+15.999+15.999+15.999)*(30.974)*2*10000)</f>
        <v>109.1071768245</v>
      </c>
      <c r="I3" s="13">
        <f t="shared" ref="I3:I20" si="5">(AX3/(39.098+39.098+15.999)*(39.098)*2)*10000</f>
        <v>21915.965815595308</v>
      </c>
      <c r="J3" s="13">
        <f t="shared" ref="J3:J20" si="6">(AY3/(40.078+15.999)*(40.078)*10000)</f>
        <v>12149.829698450345</v>
      </c>
      <c r="K3">
        <v>5</v>
      </c>
      <c r="L3" s="13">
        <f t="shared" ref="L3:L20" si="7">(AZ3/(47.867+15.999+15.999)*(47.867)*10000)</f>
        <v>1528.3396982407812</v>
      </c>
      <c r="M3">
        <v>3.91</v>
      </c>
      <c r="N3" s="13">
        <f t="shared" ref="N3:N20" si="8">(BA3/(54.938+15.999)*(54.938)*10000)</f>
        <v>820.92955721273813</v>
      </c>
      <c r="O3" s="13">
        <f t="shared" ref="O3:O20" si="9">(BB3/(55.845+15.999)*(55.845)*10000)</f>
        <v>25418.009854685151</v>
      </c>
      <c r="P3">
        <v>1.4</v>
      </c>
      <c r="Q3">
        <v>65.3</v>
      </c>
      <c r="R3">
        <v>94.1</v>
      </c>
      <c r="S3">
        <v>94.5</v>
      </c>
      <c r="T3">
        <v>512</v>
      </c>
      <c r="U3">
        <v>62.4</v>
      </c>
      <c r="V3">
        <v>1.08</v>
      </c>
      <c r="W3">
        <v>547</v>
      </c>
      <c r="X3">
        <v>55.6</v>
      </c>
      <c r="Y3">
        <v>121</v>
      </c>
      <c r="Z3">
        <v>14.6</v>
      </c>
      <c r="AA3">
        <v>60.9</v>
      </c>
      <c r="AB3">
        <v>14.2</v>
      </c>
      <c r="AC3">
        <v>2.76</v>
      </c>
      <c r="AD3">
        <v>15.3</v>
      </c>
      <c r="AE3">
        <v>2.5099999999999998</v>
      </c>
      <c r="AF3">
        <v>16.2</v>
      </c>
      <c r="AG3">
        <v>3.43</v>
      </c>
      <c r="AH3">
        <v>10.3</v>
      </c>
      <c r="AI3">
        <v>1.52</v>
      </c>
      <c r="AJ3">
        <v>10.5</v>
      </c>
      <c r="AK3">
        <v>1.54</v>
      </c>
      <c r="AL3">
        <v>13.7</v>
      </c>
      <c r="AM3">
        <v>3.9</v>
      </c>
      <c r="AN3">
        <v>5.67</v>
      </c>
      <c r="AO3">
        <v>7.4</v>
      </c>
      <c r="AP3">
        <v>2.37</v>
      </c>
      <c r="AQ3">
        <v>1.4E-2</v>
      </c>
      <c r="AR3">
        <v>3.6999999999999999E-4</v>
      </c>
      <c r="AS3">
        <v>3.75</v>
      </c>
      <c r="AT3">
        <v>0.10299999999999999</v>
      </c>
      <c r="AU3">
        <v>12.2</v>
      </c>
      <c r="AV3">
        <v>75.599999999999994</v>
      </c>
      <c r="AW3">
        <v>2.5000000000000001E-2</v>
      </c>
      <c r="AX3">
        <v>2.64</v>
      </c>
      <c r="AY3">
        <v>1.7</v>
      </c>
      <c r="AZ3">
        <v>0.255</v>
      </c>
      <c r="BA3">
        <v>0.106</v>
      </c>
      <c r="BB3">
        <v>3.27</v>
      </c>
      <c r="BC3">
        <v>3.2</v>
      </c>
      <c r="BD3">
        <v>487000</v>
      </c>
      <c r="BE3">
        <v>0.7</v>
      </c>
      <c r="BF3">
        <v>0.6</v>
      </c>
      <c r="BG3">
        <v>430</v>
      </c>
      <c r="BH3">
        <v>6.1</v>
      </c>
      <c r="BI3">
        <v>2.13</v>
      </c>
      <c r="BJ3">
        <v>13</v>
      </c>
      <c r="BK3">
        <v>18.600000000000001</v>
      </c>
      <c r="BL3">
        <v>141</v>
      </c>
      <c r="BM3">
        <v>25.3</v>
      </c>
      <c r="BN3">
        <v>1.8</v>
      </c>
      <c r="BO3">
        <v>0.1</v>
      </c>
      <c r="BP3">
        <v>1.2</v>
      </c>
      <c r="BQ3">
        <v>4.8</v>
      </c>
      <c r="BS3">
        <v>20</v>
      </c>
      <c r="BT3">
        <v>0.3</v>
      </c>
      <c r="BU3">
        <v>0.5</v>
      </c>
      <c r="BV3">
        <v>0.17</v>
      </c>
      <c r="BW3">
        <v>5.41</v>
      </c>
      <c r="BX3">
        <v>0.32</v>
      </c>
      <c r="BY3">
        <v>9.3000000000000007</v>
      </c>
      <c r="BZ3">
        <v>5.0000000000000001E-4</v>
      </c>
      <c r="CA3">
        <v>2</v>
      </c>
      <c r="CB3">
        <v>0.09</v>
      </c>
      <c r="CC3">
        <v>8</v>
      </c>
      <c r="CD3">
        <v>0.03</v>
      </c>
      <c r="CE3">
        <v>1</v>
      </c>
      <c r="CF3">
        <v>7.0000000000000007E-2</v>
      </c>
      <c r="CG3">
        <v>0.05</v>
      </c>
      <c r="CK3">
        <v>1.59</v>
      </c>
      <c r="CL3">
        <v>3.2</v>
      </c>
      <c r="CM3">
        <v>-0.28000000000000003</v>
      </c>
      <c r="CN3">
        <v>-0.6</v>
      </c>
      <c r="CO3">
        <v>0.85</v>
      </c>
      <c r="CP3">
        <v>0.70327099999999998</v>
      </c>
      <c r="CQ3">
        <v>0.513015</v>
      </c>
      <c r="CR3">
        <v>0.28317100000000001</v>
      </c>
      <c r="CS3">
        <v>18.382999999999999</v>
      </c>
      <c r="CT3">
        <v>15.481</v>
      </c>
      <c r="CU3">
        <v>0.84206999999999999</v>
      </c>
      <c r="CV3">
        <v>38.11</v>
      </c>
      <c r="CW3">
        <v>2.0739399999999999</v>
      </c>
      <c r="CX3">
        <v>5.4840000000000003E-6</v>
      </c>
      <c r="CY3">
        <v>1.018</v>
      </c>
      <c r="CZ3">
        <v>1.8300000000000001E-5</v>
      </c>
      <c r="DA3">
        <v>1.1020000000000001</v>
      </c>
      <c r="DB3">
        <v>5.4889999999999998E-5</v>
      </c>
      <c r="DC3">
        <v>0.999</v>
      </c>
      <c r="DD3">
        <v>138.03</v>
      </c>
    </row>
    <row r="4" spans="1:123" x14ac:dyDescent="0.2">
      <c r="A4" s="11" t="s">
        <v>173</v>
      </c>
      <c r="B4">
        <v>1.8</v>
      </c>
      <c r="C4">
        <v>0.5</v>
      </c>
      <c r="D4" s="13">
        <f t="shared" si="0"/>
        <v>2299.7789573887926</v>
      </c>
      <c r="E4" s="13">
        <f t="shared" si="1"/>
        <v>60.304188169908691</v>
      </c>
      <c r="F4" s="13">
        <f t="shared" si="2"/>
        <v>1058.5223762026658</v>
      </c>
      <c r="G4" s="13">
        <f t="shared" si="3"/>
        <v>3272.1190333533045</v>
      </c>
      <c r="H4" s="13">
        <f t="shared" si="4"/>
        <v>17.457148291919999</v>
      </c>
      <c r="I4" s="13">
        <f t="shared" si="5"/>
        <v>747.13519825893093</v>
      </c>
      <c r="J4" s="13">
        <f t="shared" si="6"/>
        <v>214.40875938441783</v>
      </c>
      <c r="K4">
        <v>0.8</v>
      </c>
      <c r="L4" s="13">
        <f t="shared" si="7"/>
        <v>95.895824203343139</v>
      </c>
      <c r="M4">
        <v>0.34</v>
      </c>
      <c r="N4" s="13">
        <f t="shared" si="8"/>
        <v>38.72309232135558</v>
      </c>
      <c r="O4" s="13">
        <f t="shared" si="9"/>
        <v>777.30916986804743</v>
      </c>
      <c r="P4">
        <v>0.5</v>
      </c>
      <c r="Q4">
        <v>3</v>
      </c>
      <c r="R4">
        <v>2.7</v>
      </c>
      <c r="S4">
        <v>3.5</v>
      </c>
      <c r="T4">
        <v>20</v>
      </c>
      <c r="U4">
        <v>2.6</v>
      </c>
      <c r="V4">
        <v>0.11</v>
      </c>
      <c r="W4">
        <v>16</v>
      </c>
      <c r="X4">
        <v>1.5</v>
      </c>
      <c r="Y4">
        <v>4</v>
      </c>
      <c r="Z4">
        <v>0.4</v>
      </c>
      <c r="AA4">
        <v>2</v>
      </c>
      <c r="AB4">
        <v>0.4</v>
      </c>
      <c r="AC4">
        <v>0.1</v>
      </c>
      <c r="AD4">
        <v>0.7</v>
      </c>
      <c r="AE4">
        <v>0.08</v>
      </c>
      <c r="AF4">
        <v>0.7</v>
      </c>
      <c r="AG4">
        <v>0.11</v>
      </c>
      <c r="AH4">
        <v>0.5</v>
      </c>
      <c r="AI4">
        <v>7.0000000000000007E-2</v>
      </c>
      <c r="AJ4">
        <v>0.4</v>
      </c>
      <c r="AK4">
        <v>0.05</v>
      </c>
      <c r="AL4">
        <v>0.5</v>
      </c>
      <c r="AM4">
        <v>0.2</v>
      </c>
      <c r="AN4">
        <v>0.62</v>
      </c>
      <c r="AO4">
        <v>0.27</v>
      </c>
      <c r="AP4">
        <v>0.12</v>
      </c>
      <c r="AS4">
        <v>0.31</v>
      </c>
      <c r="AT4">
        <v>0.01</v>
      </c>
      <c r="AU4">
        <v>0.2</v>
      </c>
      <c r="AV4">
        <v>0.7</v>
      </c>
      <c r="AW4">
        <v>4.0000000000000001E-3</v>
      </c>
      <c r="AX4">
        <v>0.09</v>
      </c>
      <c r="AY4">
        <v>0.03</v>
      </c>
      <c r="AZ4">
        <v>1.6E-2</v>
      </c>
      <c r="BA4">
        <v>5.0000000000000001E-3</v>
      </c>
      <c r="BB4">
        <v>0.1</v>
      </c>
      <c r="BC4">
        <v>0.34</v>
      </c>
      <c r="BH4">
        <v>1.4</v>
      </c>
      <c r="BI4">
        <v>0.47</v>
      </c>
      <c r="BJ4">
        <v>5</v>
      </c>
      <c r="BK4">
        <v>2.2000000000000002</v>
      </c>
      <c r="BL4">
        <v>15</v>
      </c>
      <c r="BM4">
        <v>2.4</v>
      </c>
      <c r="BN4">
        <v>0.9</v>
      </c>
      <c r="BP4">
        <v>0.3</v>
      </c>
      <c r="BQ4">
        <v>1</v>
      </c>
      <c r="BW4">
        <v>0.73</v>
      </c>
      <c r="BX4">
        <v>0.1</v>
      </c>
      <c r="BY4">
        <v>1.2</v>
      </c>
      <c r="CD4">
        <v>0.03</v>
      </c>
      <c r="CO4">
        <v>0.06</v>
      </c>
      <c r="CP4">
        <v>1.5E-5</v>
      </c>
      <c r="CQ4">
        <v>9.0000000000000002E-6</v>
      </c>
      <c r="CR4">
        <v>2.5000000000000001E-5</v>
      </c>
      <c r="CS4">
        <v>8.9999999999999993E-3</v>
      </c>
      <c r="CT4">
        <v>4.0000000000000001E-3</v>
      </c>
      <c r="CU4">
        <v>5.5999999999999995E-4</v>
      </c>
      <c r="CV4">
        <v>1.0999999999999999E-2</v>
      </c>
      <c r="CW4">
        <v>8.4999999999999995E-4</v>
      </c>
      <c r="DB4">
        <v>7.6000000000000003E-7</v>
      </c>
    </row>
    <row r="5" spans="1:123" x14ac:dyDescent="0.2">
      <c r="A5" s="10" t="s">
        <v>137</v>
      </c>
      <c r="B5">
        <v>2.2000000000000002</v>
      </c>
      <c r="C5">
        <v>4.2</v>
      </c>
      <c r="D5" s="13">
        <f t="shared" si="0"/>
        <v>853.14380677326187</v>
      </c>
      <c r="E5" s="13">
        <f t="shared" si="1"/>
        <v>206843.3654227868</v>
      </c>
      <c r="F5" s="13">
        <f t="shared" si="2"/>
        <v>12331.785682761056</v>
      </c>
      <c r="G5" s="13">
        <f t="shared" si="3"/>
        <v>248213.60095865786</v>
      </c>
      <c r="H5" s="13">
        <f t="shared" si="4"/>
        <v>1.7457148291920002</v>
      </c>
      <c r="I5" s="13">
        <f t="shared" si="5"/>
        <v>30.881588194702484</v>
      </c>
      <c r="J5" s="13">
        <f t="shared" si="6"/>
        <v>15008.61315690925</v>
      </c>
      <c r="K5">
        <v>13.3</v>
      </c>
      <c r="L5" s="13">
        <f t="shared" si="7"/>
        <v>371.59631878795466</v>
      </c>
      <c r="M5">
        <v>61</v>
      </c>
      <c r="N5" s="13">
        <f t="shared" si="8"/>
        <v>844.16341260555134</v>
      </c>
      <c r="O5" s="13">
        <f t="shared" si="9"/>
        <v>52857.023551027232</v>
      </c>
      <c r="P5">
        <v>0.03</v>
      </c>
      <c r="Q5">
        <v>0.374</v>
      </c>
      <c r="R5">
        <v>0.78</v>
      </c>
      <c r="S5">
        <v>2.1800000000000002</v>
      </c>
      <c r="T5">
        <v>20</v>
      </c>
      <c r="U5">
        <v>3.9E-2</v>
      </c>
      <c r="V5">
        <v>1.07</v>
      </c>
      <c r="W5">
        <v>0.53300000000000003</v>
      </c>
      <c r="X5">
        <v>0.223</v>
      </c>
      <c r="Y5">
        <v>0.47099999999999997</v>
      </c>
      <c r="Z5">
        <v>7.4999999999999997E-2</v>
      </c>
      <c r="AA5">
        <v>0.36699999999999999</v>
      </c>
      <c r="AB5">
        <v>0.14699999999999999</v>
      </c>
      <c r="AC5">
        <v>5.2999999999999999E-2</v>
      </c>
      <c r="AD5">
        <v>0.253</v>
      </c>
      <c r="AE5">
        <v>5.0999999999999997E-2</v>
      </c>
      <c r="AF5">
        <v>0.36099999999999999</v>
      </c>
      <c r="AG5">
        <v>8.3000000000000004E-2</v>
      </c>
      <c r="AH5">
        <v>0.26400000000000001</v>
      </c>
      <c r="AI5">
        <v>4.1000000000000002E-2</v>
      </c>
      <c r="AJ5">
        <v>0.28000000000000003</v>
      </c>
      <c r="AK5">
        <v>4.4999999999999998E-2</v>
      </c>
      <c r="AL5">
        <v>0.52</v>
      </c>
      <c r="AM5">
        <v>3.0999999999999999E-3</v>
      </c>
      <c r="AN5">
        <v>0.56999999999999995</v>
      </c>
      <c r="AO5">
        <v>5.3999999999999999E-2</v>
      </c>
      <c r="AP5">
        <v>8.4000000000000005E-2</v>
      </c>
      <c r="AQ5">
        <v>1.4E-2</v>
      </c>
      <c r="AR5">
        <v>5.9999999999999995E-4</v>
      </c>
      <c r="AS5">
        <v>0.115</v>
      </c>
      <c r="AT5">
        <v>34.299999999999997</v>
      </c>
      <c r="AU5">
        <v>2.33</v>
      </c>
      <c r="AV5">
        <v>53.1</v>
      </c>
      <c r="AW5">
        <v>4.0000000000000002E-4</v>
      </c>
      <c r="AX5">
        <v>3.7200000000000002E-3</v>
      </c>
      <c r="AY5">
        <v>2.1</v>
      </c>
      <c r="AZ5">
        <v>6.2E-2</v>
      </c>
      <c r="BA5">
        <v>0.109</v>
      </c>
      <c r="BB5">
        <v>6.8</v>
      </c>
      <c r="BC5">
        <v>0.01</v>
      </c>
      <c r="BD5">
        <v>458000</v>
      </c>
      <c r="BE5">
        <v>2.6</v>
      </c>
      <c r="BF5">
        <v>1.2</v>
      </c>
      <c r="BG5">
        <v>0.7</v>
      </c>
      <c r="BH5">
        <v>2190</v>
      </c>
      <c r="BI5">
        <v>97.6</v>
      </c>
      <c r="BJ5">
        <v>1900</v>
      </c>
      <c r="BK5">
        <v>37.9</v>
      </c>
      <c r="BL5">
        <v>39.9</v>
      </c>
      <c r="BM5">
        <v>2.2999999999999998</v>
      </c>
      <c r="BN5">
        <v>0.44</v>
      </c>
      <c r="BO5">
        <v>8.9999999999999993E-3</v>
      </c>
      <c r="BP5">
        <v>0.1</v>
      </c>
      <c r="BQ5">
        <v>19</v>
      </c>
      <c r="BS5">
        <v>6</v>
      </c>
      <c r="BT5">
        <v>0.3</v>
      </c>
      <c r="BU5">
        <v>0.1</v>
      </c>
      <c r="BV5">
        <v>0.19</v>
      </c>
      <c r="BW5">
        <v>0.4</v>
      </c>
      <c r="BX5">
        <v>3.6999999999999998E-2</v>
      </c>
      <c r="BY5">
        <v>0.49</v>
      </c>
      <c r="BZ5">
        <v>8.0000000000000004E-4</v>
      </c>
      <c r="CA5">
        <v>0.3</v>
      </c>
      <c r="CB5">
        <v>6.5000000000000002E-2</v>
      </c>
      <c r="CC5">
        <v>20</v>
      </c>
      <c r="CD5">
        <v>6.4000000000000001E-2</v>
      </c>
      <c r="CE5">
        <v>0.3</v>
      </c>
      <c r="CF5">
        <v>6.0000000000000001E-3</v>
      </c>
      <c r="CG5">
        <v>1.5E-3</v>
      </c>
      <c r="CK5">
        <v>4.2699999999999996</v>
      </c>
      <c r="CL5">
        <v>8.4</v>
      </c>
      <c r="CO5">
        <v>1.01</v>
      </c>
      <c r="CP5">
        <v>0.70631999999999995</v>
      </c>
      <c r="CQ5">
        <v>0.51260499999999998</v>
      </c>
    </row>
    <row r="6" spans="1:123" x14ac:dyDescent="0.2">
      <c r="A6" s="10"/>
      <c r="B6">
        <v>1.7</v>
      </c>
      <c r="D6" s="13">
        <f t="shared" si="0"/>
        <v>103.86098517239709</v>
      </c>
      <c r="E6" s="13">
        <f t="shared" si="1"/>
        <v>3015.2094084954347</v>
      </c>
      <c r="F6" s="13">
        <f t="shared" si="2"/>
        <v>264.63059405066645</v>
      </c>
      <c r="G6" s="13">
        <f t="shared" si="3"/>
        <v>2337.2278809666468</v>
      </c>
      <c r="H6" s="13">
        <f t="shared" si="4"/>
        <v>0</v>
      </c>
      <c r="I6" s="13">
        <f t="shared" si="5"/>
        <v>2.0753755507192531</v>
      </c>
      <c r="J6" s="13">
        <f t="shared" si="6"/>
        <v>142.93917292294526</v>
      </c>
      <c r="K6">
        <v>2.2999999999999998</v>
      </c>
      <c r="L6" s="13">
        <f t="shared" si="7"/>
        <v>41.954423088962628</v>
      </c>
      <c r="M6">
        <v>15</v>
      </c>
      <c r="N6" s="13">
        <f t="shared" si="8"/>
        <v>69.701566178440018</v>
      </c>
      <c r="O6" s="13">
        <f t="shared" si="9"/>
        <v>1088.2328378152665</v>
      </c>
      <c r="Q6">
        <v>9.2999999999999999E-2</v>
      </c>
      <c r="R6">
        <v>0.08</v>
      </c>
      <c r="S6">
        <v>0.2</v>
      </c>
      <c r="T6">
        <v>0.9</v>
      </c>
      <c r="U6">
        <v>5.0000000000000001E-3</v>
      </c>
      <c r="V6">
        <v>0.17</v>
      </c>
      <c r="W6">
        <v>3.2000000000000001E-2</v>
      </c>
      <c r="X6">
        <v>8.9999999999999993E-3</v>
      </c>
      <c r="Y6">
        <v>3.3000000000000002E-2</v>
      </c>
      <c r="Z6">
        <v>8.9999999999999993E-3</v>
      </c>
      <c r="AA6">
        <v>0.02</v>
      </c>
      <c r="AB6">
        <v>8.9999999999999993E-3</v>
      </c>
      <c r="AC6">
        <v>2E-3</v>
      </c>
      <c r="AD6">
        <v>2.3E-2</v>
      </c>
      <c r="AE6">
        <v>5.0000000000000001E-3</v>
      </c>
      <c r="AF6">
        <v>1.2999999999999999E-2</v>
      </c>
      <c r="AG6">
        <v>7.0000000000000001E-3</v>
      </c>
      <c r="AH6">
        <v>1.6E-2</v>
      </c>
      <c r="AI6">
        <v>6.0000000000000001E-3</v>
      </c>
      <c r="AJ6">
        <v>1.2999999999999999E-2</v>
      </c>
      <c r="AK6">
        <v>2E-3</v>
      </c>
      <c r="AL6">
        <v>2.5000000000000001E-2</v>
      </c>
      <c r="AM6">
        <v>8.9999999999999998E-4</v>
      </c>
      <c r="AN6">
        <v>0.17</v>
      </c>
      <c r="AO6">
        <v>4.0000000000000001E-3</v>
      </c>
      <c r="AP6">
        <v>5.0000000000000001E-3</v>
      </c>
      <c r="AS6">
        <v>1.4E-2</v>
      </c>
      <c r="AT6">
        <v>0.5</v>
      </c>
      <c r="AU6">
        <v>0.05</v>
      </c>
      <c r="AV6">
        <v>0.5</v>
      </c>
      <c r="AX6">
        <v>2.5000000000000001E-4</v>
      </c>
      <c r="AY6">
        <v>0.02</v>
      </c>
      <c r="AZ6">
        <v>7.0000000000000001E-3</v>
      </c>
      <c r="BA6">
        <v>8.9999999999999993E-3</v>
      </c>
      <c r="BB6">
        <v>0.14000000000000001</v>
      </c>
      <c r="BH6">
        <v>210</v>
      </c>
      <c r="BI6">
        <v>7.6</v>
      </c>
      <c r="BJ6">
        <v>120</v>
      </c>
      <c r="BK6">
        <v>7.4</v>
      </c>
      <c r="BL6">
        <v>5.9</v>
      </c>
      <c r="BM6">
        <v>1</v>
      </c>
      <c r="BQ6">
        <v>4</v>
      </c>
      <c r="BV6">
        <v>0.06</v>
      </c>
      <c r="BX6">
        <v>3.7999999999999999E-2</v>
      </c>
      <c r="BY6">
        <v>0.13</v>
      </c>
    </row>
    <row r="7" spans="1:123" x14ac:dyDescent="0.2">
      <c r="A7" s="10" t="s">
        <v>167</v>
      </c>
      <c r="B7">
        <v>10.4</v>
      </c>
      <c r="C7">
        <v>23.5</v>
      </c>
      <c r="D7" s="13">
        <f t="shared" si="0"/>
        <v>4258.3003920682804</v>
      </c>
      <c r="E7" s="13">
        <f t="shared" si="1"/>
        <v>156790.8892417626</v>
      </c>
      <c r="F7" s="13">
        <f t="shared" si="2"/>
        <v>52449.783740842096</v>
      </c>
      <c r="G7" s="13">
        <f t="shared" si="3"/>
        <v>215492.41062512482</v>
      </c>
      <c r="H7" s="13">
        <f t="shared" si="4"/>
        <v>109.1071768245</v>
      </c>
      <c r="I7" s="13">
        <f t="shared" si="5"/>
        <v>298.85407930357241</v>
      </c>
      <c r="J7" s="13">
        <f t="shared" si="6"/>
        <v>44597.021951958915</v>
      </c>
      <c r="K7">
        <v>32.1</v>
      </c>
      <c r="L7" s="13">
        <f t="shared" si="7"/>
        <v>1726.1248356601766</v>
      </c>
      <c r="M7">
        <v>189</v>
      </c>
      <c r="N7" s="13">
        <f t="shared" si="8"/>
        <v>1363.0528497117159</v>
      </c>
      <c r="O7" s="13">
        <f t="shared" si="9"/>
        <v>76254.029564055454</v>
      </c>
      <c r="P7">
        <v>0.1</v>
      </c>
      <c r="Q7">
        <v>0.40600000000000003</v>
      </c>
      <c r="R7">
        <v>30</v>
      </c>
      <c r="S7">
        <v>11.8</v>
      </c>
      <c r="T7">
        <v>10</v>
      </c>
      <c r="U7">
        <v>9.9000000000000005E-2</v>
      </c>
      <c r="V7">
        <v>0.24</v>
      </c>
      <c r="W7">
        <v>1.06</v>
      </c>
      <c r="X7">
        <v>0.121</v>
      </c>
      <c r="Y7">
        <v>0.45</v>
      </c>
      <c r="Z7">
        <v>0.1</v>
      </c>
      <c r="AA7">
        <v>0.78400000000000003</v>
      </c>
      <c r="AB7">
        <v>0.52500000000000002</v>
      </c>
      <c r="AC7">
        <v>0.26400000000000001</v>
      </c>
      <c r="AD7">
        <v>1.17</v>
      </c>
      <c r="AE7">
        <v>0.248</v>
      </c>
      <c r="AF7">
        <v>1.98</v>
      </c>
      <c r="AG7">
        <v>0.443</v>
      </c>
      <c r="AH7">
        <v>1.4</v>
      </c>
      <c r="AI7">
        <v>0.20399999999999999</v>
      </c>
      <c r="AJ7">
        <v>1.41</v>
      </c>
      <c r="AK7">
        <v>0.20599999999999999</v>
      </c>
      <c r="AL7">
        <v>0.34899999999999998</v>
      </c>
      <c r="AM7">
        <v>1.9E-2</v>
      </c>
      <c r="AN7">
        <v>0.34499999999999997</v>
      </c>
      <c r="AO7">
        <v>8.0000000000000002E-3</v>
      </c>
      <c r="AP7">
        <v>1.21E-2</v>
      </c>
      <c r="AQ7">
        <v>2.5999999999999999E-2</v>
      </c>
      <c r="AR7">
        <v>4.4000000000000002E-4</v>
      </c>
      <c r="AS7">
        <v>0.57399999999999995</v>
      </c>
      <c r="AT7">
        <v>26</v>
      </c>
      <c r="AU7">
        <v>9.91</v>
      </c>
      <c r="AV7">
        <v>46.1</v>
      </c>
      <c r="AW7">
        <v>2.5000000000000001E-2</v>
      </c>
      <c r="AX7">
        <v>3.5999999999999997E-2</v>
      </c>
      <c r="AY7">
        <v>6.24</v>
      </c>
      <c r="AZ7">
        <v>0.28799999999999998</v>
      </c>
      <c r="BA7">
        <v>0.17599999999999999</v>
      </c>
      <c r="BB7">
        <v>9.81</v>
      </c>
      <c r="BC7">
        <v>3.4000000000000002E-2</v>
      </c>
      <c r="BD7">
        <v>444000</v>
      </c>
      <c r="BE7">
        <v>25</v>
      </c>
      <c r="BF7">
        <v>4.3</v>
      </c>
      <c r="BG7">
        <v>12</v>
      </c>
      <c r="BH7">
        <v>2272</v>
      </c>
      <c r="BI7">
        <v>92.4</v>
      </c>
      <c r="BJ7">
        <v>1074</v>
      </c>
      <c r="BK7">
        <v>63.8</v>
      </c>
      <c r="BL7">
        <v>74.7</v>
      </c>
      <c r="BM7">
        <v>8.67</v>
      </c>
      <c r="BN7">
        <v>0.96</v>
      </c>
      <c r="BO7">
        <v>0.03</v>
      </c>
      <c r="BP7">
        <v>0.3</v>
      </c>
      <c r="BQ7">
        <v>0.71</v>
      </c>
      <c r="BT7">
        <v>0.5</v>
      </c>
      <c r="BU7">
        <v>7.1999999999999995E-2</v>
      </c>
      <c r="BV7">
        <v>6.7000000000000004E-2</v>
      </c>
      <c r="BW7">
        <v>0.224</v>
      </c>
      <c r="BX7">
        <v>0.01</v>
      </c>
      <c r="BY7">
        <v>15.5</v>
      </c>
      <c r="BZ7">
        <v>5.9999999999999995E-4</v>
      </c>
      <c r="CB7">
        <v>6.3E-2</v>
      </c>
      <c r="CC7">
        <v>11.1</v>
      </c>
      <c r="CD7">
        <v>2.4E-2</v>
      </c>
      <c r="CE7">
        <v>0.2</v>
      </c>
      <c r="CF7">
        <v>3.0000000000000001E-3</v>
      </c>
      <c r="CG7">
        <v>8.9999999999999998E-4</v>
      </c>
      <c r="CI7">
        <v>14.4</v>
      </c>
      <c r="CJ7">
        <v>13.7</v>
      </c>
      <c r="CK7">
        <v>4.83</v>
      </c>
      <c r="CL7">
        <v>9.43</v>
      </c>
      <c r="CM7">
        <v>-0.21</v>
      </c>
      <c r="CN7">
        <v>-0.46</v>
      </c>
      <c r="CO7">
        <v>0.77</v>
      </c>
      <c r="CP7">
        <v>0.706932</v>
      </c>
      <c r="CQ7">
        <v>0.51324099999999995</v>
      </c>
      <c r="CS7">
        <v>18.518000000000001</v>
      </c>
      <c r="CT7">
        <v>15.629</v>
      </c>
      <c r="CU7">
        <v>0.84499999999999997</v>
      </c>
      <c r="CV7">
        <v>38.286000000000001</v>
      </c>
      <c r="CW7">
        <v>2.069</v>
      </c>
    </row>
    <row r="8" spans="1:123" x14ac:dyDescent="0.2">
      <c r="A8" s="10"/>
      <c r="B8">
        <v>1.7</v>
      </c>
      <c r="C8">
        <v>2.8</v>
      </c>
      <c r="D8" s="13">
        <f t="shared" si="0"/>
        <v>192.88468674873747</v>
      </c>
      <c r="E8" s="13">
        <f t="shared" si="1"/>
        <v>1809.1256450972608</v>
      </c>
      <c r="F8" s="13">
        <f t="shared" si="2"/>
        <v>899.74401977226603</v>
      </c>
      <c r="G8" s="13">
        <f t="shared" si="3"/>
        <v>1869.7823047733173</v>
      </c>
      <c r="H8" s="13">
        <f t="shared" si="4"/>
        <v>21.821435364899997</v>
      </c>
      <c r="I8" s="13">
        <f t="shared" si="5"/>
        <v>41.507511014385052</v>
      </c>
      <c r="J8" s="13">
        <f t="shared" si="6"/>
        <v>857.63503753767134</v>
      </c>
      <c r="K8">
        <v>1.4</v>
      </c>
      <c r="L8" s="13">
        <f t="shared" si="7"/>
        <v>71.921868152507358</v>
      </c>
      <c r="M8">
        <v>13</v>
      </c>
      <c r="N8" s="13">
        <f t="shared" si="8"/>
        <v>69.701566178440018</v>
      </c>
      <c r="O8" s="13">
        <f t="shared" si="9"/>
        <v>932.77100384165692</v>
      </c>
      <c r="Q8">
        <v>2.5000000000000001E-2</v>
      </c>
      <c r="R8">
        <v>1</v>
      </c>
      <c r="S8">
        <v>0.5</v>
      </c>
      <c r="T8">
        <v>0.5</v>
      </c>
      <c r="U8">
        <v>7.0000000000000001E-3</v>
      </c>
      <c r="V8">
        <v>2.5000000000000001E-2</v>
      </c>
      <c r="W8">
        <v>0.03</v>
      </c>
      <c r="X8">
        <v>4.0000000000000001E-3</v>
      </c>
      <c r="Y8">
        <v>1.6E-2</v>
      </c>
      <c r="Z8">
        <v>4.0000000000000001E-3</v>
      </c>
      <c r="AA8">
        <v>4.7E-2</v>
      </c>
      <c r="AB8">
        <v>0.02</v>
      </c>
      <c r="AC8">
        <v>8.0000000000000002E-3</v>
      </c>
      <c r="AD8">
        <v>0.04</v>
      </c>
      <c r="AE8">
        <v>1.2E-2</v>
      </c>
      <c r="AF8">
        <v>7.0000000000000007E-2</v>
      </c>
      <c r="AG8">
        <v>1.9E-2</v>
      </c>
      <c r="AH8">
        <v>0.06</v>
      </c>
      <c r="AI8">
        <v>8.9999999999999993E-3</v>
      </c>
      <c r="AJ8">
        <v>0.06</v>
      </c>
      <c r="AK8">
        <v>8.9999999999999993E-3</v>
      </c>
      <c r="AL8">
        <v>1.7000000000000001E-2</v>
      </c>
      <c r="AM8">
        <v>1E-3</v>
      </c>
      <c r="AN8">
        <v>4.2999999999999997E-2</v>
      </c>
      <c r="AO8">
        <v>1E-3</v>
      </c>
      <c r="AP8">
        <v>1.1999999999999999E-3</v>
      </c>
      <c r="AS8">
        <v>2.5999999999999999E-2</v>
      </c>
      <c r="AT8">
        <v>0.3</v>
      </c>
      <c r="AU8">
        <v>0.17</v>
      </c>
      <c r="AV8">
        <v>0.4</v>
      </c>
      <c r="AW8">
        <v>5.0000000000000001E-3</v>
      </c>
      <c r="AX8">
        <v>5.0000000000000001E-3</v>
      </c>
      <c r="AY8">
        <v>0.12</v>
      </c>
      <c r="AZ8">
        <v>1.2E-2</v>
      </c>
      <c r="BA8">
        <v>8.9999999999999993E-3</v>
      </c>
      <c r="BB8">
        <v>0.12</v>
      </c>
      <c r="BC8">
        <v>7.0000000000000001E-3</v>
      </c>
      <c r="BH8">
        <v>171</v>
      </c>
      <c r="BI8">
        <v>6.2</v>
      </c>
      <c r="BJ8">
        <v>61</v>
      </c>
      <c r="BK8">
        <v>12.5</v>
      </c>
      <c r="BL8">
        <v>6.7</v>
      </c>
      <c r="BM8">
        <v>1.07</v>
      </c>
      <c r="BQ8">
        <v>0.26</v>
      </c>
      <c r="BW8">
        <v>9.1999999999999998E-2</v>
      </c>
      <c r="BX8">
        <v>2.1000000000000001E-2</v>
      </c>
      <c r="BY8">
        <v>2.4</v>
      </c>
      <c r="CJ8">
        <v>0.6</v>
      </c>
      <c r="CU8">
        <v>3.3999999999999998E-3</v>
      </c>
      <c r="CW8">
        <v>1.4E-2</v>
      </c>
    </row>
    <row r="9" spans="1:123" x14ac:dyDescent="0.2">
      <c r="A9" s="10" t="s">
        <v>168</v>
      </c>
      <c r="B9">
        <v>8.9</v>
      </c>
      <c r="C9">
        <v>17.2</v>
      </c>
      <c r="D9" s="13">
        <f t="shared" si="0"/>
        <v>6157.4726923635417</v>
      </c>
      <c r="E9" s="13">
        <f t="shared" si="1"/>
        <v>135081.38150059545</v>
      </c>
      <c r="F9" s="13">
        <f t="shared" si="2"/>
        <v>58218.730691146622</v>
      </c>
      <c r="G9" s="13">
        <f t="shared" si="3"/>
        <v>212687.73716796481</v>
      </c>
      <c r="H9" s="13">
        <f t="shared" si="4"/>
        <v>157.11433462727999</v>
      </c>
      <c r="I9" s="13">
        <f t="shared" si="5"/>
        <v>255.68626784861195</v>
      </c>
      <c r="J9" s="13">
        <f t="shared" si="6"/>
        <v>60391.800559944357</v>
      </c>
      <c r="K9">
        <v>36.5</v>
      </c>
      <c r="L9" s="13">
        <f t="shared" si="7"/>
        <v>1834.0076378889378</v>
      </c>
      <c r="M9">
        <v>214</v>
      </c>
      <c r="N9" s="13">
        <f t="shared" si="8"/>
        <v>1192.6712434977514</v>
      </c>
      <c r="O9" s="13">
        <f t="shared" si="9"/>
        <v>78508.226156672783</v>
      </c>
      <c r="P9">
        <v>0.16</v>
      </c>
      <c r="Q9">
        <v>2.1</v>
      </c>
      <c r="R9">
        <v>15.3</v>
      </c>
      <c r="S9">
        <v>12.9</v>
      </c>
      <c r="T9">
        <v>9.9</v>
      </c>
      <c r="U9">
        <v>7.2999999999999995E-2</v>
      </c>
      <c r="V9">
        <v>7.45</v>
      </c>
      <c r="W9">
        <v>0.81499999999999995</v>
      </c>
      <c r="X9">
        <v>8.4199999999999997E-2</v>
      </c>
      <c r="Y9">
        <v>0.39300000000000002</v>
      </c>
      <c r="Z9">
        <v>8.8999999999999996E-2</v>
      </c>
      <c r="AA9">
        <v>0.68899999999999995</v>
      </c>
      <c r="AB9">
        <v>0.50800000000000001</v>
      </c>
      <c r="AC9">
        <v>0.255</v>
      </c>
      <c r="AD9">
        <v>1.19</v>
      </c>
      <c r="AE9">
        <v>0.26900000000000002</v>
      </c>
      <c r="AF9">
        <v>2.15</v>
      </c>
      <c r="AG9">
        <v>0.50700000000000001</v>
      </c>
      <c r="AH9">
        <v>1.56</v>
      </c>
      <c r="AI9">
        <v>0.23400000000000001</v>
      </c>
      <c r="AJ9">
        <v>1.61</v>
      </c>
      <c r="AK9">
        <v>0.23699999999999999</v>
      </c>
      <c r="AL9">
        <v>0.35699999999999998</v>
      </c>
      <c r="AM9">
        <v>3.1E-2</v>
      </c>
      <c r="AN9">
        <v>19.5</v>
      </c>
      <c r="AO9">
        <v>8.9999999999999993E-3</v>
      </c>
      <c r="AP9">
        <v>4.8000000000000001E-2</v>
      </c>
      <c r="AQ9">
        <v>2.5999999999999999E-2</v>
      </c>
      <c r="AR9">
        <v>5.8E-4</v>
      </c>
      <c r="AS9">
        <v>0.83</v>
      </c>
      <c r="AT9">
        <v>22.4</v>
      </c>
      <c r="AU9">
        <v>11</v>
      </c>
      <c r="AV9">
        <v>45.5</v>
      </c>
      <c r="AW9">
        <v>3.5999999999999997E-2</v>
      </c>
      <c r="AX9">
        <v>3.0800000000000001E-2</v>
      </c>
      <c r="AY9">
        <v>8.4499999999999993</v>
      </c>
      <c r="AZ9">
        <v>0.30599999999999999</v>
      </c>
      <c r="BA9">
        <v>0.154</v>
      </c>
      <c r="BB9">
        <v>10.1</v>
      </c>
      <c r="BC9">
        <v>0.08</v>
      </c>
      <c r="BD9">
        <v>440000</v>
      </c>
      <c r="BE9">
        <v>22</v>
      </c>
      <c r="BF9">
        <v>1.8</v>
      </c>
      <c r="BG9">
        <v>6.2</v>
      </c>
      <c r="BH9">
        <v>2528</v>
      </c>
      <c r="BI9">
        <v>92.7</v>
      </c>
      <c r="BJ9">
        <v>1187</v>
      </c>
      <c r="BK9">
        <v>205</v>
      </c>
      <c r="BL9">
        <v>76.8</v>
      </c>
      <c r="BM9">
        <v>10.4</v>
      </c>
      <c r="BN9">
        <v>0.68</v>
      </c>
      <c r="BO9">
        <v>0.03</v>
      </c>
      <c r="BP9">
        <v>0.2</v>
      </c>
      <c r="BQ9">
        <v>30.5</v>
      </c>
      <c r="BT9">
        <v>0.04</v>
      </c>
      <c r="BU9">
        <v>0.08</v>
      </c>
      <c r="BV9">
        <v>0.09</v>
      </c>
      <c r="BW9">
        <v>0.34</v>
      </c>
      <c r="BX9">
        <v>0.06</v>
      </c>
      <c r="BY9">
        <v>25.4</v>
      </c>
      <c r="BZ9">
        <v>8.9999999999999998E-4</v>
      </c>
      <c r="CA9">
        <v>0.2</v>
      </c>
      <c r="CB9">
        <v>1.28</v>
      </c>
      <c r="CC9">
        <v>13</v>
      </c>
      <c r="CD9">
        <v>0.11</v>
      </c>
      <c r="CE9">
        <v>0.4</v>
      </c>
      <c r="CF9">
        <v>1E-3</v>
      </c>
      <c r="CG9">
        <v>7.0000000000000001E-3</v>
      </c>
      <c r="CI9">
        <v>8.9</v>
      </c>
      <c r="CJ9">
        <v>7.1</v>
      </c>
      <c r="CK9">
        <v>4.34</v>
      </c>
      <c r="CL9">
        <v>8.52</v>
      </c>
      <c r="CM9">
        <v>-0.15</v>
      </c>
      <c r="CN9">
        <v>-0.27</v>
      </c>
      <c r="CO9">
        <v>0.61</v>
      </c>
      <c r="CP9">
        <v>0.70720000000000005</v>
      </c>
      <c r="CQ9">
        <v>0.513289</v>
      </c>
      <c r="CS9">
        <v>19.25</v>
      </c>
      <c r="CT9">
        <v>15.72</v>
      </c>
      <c r="CU9">
        <v>0.81599999999999995</v>
      </c>
      <c r="CV9">
        <v>38.72</v>
      </c>
      <c r="CW9">
        <v>2.008</v>
      </c>
    </row>
    <row r="10" spans="1:123" x14ac:dyDescent="0.2">
      <c r="A10" s="10"/>
      <c r="B10">
        <v>1.2</v>
      </c>
      <c r="C10">
        <v>2.6</v>
      </c>
      <c r="D10" s="13">
        <f t="shared" si="0"/>
        <v>296.74567192113454</v>
      </c>
      <c r="E10" s="13">
        <f t="shared" si="1"/>
        <v>1206.0837633981739</v>
      </c>
      <c r="F10" s="13">
        <f t="shared" si="2"/>
        <v>1058.5223762026658</v>
      </c>
      <c r="G10" s="13">
        <f t="shared" si="3"/>
        <v>1869.7823047733173</v>
      </c>
      <c r="H10" s="13">
        <f t="shared" si="4"/>
        <v>52.371444875759998</v>
      </c>
      <c r="I10" s="13">
        <f t="shared" si="5"/>
        <v>28.225107489781834</v>
      </c>
      <c r="J10" s="13">
        <f t="shared" si="6"/>
        <v>857.63503753767134</v>
      </c>
      <c r="K10">
        <v>1.2</v>
      </c>
      <c r="L10" s="13">
        <f t="shared" si="7"/>
        <v>77.915357165216292</v>
      </c>
      <c r="M10">
        <v>17</v>
      </c>
      <c r="N10" s="13">
        <f t="shared" si="8"/>
        <v>54.212329249897806</v>
      </c>
      <c r="O10" s="13">
        <f t="shared" si="9"/>
        <v>777.30916986804743</v>
      </c>
      <c r="Q10">
        <v>0.1</v>
      </c>
      <c r="R10">
        <v>0.6</v>
      </c>
      <c r="S10">
        <v>0.5</v>
      </c>
      <c r="T10">
        <v>0.3</v>
      </c>
      <c r="U10">
        <v>1.2999999999999999E-2</v>
      </c>
      <c r="V10">
        <v>0.63</v>
      </c>
      <c r="W10">
        <v>6.2E-2</v>
      </c>
      <c r="X10">
        <v>2.8999999999999998E-3</v>
      </c>
      <c r="Y10">
        <v>1.7999999999999999E-2</v>
      </c>
      <c r="Z10">
        <v>4.0000000000000001E-3</v>
      </c>
      <c r="AA10">
        <v>1.7000000000000001E-2</v>
      </c>
      <c r="AB10">
        <v>1.4999999999999999E-2</v>
      </c>
      <c r="AC10">
        <v>7.0000000000000001E-3</v>
      </c>
      <c r="AD10">
        <v>0.04</v>
      </c>
      <c r="AE10">
        <v>1.0999999999999999E-2</v>
      </c>
      <c r="AF10">
        <v>0.06</v>
      </c>
      <c r="AG10">
        <v>1.9E-2</v>
      </c>
      <c r="AH10">
        <v>0.05</v>
      </c>
      <c r="AI10">
        <v>8.9999999999999993E-3</v>
      </c>
      <c r="AJ10">
        <v>0.04</v>
      </c>
      <c r="AK10">
        <v>8.9999999999999993E-3</v>
      </c>
      <c r="AL10">
        <v>1.7999999999999999E-2</v>
      </c>
      <c r="AM10">
        <v>2E-3</v>
      </c>
      <c r="AN10">
        <v>1.7</v>
      </c>
      <c r="AO10">
        <v>3.0000000000000001E-3</v>
      </c>
      <c r="AP10">
        <v>5.0000000000000001E-3</v>
      </c>
      <c r="AS10">
        <v>0.04</v>
      </c>
      <c r="AT10">
        <v>0.2</v>
      </c>
      <c r="AU10">
        <v>0.2</v>
      </c>
      <c r="AV10">
        <v>0.4</v>
      </c>
      <c r="AW10">
        <v>1.2E-2</v>
      </c>
      <c r="AX10">
        <v>3.3999999999999998E-3</v>
      </c>
      <c r="AY10">
        <v>0.12</v>
      </c>
      <c r="AZ10">
        <v>1.2999999999999999E-2</v>
      </c>
      <c r="BA10">
        <v>7.0000000000000001E-3</v>
      </c>
      <c r="BB10">
        <v>0.1</v>
      </c>
      <c r="BH10">
        <v>183</v>
      </c>
      <c r="BI10">
        <v>5.7</v>
      </c>
      <c r="BJ10">
        <v>58</v>
      </c>
      <c r="BK10">
        <v>21</v>
      </c>
      <c r="BL10">
        <v>12.5</v>
      </c>
      <c r="BM10">
        <v>0.9</v>
      </c>
      <c r="BQ10">
        <v>2.6</v>
      </c>
      <c r="BW10">
        <v>0.09</v>
      </c>
      <c r="BX10">
        <v>0.04</v>
      </c>
      <c r="BY10">
        <v>3.4</v>
      </c>
      <c r="CC10">
        <v>11</v>
      </c>
      <c r="CD10">
        <v>0.09</v>
      </c>
      <c r="CG10">
        <v>3.0000000000000001E-3</v>
      </c>
      <c r="CU10">
        <v>2.5999999999999999E-3</v>
      </c>
      <c r="CW10">
        <v>5.0000000000000001E-3</v>
      </c>
    </row>
    <row r="11" spans="1:123" x14ac:dyDescent="0.2">
      <c r="A11" s="10" t="s">
        <v>169</v>
      </c>
      <c r="B11">
        <v>5.0999999999999996</v>
      </c>
      <c r="C11">
        <v>2.73</v>
      </c>
      <c r="D11" s="13">
        <f t="shared" si="0"/>
        <v>17433.808225366654</v>
      </c>
      <c r="E11" s="13">
        <f t="shared" si="1"/>
        <v>44263.274116712979</v>
      </c>
      <c r="F11" s="13">
        <f t="shared" si="2"/>
        <v>70391.73801747727</v>
      </c>
      <c r="G11" s="13">
        <f t="shared" si="3"/>
        <v>235125.12482524459</v>
      </c>
      <c r="H11" s="13">
        <f t="shared" si="4"/>
        <v>1012.51460093136</v>
      </c>
      <c r="I11" s="13">
        <f t="shared" si="5"/>
        <v>3984.7210573809657</v>
      </c>
      <c r="J11" s="13">
        <f t="shared" si="6"/>
        <v>77901.849243005156</v>
      </c>
      <c r="K11">
        <v>31.8</v>
      </c>
      <c r="L11" s="13">
        <f t="shared" si="7"/>
        <v>15343.331872534904</v>
      </c>
      <c r="M11">
        <v>309</v>
      </c>
      <c r="N11" s="13">
        <f t="shared" si="8"/>
        <v>1277.8620466047339</v>
      </c>
      <c r="O11" s="13">
        <f t="shared" si="9"/>
        <v>83172.081175881074</v>
      </c>
      <c r="P11">
        <v>0.17</v>
      </c>
      <c r="Q11">
        <v>8.6999999999999993</v>
      </c>
      <c r="R11">
        <v>356</v>
      </c>
      <c r="S11">
        <v>25.4</v>
      </c>
      <c r="T11">
        <v>152</v>
      </c>
      <c r="U11">
        <v>15</v>
      </c>
      <c r="V11">
        <v>0.115</v>
      </c>
      <c r="W11">
        <v>123</v>
      </c>
      <c r="X11">
        <v>13.1</v>
      </c>
      <c r="Y11">
        <v>32.4</v>
      </c>
      <c r="Z11">
        <v>4.5999999999999996</v>
      </c>
      <c r="AA11">
        <v>21.6</v>
      </c>
      <c r="AB11">
        <v>5.54</v>
      </c>
      <c r="AC11">
        <v>1.92</v>
      </c>
      <c r="AD11">
        <v>5.92</v>
      </c>
      <c r="AE11">
        <v>0.89</v>
      </c>
      <c r="AF11">
        <v>5.22</v>
      </c>
      <c r="AG11">
        <v>0.96099999999999997</v>
      </c>
      <c r="AH11">
        <v>2.54</v>
      </c>
      <c r="AI11">
        <v>0.33100000000000002</v>
      </c>
      <c r="AJ11">
        <v>2.1</v>
      </c>
      <c r="AK11">
        <v>0.28499999999999998</v>
      </c>
      <c r="AL11">
        <v>3.93</v>
      </c>
      <c r="AM11">
        <v>0.96099999999999997</v>
      </c>
      <c r="AN11">
        <v>2.0699999999999998</v>
      </c>
      <c r="AO11">
        <v>1.02</v>
      </c>
      <c r="AP11">
        <v>0.54800000000000004</v>
      </c>
      <c r="AQ11">
        <v>1.4999999999999999E-2</v>
      </c>
      <c r="AR11">
        <v>5.1999999999999995E-4</v>
      </c>
      <c r="AS11">
        <v>2.35</v>
      </c>
      <c r="AT11">
        <v>7.34</v>
      </c>
      <c r="AU11">
        <v>13.3</v>
      </c>
      <c r="AV11">
        <v>50.3</v>
      </c>
      <c r="AW11">
        <v>0.23200000000000001</v>
      </c>
      <c r="AX11">
        <v>0.48</v>
      </c>
      <c r="AY11">
        <v>10.9</v>
      </c>
      <c r="AZ11">
        <v>2.56</v>
      </c>
      <c r="BA11">
        <v>0.16500000000000001</v>
      </c>
      <c r="BB11">
        <v>10.7</v>
      </c>
      <c r="BC11">
        <v>0.88</v>
      </c>
      <c r="BD11">
        <v>444000</v>
      </c>
      <c r="BE11">
        <v>177</v>
      </c>
      <c r="BF11">
        <v>7.7</v>
      </c>
      <c r="BG11">
        <v>26</v>
      </c>
      <c r="BH11">
        <v>294</v>
      </c>
      <c r="BI11">
        <v>41.2</v>
      </c>
      <c r="BJ11">
        <v>112</v>
      </c>
      <c r="BK11">
        <v>87.9</v>
      </c>
      <c r="BL11">
        <v>110</v>
      </c>
      <c r="BM11">
        <v>20</v>
      </c>
      <c r="BN11">
        <v>1.3</v>
      </c>
      <c r="BO11">
        <v>7.0000000000000007E-2</v>
      </c>
      <c r="BQ11">
        <v>3.6</v>
      </c>
      <c r="BR11">
        <v>37</v>
      </c>
      <c r="BS11">
        <v>6</v>
      </c>
      <c r="BT11">
        <v>0.15</v>
      </c>
      <c r="BU11">
        <v>0.09</v>
      </c>
      <c r="BV11">
        <v>0.24</v>
      </c>
      <c r="BW11">
        <v>1.54</v>
      </c>
      <c r="BX11">
        <v>0.14000000000000001</v>
      </c>
      <c r="BY11">
        <v>0.37</v>
      </c>
      <c r="BZ11">
        <v>6.9999999999999999E-4</v>
      </c>
      <c r="CA11">
        <v>0.3</v>
      </c>
      <c r="CB11">
        <v>0.1</v>
      </c>
      <c r="CC11">
        <v>16</v>
      </c>
      <c r="CD11">
        <v>0.4</v>
      </c>
      <c r="CG11">
        <v>3.5999999999999997E-2</v>
      </c>
      <c r="CI11">
        <v>4.0999999999999996</v>
      </c>
      <c r="CK11">
        <v>4.3099999999999996</v>
      </c>
      <c r="CL11">
        <v>8.6300000000000008</v>
      </c>
      <c r="CM11">
        <v>-0.21</v>
      </c>
      <c r="CN11">
        <v>-0.44</v>
      </c>
      <c r="CO11">
        <v>0.77</v>
      </c>
      <c r="CP11">
        <v>0.703565</v>
      </c>
      <c r="CQ11">
        <v>0.51295199999999996</v>
      </c>
      <c r="CR11">
        <v>0.28310800000000003</v>
      </c>
      <c r="CS11">
        <v>19.038</v>
      </c>
      <c r="CT11">
        <v>15.634</v>
      </c>
      <c r="CU11">
        <v>0.82099</v>
      </c>
      <c r="CV11">
        <v>38.509</v>
      </c>
      <c r="CW11">
        <v>2.0232000000000001</v>
      </c>
      <c r="DB11">
        <v>5.3199999999999999E-5</v>
      </c>
      <c r="DC11">
        <v>141</v>
      </c>
    </row>
    <row r="12" spans="1:123" x14ac:dyDescent="0.2">
      <c r="A12" s="10"/>
      <c r="B12">
        <v>0.5</v>
      </c>
      <c r="C12">
        <v>0.28000000000000003</v>
      </c>
      <c r="D12" s="13">
        <f t="shared" si="0"/>
        <v>593.49134384226909</v>
      </c>
      <c r="E12" s="13">
        <f t="shared" si="1"/>
        <v>542.73769352917816</v>
      </c>
      <c r="F12" s="13">
        <f t="shared" si="2"/>
        <v>1058.5223762026658</v>
      </c>
      <c r="G12" s="13">
        <f t="shared" si="3"/>
        <v>1402.3367285799879</v>
      </c>
      <c r="H12" s="13">
        <f t="shared" si="4"/>
        <v>113.47146389747998</v>
      </c>
      <c r="I12" s="13">
        <f t="shared" si="5"/>
        <v>83.015022028770105</v>
      </c>
      <c r="J12" s="13">
        <f t="shared" si="6"/>
        <v>1429.3917292294523</v>
      </c>
      <c r="K12">
        <v>0.9</v>
      </c>
      <c r="L12" s="13">
        <f t="shared" si="7"/>
        <v>539.41401114380517</v>
      </c>
      <c r="M12">
        <v>38</v>
      </c>
      <c r="N12" s="13">
        <f t="shared" si="8"/>
        <v>69.701566178440018</v>
      </c>
      <c r="O12" s="13">
        <f t="shared" si="9"/>
        <v>777.30916986804743</v>
      </c>
      <c r="Q12">
        <v>0.4</v>
      </c>
      <c r="R12">
        <v>8</v>
      </c>
      <c r="S12">
        <v>1.1000000000000001</v>
      </c>
      <c r="T12">
        <v>5</v>
      </c>
      <c r="U12">
        <v>0.5</v>
      </c>
      <c r="V12">
        <v>8.9999999999999993E-3</v>
      </c>
      <c r="W12">
        <v>5</v>
      </c>
      <c r="X12">
        <v>0.2</v>
      </c>
      <c r="Y12">
        <v>0.7</v>
      </c>
      <c r="Z12">
        <v>0.1</v>
      </c>
      <c r="AA12">
        <v>0.4</v>
      </c>
      <c r="AB12">
        <v>0.09</v>
      </c>
      <c r="AC12">
        <v>0.04</v>
      </c>
      <c r="AD12">
        <v>0.2</v>
      </c>
      <c r="AE12">
        <v>3.1E-2</v>
      </c>
      <c r="AF12">
        <v>0.12</v>
      </c>
      <c r="AG12">
        <v>2.1999999999999999E-2</v>
      </c>
      <c r="AH12">
        <v>7.0000000000000007E-2</v>
      </c>
      <c r="AI12">
        <v>8.9999999999999993E-3</v>
      </c>
      <c r="AJ12">
        <v>0.05</v>
      </c>
      <c r="AK12">
        <v>8.9999999999999993E-3</v>
      </c>
      <c r="AL12">
        <v>0.14000000000000001</v>
      </c>
      <c r="AM12">
        <v>2.1999999999999999E-2</v>
      </c>
      <c r="AN12">
        <v>0.1</v>
      </c>
      <c r="AO12">
        <v>0.03</v>
      </c>
      <c r="AP12">
        <v>1.6E-2</v>
      </c>
      <c r="AS12">
        <v>0.08</v>
      </c>
      <c r="AT12">
        <v>0.09</v>
      </c>
      <c r="AU12">
        <v>0.2</v>
      </c>
      <c r="AV12">
        <v>0.3</v>
      </c>
      <c r="AW12">
        <v>2.5999999999999999E-2</v>
      </c>
      <c r="AX12">
        <v>0.01</v>
      </c>
      <c r="AY12">
        <v>0.2</v>
      </c>
      <c r="AZ12">
        <v>0.09</v>
      </c>
      <c r="BA12">
        <v>8.9999999999999993E-3</v>
      </c>
      <c r="BB12">
        <v>0.1</v>
      </c>
      <c r="BC12">
        <v>0.34</v>
      </c>
      <c r="BH12">
        <v>27</v>
      </c>
      <c r="BI12">
        <v>2.2999999999999998</v>
      </c>
      <c r="BJ12">
        <v>5</v>
      </c>
      <c r="BK12">
        <v>9.1</v>
      </c>
      <c r="BL12">
        <v>10</v>
      </c>
      <c r="BM12">
        <v>1.2</v>
      </c>
      <c r="BN12">
        <v>0.8</v>
      </c>
      <c r="BQ12">
        <v>0.6</v>
      </c>
      <c r="BW12">
        <v>0.28999999999999998</v>
      </c>
      <c r="BX12">
        <v>0.03</v>
      </c>
      <c r="BY12">
        <v>0.06</v>
      </c>
      <c r="CG12">
        <v>1.4E-2</v>
      </c>
      <c r="CP12">
        <v>2.1999999999999999E-5</v>
      </c>
      <c r="CQ12">
        <v>1.7E-5</v>
      </c>
      <c r="CR12">
        <v>1.9999999999999999E-6</v>
      </c>
      <c r="CS12">
        <v>8.9999999999999993E-3</v>
      </c>
      <c r="CT12">
        <v>6.0000000000000001E-3</v>
      </c>
      <c r="CU12">
        <v>6.6E-4</v>
      </c>
      <c r="CV12">
        <v>4.7E-2</v>
      </c>
      <c r="CW12">
        <v>1.6000000000000001E-3</v>
      </c>
    </row>
    <row r="13" spans="1:123" x14ac:dyDescent="0.2">
      <c r="A13" s="10" t="s">
        <v>170</v>
      </c>
      <c r="B13">
        <v>4.5</v>
      </c>
      <c r="C13">
        <v>2.5</v>
      </c>
      <c r="D13" s="13">
        <f t="shared" si="0"/>
        <v>17804.740315268074</v>
      </c>
      <c r="E13" s="13">
        <f t="shared" si="1"/>
        <v>39740.460003969827</v>
      </c>
      <c r="F13" s="13">
        <f t="shared" si="2"/>
        <v>71979.521581781271</v>
      </c>
      <c r="G13" s="13">
        <f t="shared" si="3"/>
        <v>240267.02616337125</v>
      </c>
      <c r="H13" s="13">
        <f t="shared" si="4"/>
        <v>1003.7860267853999</v>
      </c>
      <c r="I13" s="13">
        <f t="shared" si="5"/>
        <v>3196.0783481076492</v>
      </c>
      <c r="J13" s="13">
        <f t="shared" si="6"/>
        <v>75043.065784546241</v>
      </c>
      <c r="K13">
        <v>31.6</v>
      </c>
      <c r="L13" s="13">
        <f t="shared" si="7"/>
        <v>12766.131597070056</v>
      </c>
      <c r="M13">
        <v>268</v>
      </c>
      <c r="N13" s="13">
        <f t="shared" si="8"/>
        <v>1316.5851389260897</v>
      </c>
      <c r="O13" s="13">
        <f t="shared" si="9"/>
        <v>84726.699515617176</v>
      </c>
      <c r="P13">
        <v>0.28000000000000003</v>
      </c>
      <c r="Q13">
        <v>5.8</v>
      </c>
      <c r="R13">
        <v>312</v>
      </c>
      <c r="S13">
        <v>23.9</v>
      </c>
      <c r="T13">
        <v>122</v>
      </c>
      <c r="U13">
        <v>8.61</v>
      </c>
      <c r="V13">
        <v>0.14000000000000001</v>
      </c>
      <c r="W13">
        <v>80.099999999999994</v>
      </c>
      <c r="X13">
        <v>8.99</v>
      </c>
      <c r="Y13">
        <v>23.1</v>
      </c>
      <c r="Z13">
        <v>3.43</v>
      </c>
      <c r="AA13">
        <v>16.7</v>
      </c>
      <c r="AB13">
        <v>4.75</v>
      </c>
      <c r="AC13">
        <v>1.67</v>
      </c>
      <c r="AD13">
        <v>5.26</v>
      </c>
      <c r="AE13">
        <v>0.79700000000000004</v>
      </c>
      <c r="AF13">
        <v>4.84</v>
      </c>
      <c r="AG13">
        <v>0.90600000000000003</v>
      </c>
      <c r="AH13">
        <v>2.44</v>
      </c>
      <c r="AI13">
        <v>0.32400000000000001</v>
      </c>
      <c r="AJ13">
        <v>2.06</v>
      </c>
      <c r="AK13">
        <v>0.28599999999999998</v>
      </c>
      <c r="AL13">
        <v>3.22</v>
      </c>
      <c r="AM13">
        <v>0.55500000000000005</v>
      </c>
      <c r="AN13">
        <v>1.38</v>
      </c>
      <c r="AO13">
        <v>0.54800000000000004</v>
      </c>
      <c r="AP13">
        <v>0.442</v>
      </c>
      <c r="AQ13">
        <v>1.4999999999999999E-2</v>
      </c>
      <c r="AR13">
        <v>4.6999999999999999E-4</v>
      </c>
      <c r="AS13">
        <v>2.4</v>
      </c>
      <c r="AT13">
        <v>6.59</v>
      </c>
      <c r="AU13">
        <v>13.6</v>
      </c>
      <c r="AV13">
        <v>51.4</v>
      </c>
      <c r="AW13">
        <v>0.23</v>
      </c>
      <c r="AX13">
        <v>0.38500000000000001</v>
      </c>
      <c r="AY13">
        <v>10.5</v>
      </c>
      <c r="AZ13">
        <v>2.13</v>
      </c>
      <c r="BA13">
        <v>0.17</v>
      </c>
      <c r="BB13">
        <v>10.9</v>
      </c>
      <c r="BC13">
        <v>0.62</v>
      </c>
      <c r="BD13">
        <v>447000</v>
      </c>
      <c r="BE13">
        <v>70</v>
      </c>
      <c r="BF13">
        <v>1.2</v>
      </c>
      <c r="BG13">
        <v>7.5</v>
      </c>
      <c r="BH13">
        <v>177</v>
      </c>
      <c r="BI13">
        <v>41.2</v>
      </c>
      <c r="BJ13">
        <v>107</v>
      </c>
      <c r="BK13">
        <v>112</v>
      </c>
      <c r="BL13">
        <v>108</v>
      </c>
      <c r="BM13">
        <v>19.600000000000001</v>
      </c>
      <c r="BN13">
        <v>1.1000000000000001</v>
      </c>
      <c r="BO13">
        <v>0.06</v>
      </c>
      <c r="BP13">
        <v>0.2</v>
      </c>
      <c r="BQ13">
        <v>16.7</v>
      </c>
      <c r="BT13">
        <v>0.03</v>
      </c>
      <c r="BU13">
        <v>0.1</v>
      </c>
      <c r="BV13">
        <v>0.2</v>
      </c>
      <c r="BW13">
        <v>1.1399999999999999</v>
      </c>
      <c r="BX13">
        <v>0.11</v>
      </c>
      <c r="BY13">
        <v>0.35</v>
      </c>
      <c r="BZ13">
        <v>6.9999999999999999E-4</v>
      </c>
      <c r="CB13">
        <v>0.03</v>
      </c>
      <c r="CC13">
        <v>8.8000000000000007</v>
      </c>
      <c r="CD13">
        <v>6.5000000000000002E-2</v>
      </c>
      <c r="CE13">
        <v>0.3</v>
      </c>
      <c r="CF13">
        <v>8.0000000000000002E-3</v>
      </c>
      <c r="CG13">
        <v>6.0000000000000001E-3</v>
      </c>
      <c r="CI13">
        <v>4.3499999999999996</v>
      </c>
      <c r="CK13">
        <v>4.28</v>
      </c>
      <c r="CL13">
        <v>8.35</v>
      </c>
      <c r="CM13">
        <v>-0.16</v>
      </c>
      <c r="CN13">
        <v>-0.35</v>
      </c>
      <c r="CO13">
        <v>0.7</v>
      </c>
      <c r="CP13">
        <v>0.70384899999999995</v>
      </c>
      <c r="CQ13">
        <v>0.51288199999999995</v>
      </c>
      <c r="CR13">
        <v>0.28306700000000001</v>
      </c>
      <c r="CS13">
        <v>18.72</v>
      </c>
      <c r="CT13">
        <v>15.58</v>
      </c>
      <c r="CU13">
        <v>0.83289999999999997</v>
      </c>
      <c r="CV13">
        <v>38.42</v>
      </c>
      <c r="CW13">
        <v>2.0539999999999998</v>
      </c>
    </row>
    <row r="14" spans="1:123" x14ac:dyDescent="0.2">
      <c r="A14" s="10"/>
      <c r="B14">
        <v>0.4</v>
      </c>
      <c r="C14">
        <v>0.6</v>
      </c>
      <c r="D14" s="13">
        <f t="shared" si="0"/>
        <v>445.11850788170182</v>
      </c>
      <c r="E14" s="13">
        <f t="shared" si="1"/>
        <v>482.43350535926953</v>
      </c>
      <c r="F14" s="13">
        <f t="shared" si="2"/>
        <v>1058.5223762026658</v>
      </c>
      <c r="G14" s="13">
        <f t="shared" si="3"/>
        <v>2804.6734571599759</v>
      </c>
      <c r="H14" s="13">
        <f t="shared" si="4"/>
        <v>109.1071768245</v>
      </c>
      <c r="I14" s="13">
        <f t="shared" si="5"/>
        <v>33.206008811508049</v>
      </c>
      <c r="J14" s="13">
        <f t="shared" si="6"/>
        <v>714.69586461472613</v>
      </c>
      <c r="K14">
        <v>1.6</v>
      </c>
      <c r="L14" s="13">
        <f t="shared" si="7"/>
        <v>539.41401114380517</v>
      </c>
      <c r="M14">
        <v>23</v>
      </c>
      <c r="N14" s="13">
        <f t="shared" si="8"/>
        <v>69.701566178440018</v>
      </c>
      <c r="O14" s="13">
        <f t="shared" si="9"/>
        <v>777.30916986804743</v>
      </c>
      <c r="Q14">
        <v>0.21</v>
      </c>
      <c r="R14">
        <v>4</v>
      </c>
      <c r="S14">
        <v>0.7</v>
      </c>
      <c r="T14">
        <v>3</v>
      </c>
      <c r="U14">
        <v>0.22</v>
      </c>
      <c r="V14">
        <v>1.2E-2</v>
      </c>
      <c r="W14">
        <v>2.2000000000000002</v>
      </c>
      <c r="X14">
        <v>0.13</v>
      </c>
      <c r="Y14">
        <v>0.3</v>
      </c>
      <c r="Z14">
        <v>0.06</v>
      </c>
      <c r="AA14">
        <v>0.2</v>
      </c>
      <c r="AB14">
        <v>7.0000000000000007E-2</v>
      </c>
      <c r="AC14">
        <v>0.02</v>
      </c>
      <c r="AD14">
        <v>0.23</v>
      </c>
      <c r="AE14">
        <v>2.1000000000000001E-2</v>
      </c>
      <c r="AF14">
        <v>7.0000000000000007E-2</v>
      </c>
      <c r="AG14">
        <v>1.7999999999999999E-2</v>
      </c>
      <c r="AH14">
        <v>0.05</v>
      </c>
      <c r="AI14">
        <v>7.0000000000000001E-3</v>
      </c>
      <c r="AJ14">
        <v>0.04</v>
      </c>
      <c r="AK14">
        <v>6.0000000000000001E-3</v>
      </c>
      <c r="AL14">
        <v>0.08</v>
      </c>
      <c r="AM14">
        <v>1.2999999999999999E-2</v>
      </c>
      <c r="AN14">
        <v>7.0000000000000007E-2</v>
      </c>
      <c r="AO14">
        <v>1.0999999999999999E-2</v>
      </c>
      <c r="AP14">
        <v>1.7999999999999999E-2</v>
      </c>
      <c r="AS14">
        <v>0.06</v>
      </c>
      <c r="AT14">
        <v>0.08</v>
      </c>
      <c r="AU14">
        <v>0.2</v>
      </c>
      <c r="AV14">
        <v>0.6</v>
      </c>
      <c r="AW14">
        <v>2.5000000000000001E-2</v>
      </c>
      <c r="AX14">
        <v>4.0000000000000001E-3</v>
      </c>
      <c r="AY14">
        <v>0.1</v>
      </c>
      <c r="AZ14">
        <v>0.09</v>
      </c>
      <c r="BA14">
        <v>8.9999999999999993E-3</v>
      </c>
      <c r="BB14">
        <v>0.1</v>
      </c>
      <c r="BC14">
        <v>0.14000000000000001</v>
      </c>
      <c r="BH14">
        <v>23</v>
      </c>
      <c r="BI14">
        <v>3.5</v>
      </c>
      <c r="BJ14">
        <v>9</v>
      </c>
      <c r="BK14">
        <v>10</v>
      </c>
      <c r="BL14">
        <v>14</v>
      </c>
      <c r="BM14">
        <v>2.1</v>
      </c>
      <c r="BN14">
        <v>1.1000000000000001</v>
      </c>
      <c r="BQ14">
        <v>2.2999999999999998</v>
      </c>
      <c r="BW14">
        <v>0.33</v>
      </c>
      <c r="BX14">
        <v>0.05</v>
      </c>
      <c r="BY14">
        <v>0.09</v>
      </c>
      <c r="CC14">
        <v>8.8000000000000007</v>
      </c>
      <c r="CD14">
        <v>8.2000000000000003E-2</v>
      </c>
      <c r="CG14">
        <v>8.9999999999999993E-3</v>
      </c>
      <c r="CO14">
        <v>0.05</v>
      </c>
      <c r="CS14">
        <v>0.04</v>
      </c>
      <c r="CT14">
        <v>0.1</v>
      </c>
      <c r="CU14">
        <v>2E-3</v>
      </c>
      <c r="CV14">
        <v>0.15</v>
      </c>
      <c r="CW14">
        <v>2E-3</v>
      </c>
    </row>
    <row r="15" spans="1:123" x14ac:dyDescent="0.2">
      <c r="A15" s="10" t="s">
        <v>171</v>
      </c>
      <c r="B15">
        <v>20.7</v>
      </c>
      <c r="C15">
        <v>11.8</v>
      </c>
      <c r="D15" s="13">
        <f t="shared" si="0"/>
        <v>32938.769583245936</v>
      </c>
      <c r="E15" s="13">
        <f t="shared" si="1"/>
        <v>11879.92506947201</v>
      </c>
      <c r="F15" s="13">
        <f t="shared" si="2"/>
        <v>94208.491482037265</v>
      </c>
      <c r="G15" s="13">
        <f t="shared" si="3"/>
        <v>297762.83203515079</v>
      </c>
      <c r="H15" s="13">
        <f t="shared" si="4"/>
        <v>715.74307996871994</v>
      </c>
      <c r="I15" s="13">
        <f t="shared" si="5"/>
        <v>10708.937841711344</v>
      </c>
      <c r="J15" s="13">
        <f t="shared" si="6"/>
        <v>37735.941651657544</v>
      </c>
      <c r="K15">
        <v>11.5</v>
      </c>
      <c r="L15" s="13">
        <f t="shared" si="7"/>
        <v>4213.4227759343894</v>
      </c>
      <c r="M15">
        <v>90.3</v>
      </c>
      <c r="N15" s="13">
        <f t="shared" si="8"/>
        <v>588.59100328460465</v>
      </c>
      <c r="O15" s="13">
        <f t="shared" si="9"/>
        <v>33968.410723233676</v>
      </c>
      <c r="P15">
        <v>2.73</v>
      </c>
      <c r="Q15">
        <v>30.7</v>
      </c>
      <c r="R15">
        <v>482</v>
      </c>
      <c r="S15">
        <v>11.4</v>
      </c>
      <c r="T15">
        <v>118</v>
      </c>
      <c r="U15">
        <v>6.94</v>
      </c>
      <c r="V15">
        <v>1.75</v>
      </c>
      <c r="W15">
        <v>298</v>
      </c>
      <c r="X15">
        <v>12</v>
      </c>
      <c r="Y15">
        <v>26.1</v>
      </c>
      <c r="Z15">
        <v>3.2</v>
      </c>
      <c r="AA15">
        <v>13</v>
      </c>
      <c r="AB15">
        <v>2.78</v>
      </c>
      <c r="AC15">
        <v>0.95299999999999996</v>
      </c>
      <c r="AD15">
        <v>2.59</v>
      </c>
      <c r="AE15">
        <v>0.371</v>
      </c>
      <c r="AF15">
        <v>2.2200000000000002</v>
      </c>
      <c r="AG15">
        <v>0.42</v>
      </c>
      <c r="AH15">
        <v>1.18</v>
      </c>
      <c r="AI15">
        <v>0.17199999999999999</v>
      </c>
      <c r="AJ15">
        <v>1.1299999999999999</v>
      </c>
      <c r="AK15">
        <v>0.16800000000000001</v>
      </c>
      <c r="AL15">
        <v>3.07</v>
      </c>
      <c r="AM15">
        <v>0.42</v>
      </c>
      <c r="AN15">
        <v>10.3</v>
      </c>
      <c r="AO15">
        <v>2.2799999999999998</v>
      </c>
      <c r="AP15">
        <v>1.01</v>
      </c>
      <c r="AQ15">
        <v>2.5000000000000001E-2</v>
      </c>
      <c r="AR15">
        <v>4.4000000000000002E-4</v>
      </c>
      <c r="AS15">
        <v>4.4400000000000004</v>
      </c>
      <c r="AT15">
        <v>1.97</v>
      </c>
      <c r="AU15">
        <v>17.8</v>
      </c>
      <c r="AV15">
        <v>63.7</v>
      </c>
      <c r="AW15">
        <v>0.16400000000000001</v>
      </c>
      <c r="AX15">
        <v>1.29</v>
      </c>
      <c r="AY15">
        <v>5.28</v>
      </c>
      <c r="AZ15">
        <v>0.70299999999999996</v>
      </c>
      <c r="BA15">
        <v>7.5999999999999998E-2</v>
      </c>
      <c r="BB15">
        <v>4.37</v>
      </c>
      <c r="BC15">
        <v>1.2</v>
      </c>
      <c r="BD15">
        <v>479000</v>
      </c>
      <c r="BE15">
        <v>320</v>
      </c>
      <c r="BF15">
        <v>2.7</v>
      </c>
      <c r="BG15">
        <v>231</v>
      </c>
      <c r="BH15">
        <v>16.899999999999999</v>
      </c>
      <c r="BI15">
        <v>13.2</v>
      </c>
      <c r="BJ15">
        <v>23.7</v>
      </c>
      <c r="BK15">
        <v>41.5</v>
      </c>
      <c r="BL15">
        <v>67</v>
      </c>
      <c r="BM15">
        <v>20.9</v>
      </c>
      <c r="BN15">
        <v>1.1000000000000001</v>
      </c>
      <c r="BO15">
        <v>0.04</v>
      </c>
      <c r="BP15">
        <v>0.8</v>
      </c>
      <c r="BQ15">
        <v>2</v>
      </c>
      <c r="BS15">
        <v>6</v>
      </c>
      <c r="BT15">
        <v>0.02</v>
      </c>
      <c r="BU15">
        <v>0.1</v>
      </c>
      <c r="BV15">
        <v>0.5</v>
      </c>
      <c r="BW15">
        <v>1.1000000000000001</v>
      </c>
      <c r="BX15">
        <v>0.2</v>
      </c>
      <c r="BY15">
        <v>0.47</v>
      </c>
      <c r="BZ15">
        <v>8.9999999999999998E-4</v>
      </c>
      <c r="CA15">
        <v>1</v>
      </c>
      <c r="CB15">
        <v>0.02</v>
      </c>
      <c r="CC15">
        <v>1</v>
      </c>
      <c r="CD15">
        <v>4.8000000000000001E-2</v>
      </c>
      <c r="CE15">
        <v>0.2</v>
      </c>
      <c r="CF15">
        <v>0.11</v>
      </c>
      <c r="CG15">
        <v>0.11</v>
      </c>
      <c r="CH15">
        <v>-95</v>
      </c>
      <c r="CI15">
        <v>3.6</v>
      </c>
      <c r="CJ15">
        <v>-4.7</v>
      </c>
      <c r="CK15">
        <v>3.21</v>
      </c>
      <c r="CL15">
        <v>6.12</v>
      </c>
      <c r="CM15">
        <v>-0.1</v>
      </c>
      <c r="CN15">
        <v>-0.17</v>
      </c>
      <c r="CO15">
        <v>0.75</v>
      </c>
      <c r="CP15">
        <v>0.703538</v>
      </c>
      <c r="CQ15">
        <v>0.51290999999999998</v>
      </c>
      <c r="CS15">
        <v>18.902000000000001</v>
      </c>
      <c r="CT15">
        <v>15.618</v>
      </c>
      <c r="CU15">
        <v>0.82643999999999995</v>
      </c>
      <c r="CV15">
        <v>38.520000000000003</v>
      </c>
      <c r="CW15">
        <v>2.0379999999999998</v>
      </c>
    </row>
    <row r="16" spans="1:123" x14ac:dyDescent="0.2">
      <c r="A16" s="10"/>
      <c r="B16">
        <v>2.2999999999999998</v>
      </c>
      <c r="C16">
        <v>1.3</v>
      </c>
      <c r="D16" s="13">
        <f t="shared" si="0"/>
        <v>1038.6098517239711</v>
      </c>
      <c r="E16" s="13">
        <f t="shared" si="1"/>
        <v>241.21675267963477</v>
      </c>
      <c r="F16" s="13">
        <f t="shared" si="2"/>
        <v>1058.5223762026658</v>
      </c>
      <c r="G16" s="13">
        <f t="shared" si="3"/>
        <v>2337.2278809666468</v>
      </c>
      <c r="H16" s="13">
        <f t="shared" si="4"/>
        <v>78.557167313639994</v>
      </c>
      <c r="I16" s="13">
        <f t="shared" si="5"/>
        <v>166.03004405754021</v>
      </c>
      <c r="J16" s="13">
        <f t="shared" si="6"/>
        <v>643.22627815325359</v>
      </c>
      <c r="K16">
        <v>0.8</v>
      </c>
      <c r="L16" s="13">
        <f t="shared" si="7"/>
        <v>125.86326926688787</v>
      </c>
      <c r="M16">
        <v>6.7</v>
      </c>
      <c r="N16" s="13">
        <f t="shared" si="8"/>
        <v>30.978473857084456</v>
      </c>
      <c r="O16" s="13">
        <f t="shared" si="9"/>
        <v>544.11641890763326</v>
      </c>
      <c r="P16">
        <v>0.48</v>
      </c>
      <c r="Q16">
        <v>1.7</v>
      </c>
      <c r="R16">
        <v>8</v>
      </c>
      <c r="S16">
        <v>0.4</v>
      </c>
      <c r="T16">
        <v>3</v>
      </c>
      <c r="U16">
        <v>0.25</v>
      </c>
      <c r="V16">
        <v>0.11</v>
      </c>
      <c r="W16">
        <v>9</v>
      </c>
      <c r="X16">
        <v>0.3</v>
      </c>
      <c r="Y16">
        <v>0.7</v>
      </c>
      <c r="Z16">
        <v>0.06</v>
      </c>
      <c r="AA16">
        <v>0.3</v>
      </c>
      <c r="AB16">
        <v>0.05</v>
      </c>
      <c r="AC16">
        <v>2.1999999999999999E-2</v>
      </c>
      <c r="AD16">
        <v>0.09</v>
      </c>
      <c r="AE16">
        <v>1.0999999999999999E-2</v>
      </c>
      <c r="AF16">
        <v>0.06</v>
      </c>
      <c r="AG16">
        <v>1.0999999999999999E-2</v>
      </c>
      <c r="AH16">
        <v>0.04</v>
      </c>
      <c r="AI16">
        <v>7.0000000000000001E-3</v>
      </c>
      <c r="AJ16">
        <v>0.03</v>
      </c>
      <c r="AK16">
        <v>6.0000000000000001E-3</v>
      </c>
      <c r="AL16">
        <v>0.09</v>
      </c>
      <c r="AM16">
        <v>1.4999999999999999E-2</v>
      </c>
      <c r="AN16">
        <v>0.9</v>
      </c>
      <c r="AO16">
        <v>7.0000000000000007E-2</v>
      </c>
      <c r="AP16">
        <v>0.04</v>
      </c>
      <c r="AS16">
        <v>0.14000000000000001</v>
      </c>
      <c r="AT16">
        <v>0.04</v>
      </c>
      <c r="AU16">
        <v>0.2</v>
      </c>
      <c r="AV16">
        <v>0.5</v>
      </c>
      <c r="AW16">
        <v>1.7999999999999999E-2</v>
      </c>
      <c r="AX16">
        <v>0.02</v>
      </c>
      <c r="AY16">
        <v>0.09</v>
      </c>
      <c r="AZ16">
        <v>2.1000000000000001E-2</v>
      </c>
      <c r="BA16">
        <v>4.0000000000000001E-3</v>
      </c>
      <c r="BB16">
        <v>7.0000000000000007E-2</v>
      </c>
      <c r="BC16">
        <v>0.1</v>
      </c>
      <c r="BG16">
        <v>50</v>
      </c>
      <c r="BH16">
        <v>3.3</v>
      </c>
      <c r="BI16">
        <v>1.1000000000000001</v>
      </c>
      <c r="BJ16">
        <v>3.8</v>
      </c>
      <c r="BK16">
        <v>8.3000000000000007</v>
      </c>
      <c r="BL16">
        <v>7</v>
      </c>
      <c r="BM16">
        <v>2.7</v>
      </c>
      <c r="BN16">
        <v>0.7</v>
      </c>
      <c r="BP16">
        <v>0.3</v>
      </c>
      <c r="BQ16">
        <v>0.6</v>
      </c>
      <c r="BW16">
        <v>0.2</v>
      </c>
      <c r="BX16">
        <v>7.0000000000000007E-2</v>
      </c>
      <c r="BY16">
        <v>0.18</v>
      </c>
      <c r="BZ16">
        <v>1.6999999999999999E-3</v>
      </c>
      <c r="CD16">
        <v>3.2000000000000001E-2</v>
      </c>
      <c r="CG16">
        <v>7.0000000000000007E-2</v>
      </c>
      <c r="CJ16">
        <v>0.4</v>
      </c>
      <c r="CP16">
        <v>3.8000000000000002E-5</v>
      </c>
      <c r="CQ16">
        <v>1.1E-4</v>
      </c>
      <c r="CS16">
        <v>4.0000000000000001E-3</v>
      </c>
      <c r="CT16">
        <v>2.1999999999999999E-2</v>
      </c>
      <c r="CU16">
        <v>9.6000000000000002E-4</v>
      </c>
      <c r="CV16">
        <v>0.08</v>
      </c>
      <c r="CW16">
        <v>3.0999999999999999E-3</v>
      </c>
    </row>
    <row r="17" spans="1:107" x14ac:dyDescent="0.2">
      <c r="A17" s="10" t="s">
        <v>172</v>
      </c>
      <c r="B17">
        <v>19.899999999999999</v>
      </c>
      <c r="C17">
        <v>4.0999999999999996</v>
      </c>
      <c r="D17" s="13">
        <f t="shared" si="0"/>
        <v>23220.348827828777</v>
      </c>
      <c r="E17" s="13">
        <f t="shared" si="1"/>
        <v>22614.070563715759</v>
      </c>
      <c r="F17" s="13">
        <f t="shared" si="2"/>
        <v>90503.663165327947</v>
      </c>
      <c r="G17" s="13">
        <f t="shared" si="3"/>
        <v>273923.10764929093</v>
      </c>
      <c r="H17" s="13">
        <f t="shared" si="4"/>
        <v>733.20022826063996</v>
      </c>
      <c r="I17" s="13">
        <f t="shared" si="5"/>
        <v>16270.944317638943</v>
      </c>
      <c r="J17" s="13">
        <f t="shared" si="6"/>
        <v>50743.406387645555</v>
      </c>
      <c r="K17">
        <v>26.9</v>
      </c>
      <c r="L17" s="13">
        <f t="shared" si="7"/>
        <v>4525.0842045952541</v>
      </c>
      <c r="M17">
        <v>190</v>
      </c>
      <c r="N17" s="13">
        <f t="shared" si="8"/>
        <v>983.56654496243164</v>
      </c>
      <c r="O17" s="13">
        <f t="shared" si="9"/>
        <v>50058.710539502259</v>
      </c>
      <c r="P17">
        <v>0.96</v>
      </c>
      <c r="Q17">
        <v>79.7</v>
      </c>
      <c r="R17">
        <v>284</v>
      </c>
      <c r="S17">
        <v>23.9</v>
      </c>
      <c r="T17">
        <v>144</v>
      </c>
      <c r="U17">
        <v>8.8699999999999992</v>
      </c>
      <c r="V17">
        <v>2.69</v>
      </c>
      <c r="W17">
        <v>388</v>
      </c>
      <c r="X17">
        <v>70.400000000000006</v>
      </c>
      <c r="Y17">
        <v>127</v>
      </c>
      <c r="Z17">
        <v>12.4</v>
      </c>
      <c r="AA17">
        <v>41.4</v>
      </c>
      <c r="AB17">
        <v>6.57</v>
      </c>
      <c r="AC17">
        <v>1.21</v>
      </c>
      <c r="AD17">
        <v>5.31</v>
      </c>
      <c r="AE17">
        <v>0.77300000000000002</v>
      </c>
      <c r="AF17">
        <v>4.5</v>
      </c>
      <c r="AG17">
        <v>0.86</v>
      </c>
      <c r="AH17">
        <v>2.4900000000000002</v>
      </c>
      <c r="AI17">
        <v>0.35399999999999998</v>
      </c>
      <c r="AJ17">
        <v>2.38</v>
      </c>
      <c r="AK17">
        <v>0.35399999999999998</v>
      </c>
      <c r="AL17">
        <v>3.88</v>
      </c>
      <c r="AM17">
        <v>0.46400000000000002</v>
      </c>
      <c r="AN17">
        <v>11.6</v>
      </c>
      <c r="AO17">
        <v>31.3</v>
      </c>
      <c r="AP17">
        <v>1.71</v>
      </c>
      <c r="AQ17">
        <v>2.5999999999999999E-2</v>
      </c>
      <c r="AR17">
        <v>6.3000000000000003E-4</v>
      </c>
      <c r="AS17">
        <v>3.13</v>
      </c>
      <c r="AT17">
        <v>3.75</v>
      </c>
      <c r="AU17">
        <v>17.100000000000001</v>
      </c>
      <c r="AV17">
        <v>58.6</v>
      </c>
      <c r="AW17">
        <v>0.16800000000000001</v>
      </c>
      <c r="AX17">
        <v>1.96</v>
      </c>
      <c r="AY17">
        <v>7.1</v>
      </c>
      <c r="AZ17">
        <v>0.755</v>
      </c>
      <c r="BA17">
        <v>0.127</v>
      </c>
      <c r="BB17">
        <v>6.44</v>
      </c>
      <c r="BC17">
        <v>2</v>
      </c>
      <c r="BD17">
        <v>464000</v>
      </c>
      <c r="BE17">
        <v>321</v>
      </c>
      <c r="BF17">
        <v>2.6</v>
      </c>
      <c r="BG17">
        <v>113</v>
      </c>
      <c r="BH17">
        <v>20.9</v>
      </c>
      <c r="BI17">
        <v>18.899999999999999</v>
      </c>
      <c r="BJ17">
        <v>10.6</v>
      </c>
      <c r="BK17">
        <v>18.8</v>
      </c>
      <c r="BL17">
        <v>74</v>
      </c>
      <c r="BM17">
        <v>19.399999999999999</v>
      </c>
      <c r="BN17">
        <v>1.8</v>
      </c>
      <c r="BO17">
        <v>0.05</v>
      </c>
      <c r="BP17">
        <v>0.3</v>
      </c>
      <c r="BQ17">
        <v>4.2</v>
      </c>
      <c r="BT17">
        <v>0.1</v>
      </c>
      <c r="BU17">
        <v>0.2</v>
      </c>
      <c r="BV17">
        <v>0.3</v>
      </c>
      <c r="BW17">
        <v>2</v>
      </c>
      <c r="BX17">
        <v>0.25</v>
      </c>
      <c r="BY17">
        <v>0.69</v>
      </c>
      <c r="BZ17">
        <v>1.8E-3</v>
      </c>
      <c r="CB17">
        <v>0.2</v>
      </c>
      <c r="CC17">
        <v>6</v>
      </c>
      <c r="CD17">
        <v>0.1</v>
      </c>
      <c r="CE17">
        <v>0.3</v>
      </c>
      <c r="CF17">
        <v>0.13</v>
      </c>
      <c r="CG17">
        <v>0.1</v>
      </c>
      <c r="CH17">
        <v>-117</v>
      </c>
      <c r="CI17">
        <v>2.1</v>
      </c>
      <c r="CK17">
        <v>3.89</v>
      </c>
      <c r="CL17">
        <v>7.53</v>
      </c>
      <c r="CM17">
        <v>-0.13</v>
      </c>
      <c r="CN17">
        <v>-0.23</v>
      </c>
      <c r="CO17">
        <v>0.8</v>
      </c>
      <c r="CP17">
        <v>0.71013700000000002</v>
      </c>
      <c r="CQ17">
        <v>0.51233300000000004</v>
      </c>
      <c r="CS17">
        <v>18.731000000000002</v>
      </c>
      <c r="CT17">
        <v>15.678000000000001</v>
      </c>
      <c r="CU17">
        <v>0.83740000000000003</v>
      </c>
      <c r="CV17">
        <v>38.976999999999997</v>
      </c>
      <c r="CW17">
        <v>2.0811000000000002</v>
      </c>
      <c r="CX17">
        <v>9.9000000000000005E-7</v>
      </c>
      <c r="CY17">
        <v>0.184</v>
      </c>
      <c r="CZ17">
        <v>1.8660000000000001E-5</v>
      </c>
      <c r="DA17">
        <v>1.1020000000000001</v>
      </c>
      <c r="DB17">
        <v>5.4969999999999997E-5</v>
      </c>
      <c r="DC17">
        <v>1.0009999999999999</v>
      </c>
    </row>
    <row r="18" spans="1:107" x14ac:dyDescent="0.2">
      <c r="A18" s="10"/>
      <c r="B18">
        <v>0.9</v>
      </c>
      <c r="C18">
        <v>1.1000000000000001</v>
      </c>
      <c r="D18" s="13">
        <f t="shared" si="0"/>
        <v>667.67776182255272</v>
      </c>
      <c r="E18" s="13">
        <f t="shared" si="1"/>
        <v>241.21675267963477</v>
      </c>
      <c r="F18" s="13">
        <f t="shared" si="2"/>
        <v>1058.5223762026658</v>
      </c>
      <c r="G18" s="13">
        <f t="shared" si="3"/>
        <v>1869.7823047733173</v>
      </c>
      <c r="H18" s="13">
        <f t="shared" si="4"/>
        <v>113.47146389747998</v>
      </c>
      <c r="I18" s="13">
        <f t="shared" si="5"/>
        <v>332.06008811508042</v>
      </c>
      <c r="J18" s="13">
        <f t="shared" si="6"/>
        <v>643.22627815325359</v>
      </c>
      <c r="K18">
        <v>1.1000000000000001</v>
      </c>
      <c r="L18" s="13">
        <f t="shared" si="7"/>
        <v>101.8893132160521</v>
      </c>
      <c r="M18">
        <v>11</v>
      </c>
      <c r="N18" s="13">
        <f t="shared" si="8"/>
        <v>46.467710785626686</v>
      </c>
      <c r="O18" s="13">
        <f t="shared" si="9"/>
        <v>466.38550192082846</v>
      </c>
      <c r="P18">
        <v>0.44</v>
      </c>
      <c r="Q18">
        <v>3.5</v>
      </c>
      <c r="R18">
        <v>6</v>
      </c>
      <c r="S18">
        <v>0.8</v>
      </c>
      <c r="T18">
        <v>4</v>
      </c>
      <c r="U18">
        <v>0.43</v>
      </c>
      <c r="V18">
        <v>0.19</v>
      </c>
      <c r="W18">
        <v>12</v>
      </c>
      <c r="X18">
        <v>2.4</v>
      </c>
      <c r="Y18">
        <v>4</v>
      </c>
      <c r="Z18">
        <v>0.4</v>
      </c>
      <c r="AA18">
        <v>1.2</v>
      </c>
      <c r="AB18">
        <v>0.14000000000000001</v>
      </c>
      <c r="AC18">
        <v>0.04</v>
      </c>
      <c r="AD18">
        <v>0.28999999999999998</v>
      </c>
      <c r="AE18">
        <v>2.9000000000000001E-2</v>
      </c>
      <c r="AF18">
        <v>0.12</v>
      </c>
      <c r="AG18">
        <v>3.1E-2</v>
      </c>
      <c r="AH18">
        <v>0.08</v>
      </c>
      <c r="AI18">
        <v>1.4999999999999999E-2</v>
      </c>
      <c r="AJ18">
        <v>0.08</v>
      </c>
      <c r="AK18">
        <v>1.2E-2</v>
      </c>
      <c r="AL18">
        <v>0.15</v>
      </c>
      <c r="AM18">
        <v>2.1000000000000001E-2</v>
      </c>
      <c r="AN18">
        <v>1.5</v>
      </c>
      <c r="AO18">
        <v>1</v>
      </c>
      <c r="AP18">
        <v>0.1</v>
      </c>
      <c r="AS18">
        <v>0.09</v>
      </c>
      <c r="AT18">
        <v>0.04</v>
      </c>
      <c r="AU18">
        <v>0.2</v>
      </c>
      <c r="AV18">
        <v>0.4</v>
      </c>
      <c r="AW18">
        <v>2.5999999999999999E-2</v>
      </c>
      <c r="AX18">
        <v>0.04</v>
      </c>
      <c r="AY18">
        <v>0.09</v>
      </c>
      <c r="AZ18">
        <v>1.7000000000000001E-2</v>
      </c>
      <c r="BA18">
        <v>6.0000000000000001E-3</v>
      </c>
      <c r="BB18">
        <v>0.06</v>
      </c>
      <c r="BC18">
        <v>0.6</v>
      </c>
      <c r="BG18">
        <v>37</v>
      </c>
      <c r="BH18">
        <v>2</v>
      </c>
      <c r="BI18">
        <v>0.8</v>
      </c>
      <c r="BJ18">
        <v>1.3</v>
      </c>
      <c r="BK18">
        <v>2</v>
      </c>
      <c r="BL18">
        <v>10</v>
      </c>
      <c r="BM18">
        <v>0.9</v>
      </c>
      <c r="BN18">
        <v>1.5</v>
      </c>
      <c r="BQ18">
        <v>1.8</v>
      </c>
      <c r="BV18">
        <v>0.4</v>
      </c>
      <c r="BW18">
        <v>0.5</v>
      </c>
      <c r="BX18">
        <v>0.05</v>
      </c>
      <c r="BY18">
        <v>0.12</v>
      </c>
      <c r="BZ18">
        <v>2E-3</v>
      </c>
      <c r="CD18">
        <v>0.11</v>
      </c>
      <c r="CF18">
        <v>0.08</v>
      </c>
      <c r="CG18">
        <v>0.05</v>
      </c>
      <c r="CS18">
        <v>6.0000000000000001E-3</v>
      </c>
      <c r="CT18">
        <v>2.3E-2</v>
      </c>
      <c r="CU18">
        <v>7.2000000000000005E-4</v>
      </c>
      <c r="CV18">
        <v>1.2E-2</v>
      </c>
      <c r="CW18">
        <v>2.0000000000000001E-4</v>
      </c>
    </row>
    <row r="19" spans="1:107" x14ac:dyDescent="0.2">
      <c r="A19" s="10" t="s">
        <v>210</v>
      </c>
      <c r="B19">
        <v>9</v>
      </c>
      <c r="C19">
        <v>6</v>
      </c>
      <c r="D19" s="13">
        <f t="shared" si="0"/>
        <v>23962.213007631617</v>
      </c>
      <c r="E19" s="13">
        <f t="shared" si="1"/>
        <v>21468.290988487493</v>
      </c>
      <c r="F19" s="13">
        <f t="shared" si="2"/>
        <v>70920.999205578628</v>
      </c>
      <c r="G19" s="13">
        <f t="shared" si="3"/>
        <v>254290.39344917113</v>
      </c>
      <c r="H19" s="13">
        <f t="shared" si="4"/>
        <v>1614.7862170025999</v>
      </c>
      <c r="I19" s="13">
        <f t="shared" si="5"/>
        <v>14444.613833005998</v>
      </c>
      <c r="J19" s="13">
        <f t="shared" si="6"/>
        <v>50457.528041799662</v>
      </c>
      <c r="K19">
        <v>33</v>
      </c>
      <c r="L19" s="13">
        <f t="shared" si="7"/>
        <v>13605.220058849307</v>
      </c>
      <c r="M19">
        <v>425</v>
      </c>
      <c r="N19" s="13">
        <f t="shared" si="8"/>
        <v>1471.4775082115116</v>
      </c>
      <c r="O19" s="13">
        <f t="shared" si="9"/>
        <v>96386.337063637897</v>
      </c>
      <c r="Q19">
        <v>47</v>
      </c>
      <c r="R19">
        <v>342</v>
      </c>
      <c r="S19">
        <v>35</v>
      </c>
      <c r="T19">
        <v>184</v>
      </c>
      <c r="U19">
        <v>12.5</v>
      </c>
      <c r="V19">
        <v>1.1599999999999999</v>
      </c>
      <c r="W19">
        <v>683</v>
      </c>
      <c r="X19">
        <v>24.7</v>
      </c>
      <c r="Y19">
        <v>53.3</v>
      </c>
      <c r="Z19">
        <v>6.7</v>
      </c>
      <c r="AA19">
        <v>28.9</v>
      </c>
      <c r="AB19">
        <v>6.59</v>
      </c>
      <c r="AC19">
        <v>1.97</v>
      </c>
      <c r="AD19">
        <v>6.71</v>
      </c>
      <c r="AE19">
        <v>1.02</v>
      </c>
      <c r="AF19">
        <v>6.44</v>
      </c>
      <c r="AG19">
        <v>1.27</v>
      </c>
      <c r="AH19">
        <v>3.7</v>
      </c>
      <c r="AI19">
        <v>0.51</v>
      </c>
      <c r="AJ19">
        <v>3.39</v>
      </c>
      <c r="AK19">
        <v>0.503</v>
      </c>
      <c r="AL19">
        <v>4.84</v>
      </c>
      <c r="AM19">
        <v>0.78</v>
      </c>
      <c r="AN19">
        <v>11</v>
      </c>
      <c r="AO19">
        <v>5.9</v>
      </c>
      <c r="AP19">
        <v>1.69</v>
      </c>
      <c r="AS19">
        <v>3.23</v>
      </c>
      <c r="AT19">
        <v>3.56</v>
      </c>
      <c r="AU19">
        <v>13.4</v>
      </c>
      <c r="AV19">
        <v>54.4</v>
      </c>
      <c r="AW19">
        <v>0.37</v>
      </c>
      <c r="AX19">
        <v>1.74</v>
      </c>
      <c r="AY19">
        <v>7.06</v>
      </c>
      <c r="AZ19">
        <v>2.27</v>
      </c>
      <c r="BA19">
        <v>0.19</v>
      </c>
      <c r="BB19">
        <v>12.4</v>
      </c>
    </row>
    <row r="20" spans="1:107" x14ac:dyDescent="0.2">
      <c r="A20" s="10"/>
      <c r="B20">
        <v>1</v>
      </c>
      <c r="C20">
        <v>1</v>
      </c>
      <c r="D20" s="13">
        <f t="shared" si="0"/>
        <v>519.30492586198557</v>
      </c>
      <c r="E20" s="13">
        <f t="shared" si="1"/>
        <v>542.73769352917816</v>
      </c>
      <c r="F20" s="13">
        <f t="shared" si="2"/>
        <v>2117.0447524053316</v>
      </c>
      <c r="G20" s="13">
        <f t="shared" si="3"/>
        <v>1869.7823047733173</v>
      </c>
      <c r="H20" s="13">
        <f t="shared" si="4"/>
        <v>43.642870729799995</v>
      </c>
      <c r="I20" s="13">
        <f t="shared" si="5"/>
        <v>332.06008811508042</v>
      </c>
      <c r="J20" s="13">
        <f t="shared" si="6"/>
        <v>786.16545107619868</v>
      </c>
      <c r="K20">
        <v>2</v>
      </c>
      <c r="L20" s="13">
        <f t="shared" si="7"/>
        <v>239.73956050835787</v>
      </c>
      <c r="M20">
        <v>18</v>
      </c>
      <c r="N20" s="13">
        <f t="shared" si="8"/>
        <v>77.44618464271116</v>
      </c>
      <c r="O20" s="13">
        <f t="shared" si="9"/>
        <v>2331.9275096041424</v>
      </c>
      <c r="Q20">
        <v>0.5</v>
      </c>
      <c r="R20">
        <v>4</v>
      </c>
      <c r="S20">
        <v>3</v>
      </c>
      <c r="T20">
        <v>15</v>
      </c>
      <c r="U20">
        <v>1</v>
      </c>
      <c r="V20">
        <v>7.0000000000000007E-2</v>
      </c>
      <c r="W20">
        <v>7</v>
      </c>
      <c r="X20">
        <v>0.3</v>
      </c>
      <c r="Y20">
        <v>0.5</v>
      </c>
      <c r="Z20">
        <v>0.4</v>
      </c>
      <c r="AA20">
        <v>0.3</v>
      </c>
      <c r="AB20">
        <v>7.0000000000000007E-2</v>
      </c>
      <c r="AC20">
        <v>0.02</v>
      </c>
      <c r="AD20">
        <v>7.0000000000000007E-2</v>
      </c>
      <c r="AE20">
        <v>0.08</v>
      </c>
      <c r="AF20">
        <v>0.06</v>
      </c>
      <c r="AG20">
        <v>0.08</v>
      </c>
      <c r="AH20">
        <v>0.04</v>
      </c>
      <c r="AI20">
        <v>0.04</v>
      </c>
      <c r="AJ20">
        <v>0.03</v>
      </c>
      <c r="AK20">
        <v>5.0000000000000001E-3</v>
      </c>
      <c r="AL20">
        <v>0.28000000000000003</v>
      </c>
      <c r="AM20">
        <v>0.06</v>
      </c>
      <c r="AN20">
        <v>1</v>
      </c>
      <c r="AO20">
        <v>0.3</v>
      </c>
      <c r="AP20">
        <v>0.12</v>
      </c>
      <c r="AS20">
        <v>7.0000000000000007E-2</v>
      </c>
      <c r="AT20">
        <v>0.09</v>
      </c>
      <c r="AU20">
        <v>0.4</v>
      </c>
      <c r="AV20">
        <v>0.4</v>
      </c>
      <c r="AW20">
        <v>0.01</v>
      </c>
      <c r="AX20">
        <v>0.04</v>
      </c>
      <c r="AY20">
        <v>0.11</v>
      </c>
      <c r="AZ20">
        <v>0.04</v>
      </c>
      <c r="BA20">
        <v>0.01</v>
      </c>
      <c r="BB20">
        <v>0.3</v>
      </c>
    </row>
    <row r="25" spans="1:107" x14ac:dyDescent="0.2">
      <c r="N25" s="10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0"/>
  <sheetViews>
    <sheetView workbookViewId="0">
      <selection activeCell="A107" sqref="A107:I184"/>
    </sheetView>
  </sheetViews>
  <sheetFormatPr baseColWidth="10" defaultRowHeight="16" x14ac:dyDescent="0.2"/>
  <sheetData>
    <row r="1" spans="1:9" x14ac:dyDescent="0.2">
      <c r="A1" t="s">
        <v>138</v>
      </c>
    </row>
    <row r="2" spans="1:9" x14ac:dyDescent="0.2">
      <c r="A2" t="s">
        <v>139</v>
      </c>
    </row>
    <row r="3" spans="1:9" x14ac:dyDescent="0.2">
      <c r="A3" t="s">
        <v>140</v>
      </c>
    </row>
    <row r="5" spans="1:9" x14ac:dyDescent="0.2">
      <c r="A5" t="s">
        <v>141</v>
      </c>
    </row>
    <row r="6" spans="1:9" x14ac:dyDescent="0.2">
      <c r="A6" t="s">
        <v>142</v>
      </c>
    </row>
    <row r="7" spans="1:9" x14ac:dyDescent="0.2">
      <c r="A7" t="s">
        <v>143</v>
      </c>
    </row>
    <row r="8" spans="1:9" x14ac:dyDescent="0.2">
      <c r="A8" t="s">
        <v>144</v>
      </c>
      <c r="B8" t="s">
        <v>145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</row>
    <row r="9" spans="1:9" x14ac:dyDescent="0.2">
      <c r="A9" t="s">
        <v>25</v>
      </c>
      <c r="B9" t="s">
        <v>118</v>
      </c>
      <c r="C9">
        <v>1.4E-2</v>
      </c>
      <c r="F9" t="s">
        <v>121</v>
      </c>
      <c r="G9" t="s">
        <v>126</v>
      </c>
      <c r="H9" t="s">
        <v>129</v>
      </c>
      <c r="I9" t="s">
        <v>134</v>
      </c>
    </row>
    <row r="10" spans="1:9" x14ac:dyDescent="0.2">
      <c r="A10" t="s">
        <v>26</v>
      </c>
      <c r="B10" t="s">
        <v>118</v>
      </c>
      <c r="C10">
        <v>3.6999999999999999E-4</v>
      </c>
      <c r="F10" t="s">
        <v>121</v>
      </c>
      <c r="G10" t="s">
        <v>126</v>
      </c>
      <c r="H10" t="s">
        <v>129</v>
      </c>
      <c r="I10" t="s">
        <v>134</v>
      </c>
    </row>
    <row r="11" spans="1:9" x14ac:dyDescent="0.2">
      <c r="A11" t="s">
        <v>27</v>
      </c>
      <c r="C11">
        <v>3.75</v>
      </c>
      <c r="D11">
        <v>0.31</v>
      </c>
      <c r="E11" t="s">
        <v>120</v>
      </c>
      <c r="F11" t="s">
        <v>121</v>
      </c>
      <c r="G11" t="s">
        <v>126</v>
      </c>
      <c r="H11" t="s">
        <v>130</v>
      </c>
      <c r="I11" t="s">
        <v>134</v>
      </c>
    </row>
    <row r="12" spans="1:9" x14ac:dyDescent="0.2">
      <c r="A12" t="s">
        <v>28</v>
      </c>
      <c r="C12">
        <v>0.10299999999999999</v>
      </c>
      <c r="D12">
        <v>0.01</v>
      </c>
      <c r="E12" t="s">
        <v>120</v>
      </c>
      <c r="F12" t="s">
        <v>121</v>
      </c>
      <c r="G12" t="s">
        <v>126</v>
      </c>
      <c r="H12" t="s">
        <v>130</v>
      </c>
      <c r="I12" t="s">
        <v>134</v>
      </c>
    </row>
    <row r="13" spans="1:9" x14ac:dyDescent="0.2">
      <c r="A13" t="s">
        <v>29</v>
      </c>
      <c r="C13">
        <v>12.2</v>
      </c>
      <c r="D13">
        <v>0.2</v>
      </c>
      <c r="E13" t="s">
        <v>120</v>
      </c>
      <c r="F13" t="s">
        <v>121</v>
      </c>
      <c r="G13" t="s">
        <v>126</v>
      </c>
      <c r="H13" t="s">
        <v>130</v>
      </c>
      <c r="I13" t="s">
        <v>134</v>
      </c>
    </row>
    <row r="14" spans="1:9" x14ac:dyDescent="0.2">
      <c r="A14" t="s">
        <v>30</v>
      </c>
      <c r="C14">
        <v>75.599999999999994</v>
      </c>
      <c r="D14">
        <v>0.7</v>
      </c>
      <c r="E14" t="s">
        <v>120</v>
      </c>
      <c r="F14" t="s">
        <v>121</v>
      </c>
      <c r="G14" t="s">
        <v>126</v>
      </c>
      <c r="H14" t="s">
        <v>130</v>
      </c>
      <c r="I14" t="s">
        <v>134</v>
      </c>
    </row>
    <row r="15" spans="1:9" x14ac:dyDescent="0.2">
      <c r="A15" t="s">
        <v>31</v>
      </c>
      <c r="C15">
        <v>2.5000000000000001E-2</v>
      </c>
      <c r="D15">
        <v>4.0000000000000001E-3</v>
      </c>
      <c r="E15" t="s">
        <v>120</v>
      </c>
      <c r="F15" t="s">
        <v>121</v>
      </c>
      <c r="G15" t="s">
        <v>126</v>
      </c>
      <c r="H15" t="s">
        <v>130</v>
      </c>
      <c r="I15" t="s">
        <v>134</v>
      </c>
    </row>
    <row r="16" spans="1:9" x14ac:dyDescent="0.2">
      <c r="A16" t="s">
        <v>32</v>
      </c>
      <c r="C16">
        <v>2.64</v>
      </c>
      <c r="D16">
        <v>0.09</v>
      </c>
      <c r="E16" t="s">
        <v>120</v>
      </c>
      <c r="F16" t="s">
        <v>121</v>
      </c>
      <c r="G16" t="s">
        <v>126</v>
      </c>
      <c r="H16" t="s">
        <v>130</v>
      </c>
      <c r="I16" t="s">
        <v>134</v>
      </c>
    </row>
    <row r="17" spans="1:9" x14ac:dyDescent="0.2">
      <c r="A17" t="s">
        <v>33</v>
      </c>
      <c r="C17">
        <v>1.7</v>
      </c>
      <c r="D17">
        <v>0.03</v>
      </c>
      <c r="E17" t="s">
        <v>120</v>
      </c>
      <c r="F17" t="s">
        <v>121</v>
      </c>
      <c r="G17" t="s">
        <v>126</v>
      </c>
      <c r="H17" t="s">
        <v>130</v>
      </c>
      <c r="I17" t="s">
        <v>134</v>
      </c>
    </row>
    <row r="18" spans="1:9" x14ac:dyDescent="0.2">
      <c r="A18" t="s">
        <v>34</v>
      </c>
      <c r="C18">
        <v>0.255</v>
      </c>
      <c r="D18">
        <v>1.6E-2</v>
      </c>
      <c r="E18" t="s">
        <v>120</v>
      </c>
      <c r="F18" t="s">
        <v>121</v>
      </c>
      <c r="G18" t="s">
        <v>126</v>
      </c>
      <c r="H18" t="s">
        <v>130</v>
      </c>
      <c r="I18" t="s">
        <v>134</v>
      </c>
    </row>
    <row r="19" spans="1:9" x14ac:dyDescent="0.2">
      <c r="A19" t="s">
        <v>35</v>
      </c>
      <c r="C19">
        <v>0.106</v>
      </c>
      <c r="D19">
        <v>5.0000000000000001E-3</v>
      </c>
      <c r="E19" t="s">
        <v>120</v>
      </c>
      <c r="F19" t="s">
        <v>121</v>
      </c>
      <c r="G19" t="s">
        <v>126</v>
      </c>
      <c r="H19" t="s">
        <v>130</v>
      </c>
      <c r="I19" t="s">
        <v>134</v>
      </c>
    </row>
    <row r="20" spans="1:9" x14ac:dyDescent="0.2">
      <c r="A20" t="s">
        <v>36</v>
      </c>
      <c r="C20">
        <v>3.27</v>
      </c>
      <c r="D20">
        <v>0.1</v>
      </c>
      <c r="E20" t="s">
        <v>120</v>
      </c>
      <c r="F20" t="s">
        <v>121</v>
      </c>
      <c r="G20" t="s">
        <v>126</v>
      </c>
      <c r="H20" t="s">
        <v>130</v>
      </c>
      <c r="I20" t="s">
        <v>134</v>
      </c>
    </row>
    <row r="21" spans="1:9" x14ac:dyDescent="0.2">
      <c r="A21" t="s">
        <v>37</v>
      </c>
      <c r="C21">
        <v>28.6</v>
      </c>
      <c r="D21">
        <v>1.8</v>
      </c>
      <c r="E21" t="s">
        <v>120</v>
      </c>
      <c r="F21" t="s">
        <v>122</v>
      </c>
      <c r="G21" t="s">
        <v>126</v>
      </c>
      <c r="H21" t="s">
        <v>130</v>
      </c>
      <c r="I21" t="s">
        <v>134</v>
      </c>
    </row>
    <row r="22" spans="1:9" x14ac:dyDescent="0.2">
      <c r="A22" t="s">
        <v>38</v>
      </c>
      <c r="B22" t="s">
        <v>118</v>
      </c>
      <c r="C22">
        <v>3.2</v>
      </c>
      <c r="D22">
        <v>0.34</v>
      </c>
      <c r="E22" t="s">
        <v>120</v>
      </c>
      <c r="F22" t="s">
        <v>122</v>
      </c>
      <c r="G22" t="s">
        <v>126</v>
      </c>
      <c r="H22" t="s">
        <v>129</v>
      </c>
      <c r="I22" t="s">
        <v>134</v>
      </c>
    </row>
    <row r="23" spans="1:9" x14ac:dyDescent="0.2">
      <c r="A23" t="s">
        <v>39</v>
      </c>
      <c r="B23" t="s">
        <v>118</v>
      </c>
      <c r="C23">
        <v>5.7</v>
      </c>
      <c r="D23">
        <v>0.5</v>
      </c>
      <c r="E23" t="s">
        <v>120</v>
      </c>
      <c r="F23" t="s">
        <v>122</v>
      </c>
      <c r="G23" t="s">
        <v>126</v>
      </c>
      <c r="H23" t="s">
        <v>129</v>
      </c>
      <c r="I23" t="s">
        <v>134</v>
      </c>
    </row>
    <row r="24" spans="1:9" x14ac:dyDescent="0.2">
      <c r="A24" t="s">
        <v>40</v>
      </c>
      <c r="B24" t="s">
        <v>118</v>
      </c>
      <c r="C24">
        <v>487000</v>
      </c>
      <c r="F24" t="s">
        <v>122</v>
      </c>
      <c r="G24" t="s">
        <v>126</v>
      </c>
      <c r="H24" t="s">
        <v>129</v>
      </c>
      <c r="I24" t="s">
        <v>134</v>
      </c>
    </row>
    <row r="25" spans="1:9" x14ac:dyDescent="0.2">
      <c r="A25" t="s">
        <v>41</v>
      </c>
      <c r="B25" t="s">
        <v>118</v>
      </c>
      <c r="C25">
        <v>0.7</v>
      </c>
      <c r="F25" t="s">
        <v>122</v>
      </c>
      <c r="G25" t="s">
        <v>126</v>
      </c>
      <c r="H25" t="s">
        <v>129</v>
      </c>
      <c r="I25" t="s">
        <v>134</v>
      </c>
    </row>
    <row r="26" spans="1:9" x14ac:dyDescent="0.2">
      <c r="A26" t="s">
        <v>42</v>
      </c>
      <c r="B26" t="s">
        <v>118</v>
      </c>
      <c r="C26">
        <v>0.6</v>
      </c>
      <c r="F26" t="s">
        <v>122</v>
      </c>
      <c r="G26" t="s">
        <v>126</v>
      </c>
      <c r="H26" t="s">
        <v>129</v>
      </c>
      <c r="I26" t="s">
        <v>134</v>
      </c>
    </row>
    <row r="27" spans="1:9" x14ac:dyDescent="0.2">
      <c r="A27" t="s">
        <v>43</v>
      </c>
      <c r="B27" t="s">
        <v>118</v>
      </c>
      <c r="C27">
        <v>430</v>
      </c>
      <c r="F27" t="s">
        <v>122</v>
      </c>
      <c r="G27" t="s">
        <v>126</v>
      </c>
      <c r="H27" t="s">
        <v>131</v>
      </c>
      <c r="I27" t="s">
        <v>134</v>
      </c>
    </row>
    <row r="28" spans="1:9" x14ac:dyDescent="0.2">
      <c r="A28" t="s">
        <v>44</v>
      </c>
      <c r="C28">
        <v>5</v>
      </c>
      <c r="D28">
        <v>0.8</v>
      </c>
      <c r="E28" t="s">
        <v>120</v>
      </c>
      <c r="F28" t="s">
        <v>122</v>
      </c>
      <c r="G28" t="s">
        <v>127</v>
      </c>
      <c r="H28" t="s">
        <v>132</v>
      </c>
      <c r="I28" t="s">
        <v>134</v>
      </c>
    </row>
    <row r="29" spans="1:9" x14ac:dyDescent="0.2">
      <c r="A29" t="s">
        <v>45</v>
      </c>
      <c r="C29">
        <v>3.91</v>
      </c>
      <c r="D29">
        <v>0.34</v>
      </c>
      <c r="E29" t="s">
        <v>120</v>
      </c>
      <c r="F29" t="s">
        <v>122</v>
      </c>
      <c r="G29" t="s">
        <v>126</v>
      </c>
      <c r="H29" t="s">
        <v>130</v>
      </c>
      <c r="I29" t="s">
        <v>134</v>
      </c>
    </row>
    <row r="30" spans="1:9" x14ac:dyDescent="0.2">
      <c r="A30" t="s">
        <v>46</v>
      </c>
      <c r="C30">
        <v>6.1</v>
      </c>
      <c r="D30">
        <v>1.4</v>
      </c>
      <c r="E30" t="s">
        <v>120</v>
      </c>
      <c r="F30" t="s">
        <v>122</v>
      </c>
      <c r="G30" t="s">
        <v>126</v>
      </c>
      <c r="H30" t="s">
        <v>130</v>
      </c>
      <c r="I30" t="s">
        <v>134</v>
      </c>
    </row>
    <row r="31" spans="1:9" x14ac:dyDescent="0.2">
      <c r="A31" t="s">
        <v>47</v>
      </c>
      <c r="C31">
        <v>2.13</v>
      </c>
      <c r="D31">
        <v>0.47</v>
      </c>
      <c r="E31" t="s">
        <v>120</v>
      </c>
      <c r="F31" t="s">
        <v>122</v>
      </c>
      <c r="G31" t="s">
        <v>126</v>
      </c>
      <c r="H31" t="s">
        <v>130</v>
      </c>
      <c r="I31" t="s">
        <v>134</v>
      </c>
    </row>
    <row r="32" spans="1:9" x14ac:dyDescent="0.2">
      <c r="A32" t="s">
        <v>48</v>
      </c>
      <c r="C32">
        <v>13</v>
      </c>
      <c r="D32">
        <v>5</v>
      </c>
      <c r="E32" t="s">
        <v>120</v>
      </c>
      <c r="F32" t="s">
        <v>122</v>
      </c>
      <c r="G32" t="s">
        <v>126</v>
      </c>
      <c r="H32" t="s">
        <v>130</v>
      </c>
      <c r="I32" t="s">
        <v>134</v>
      </c>
    </row>
    <row r="33" spans="1:9" x14ac:dyDescent="0.2">
      <c r="A33" t="s">
        <v>49</v>
      </c>
      <c r="C33">
        <v>18.600000000000001</v>
      </c>
      <c r="D33">
        <v>2.2000000000000002</v>
      </c>
      <c r="E33" t="s">
        <v>120</v>
      </c>
      <c r="F33" t="s">
        <v>122</v>
      </c>
      <c r="G33" t="s">
        <v>126</v>
      </c>
      <c r="H33" t="s">
        <v>130</v>
      </c>
      <c r="I33" t="s">
        <v>134</v>
      </c>
    </row>
    <row r="34" spans="1:9" x14ac:dyDescent="0.2">
      <c r="A34" t="s">
        <v>50</v>
      </c>
      <c r="C34">
        <v>141</v>
      </c>
      <c r="D34">
        <v>15</v>
      </c>
      <c r="E34" t="s">
        <v>120</v>
      </c>
      <c r="F34" t="s">
        <v>122</v>
      </c>
      <c r="G34" t="s">
        <v>126</v>
      </c>
      <c r="H34" t="s">
        <v>130</v>
      </c>
      <c r="I34" t="s">
        <v>134</v>
      </c>
    </row>
    <row r="35" spans="1:9" x14ac:dyDescent="0.2">
      <c r="A35" t="s">
        <v>51</v>
      </c>
      <c r="C35">
        <v>25.3</v>
      </c>
      <c r="D35">
        <v>2.4</v>
      </c>
      <c r="E35" t="s">
        <v>120</v>
      </c>
      <c r="F35" t="s">
        <v>122</v>
      </c>
      <c r="G35" t="s">
        <v>126</v>
      </c>
      <c r="H35" t="s">
        <v>130</v>
      </c>
      <c r="I35" t="s">
        <v>134</v>
      </c>
    </row>
    <row r="36" spans="1:9" x14ac:dyDescent="0.2">
      <c r="A36" t="s">
        <v>52</v>
      </c>
      <c r="B36" t="s">
        <v>118</v>
      </c>
      <c r="C36">
        <v>1.8</v>
      </c>
      <c r="D36">
        <v>0.9</v>
      </c>
      <c r="E36" t="s">
        <v>120</v>
      </c>
      <c r="F36" t="s">
        <v>122</v>
      </c>
      <c r="G36" t="s">
        <v>126</v>
      </c>
      <c r="H36" t="s">
        <v>129</v>
      </c>
      <c r="I36" t="s">
        <v>134</v>
      </c>
    </row>
    <row r="37" spans="1:9" x14ac:dyDescent="0.2">
      <c r="A37" t="s">
        <v>53</v>
      </c>
      <c r="C37">
        <v>1.4</v>
      </c>
      <c r="D37">
        <v>0.5</v>
      </c>
      <c r="E37" t="s">
        <v>120</v>
      </c>
      <c r="F37" t="s">
        <v>122</v>
      </c>
      <c r="G37" t="s">
        <v>126</v>
      </c>
      <c r="H37" t="s">
        <v>130</v>
      </c>
      <c r="I37" t="s">
        <v>134</v>
      </c>
    </row>
    <row r="38" spans="1:9" x14ac:dyDescent="0.2">
      <c r="A38" t="s">
        <v>54</v>
      </c>
      <c r="B38" t="s">
        <v>118</v>
      </c>
      <c r="C38">
        <v>0.1</v>
      </c>
      <c r="F38" t="s">
        <v>122</v>
      </c>
      <c r="G38" t="s">
        <v>126</v>
      </c>
      <c r="H38" t="s">
        <v>129</v>
      </c>
      <c r="I38" t="s">
        <v>134</v>
      </c>
    </row>
    <row r="39" spans="1:9" x14ac:dyDescent="0.2">
      <c r="A39" t="s">
        <v>55</v>
      </c>
      <c r="B39" t="s">
        <v>118</v>
      </c>
      <c r="C39">
        <v>1.2</v>
      </c>
      <c r="D39">
        <v>0.3</v>
      </c>
      <c r="E39" t="s">
        <v>120</v>
      </c>
      <c r="F39" t="s">
        <v>122</v>
      </c>
      <c r="G39" t="s">
        <v>126</v>
      </c>
      <c r="H39" t="s">
        <v>129</v>
      </c>
      <c r="I39" t="s">
        <v>134</v>
      </c>
    </row>
    <row r="40" spans="1:9" x14ac:dyDescent="0.2">
      <c r="A40" t="s">
        <v>56</v>
      </c>
      <c r="C40">
        <v>65.3</v>
      </c>
      <c r="D40">
        <v>3</v>
      </c>
      <c r="E40" t="s">
        <v>120</v>
      </c>
      <c r="F40" t="s">
        <v>122</v>
      </c>
      <c r="G40" t="s">
        <v>126</v>
      </c>
      <c r="H40" t="s">
        <v>130</v>
      </c>
      <c r="I40" t="s">
        <v>134</v>
      </c>
    </row>
    <row r="41" spans="1:9" x14ac:dyDescent="0.2">
      <c r="A41" t="s">
        <v>57</v>
      </c>
      <c r="C41">
        <v>94.1</v>
      </c>
      <c r="D41">
        <v>2.7</v>
      </c>
      <c r="E41" t="s">
        <v>120</v>
      </c>
      <c r="F41" t="s">
        <v>122</v>
      </c>
      <c r="G41" t="s">
        <v>126</v>
      </c>
      <c r="H41" t="s">
        <v>130</v>
      </c>
      <c r="I41" t="s">
        <v>134</v>
      </c>
    </row>
    <row r="42" spans="1:9" x14ac:dyDescent="0.2">
      <c r="A42" t="s">
        <v>58</v>
      </c>
      <c r="C42">
        <v>94.5</v>
      </c>
      <c r="D42">
        <v>3.5</v>
      </c>
      <c r="E42" t="s">
        <v>120</v>
      </c>
      <c r="F42" t="s">
        <v>122</v>
      </c>
      <c r="G42" t="s">
        <v>126</v>
      </c>
      <c r="H42" t="s">
        <v>130</v>
      </c>
      <c r="I42" t="s">
        <v>134</v>
      </c>
    </row>
    <row r="43" spans="1:9" x14ac:dyDescent="0.2">
      <c r="A43" t="s">
        <v>59</v>
      </c>
      <c r="C43">
        <v>512</v>
      </c>
      <c r="D43">
        <v>20</v>
      </c>
      <c r="E43" t="s">
        <v>120</v>
      </c>
      <c r="F43" t="s">
        <v>122</v>
      </c>
      <c r="G43" t="s">
        <v>126</v>
      </c>
      <c r="H43" t="s">
        <v>130</v>
      </c>
      <c r="I43" t="s">
        <v>134</v>
      </c>
    </row>
    <row r="44" spans="1:9" x14ac:dyDescent="0.2">
      <c r="A44" t="s">
        <v>60</v>
      </c>
      <c r="C44">
        <v>62.4</v>
      </c>
      <c r="D44">
        <v>2.6</v>
      </c>
      <c r="E44" t="s">
        <v>120</v>
      </c>
      <c r="F44" t="s">
        <v>122</v>
      </c>
      <c r="G44" t="s">
        <v>126</v>
      </c>
      <c r="H44" t="s">
        <v>130</v>
      </c>
      <c r="I44" t="s">
        <v>134</v>
      </c>
    </row>
    <row r="45" spans="1:9" x14ac:dyDescent="0.2">
      <c r="A45" t="s">
        <v>61</v>
      </c>
      <c r="C45">
        <v>4.8</v>
      </c>
      <c r="D45">
        <v>1</v>
      </c>
      <c r="E45" t="s">
        <v>120</v>
      </c>
      <c r="F45" t="s">
        <v>122</v>
      </c>
      <c r="G45" t="s">
        <v>126</v>
      </c>
      <c r="H45" t="s">
        <v>130</v>
      </c>
      <c r="I45" t="s">
        <v>134</v>
      </c>
    </row>
    <row r="46" spans="1:9" x14ac:dyDescent="0.2">
      <c r="A46" t="s">
        <v>62</v>
      </c>
      <c r="B46" t="s">
        <v>119</v>
      </c>
      <c r="C46">
        <v>20</v>
      </c>
      <c r="F46" t="s">
        <v>122</v>
      </c>
      <c r="G46" t="s">
        <v>126</v>
      </c>
      <c r="H46" t="s">
        <v>129</v>
      </c>
      <c r="I46" t="s">
        <v>134</v>
      </c>
    </row>
    <row r="47" spans="1:9" x14ac:dyDescent="0.2">
      <c r="A47" t="s">
        <v>63</v>
      </c>
      <c r="B47" t="s">
        <v>118</v>
      </c>
      <c r="C47">
        <v>0.3</v>
      </c>
      <c r="F47" t="s">
        <v>122</v>
      </c>
      <c r="G47" t="s">
        <v>126</v>
      </c>
      <c r="H47" t="s">
        <v>129</v>
      </c>
      <c r="I47" t="s">
        <v>134</v>
      </c>
    </row>
    <row r="48" spans="1:9" x14ac:dyDescent="0.2">
      <c r="A48" t="s">
        <v>64</v>
      </c>
      <c r="B48" t="s">
        <v>118</v>
      </c>
      <c r="C48">
        <v>0.5</v>
      </c>
      <c r="F48" t="s">
        <v>122</v>
      </c>
      <c r="G48" t="s">
        <v>126</v>
      </c>
      <c r="H48" t="s">
        <v>129</v>
      </c>
      <c r="I48" t="s">
        <v>134</v>
      </c>
    </row>
    <row r="49" spans="1:9" x14ac:dyDescent="0.2">
      <c r="A49" t="s">
        <v>65</v>
      </c>
      <c r="B49" t="s">
        <v>118</v>
      </c>
      <c r="C49">
        <v>0.17</v>
      </c>
      <c r="F49" t="s">
        <v>122</v>
      </c>
      <c r="G49" t="s">
        <v>126</v>
      </c>
      <c r="H49" t="s">
        <v>129</v>
      </c>
      <c r="I49" t="s">
        <v>134</v>
      </c>
    </row>
    <row r="50" spans="1:9" x14ac:dyDescent="0.2">
      <c r="A50" t="s">
        <v>66</v>
      </c>
      <c r="C50">
        <v>5.41</v>
      </c>
      <c r="D50">
        <v>0.73</v>
      </c>
      <c r="E50" t="s">
        <v>120</v>
      </c>
      <c r="F50" t="s">
        <v>122</v>
      </c>
      <c r="G50" t="s">
        <v>126</v>
      </c>
      <c r="H50" t="s">
        <v>130</v>
      </c>
      <c r="I50" t="s">
        <v>134</v>
      </c>
    </row>
    <row r="51" spans="1:9" x14ac:dyDescent="0.2">
      <c r="A51" t="s">
        <v>67</v>
      </c>
      <c r="C51">
        <v>0.32</v>
      </c>
      <c r="D51">
        <v>0.1</v>
      </c>
      <c r="E51" t="s">
        <v>120</v>
      </c>
      <c r="F51" t="s">
        <v>122</v>
      </c>
      <c r="G51" t="s">
        <v>126</v>
      </c>
      <c r="H51" t="s">
        <v>130</v>
      </c>
      <c r="I51" t="s">
        <v>134</v>
      </c>
    </row>
    <row r="52" spans="1:9" x14ac:dyDescent="0.2">
      <c r="A52" t="s">
        <v>68</v>
      </c>
      <c r="C52">
        <v>1.08</v>
      </c>
      <c r="D52">
        <v>0.11</v>
      </c>
      <c r="E52" t="s">
        <v>120</v>
      </c>
      <c r="F52" t="s">
        <v>122</v>
      </c>
      <c r="G52" t="s">
        <v>126</v>
      </c>
      <c r="H52" t="s">
        <v>130</v>
      </c>
      <c r="I52" t="s">
        <v>134</v>
      </c>
    </row>
    <row r="53" spans="1:9" x14ac:dyDescent="0.2">
      <c r="A53" t="s">
        <v>69</v>
      </c>
      <c r="C53">
        <v>547</v>
      </c>
      <c r="D53">
        <v>16</v>
      </c>
      <c r="E53" t="s">
        <v>120</v>
      </c>
      <c r="F53" t="s">
        <v>122</v>
      </c>
      <c r="G53" t="s">
        <v>126</v>
      </c>
      <c r="H53" t="s">
        <v>130</v>
      </c>
      <c r="I53" t="s">
        <v>134</v>
      </c>
    </row>
    <row r="54" spans="1:9" x14ac:dyDescent="0.2">
      <c r="A54" t="s">
        <v>70</v>
      </c>
      <c r="C54">
        <v>55.6</v>
      </c>
      <c r="D54">
        <v>1.5</v>
      </c>
      <c r="E54" t="s">
        <v>120</v>
      </c>
      <c r="F54" t="s">
        <v>122</v>
      </c>
      <c r="G54" t="s">
        <v>126</v>
      </c>
      <c r="H54" t="s">
        <v>130</v>
      </c>
      <c r="I54" t="s">
        <v>134</v>
      </c>
    </row>
    <row r="55" spans="1:9" x14ac:dyDescent="0.2">
      <c r="A55" t="s">
        <v>71</v>
      </c>
      <c r="C55">
        <v>121</v>
      </c>
      <c r="D55">
        <v>4</v>
      </c>
      <c r="E55" t="s">
        <v>120</v>
      </c>
      <c r="F55" t="s">
        <v>122</v>
      </c>
      <c r="G55" t="s">
        <v>126</v>
      </c>
      <c r="H55" t="s">
        <v>130</v>
      </c>
      <c r="I55" t="s">
        <v>134</v>
      </c>
    </row>
    <row r="56" spans="1:9" x14ac:dyDescent="0.2">
      <c r="A56" t="s">
        <v>72</v>
      </c>
      <c r="C56">
        <v>14.6</v>
      </c>
      <c r="D56">
        <v>0.4</v>
      </c>
      <c r="E56" t="s">
        <v>120</v>
      </c>
      <c r="F56" t="s">
        <v>122</v>
      </c>
      <c r="G56" t="s">
        <v>126</v>
      </c>
      <c r="H56" t="s">
        <v>130</v>
      </c>
      <c r="I56" t="s">
        <v>134</v>
      </c>
    </row>
    <row r="57" spans="1:9" x14ac:dyDescent="0.2">
      <c r="A57" t="s">
        <v>73</v>
      </c>
      <c r="C57">
        <v>60.9</v>
      </c>
      <c r="D57">
        <v>2</v>
      </c>
      <c r="E57" t="s">
        <v>120</v>
      </c>
      <c r="F57" t="s">
        <v>122</v>
      </c>
      <c r="G57" t="s">
        <v>126</v>
      </c>
      <c r="H57" t="s">
        <v>130</v>
      </c>
      <c r="I57" t="s">
        <v>134</v>
      </c>
    </row>
    <row r="58" spans="1:9" x14ac:dyDescent="0.2">
      <c r="A58" t="s">
        <v>74</v>
      </c>
      <c r="C58">
        <v>14.2</v>
      </c>
      <c r="D58">
        <v>0.4</v>
      </c>
      <c r="E58" t="s">
        <v>120</v>
      </c>
      <c r="F58" t="s">
        <v>122</v>
      </c>
      <c r="G58" t="s">
        <v>126</v>
      </c>
      <c r="H58" t="s">
        <v>130</v>
      </c>
      <c r="I58" t="s">
        <v>134</v>
      </c>
    </row>
    <row r="59" spans="1:9" x14ac:dyDescent="0.2">
      <c r="A59" t="s">
        <v>75</v>
      </c>
      <c r="C59">
        <v>2.76</v>
      </c>
      <c r="D59">
        <v>0.1</v>
      </c>
      <c r="E59" t="s">
        <v>120</v>
      </c>
      <c r="F59" t="s">
        <v>122</v>
      </c>
      <c r="G59" t="s">
        <v>126</v>
      </c>
      <c r="H59" t="s">
        <v>130</v>
      </c>
      <c r="I59" t="s">
        <v>134</v>
      </c>
    </row>
    <row r="60" spans="1:9" x14ac:dyDescent="0.2">
      <c r="A60" t="s">
        <v>76</v>
      </c>
      <c r="C60">
        <v>15.3</v>
      </c>
      <c r="D60">
        <v>0.7</v>
      </c>
      <c r="E60" t="s">
        <v>120</v>
      </c>
      <c r="F60" t="s">
        <v>122</v>
      </c>
      <c r="G60" t="s">
        <v>126</v>
      </c>
      <c r="H60" t="s">
        <v>130</v>
      </c>
      <c r="I60" t="s">
        <v>134</v>
      </c>
    </row>
    <row r="61" spans="1:9" x14ac:dyDescent="0.2">
      <c r="A61" t="s">
        <v>77</v>
      </c>
      <c r="C61">
        <v>2.5099999999999998</v>
      </c>
      <c r="D61">
        <v>0.08</v>
      </c>
      <c r="E61" t="s">
        <v>120</v>
      </c>
      <c r="F61" t="s">
        <v>122</v>
      </c>
      <c r="G61" t="s">
        <v>126</v>
      </c>
      <c r="H61" t="s">
        <v>130</v>
      </c>
      <c r="I61" t="s">
        <v>134</v>
      </c>
    </row>
    <row r="62" spans="1:9" x14ac:dyDescent="0.2">
      <c r="A62" t="s">
        <v>78</v>
      </c>
      <c r="C62">
        <v>16.2</v>
      </c>
      <c r="D62">
        <v>0.7</v>
      </c>
      <c r="E62" t="s">
        <v>120</v>
      </c>
      <c r="F62" t="s">
        <v>122</v>
      </c>
      <c r="G62" t="s">
        <v>126</v>
      </c>
      <c r="H62" t="s">
        <v>130</v>
      </c>
      <c r="I62" t="s">
        <v>134</v>
      </c>
    </row>
    <row r="63" spans="1:9" x14ac:dyDescent="0.2">
      <c r="A63" t="s">
        <v>79</v>
      </c>
      <c r="C63">
        <v>3.43</v>
      </c>
      <c r="D63">
        <v>0.11</v>
      </c>
      <c r="E63" t="s">
        <v>120</v>
      </c>
      <c r="F63" t="s">
        <v>122</v>
      </c>
      <c r="G63" t="s">
        <v>126</v>
      </c>
      <c r="H63" t="s">
        <v>130</v>
      </c>
      <c r="I63" t="s">
        <v>134</v>
      </c>
    </row>
    <row r="64" spans="1:9" x14ac:dyDescent="0.2">
      <c r="A64" t="s">
        <v>80</v>
      </c>
      <c r="C64">
        <v>10.3</v>
      </c>
      <c r="D64">
        <v>0.5</v>
      </c>
      <c r="E64" t="s">
        <v>120</v>
      </c>
      <c r="F64" t="s">
        <v>122</v>
      </c>
      <c r="G64" t="s">
        <v>126</v>
      </c>
      <c r="H64" t="s">
        <v>130</v>
      </c>
      <c r="I64" t="s">
        <v>134</v>
      </c>
    </row>
    <row r="65" spans="1:9" x14ac:dyDescent="0.2">
      <c r="A65" t="s">
        <v>81</v>
      </c>
      <c r="C65">
        <v>1.52</v>
      </c>
      <c r="D65">
        <v>7.0000000000000007E-2</v>
      </c>
      <c r="E65" t="s">
        <v>120</v>
      </c>
      <c r="F65" t="s">
        <v>122</v>
      </c>
      <c r="G65" t="s">
        <v>126</v>
      </c>
      <c r="H65" t="s">
        <v>130</v>
      </c>
      <c r="I65" t="s">
        <v>134</v>
      </c>
    </row>
    <row r="66" spans="1:9" x14ac:dyDescent="0.2">
      <c r="A66" t="s">
        <v>82</v>
      </c>
      <c r="C66">
        <v>10.5</v>
      </c>
      <c r="D66">
        <v>0.4</v>
      </c>
      <c r="E66" t="s">
        <v>120</v>
      </c>
      <c r="F66" t="s">
        <v>122</v>
      </c>
      <c r="G66" t="s">
        <v>126</v>
      </c>
      <c r="H66" t="s">
        <v>130</v>
      </c>
      <c r="I66" t="s">
        <v>134</v>
      </c>
    </row>
    <row r="67" spans="1:9" x14ac:dyDescent="0.2">
      <c r="A67" t="s">
        <v>83</v>
      </c>
      <c r="C67">
        <v>1.54</v>
      </c>
      <c r="D67">
        <v>0.05</v>
      </c>
      <c r="E67" t="s">
        <v>120</v>
      </c>
      <c r="F67" t="s">
        <v>122</v>
      </c>
      <c r="G67" t="s">
        <v>126</v>
      </c>
      <c r="H67" t="s">
        <v>130</v>
      </c>
      <c r="I67" t="s">
        <v>134</v>
      </c>
    </row>
    <row r="68" spans="1:9" x14ac:dyDescent="0.2">
      <c r="A68" t="s">
        <v>84</v>
      </c>
      <c r="C68">
        <v>13.7</v>
      </c>
      <c r="D68">
        <v>0.5</v>
      </c>
      <c r="E68" t="s">
        <v>120</v>
      </c>
      <c r="F68" t="s">
        <v>122</v>
      </c>
      <c r="G68" t="s">
        <v>126</v>
      </c>
      <c r="H68" t="s">
        <v>130</v>
      </c>
      <c r="I68" t="s">
        <v>134</v>
      </c>
    </row>
    <row r="69" spans="1:9" x14ac:dyDescent="0.2">
      <c r="A69" t="s">
        <v>85</v>
      </c>
      <c r="C69">
        <v>3.9</v>
      </c>
      <c r="D69">
        <v>0.2</v>
      </c>
      <c r="E69" t="s">
        <v>120</v>
      </c>
      <c r="F69" t="s">
        <v>122</v>
      </c>
      <c r="G69" t="s">
        <v>126</v>
      </c>
      <c r="H69" t="s">
        <v>130</v>
      </c>
      <c r="I69" t="s">
        <v>134</v>
      </c>
    </row>
    <row r="70" spans="1:9" x14ac:dyDescent="0.2">
      <c r="A70" t="s">
        <v>86</v>
      </c>
      <c r="C70">
        <v>9.3000000000000007</v>
      </c>
      <c r="D70">
        <v>1.2</v>
      </c>
      <c r="E70" t="s">
        <v>120</v>
      </c>
      <c r="F70" t="s">
        <v>122</v>
      </c>
      <c r="G70" t="s">
        <v>126</v>
      </c>
      <c r="H70" t="s">
        <v>130</v>
      </c>
      <c r="I70" t="s">
        <v>134</v>
      </c>
    </row>
    <row r="71" spans="1:9" x14ac:dyDescent="0.2">
      <c r="A71" t="s">
        <v>87</v>
      </c>
      <c r="B71" t="s">
        <v>118</v>
      </c>
      <c r="C71">
        <v>5.0000000000000001E-4</v>
      </c>
      <c r="F71" t="s">
        <v>122</v>
      </c>
      <c r="G71" t="s">
        <v>126</v>
      </c>
      <c r="H71" t="s">
        <v>129</v>
      </c>
      <c r="I71" t="s">
        <v>134</v>
      </c>
    </row>
    <row r="72" spans="1:9" x14ac:dyDescent="0.2">
      <c r="A72" t="s">
        <v>88</v>
      </c>
      <c r="B72" t="s">
        <v>119</v>
      </c>
      <c r="C72">
        <v>2</v>
      </c>
      <c r="F72" t="s">
        <v>122</v>
      </c>
      <c r="G72" t="s">
        <v>126</v>
      </c>
      <c r="H72" t="s">
        <v>129</v>
      </c>
      <c r="I72" t="s">
        <v>134</v>
      </c>
    </row>
    <row r="73" spans="1:9" x14ac:dyDescent="0.2">
      <c r="A73" t="s">
        <v>89</v>
      </c>
      <c r="B73" t="s">
        <v>118</v>
      </c>
      <c r="C73">
        <v>0.09</v>
      </c>
      <c r="F73" t="s">
        <v>122</v>
      </c>
      <c r="G73" t="s">
        <v>126</v>
      </c>
      <c r="H73" t="s">
        <v>129</v>
      </c>
      <c r="I73" t="s">
        <v>134</v>
      </c>
    </row>
    <row r="74" spans="1:9" x14ac:dyDescent="0.2">
      <c r="A74" t="s">
        <v>90</v>
      </c>
      <c r="B74" t="s">
        <v>118</v>
      </c>
      <c r="C74">
        <v>8</v>
      </c>
      <c r="F74" t="s">
        <v>122</v>
      </c>
      <c r="G74" t="s">
        <v>126</v>
      </c>
      <c r="H74" t="s">
        <v>129</v>
      </c>
      <c r="I74" t="s">
        <v>134</v>
      </c>
    </row>
    <row r="75" spans="1:9" x14ac:dyDescent="0.2">
      <c r="A75" t="s">
        <v>91</v>
      </c>
      <c r="B75" t="s">
        <v>118</v>
      </c>
      <c r="C75">
        <v>0.03</v>
      </c>
      <c r="D75">
        <v>0.03</v>
      </c>
      <c r="E75" t="s">
        <v>120</v>
      </c>
      <c r="F75" t="s">
        <v>122</v>
      </c>
      <c r="G75" t="s">
        <v>126</v>
      </c>
      <c r="H75" t="s">
        <v>129</v>
      </c>
      <c r="I75" t="s">
        <v>134</v>
      </c>
    </row>
    <row r="76" spans="1:9" x14ac:dyDescent="0.2">
      <c r="A76" t="s">
        <v>92</v>
      </c>
      <c r="B76" t="s">
        <v>119</v>
      </c>
      <c r="C76">
        <v>1</v>
      </c>
      <c r="F76" t="s">
        <v>122</v>
      </c>
      <c r="G76" t="s">
        <v>126</v>
      </c>
      <c r="H76" t="s">
        <v>129</v>
      </c>
      <c r="I76" t="s">
        <v>134</v>
      </c>
    </row>
    <row r="77" spans="1:9" x14ac:dyDescent="0.2">
      <c r="A77" t="s">
        <v>93</v>
      </c>
      <c r="B77" t="s">
        <v>118</v>
      </c>
      <c r="C77">
        <v>7.0000000000000007E-2</v>
      </c>
      <c r="F77" t="s">
        <v>122</v>
      </c>
      <c r="G77" t="s">
        <v>126</v>
      </c>
      <c r="H77" t="s">
        <v>129</v>
      </c>
      <c r="I77" t="s">
        <v>134</v>
      </c>
    </row>
    <row r="78" spans="1:9" x14ac:dyDescent="0.2">
      <c r="A78" t="s">
        <v>94</v>
      </c>
      <c r="C78">
        <v>5.67</v>
      </c>
      <c r="D78">
        <v>0.62</v>
      </c>
      <c r="E78" t="s">
        <v>120</v>
      </c>
      <c r="F78" t="s">
        <v>122</v>
      </c>
      <c r="G78" t="s">
        <v>126</v>
      </c>
      <c r="H78" t="s">
        <v>130</v>
      </c>
      <c r="I78" t="s">
        <v>134</v>
      </c>
    </row>
    <row r="79" spans="1:9" x14ac:dyDescent="0.2">
      <c r="A79" t="s">
        <v>95</v>
      </c>
      <c r="B79" t="s">
        <v>118</v>
      </c>
      <c r="C79">
        <v>0.05</v>
      </c>
      <c r="F79" t="s">
        <v>122</v>
      </c>
      <c r="G79" t="s">
        <v>126</v>
      </c>
      <c r="H79" t="s">
        <v>129</v>
      </c>
      <c r="I79" t="s">
        <v>134</v>
      </c>
    </row>
    <row r="80" spans="1:9" x14ac:dyDescent="0.2">
      <c r="A80" t="s">
        <v>96</v>
      </c>
      <c r="C80">
        <v>7.4</v>
      </c>
      <c r="D80">
        <v>0.27</v>
      </c>
      <c r="E80" t="s">
        <v>120</v>
      </c>
      <c r="F80" t="s">
        <v>122</v>
      </c>
      <c r="G80" t="s">
        <v>126</v>
      </c>
      <c r="H80" t="s">
        <v>130</v>
      </c>
      <c r="I80" t="s">
        <v>134</v>
      </c>
    </row>
    <row r="81" spans="1:9" x14ac:dyDescent="0.2">
      <c r="A81" t="s">
        <v>97</v>
      </c>
      <c r="C81">
        <v>2.37</v>
      </c>
      <c r="D81">
        <v>0.12</v>
      </c>
      <c r="E81" t="s">
        <v>120</v>
      </c>
      <c r="F81" t="s">
        <v>122</v>
      </c>
      <c r="G81" t="s">
        <v>126</v>
      </c>
      <c r="H81" t="s">
        <v>130</v>
      </c>
      <c r="I81" t="s">
        <v>134</v>
      </c>
    </row>
    <row r="82" spans="1:9" x14ac:dyDescent="0.2">
      <c r="A82" t="s">
        <v>98</v>
      </c>
      <c r="C82">
        <v>1.59</v>
      </c>
      <c r="F82" t="s">
        <v>123</v>
      </c>
      <c r="G82" t="s">
        <v>128</v>
      </c>
      <c r="H82" t="s">
        <v>129</v>
      </c>
      <c r="I82" t="s">
        <v>135</v>
      </c>
    </row>
    <row r="83" spans="1:9" x14ac:dyDescent="0.2">
      <c r="A83" t="s">
        <v>99</v>
      </c>
      <c r="C83">
        <v>3.2</v>
      </c>
      <c r="F83" t="s">
        <v>123</v>
      </c>
      <c r="G83" t="s">
        <v>128</v>
      </c>
      <c r="H83" t="s">
        <v>129</v>
      </c>
      <c r="I83" t="s">
        <v>135</v>
      </c>
    </row>
    <row r="84" spans="1:9" x14ac:dyDescent="0.2">
      <c r="A84" t="s">
        <v>100</v>
      </c>
      <c r="C84">
        <v>-0.28000000000000003</v>
      </c>
      <c r="F84" t="s">
        <v>124</v>
      </c>
      <c r="G84" t="s">
        <v>128</v>
      </c>
      <c r="H84" t="s">
        <v>129</v>
      </c>
      <c r="I84" t="s">
        <v>135</v>
      </c>
    </row>
    <row r="85" spans="1:9" x14ac:dyDescent="0.2">
      <c r="A85" t="s">
        <v>101</v>
      </c>
      <c r="C85">
        <v>-0.6</v>
      </c>
      <c r="F85" t="s">
        <v>124</v>
      </c>
      <c r="G85" t="s">
        <v>128</v>
      </c>
      <c r="H85" t="s">
        <v>129</v>
      </c>
      <c r="I85" t="s">
        <v>135</v>
      </c>
    </row>
    <row r="86" spans="1:9" x14ac:dyDescent="0.2">
      <c r="A86" t="s">
        <v>102</v>
      </c>
      <c r="C86">
        <v>0.85</v>
      </c>
      <c r="D86">
        <v>0.06</v>
      </c>
      <c r="E86" t="s">
        <v>120</v>
      </c>
      <c r="F86" t="s">
        <v>125</v>
      </c>
      <c r="G86" t="s">
        <v>128</v>
      </c>
      <c r="H86" t="s">
        <v>133</v>
      </c>
      <c r="I86" t="s">
        <v>135</v>
      </c>
    </row>
    <row r="87" spans="1:9" x14ac:dyDescent="0.2">
      <c r="A87" t="s">
        <v>103</v>
      </c>
      <c r="C87">
        <v>0.70327099999999998</v>
      </c>
      <c r="D87">
        <v>1.5E-5</v>
      </c>
      <c r="E87" t="s">
        <v>120</v>
      </c>
      <c r="G87" t="s">
        <v>128</v>
      </c>
      <c r="H87" t="s">
        <v>133</v>
      </c>
      <c r="I87" t="s">
        <v>135</v>
      </c>
    </row>
    <row r="88" spans="1:9" x14ac:dyDescent="0.2">
      <c r="A88" t="s">
        <v>104</v>
      </c>
      <c r="C88">
        <v>0.513015</v>
      </c>
      <c r="D88">
        <v>9.0000000000000002E-6</v>
      </c>
      <c r="E88" t="s">
        <v>120</v>
      </c>
      <c r="G88" t="s">
        <v>128</v>
      </c>
      <c r="H88" t="s">
        <v>133</v>
      </c>
      <c r="I88" t="s">
        <v>135</v>
      </c>
    </row>
    <row r="89" spans="1:9" x14ac:dyDescent="0.2">
      <c r="A89" t="s">
        <v>105</v>
      </c>
      <c r="C89">
        <v>0.28317100000000001</v>
      </c>
      <c r="D89">
        <v>2.5000000000000001E-5</v>
      </c>
      <c r="E89" t="s">
        <v>120</v>
      </c>
      <c r="G89" t="s">
        <v>128</v>
      </c>
      <c r="H89" t="s">
        <v>129</v>
      </c>
      <c r="I89" t="s">
        <v>135</v>
      </c>
    </row>
    <row r="90" spans="1:9" x14ac:dyDescent="0.2">
      <c r="A90" t="s">
        <v>106</v>
      </c>
      <c r="C90">
        <v>18.382999999999999</v>
      </c>
      <c r="D90">
        <v>8.9999999999999993E-3</v>
      </c>
      <c r="E90" t="s">
        <v>120</v>
      </c>
      <c r="G90" t="s">
        <v>128</v>
      </c>
      <c r="H90" t="s">
        <v>133</v>
      </c>
      <c r="I90" t="s">
        <v>135</v>
      </c>
    </row>
    <row r="91" spans="1:9" x14ac:dyDescent="0.2">
      <c r="A91" t="s">
        <v>107</v>
      </c>
      <c r="C91">
        <v>15.481</v>
      </c>
      <c r="D91">
        <v>4.0000000000000001E-3</v>
      </c>
      <c r="E91" t="s">
        <v>120</v>
      </c>
      <c r="G91" t="s">
        <v>128</v>
      </c>
      <c r="H91" t="s">
        <v>133</v>
      </c>
      <c r="I91" t="s">
        <v>135</v>
      </c>
    </row>
    <row r="92" spans="1:9" x14ac:dyDescent="0.2">
      <c r="A92" t="s">
        <v>108</v>
      </c>
      <c r="C92">
        <v>0.84206999999999999</v>
      </c>
      <c r="D92">
        <v>5.5999999999999995E-4</v>
      </c>
      <c r="E92" t="s">
        <v>120</v>
      </c>
      <c r="G92" t="s">
        <v>128</v>
      </c>
      <c r="H92" t="s">
        <v>133</v>
      </c>
      <c r="I92" t="s">
        <v>135</v>
      </c>
    </row>
    <row r="93" spans="1:9" x14ac:dyDescent="0.2">
      <c r="A93" t="s">
        <v>109</v>
      </c>
      <c r="C93">
        <v>38.11</v>
      </c>
      <c r="D93">
        <v>1.0999999999999999E-2</v>
      </c>
      <c r="E93" t="s">
        <v>120</v>
      </c>
      <c r="G93" t="s">
        <v>128</v>
      </c>
      <c r="H93" t="s">
        <v>133</v>
      </c>
      <c r="I93" t="s">
        <v>135</v>
      </c>
    </row>
    <row r="94" spans="1:9" x14ac:dyDescent="0.2">
      <c r="A94" t="s">
        <v>110</v>
      </c>
      <c r="C94">
        <v>2.0739399999999999</v>
      </c>
      <c r="D94">
        <v>8.4999999999999995E-4</v>
      </c>
      <c r="E94" t="s">
        <v>120</v>
      </c>
      <c r="G94" t="s">
        <v>128</v>
      </c>
      <c r="H94" t="s">
        <v>133</v>
      </c>
      <c r="I94" t="s">
        <v>135</v>
      </c>
    </row>
    <row r="95" spans="1:9" x14ac:dyDescent="0.2">
      <c r="A95" t="s">
        <v>111</v>
      </c>
      <c r="C95">
        <v>5.4840000000000003E-6</v>
      </c>
      <c r="G95" t="s">
        <v>128</v>
      </c>
      <c r="H95" t="s">
        <v>129</v>
      </c>
      <c r="I95" t="s">
        <v>135</v>
      </c>
    </row>
    <row r="96" spans="1:9" x14ac:dyDescent="0.2">
      <c r="A96" t="s">
        <v>112</v>
      </c>
      <c r="C96">
        <v>1.018</v>
      </c>
      <c r="G96" t="s">
        <v>128</v>
      </c>
      <c r="H96" t="s">
        <v>129</v>
      </c>
      <c r="I96" t="s">
        <v>135</v>
      </c>
    </row>
    <row r="97" spans="1:9" x14ac:dyDescent="0.2">
      <c r="A97" t="s">
        <v>113</v>
      </c>
      <c r="C97">
        <v>1.8300000000000001E-5</v>
      </c>
      <c r="G97" t="s">
        <v>128</v>
      </c>
      <c r="H97" t="s">
        <v>129</v>
      </c>
      <c r="I97" t="s">
        <v>135</v>
      </c>
    </row>
    <row r="98" spans="1:9" x14ac:dyDescent="0.2">
      <c r="A98" t="s">
        <v>114</v>
      </c>
      <c r="C98">
        <v>1.1020000000000001</v>
      </c>
      <c r="G98" t="s">
        <v>128</v>
      </c>
      <c r="H98" t="s">
        <v>129</v>
      </c>
      <c r="I98" t="s">
        <v>135</v>
      </c>
    </row>
    <row r="99" spans="1:9" x14ac:dyDescent="0.2">
      <c r="A99" t="s">
        <v>115</v>
      </c>
      <c r="C99">
        <v>5.4889999999999998E-5</v>
      </c>
      <c r="D99">
        <v>7.6000000000000003E-7</v>
      </c>
      <c r="E99" t="s">
        <v>120</v>
      </c>
      <c r="G99" t="s">
        <v>128</v>
      </c>
      <c r="H99" t="s">
        <v>133</v>
      </c>
      <c r="I99" t="s">
        <v>135</v>
      </c>
    </row>
    <row r="100" spans="1:9" x14ac:dyDescent="0.2">
      <c r="A100" t="s">
        <v>116</v>
      </c>
      <c r="C100">
        <v>0.999</v>
      </c>
      <c r="G100" t="s">
        <v>128</v>
      </c>
      <c r="H100" t="s">
        <v>129</v>
      </c>
      <c r="I100" t="s">
        <v>135</v>
      </c>
    </row>
    <row r="101" spans="1:9" x14ac:dyDescent="0.2">
      <c r="A101" t="s">
        <v>117</v>
      </c>
      <c r="C101">
        <v>138.03</v>
      </c>
      <c r="G101" t="s">
        <v>128</v>
      </c>
      <c r="H101" t="s">
        <v>129</v>
      </c>
      <c r="I101" t="s">
        <v>135</v>
      </c>
    </row>
    <row r="103" spans="1:9" x14ac:dyDescent="0.2">
      <c r="A103" t="s">
        <v>152</v>
      </c>
    </row>
    <row r="104" spans="1:9" x14ac:dyDescent="0.2">
      <c r="A104" t="s">
        <v>142</v>
      </c>
    </row>
    <row r="105" spans="1:9" x14ac:dyDescent="0.2">
      <c r="A105" t="s">
        <v>143</v>
      </c>
    </row>
    <row r="106" spans="1:9" x14ac:dyDescent="0.2">
      <c r="A106" t="s">
        <v>144</v>
      </c>
      <c r="B106" t="s">
        <v>145</v>
      </c>
      <c r="C106" t="s">
        <v>146</v>
      </c>
      <c r="D106" t="s">
        <v>147</v>
      </c>
      <c r="E106" t="s">
        <v>148</v>
      </c>
      <c r="F106" t="s">
        <v>149</v>
      </c>
      <c r="G106" t="s">
        <v>150</v>
      </c>
      <c r="H106" t="s">
        <v>151</v>
      </c>
    </row>
    <row r="107" spans="1:9" x14ac:dyDescent="0.2">
      <c r="A107" t="s">
        <v>25</v>
      </c>
      <c r="B107" t="s">
        <v>118</v>
      </c>
      <c r="C107">
        <v>1.4E-2</v>
      </c>
      <c r="F107" t="s">
        <v>121</v>
      </c>
      <c r="G107" t="s">
        <v>126</v>
      </c>
      <c r="H107" t="s">
        <v>129</v>
      </c>
      <c r="I107" t="s">
        <v>134</v>
      </c>
    </row>
    <row r="108" spans="1:9" x14ac:dyDescent="0.2">
      <c r="A108" t="s">
        <v>26</v>
      </c>
      <c r="B108" t="s">
        <v>118</v>
      </c>
      <c r="C108">
        <v>5.9999999999999995E-4</v>
      </c>
      <c r="F108" t="s">
        <v>121</v>
      </c>
      <c r="G108" t="s">
        <v>126</v>
      </c>
      <c r="H108" t="s">
        <v>129</v>
      </c>
      <c r="I108" t="s">
        <v>134</v>
      </c>
    </row>
    <row r="109" spans="1:9" x14ac:dyDescent="0.2">
      <c r="A109" t="s">
        <v>27</v>
      </c>
      <c r="C109">
        <v>0.115</v>
      </c>
      <c r="D109">
        <v>1.4E-2</v>
      </c>
      <c r="E109" t="s">
        <v>120</v>
      </c>
      <c r="F109" t="s">
        <v>121</v>
      </c>
      <c r="G109" t="s">
        <v>126</v>
      </c>
      <c r="H109" t="s">
        <v>130</v>
      </c>
      <c r="I109" t="s">
        <v>134</v>
      </c>
    </row>
    <row r="110" spans="1:9" x14ac:dyDescent="0.2">
      <c r="A110" t="s">
        <v>28</v>
      </c>
      <c r="B110" t="s">
        <v>118</v>
      </c>
      <c r="C110">
        <v>34.299999999999997</v>
      </c>
      <c r="D110">
        <v>0.5</v>
      </c>
      <c r="E110" t="s">
        <v>120</v>
      </c>
      <c r="F110" t="s">
        <v>121</v>
      </c>
      <c r="G110" t="s">
        <v>126</v>
      </c>
      <c r="H110" t="s">
        <v>129</v>
      </c>
      <c r="I110" t="s">
        <v>134</v>
      </c>
    </row>
    <row r="111" spans="1:9" x14ac:dyDescent="0.2">
      <c r="A111" t="s">
        <v>29</v>
      </c>
      <c r="B111" t="s">
        <v>118</v>
      </c>
      <c r="C111">
        <v>2.33</v>
      </c>
      <c r="D111">
        <v>0.05</v>
      </c>
      <c r="E111" t="s">
        <v>120</v>
      </c>
      <c r="F111" t="s">
        <v>121</v>
      </c>
      <c r="G111" t="s">
        <v>126</v>
      </c>
      <c r="H111" t="s">
        <v>129</v>
      </c>
      <c r="I111" t="s">
        <v>134</v>
      </c>
    </row>
    <row r="112" spans="1:9" x14ac:dyDescent="0.2">
      <c r="A112" t="s">
        <v>30</v>
      </c>
      <c r="B112" t="s">
        <v>118</v>
      </c>
      <c r="C112">
        <v>53.1</v>
      </c>
      <c r="D112">
        <v>0.5</v>
      </c>
      <c r="E112" t="s">
        <v>120</v>
      </c>
      <c r="F112" t="s">
        <v>121</v>
      </c>
      <c r="G112" t="s">
        <v>126</v>
      </c>
      <c r="H112" t="s">
        <v>129</v>
      </c>
      <c r="I112" t="s">
        <v>134</v>
      </c>
    </row>
    <row r="113" spans="1:9" x14ac:dyDescent="0.2">
      <c r="A113" t="s">
        <v>31</v>
      </c>
      <c r="B113" t="s">
        <v>119</v>
      </c>
      <c r="C113">
        <v>4.0000000000000002E-4</v>
      </c>
      <c r="F113" t="s">
        <v>121</v>
      </c>
      <c r="G113" t="s">
        <v>126</v>
      </c>
      <c r="H113" t="s">
        <v>129</v>
      </c>
      <c r="I113" t="s">
        <v>134</v>
      </c>
    </row>
    <row r="114" spans="1:9" x14ac:dyDescent="0.2">
      <c r="A114" t="s">
        <v>32</v>
      </c>
      <c r="B114" t="s">
        <v>118</v>
      </c>
      <c r="C114">
        <v>3.7200000000000002E-3</v>
      </c>
      <c r="D114">
        <v>2.5000000000000001E-4</v>
      </c>
      <c r="E114" t="s">
        <v>120</v>
      </c>
      <c r="F114" t="s">
        <v>121</v>
      </c>
      <c r="G114" t="s">
        <v>126</v>
      </c>
      <c r="H114" t="s">
        <v>129</v>
      </c>
      <c r="I114" t="s">
        <v>134</v>
      </c>
    </row>
    <row r="115" spans="1:9" x14ac:dyDescent="0.2">
      <c r="A115" t="s">
        <v>33</v>
      </c>
      <c r="B115" t="s">
        <v>118</v>
      </c>
      <c r="C115">
        <v>2.1</v>
      </c>
      <c r="D115">
        <v>0.02</v>
      </c>
      <c r="E115" t="s">
        <v>120</v>
      </c>
      <c r="F115" t="s">
        <v>121</v>
      </c>
      <c r="G115" t="s">
        <v>126</v>
      </c>
      <c r="H115" t="s">
        <v>129</v>
      </c>
      <c r="I115" t="s">
        <v>134</v>
      </c>
    </row>
    <row r="116" spans="1:9" x14ac:dyDescent="0.2">
      <c r="A116" t="s">
        <v>34</v>
      </c>
      <c r="C116">
        <v>6.2E-2</v>
      </c>
      <c r="D116">
        <v>7.0000000000000001E-3</v>
      </c>
      <c r="E116" t="s">
        <v>120</v>
      </c>
      <c r="F116" t="s">
        <v>121</v>
      </c>
      <c r="G116" t="s">
        <v>126</v>
      </c>
      <c r="H116" t="s">
        <v>130</v>
      </c>
      <c r="I116" t="s">
        <v>134</v>
      </c>
    </row>
    <row r="117" spans="1:9" x14ac:dyDescent="0.2">
      <c r="A117" t="s">
        <v>35</v>
      </c>
      <c r="C117">
        <v>0.109</v>
      </c>
      <c r="D117">
        <v>8.9999999999999993E-3</v>
      </c>
      <c r="E117" t="s">
        <v>120</v>
      </c>
      <c r="F117" t="s">
        <v>121</v>
      </c>
      <c r="G117" t="s">
        <v>126</v>
      </c>
      <c r="H117" t="s">
        <v>130</v>
      </c>
      <c r="I117" t="s">
        <v>134</v>
      </c>
    </row>
    <row r="118" spans="1:9" x14ac:dyDescent="0.2">
      <c r="A118" t="s">
        <v>36</v>
      </c>
      <c r="C118">
        <v>6.8</v>
      </c>
      <c r="D118">
        <v>0.14000000000000001</v>
      </c>
      <c r="E118" t="s">
        <v>120</v>
      </c>
      <c r="F118" t="s">
        <v>121</v>
      </c>
      <c r="G118" t="s">
        <v>126</v>
      </c>
      <c r="H118" t="s">
        <v>130</v>
      </c>
      <c r="I118" t="s">
        <v>134</v>
      </c>
    </row>
    <row r="119" spans="1:9" x14ac:dyDescent="0.2">
      <c r="A119" t="s">
        <v>37</v>
      </c>
      <c r="B119" t="s">
        <v>118</v>
      </c>
      <c r="C119">
        <v>2.2000000000000002</v>
      </c>
      <c r="D119">
        <v>1.7</v>
      </c>
      <c r="E119" t="s">
        <v>120</v>
      </c>
      <c r="F119" t="s">
        <v>122</v>
      </c>
      <c r="G119" t="s">
        <v>126</v>
      </c>
      <c r="H119" t="s">
        <v>129</v>
      </c>
      <c r="I119" t="s">
        <v>134</v>
      </c>
    </row>
    <row r="120" spans="1:9" x14ac:dyDescent="0.2">
      <c r="A120" t="s">
        <v>38</v>
      </c>
      <c r="B120" t="s">
        <v>118</v>
      </c>
      <c r="C120">
        <v>0.01</v>
      </c>
      <c r="F120" t="s">
        <v>122</v>
      </c>
      <c r="G120" t="s">
        <v>126</v>
      </c>
      <c r="H120" t="s">
        <v>129</v>
      </c>
      <c r="I120" t="s">
        <v>134</v>
      </c>
    </row>
    <row r="121" spans="1:9" x14ac:dyDescent="0.2">
      <c r="A121" t="s">
        <v>39</v>
      </c>
      <c r="B121" t="s">
        <v>118</v>
      </c>
      <c r="C121">
        <v>4.2</v>
      </c>
      <c r="F121" t="s">
        <v>122</v>
      </c>
      <c r="G121" t="s">
        <v>126</v>
      </c>
      <c r="H121" t="s">
        <v>129</v>
      </c>
      <c r="I121" t="s">
        <v>134</v>
      </c>
    </row>
    <row r="122" spans="1:9" x14ac:dyDescent="0.2">
      <c r="A122" t="s">
        <v>40</v>
      </c>
      <c r="B122" t="s">
        <v>118</v>
      </c>
      <c r="C122">
        <v>458000</v>
      </c>
      <c r="F122" t="s">
        <v>122</v>
      </c>
      <c r="G122" t="s">
        <v>126</v>
      </c>
      <c r="H122" t="s">
        <v>129</v>
      </c>
      <c r="I122" t="s">
        <v>134</v>
      </c>
    </row>
    <row r="123" spans="1:9" x14ac:dyDescent="0.2">
      <c r="A123" t="s">
        <v>41</v>
      </c>
      <c r="B123" t="s">
        <v>118</v>
      </c>
      <c r="C123">
        <v>2.6</v>
      </c>
      <c r="F123" t="s">
        <v>122</v>
      </c>
      <c r="G123" t="s">
        <v>126</v>
      </c>
      <c r="H123" t="s">
        <v>129</v>
      </c>
      <c r="I123" t="s">
        <v>134</v>
      </c>
    </row>
    <row r="124" spans="1:9" x14ac:dyDescent="0.2">
      <c r="A124" t="s">
        <v>42</v>
      </c>
      <c r="B124" t="s">
        <v>118</v>
      </c>
      <c r="C124">
        <v>1.2</v>
      </c>
      <c r="F124" t="s">
        <v>122</v>
      </c>
      <c r="G124" t="s">
        <v>126</v>
      </c>
      <c r="H124" t="s">
        <v>129</v>
      </c>
      <c r="I124" t="s">
        <v>134</v>
      </c>
    </row>
    <row r="125" spans="1:9" x14ac:dyDescent="0.2">
      <c r="A125" t="s">
        <v>43</v>
      </c>
      <c r="B125" t="s">
        <v>118</v>
      </c>
      <c r="C125">
        <v>0.7</v>
      </c>
      <c r="F125" t="s">
        <v>122</v>
      </c>
      <c r="G125" t="s">
        <v>126</v>
      </c>
      <c r="H125" t="s">
        <v>129</v>
      </c>
      <c r="I125" t="s">
        <v>134</v>
      </c>
    </row>
    <row r="126" spans="1:9" x14ac:dyDescent="0.2">
      <c r="A126" t="s">
        <v>44</v>
      </c>
      <c r="B126" t="s">
        <v>118</v>
      </c>
      <c r="C126">
        <v>13.3</v>
      </c>
      <c r="D126">
        <v>2.2999999999999998</v>
      </c>
      <c r="E126" t="s">
        <v>120</v>
      </c>
      <c r="F126" t="s">
        <v>122</v>
      </c>
      <c r="G126" t="s">
        <v>126</v>
      </c>
      <c r="H126" t="s">
        <v>129</v>
      </c>
      <c r="I126" t="s">
        <v>134</v>
      </c>
    </row>
    <row r="127" spans="1:9" x14ac:dyDescent="0.2">
      <c r="A127" t="s">
        <v>45</v>
      </c>
      <c r="B127" t="s">
        <v>118</v>
      </c>
      <c r="C127">
        <v>61</v>
      </c>
      <c r="D127">
        <v>15</v>
      </c>
      <c r="E127" t="s">
        <v>120</v>
      </c>
      <c r="F127" t="s">
        <v>122</v>
      </c>
      <c r="G127" t="s">
        <v>126</v>
      </c>
      <c r="H127" t="s">
        <v>129</v>
      </c>
      <c r="I127" t="s">
        <v>134</v>
      </c>
    </row>
    <row r="128" spans="1:9" x14ac:dyDescent="0.2">
      <c r="A128" t="s">
        <v>46</v>
      </c>
      <c r="C128">
        <v>2190</v>
      </c>
      <c r="D128">
        <v>210</v>
      </c>
      <c r="E128" t="s">
        <v>120</v>
      </c>
      <c r="F128" t="s">
        <v>122</v>
      </c>
      <c r="G128" t="s">
        <v>126</v>
      </c>
      <c r="H128" t="s">
        <v>130</v>
      </c>
      <c r="I128" t="s">
        <v>134</v>
      </c>
    </row>
    <row r="129" spans="1:9" x14ac:dyDescent="0.2">
      <c r="A129" t="s">
        <v>47</v>
      </c>
      <c r="C129">
        <v>97.6</v>
      </c>
      <c r="D129">
        <v>7.6</v>
      </c>
      <c r="E129" t="s">
        <v>120</v>
      </c>
      <c r="F129" t="s">
        <v>122</v>
      </c>
      <c r="G129" t="s">
        <v>126</v>
      </c>
      <c r="H129" t="s">
        <v>130</v>
      </c>
      <c r="I129" t="s">
        <v>134</v>
      </c>
    </row>
    <row r="130" spans="1:9" x14ac:dyDescent="0.2">
      <c r="A130" t="s">
        <v>48</v>
      </c>
      <c r="C130">
        <v>1900</v>
      </c>
      <c r="D130">
        <v>120</v>
      </c>
      <c r="E130" t="s">
        <v>120</v>
      </c>
      <c r="F130" t="s">
        <v>122</v>
      </c>
      <c r="G130" t="s">
        <v>126</v>
      </c>
      <c r="H130" t="s">
        <v>130</v>
      </c>
      <c r="I130" t="s">
        <v>134</v>
      </c>
    </row>
    <row r="131" spans="1:9" x14ac:dyDescent="0.2">
      <c r="A131" t="s">
        <v>49</v>
      </c>
      <c r="B131" t="s">
        <v>118</v>
      </c>
      <c r="C131">
        <v>37.9</v>
      </c>
      <c r="D131">
        <v>7.4</v>
      </c>
      <c r="E131" t="s">
        <v>120</v>
      </c>
      <c r="F131" t="s">
        <v>122</v>
      </c>
      <c r="G131" t="s">
        <v>126</v>
      </c>
      <c r="H131" t="s">
        <v>129</v>
      </c>
      <c r="I131" t="s">
        <v>134</v>
      </c>
    </row>
    <row r="132" spans="1:9" x14ac:dyDescent="0.2">
      <c r="A132" t="s">
        <v>50</v>
      </c>
      <c r="C132">
        <v>39.9</v>
      </c>
      <c r="D132">
        <v>5.9</v>
      </c>
      <c r="E132" t="s">
        <v>120</v>
      </c>
      <c r="F132" t="s">
        <v>122</v>
      </c>
      <c r="G132" t="s">
        <v>126</v>
      </c>
      <c r="H132" t="s">
        <v>130</v>
      </c>
      <c r="I132" t="s">
        <v>134</v>
      </c>
    </row>
    <row r="133" spans="1:9" x14ac:dyDescent="0.2">
      <c r="A133" t="s">
        <v>51</v>
      </c>
      <c r="B133" t="s">
        <v>118</v>
      </c>
      <c r="C133">
        <v>2.2999999999999998</v>
      </c>
      <c r="D133">
        <v>1</v>
      </c>
      <c r="E133" t="s">
        <v>120</v>
      </c>
      <c r="F133" t="s">
        <v>122</v>
      </c>
      <c r="G133" t="s">
        <v>126</v>
      </c>
      <c r="H133" t="s">
        <v>129</v>
      </c>
      <c r="I133" t="s">
        <v>134</v>
      </c>
    </row>
    <row r="134" spans="1:9" x14ac:dyDescent="0.2">
      <c r="A134" t="s">
        <v>52</v>
      </c>
      <c r="B134" t="s">
        <v>118</v>
      </c>
      <c r="C134">
        <v>0.44</v>
      </c>
      <c r="F134" t="s">
        <v>122</v>
      </c>
      <c r="G134" t="s">
        <v>126</v>
      </c>
      <c r="H134" t="s">
        <v>129</v>
      </c>
      <c r="I134" t="s">
        <v>134</v>
      </c>
    </row>
    <row r="135" spans="1:9" x14ac:dyDescent="0.2">
      <c r="A135" t="s">
        <v>53</v>
      </c>
      <c r="B135" t="s">
        <v>119</v>
      </c>
      <c r="C135">
        <v>0.03</v>
      </c>
      <c r="F135" t="s">
        <v>122</v>
      </c>
      <c r="G135" t="s">
        <v>126</v>
      </c>
      <c r="H135" t="s">
        <v>129</v>
      </c>
      <c r="I135" t="s">
        <v>134</v>
      </c>
    </row>
    <row r="136" spans="1:9" x14ac:dyDescent="0.2">
      <c r="A136" t="s">
        <v>54</v>
      </c>
      <c r="B136" t="s">
        <v>119</v>
      </c>
      <c r="C136">
        <v>8.9999999999999993E-3</v>
      </c>
      <c r="F136" t="s">
        <v>122</v>
      </c>
      <c r="G136" t="s">
        <v>126</v>
      </c>
      <c r="H136" t="s">
        <v>129</v>
      </c>
      <c r="I136" t="s">
        <v>134</v>
      </c>
    </row>
    <row r="137" spans="1:9" x14ac:dyDescent="0.2">
      <c r="A137" t="s">
        <v>55</v>
      </c>
      <c r="B137" t="s">
        <v>119</v>
      </c>
      <c r="C137">
        <v>0.1</v>
      </c>
      <c r="F137" t="s">
        <v>122</v>
      </c>
      <c r="G137" t="s">
        <v>126</v>
      </c>
      <c r="H137" t="s">
        <v>129</v>
      </c>
      <c r="I137" t="s">
        <v>134</v>
      </c>
    </row>
    <row r="138" spans="1:9" x14ac:dyDescent="0.2">
      <c r="A138" t="s">
        <v>56</v>
      </c>
      <c r="C138">
        <v>0.374</v>
      </c>
      <c r="D138">
        <v>9.2999999999999999E-2</v>
      </c>
      <c r="E138" t="s">
        <v>120</v>
      </c>
      <c r="F138" t="s">
        <v>122</v>
      </c>
      <c r="G138" t="s">
        <v>126</v>
      </c>
      <c r="H138" t="s">
        <v>130</v>
      </c>
      <c r="I138" t="s">
        <v>134</v>
      </c>
    </row>
    <row r="139" spans="1:9" x14ac:dyDescent="0.2">
      <c r="A139" t="s">
        <v>57</v>
      </c>
      <c r="C139">
        <v>0.78</v>
      </c>
      <c r="D139">
        <v>0.08</v>
      </c>
      <c r="E139" t="s">
        <v>120</v>
      </c>
      <c r="F139" t="s">
        <v>122</v>
      </c>
      <c r="G139" t="s">
        <v>126</v>
      </c>
      <c r="H139" t="s">
        <v>130</v>
      </c>
      <c r="I139" t="s">
        <v>134</v>
      </c>
    </row>
    <row r="140" spans="1:9" x14ac:dyDescent="0.2">
      <c r="A140" t="s">
        <v>58</v>
      </c>
      <c r="C140">
        <v>2.1800000000000002</v>
      </c>
      <c r="D140">
        <v>0.2</v>
      </c>
      <c r="E140" t="s">
        <v>120</v>
      </c>
      <c r="F140" t="s">
        <v>122</v>
      </c>
      <c r="G140" t="s">
        <v>126</v>
      </c>
      <c r="H140" t="s">
        <v>130</v>
      </c>
      <c r="I140" t="s">
        <v>134</v>
      </c>
    </row>
    <row r="141" spans="1:9" x14ac:dyDescent="0.2">
      <c r="A141" t="s">
        <v>59</v>
      </c>
      <c r="C141">
        <v>20</v>
      </c>
      <c r="D141">
        <v>0.9</v>
      </c>
      <c r="E141" t="s">
        <v>120</v>
      </c>
      <c r="F141" t="s">
        <v>122</v>
      </c>
      <c r="G141" t="s">
        <v>126</v>
      </c>
      <c r="H141" t="s">
        <v>130</v>
      </c>
      <c r="I141" t="s">
        <v>134</v>
      </c>
    </row>
    <row r="142" spans="1:9" x14ac:dyDescent="0.2">
      <c r="A142" t="s">
        <v>60</v>
      </c>
      <c r="C142">
        <v>3.9E-2</v>
      </c>
      <c r="D142">
        <v>5.0000000000000001E-3</v>
      </c>
      <c r="E142" t="s">
        <v>120</v>
      </c>
      <c r="F142" t="s">
        <v>122</v>
      </c>
      <c r="G142" t="s">
        <v>126</v>
      </c>
      <c r="H142" t="s">
        <v>130</v>
      </c>
      <c r="I142" t="s">
        <v>134</v>
      </c>
    </row>
    <row r="143" spans="1:9" x14ac:dyDescent="0.2">
      <c r="A143" t="s">
        <v>61</v>
      </c>
      <c r="B143" t="s">
        <v>118</v>
      </c>
      <c r="C143">
        <v>19</v>
      </c>
      <c r="D143">
        <v>4</v>
      </c>
      <c r="E143" t="s">
        <v>120</v>
      </c>
      <c r="F143" t="s">
        <v>122</v>
      </c>
      <c r="G143" t="s">
        <v>126</v>
      </c>
      <c r="H143" t="s">
        <v>129</v>
      </c>
      <c r="I143" t="s">
        <v>134</v>
      </c>
    </row>
    <row r="144" spans="1:9" x14ac:dyDescent="0.2">
      <c r="A144" t="s">
        <v>62</v>
      </c>
      <c r="B144" t="s">
        <v>119</v>
      </c>
      <c r="C144">
        <v>6</v>
      </c>
      <c r="F144" t="s">
        <v>122</v>
      </c>
      <c r="G144" t="s">
        <v>126</v>
      </c>
      <c r="H144" t="s">
        <v>129</v>
      </c>
      <c r="I144" t="s">
        <v>134</v>
      </c>
    </row>
    <row r="145" spans="1:9" x14ac:dyDescent="0.2">
      <c r="A145" t="s">
        <v>63</v>
      </c>
      <c r="B145" t="s">
        <v>119</v>
      </c>
      <c r="C145">
        <v>0.3</v>
      </c>
      <c r="F145" t="s">
        <v>122</v>
      </c>
      <c r="G145" t="s">
        <v>126</v>
      </c>
      <c r="H145" t="s">
        <v>129</v>
      </c>
      <c r="I145" t="s">
        <v>134</v>
      </c>
    </row>
    <row r="146" spans="1:9" x14ac:dyDescent="0.2">
      <c r="A146" t="s">
        <v>64</v>
      </c>
      <c r="B146" t="s">
        <v>118</v>
      </c>
      <c r="C146">
        <v>0.1</v>
      </c>
      <c r="F146" t="s">
        <v>122</v>
      </c>
      <c r="G146" t="s">
        <v>126</v>
      </c>
      <c r="H146" t="s">
        <v>129</v>
      </c>
      <c r="I146" t="s">
        <v>134</v>
      </c>
    </row>
    <row r="147" spans="1:9" x14ac:dyDescent="0.2">
      <c r="A147" t="s">
        <v>65</v>
      </c>
      <c r="B147" t="s">
        <v>118</v>
      </c>
      <c r="C147">
        <v>0.19</v>
      </c>
      <c r="D147">
        <v>0.06</v>
      </c>
      <c r="E147" t="s">
        <v>120</v>
      </c>
      <c r="F147" t="s">
        <v>122</v>
      </c>
      <c r="G147" t="s">
        <v>126</v>
      </c>
      <c r="H147" t="s">
        <v>129</v>
      </c>
      <c r="I147" t="s">
        <v>134</v>
      </c>
    </row>
    <row r="148" spans="1:9" x14ac:dyDescent="0.2">
      <c r="A148" t="s">
        <v>66</v>
      </c>
      <c r="B148" t="s">
        <v>118</v>
      </c>
      <c r="C148">
        <v>0.4</v>
      </c>
      <c r="F148" t="s">
        <v>122</v>
      </c>
      <c r="G148" t="s">
        <v>126</v>
      </c>
      <c r="H148" t="s">
        <v>129</v>
      </c>
      <c r="I148" t="s">
        <v>134</v>
      </c>
    </row>
    <row r="149" spans="1:9" x14ac:dyDescent="0.2">
      <c r="A149" t="s">
        <v>67</v>
      </c>
      <c r="B149" t="s">
        <v>118</v>
      </c>
      <c r="C149">
        <v>3.6999999999999998E-2</v>
      </c>
      <c r="D149">
        <v>3.7999999999999999E-2</v>
      </c>
      <c r="E149" t="s">
        <v>120</v>
      </c>
      <c r="F149" t="s">
        <v>122</v>
      </c>
      <c r="G149" t="s">
        <v>126</v>
      </c>
      <c r="H149" t="s">
        <v>129</v>
      </c>
      <c r="I149" t="s">
        <v>134</v>
      </c>
    </row>
    <row r="150" spans="1:9" x14ac:dyDescent="0.2">
      <c r="A150" t="s">
        <v>68</v>
      </c>
      <c r="C150">
        <v>1.07</v>
      </c>
      <c r="D150">
        <v>0.17</v>
      </c>
      <c r="E150" t="s">
        <v>120</v>
      </c>
      <c r="F150" t="s">
        <v>122</v>
      </c>
      <c r="G150" t="s">
        <v>126</v>
      </c>
      <c r="H150" t="s">
        <v>130</v>
      </c>
      <c r="I150" t="s">
        <v>134</v>
      </c>
    </row>
    <row r="151" spans="1:9" x14ac:dyDescent="0.2">
      <c r="A151" t="s">
        <v>69</v>
      </c>
      <c r="C151">
        <v>0.53300000000000003</v>
      </c>
      <c r="D151">
        <v>3.2000000000000001E-2</v>
      </c>
      <c r="E151" t="s">
        <v>120</v>
      </c>
      <c r="F151" t="s">
        <v>122</v>
      </c>
      <c r="G151" t="s">
        <v>126</v>
      </c>
      <c r="H151" t="s">
        <v>130</v>
      </c>
      <c r="I151" t="s">
        <v>134</v>
      </c>
    </row>
    <row r="152" spans="1:9" x14ac:dyDescent="0.2">
      <c r="A152" t="s">
        <v>70</v>
      </c>
      <c r="C152">
        <v>0.223</v>
      </c>
      <c r="D152">
        <v>8.9999999999999993E-3</v>
      </c>
      <c r="E152" t="s">
        <v>120</v>
      </c>
      <c r="F152" t="s">
        <v>122</v>
      </c>
      <c r="G152" t="s">
        <v>126</v>
      </c>
      <c r="H152" t="s">
        <v>130</v>
      </c>
      <c r="I152" t="s">
        <v>134</v>
      </c>
    </row>
    <row r="153" spans="1:9" x14ac:dyDescent="0.2">
      <c r="A153" t="s">
        <v>71</v>
      </c>
      <c r="C153">
        <v>0.47099999999999997</v>
      </c>
      <c r="D153">
        <v>3.3000000000000002E-2</v>
      </c>
      <c r="E153" t="s">
        <v>120</v>
      </c>
      <c r="F153" t="s">
        <v>122</v>
      </c>
      <c r="G153" t="s">
        <v>126</v>
      </c>
      <c r="H153" t="s">
        <v>130</v>
      </c>
      <c r="I153" t="s">
        <v>134</v>
      </c>
    </row>
    <row r="154" spans="1:9" x14ac:dyDescent="0.2">
      <c r="A154" t="s">
        <v>72</v>
      </c>
      <c r="C154">
        <v>7.4999999999999997E-2</v>
      </c>
      <c r="D154">
        <v>8.9999999999999993E-3</v>
      </c>
      <c r="E154" t="s">
        <v>120</v>
      </c>
      <c r="F154" t="s">
        <v>122</v>
      </c>
      <c r="G154" t="s">
        <v>126</v>
      </c>
      <c r="H154" t="s">
        <v>130</v>
      </c>
      <c r="I154" t="s">
        <v>134</v>
      </c>
    </row>
    <row r="155" spans="1:9" x14ac:dyDescent="0.2">
      <c r="A155" t="s">
        <v>73</v>
      </c>
      <c r="C155">
        <v>0.36699999999999999</v>
      </c>
      <c r="D155">
        <v>0.02</v>
      </c>
      <c r="E155" t="s">
        <v>120</v>
      </c>
      <c r="F155" t="s">
        <v>122</v>
      </c>
      <c r="G155" t="s">
        <v>126</v>
      </c>
      <c r="H155" t="s">
        <v>130</v>
      </c>
      <c r="I155" t="s">
        <v>134</v>
      </c>
    </row>
    <row r="156" spans="1:9" x14ac:dyDescent="0.2">
      <c r="A156" t="s">
        <v>74</v>
      </c>
      <c r="C156">
        <v>0.14699999999999999</v>
      </c>
      <c r="D156">
        <v>8.9999999999999993E-3</v>
      </c>
      <c r="E156" t="s">
        <v>120</v>
      </c>
      <c r="F156" t="s">
        <v>122</v>
      </c>
      <c r="G156" t="s">
        <v>126</v>
      </c>
      <c r="H156" t="s">
        <v>130</v>
      </c>
      <c r="I156" t="s">
        <v>134</v>
      </c>
    </row>
    <row r="157" spans="1:9" x14ac:dyDescent="0.2">
      <c r="A157" t="s">
        <v>75</v>
      </c>
      <c r="C157">
        <v>5.2999999999999999E-2</v>
      </c>
      <c r="D157">
        <v>2E-3</v>
      </c>
      <c r="E157" t="s">
        <v>120</v>
      </c>
      <c r="F157" t="s">
        <v>122</v>
      </c>
      <c r="G157" t="s">
        <v>126</v>
      </c>
      <c r="H157" t="s">
        <v>130</v>
      </c>
      <c r="I157" t="s">
        <v>134</v>
      </c>
    </row>
    <row r="158" spans="1:9" x14ac:dyDescent="0.2">
      <c r="A158" t="s">
        <v>76</v>
      </c>
      <c r="C158">
        <v>0.253</v>
      </c>
      <c r="D158">
        <v>2.3E-2</v>
      </c>
      <c r="E158" t="s">
        <v>120</v>
      </c>
      <c r="F158" t="s">
        <v>122</v>
      </c>
      <c r="G158" t="s">
        <v>126</v>
      </c>
      <c r="H158" t="s">
        <v>130</v>
      </c>
      <c r="I158" t="s">
        <v>134</v>
      </c>
    </row>
    <row r="159" spans="1:9" x14ac:dyDescent="0.2">
      <c r="A159" t="s">
        <v>77</v>
      </c>
      <c r="C159">
        <v>5.0999999999999997E-2</v>
      </c>
      <c r="D159">
        <v>5.0000000000000001E-3</v>
      </c>
      <c r="E159" t="s">
        <v>120</v>
      </c>
      <c r="F159" t="s">
        <v>122</v>
      </c>
      <c r="G159" t="s">
        <v>126</v>
      </c>
      <c r="H159" t="s">
        <v>130</v>
      </c>
      <c r="I159" t="s">
        <v>134</v>
      </c>
    </row>
    <row r="160" spans="1:9" x14ac:dyDescent="0.2">
      <c r="A160" t="s">
        <v>78</v>
      </c>
      <c r="C160">
        <v>0.36099999999999999</v>
      </c>
      <c r="D160">
        <v>1.2999999999999999E-2</v>
      </c>
      <c r="E160" t="s">
        <v>120</v>
      </c>
      <c r="F160" t="s">
        <v>122</v>
      </c>
      <c r="G160" t="s">
        <v>126</v>
      </c>
      <c r="H160" t="s">
        <v>130</v>
      </c>
      <c r="I160" t="s">
        <v>134</v>
      </c>
    </row>
    <row r="161" spans="1:9" x14ac:dyDescent="0.2">
      <c r="A161" t="s">
        <v>79</v>
      </c>
      <c r="C161">
        <v>8.3000000000000004E-2</v>
      </c>
      <c r="D161">
        <v>7.0000000000000001E-3</v>
      </c>
      <c r="E161" t="s">
        <v>120</v>
      </c>
      <c r="F161" t="s">
        <v>122</v>
      </c>
      <c r="G161" t="s">
        <v>126</v>
      </c>
      <c r="H161" t="s">
        <v>130</v>
      </c>
      <c r="I161" t="s">
        <v>134</v>
      </c>
    </row>
    <row r="162" spans="1:9" x14ac:dyDescent="0.2">
      <c r="A162" t="s">
        <v>80</v>
      </c>
      <c r="C162">
        <v>0.26400000000000001</v>
      </c>
      <c r="D162">
        <v>1.6E-2</v>
      </c>
      <c r="E162" t="s">
        <v>120</v>
      </c>
      <c r="F162" t="s">
        <v>122</v>
      </c>
      <c r="G162" t="s">
        <v>126</v>
      </c>
      <c r="H162" t="s">
        <v>130</v>
      </c>
      <c r="I162" t="s">
        <v>134</v>
      </c>
    </row>
    <row r="163" spans="1:9" x14ac:dyDescent="0.2">
      <c r="A163" t="s">
        <v>81</v>
      </c>
      <c r="B163" t="s">
        <v>118</v>
      </c>
      <c r="C163">
        <v>4.1000000000000002E-2</v>
      </c>
      <c r="D163">
        <v>6.0000000000000001E-3</v>
      </c>
      <c r="E163" t="s">
        <v>120</v>
      </c>
      <c r="F163" t="s">
        <v>122</v>
      </c>
      <c r="G163" t="s">
        <v>126</v>
      </c>
      <c r="H163" t="s">
        <v>129</v>
      </c>
      <c r="I163" t="s">
        <v>134</v>
      </c>
    </row>
    <row r="164" spans="1:9" x14ac:dyDescent="0.2">
      <c r="A164" t="s">
        <v>82</v>
      </c>
      <c r="C164">
        <v>0.28000000000000003</v>
      </c>
      <c r="D164">
        <v>1.2999999999999999E-2</v>
      </c>
      <c r="E164" t="s">
        <v>120</v>
      </c>
      <c r="F164" t="s">
        <v>122</v>
      </c>
      <c r="G164" t="s">
        <v>126</v>
      </c>
      <c r="H164" t="s">
        <v>130</v>
      </c>
      <c r="I164" t="s">
        <v>134</v>
      </c>
    </row>
    <row r="165" spans="1:9" x14ac:dyDescent="0.2">
      <c r="A165" t="s">
        <v>83</v>
      </c>
      <c r="C165">
        <v>4.4999999999999998E-2</v>
      </c>
      <c r="D165">
        <v>2E-3</v>
      </c>
      <c r="E165" t="s">
        <v>120</v>
      </c>
      <c r="F165" t="s">
        <v>122</v>
      </c>
      <c r="G165" t="s">
        <v>126</v>
      </c>
      <c r="H165" t="s">
        <v>130</v>
      </c>
      <c r="I165" t="s">
        <v>134</v>
      </c>
    </row>
    <row r="166" spans="1:9" x14ac:dyDescent="0.2">
      <c r="A166" t="s">
        <v>84</v>
      </c>
      <c r="C166">
        <v>0.52</v>
      </c>
      <c r="D166">
        <v>2.5000000000000001E-2</v>
      </c>
      <c r="E166" t="s">
        <v>120</v>
      </c>
      <c r="F166" t="s">
        <v>122</v>
      </c>
      <c r="G166" t="s">
        <v>126</v>
      </c>
      <c r="H166" t="s">
        <v>130</v>
      </c>
      <c r="I166" t="s">
        <v>134</v>
      </c>
    </row>
    <row r="167" spans="1:9" x14ac:dyDescent="0.2">
      <c r="A167" t="s">
        <v>85</v>
      </c>
      <c r="B167" t="s">
        <v>118</v>
      </c>
      <c r="C167">
        <v>3.0999999999999999E-3</v>
      </c>
      <c r="D167">
        <v>8.9999999999999998E-4</v>
      </c>
      <c r="E167" t="s">
        <v>120</v>
      </c>
      <c r="F167" t="s">
        <v>122</v>
      </c>
      <c r="G167" t="s">
        <v>126</v>
      </c>
      <c r="H167" t="s">
        <v>129</v>
      </c>
      <c r="I167" t="s">
        <v>134</v>
      </c>
    </row>
    <row r="168" spans="1:9" x14ac:dyDescent="0.2">
      <c r="A168" t="s">
        <v>86</v>
      </c>
      <c r="B168" t="s">
        <v>118</v>
      </c>
      <c r="C168">
        <v>0.49</v>
      </c>
      <c r="D168">
        <v>0.13</v>
      </c>
      <c r="E168" t="s">
        <v>120</v>
      </c>
      <c r="F168" t="s">
        <v>122</v>
      </c>
      <c r="G168" t="s">
        <v>126</v>
      </c>
      <c r="H168" t="s">
        <v>129</v>
      </c>
      <c r="I168" t="s">
        <v>134</v>
      </c>
    </row>
    <row r="169" spans="1:9" x14ac:dyDescent="0.2">
      <c r="A169" t="s">
        <v>87</v>
      </c>
      <c r="B169" t="s">
        <v>118</v>
      </c>
      <c r="C169">
        <v>8.0000000000000004E-4</v>
      </c>
      <c r="F169" t="s">
        <v>122</v>
      </c>
      <c r="G169" t="s">
        <v>126</v>
      </c>
      <c r="H169" t="s">
        <v>129</v>
      </c>
      <c r="I169" t="s">
        <v>134</v>
      </c>
    </row>
    <row r="170" spans="1:9" x14ac:dyDescent="0.2">
      <c r="A170" t="s">
        <v>88</v>
      </c>
      <c r="B170" t="s">
        <v>119</v>
      </c>
      <c r="C170">
        <v>0.3</v>
      </c>
      <c r="F170" t="s">
        <v>122</v>
      </c>
      <c r="G170" t="s">
        <v>126</v>
      </c>
      <c r="H170" t="s">
        <v>129</v>
      </c>
      <c r="I170" t="s">
        <v>134</v>
      </c>
    </row>
    <row r="171" spans="1:9" x14ac:dyDescent="0.2">
      <c r="A171" t="s">
        <v>89</v>
      </c>
      <c r="B171" t="s">
        <v>118</v>
      </c>
      <c r="C171">
        <v>6.5000000000000002E-2</v>
      </c>
      <c r="F171" t="s">
        <v>122</v>
      </c>
      <c r="G171" t="s">
        <v>126</v>
      </c>
      <c r="H171" t="s">
        <v>129</v>
      </c>
      <c r="I171" t="s">
        <v>134</v>
      </c>
    </row>
    <row r="172" spans="1:9" x14ac:dyDescent="0.2">
      <c r="A172" t="s">
        <v>90</v>
      </c>
      <c r="B172" t="s">
        <v>118</v>
      </c>
      <c r="C172">
        <v>20</v>
      </c>
      <c r="F172" t="s">
        <v>122</v>
      </c>
      <c r="G172" t="s">
        <v>126</v>
      </c>
      <c r="H172" t="s">
        <v>129</v>
      </c>
      <c r="I172" t="s">
        <v>134</v>
      </c>
    </row>
    <row r="173" spans="1:9" x14ac:dyDescent="0.2">
      <c r="A173" t="s">
        <v>91</v>
      </c>
      <c r="B173" t="s">
        <v>118</v>
      </c>
      <c r="C173">
        <v>6.4000000000000001E-2</v>
      </c>
      <c r="F173" t="s">
        <v>122</v>
      </c>
      <c r="G173" t="s">
        <v>126</v>
      </c>
      <c r="H173" t="s">
        <v>129</v>
      </c>
      <c r="I173" t="s">
        <v>134</v>
      </c>
    </row>
    <row r="174" spans="1:9" x14ac:dyDescent="0.2">
      <c r="A174" t="s">
        <v>92</v>
      </c>
      <c r="B174" t="s">
        <v>119</v>
      </c>
      <c r="C174">
        <v>0.3</v>
      </c>
      <c r="F174" t="s">
        <v>122</v>
      </c>
      <c r="G174" t="s">
        <v>126</v>
      </c>
      <c r="H174" t="s">
        <v>129</v>
      </c>
      <c r="I174" t="s">
        <v>134</v>
      </c>
    </row>
    <row r="175" spans="1:9" x14ac:dyDescent="0.2">
      <c r="A175" t="s">
        <v>93</v>
      </c>
      <c r="B175" t="s">
        <v>118</v>
      </c>
      <c r="C175">
        <v>6.0000000000000001E-3</v>
      </c>
      <c r="F175" t="s">
        <v>122</v>
      </c>
      <c r="G175" t="s">
        <v>126</v>
      </c>
      <c r="H175" t="s">
        <v>129</v>
      </c>
      <c r="I175" t="s">
        <v>134</v>
      </c>
    </row>
    <row r="176" spans="1:9" x14ac:dyDescent="0.2">
      <c r="A176" t="s">
        <v>94</v>
      </c>
      <c r="B176" t="s">
        <v>118</v>
      </c>
      <c r="C176">
        <v>0.56999999999999995</v>
      </c>
      <c r="D176">
        <v>0.17</v>
      </c>
      <c r="E176" t="s">
        <v>120</v>
      </c>
      <c r="F176" t="s">
        <v>122</v>
      </c>
      <c r="G176" t="s">
        <v>126</v>
      </c>
      <c r="H176" t="s">
        <v>129</v>
      </c>
      <c r="I176" t="s">
        <v>134</v>
      </c>
    </row>
    <row r="177" spans="1:9" x14ac:dyDescent="0.2">
      <c r="A177" t="s">
        <v>95</v>
      </c>
      <c r="B177" t="s">
        <v>118</v>
      </c>
      <c r="C177">
        <v>1.5E-3</v>
      </c>
      <c r="F177" t="s">
        <v>122</v>
      </c>
      <c r="G177" t="s">
        <v>126</v>
      </c>
      <c r="H177" t="s">
        <v>129</v>
      </c>
      <c r="I177" t="s">
        <v>134</v>
      </c>
    </row>
    <row r="178" spans="1:9" x14ac:dyDescent="0.2">
      <c r="A178" t="s">
        <v>96</v>
      </c>
      <c r="C178">
        <v>5.3999999999999999E-2</v>
      </c>
      <c r="D178">
        <v>4.0000000000000001E-3</v>
      </c>
      <c r="E178" t="s">
        <v>120</v>
      </c>
      <c r="F178" t="s">
        <v>122</v>
      </c>
      <c r="G178" t="s">
        <v>126</v>
      </c>
      <c r="H178" t="s">
        <v>130</v>
      </c>
      <c r="I178" t="s">
        <v>134</v>
      </c>
    </row>
    <row r="179" spans="1:9" x14ac:dyDescent="0.2">
      <c r="A179" t="s">
        <v>97</v>
      </c>
      <c r="C179">
        <v>8.4000000000000005E-2</v>
      </c>
      <c r="D179">
        <v>5.0000000000000001E-3</v>
      </c>
      <c r="E179" t="s">
        <v>120</v>
      </c>
      <c r="F179" t="s">
        <v>122</v>
      </c>
      <c r="G179" t="s">
        <v>126</v>
      </c>
      <c r="H179" t="s">
        <v>130</v>
      </c>
      <c r="I179" t="s">
        <v>134</v>
      </c>
    </row>
    <row r="180" spans="1:9" x14ac:dyDescent="0.2">
      <c r="A180" t="s">
        <v>98</v>
      </c>
      <c r="B180" t="s">
        <v>118</v>
      </c>
      <c r="C180">
        <v>4.2699999999999996</v>
      </c>
      <c r="F180" t="s">
        <v>123</v>
      </c>
      <c r="G180" t="s">
        <v>128</v>
      </c>
      <c r="H180" t="s">
        <v>129</v>
      </c>
      <c r="I180" t="s">
        <v>135</v>
      </c>
    </row>
    <row r="181" spans="1:9" x14ac:dyDescent="0.2">
      <c r="A181" t="s">
        <v>99</v>
      </c>
      <c r="B181" t="s">
        <v>118</v>
      </c>
      <c r="C181">
        <v>8.4</v>
      </c>
      <c r="F181" t="s">
        <v>123</v>
      </c>
      <c r="G181" t="s">
        <v>128</v>
      </c>
      <c r="H181" t="s">
        <v>129</v>
      </c>
      <c r="I181" t="s">
        <v>135</v>
      </c>
    </row>
    <row r="182" spans="1:9" x14ac:dyDescent="0.2">
      <c r="A182" t="s">
        <v>102</v>
      </c>
      <c r="B182" t="s">
        <v>118</v>
      </c>
      <c r="C182">
        <v>1.01</v>
      </c>
      <c r="F182" t="s">
        <v>125</v>
      </c>
      <c r="G182" t="s">
        <v>128</v>
      </c>
      <c r="H182" t="s">
        <v>129</v>
      </c>
      <c r="I182" t="s">
        <v>135</v>
      </c>
    </row>
    <row r="183" spans="1:9" x14ac:dyDescent="0.2">
      <c r="A183" t="s">
        <v>103</v>
      </c>
      <c r="B183" t="s">
        <v>118</v>
      </c>
      <c r="C183">
        <v>0.70631999999999995</v>
      </c>
      <c r="G183" t="s">
        <v>128</v>
      </c>
      <c r="H183" t="s">
        <v>129</v>
      </c>
      <c r="I183" t="s">
        <v>135</v>
      </c>
    </row>
    <row r="184" spans="1:9" x14ac:dyDescent="0.2">
      <c r="A184" t="s">
        <v>104</v>
      </c>
      <c r="B184" t="s">
        <v>118</v>
      </c>
      <c r="C184">
        <v>0.51260499999999998</v>
      </c>
      <c r="G184" t="s">
        <v>128</v>
      </c>
      <c r="H184" t="s">
        <v>129</v>
      </c>
      <c r="I184" t="s">
        <v>135</v>
      </c>
    </row>
    <row r="186" spans="1:9" x14ac:dyDescent="0.2">
      <c r="A186" t="s">
        <v>153</v>
      </c>
    </row>
    <row r="187" spans="1:9" x14ac:dyDescent="0.2">
      <c r="A187" t="s">
        <v>142</v>
      </c>
    </row>
    <row r="188" spans="1:9" x14ac:dyDescent="0.2">
      <c r="A188" t="s">
        <v>143</v>
      </c>
    </row>
    <row r="189" spans="1:9" x14ac:dyDescent="0.2">
      <c r="A189" t="s">
        <v>144</v>
      </c>
      <c r="B189" t="s">
        <v>145</v>
      </c>
      <c r="C189" t="s">
        <v>146</v>
      </c>
      <c r="D189" t="s">
        <v>147</v>
      </c>
      <c r="E189" t="s">
        <v>148</v>
      </c>
      <c r="F189" t="s">
        <v>149</v>
      </c>
      <c r="G189" t="s">
        <v>150</v>
      </c>
      <c r="H189" t="s">
        <v>151</v>
      </c>
    </row>
    <row r="190" spans="1:9" x14ac:dyDescent="0.2">
      <c r="A190" t="s">
        <v>25</v>
      </c>
      <c r="B190" t="s">
        <v>118</v>
      </c>
      <c r="C190">
        <v>2.5999999999999999E-2</v>
      </c>
      <c r="F190" t="s">
        <v>121</v>
      </c>
      <c r="G190" t="s">
        <v>126</v>
      </c>
      <c r="H190" t="s">
        <v>129</v>
      </c>
      <c r="I190" t="s">
        <v>134</v>
      </c>
    </row>
    <row r="191" spans="1:9" x14ac:dyDescent="0.2">
      <c r="A191" t="s">
        <v>26</v>
      </c>
      <c r="B191" t="s">
        <v>118</v>
      </c>
      <c r="C191">
        <v>4.4000000000000002E-4</v>
      </c>
      <c r="F191" t="s">
        <v>121</v>
      </c>
      <c r="G191" t="s">
        <v>126</v>
      </c>
      <c r="H191" t="s">
        <v>129</v>
      </c>
      <c r="I191" t="s">
        <v>134</v>
      </c>
    </row>
    <row r="192" spans="1:9" x14ac:dyDescent="0.2">
      <c r="A192" t="s">
        <v>27</v>
      </c>
      <c r="C192">
        <v>0.57399999999999995</v>
      </c>
      <c r="D192">
        <v>2.5999999999999999E-2</v>
      </c>
      <c r="E192" t="s">
        <v>120</v>
      </c>
      <c r="F192" t="s">
        <v>121</v>
      </c>
      <c r="G192" t="s">
        <v>126</v>
      </c>
      <c r="H192" t="s">
        <v>130</v>
      </c>
      <c r="I192" t="s">
        <v>134</v>
      </c>
    </row>
    <row r="193" spans="1:9" x14ac:dyDescent="0.2">
      <c r="A193" t="s">
        <v>28</v>
      </c>
      <c r="C193">
        <v>26</v>
      </c>
      <c r="D193">
        <v>0.3</v>
      </c>
      <c r="E193" t="s">
        <v>120</v>
      </c>
      <c r="F193" t="s">
        <v>121</v>
      </c>
      <c r="G193" t="s">
        <v>126</v>
      </c>
      <c r="H193" t="s">
        <v>130</v>
      </c>
      <c r="I193" t="s">
        <v>134</v>
      </c>
    </row>
    <row r="194" spans="1:9" x14ac:dyDescent="0.2">
      <c r="A194" t="s">
        <v>29</v>
      </c>
      <c r="B194" t="s">
        <v>118</v>
      </c>
      <c r="C194">
        <v>9.91</v>
      </c>
      <c r="D194">
        <v>0.17</v>
      </c>
      <c r="E194" t="s">
        <v>120</v>
      </c>
      <c r="F194" t="s">
        <v>121</v>
      </c>
      <c r="G194" t="s">
        <v>126</v>
      </c>
      <c r="H194" t="s">
        <v>129</v>
      </c>
      <c r="I194" t="s">
        <v>134</v>
      </c>
    </row>
    <row r="195" spans="1:9" x14ac:dyDescent="0.2">
      <c r="A195" t="s">
        <v>30</v>
      </c>
      <c r="C195">
        <v>46.1</v>
      </c>
      <c r="D195">
        <v>0.4</v>
      </c>
      <c r="E195" t="s">
        <v>120</v>
      </c>
      <c r="F195" t="s">
        <v>121</v>
      </c>
      <c r="G195" t="s">
        <v>126</v>
      </c>
      <c r="H195" t="s">
        <v>130</v>
      </c>
      <c r="I195" t="s">
        <v>134</v>
      </c>
    </row>
    <row r="196" spans="1:9" x14ac:dyDescent="0.2">
      <c r="A196" t="s">
        <v>31</v>
      </c>
      <c r="C196">
        <v>2.5000000000000001E-2</v>
      </c>
      <c r="D196">
        <v>5.0000000000000001E-3</v>
      </c>
      <c r="E196" t="s">
        <v>120</v>
      </c>
      <c r="F196" t="s">
        <v>121</v>
      </c>
      <c r="G196" t="s">
        <v>126</v>
      </c>
      <c r="H196" t="s">
        <v>130</v>
      </c>
      <c r="I196" t="s">
        <v>134</v>
      </c>
    </row>
    <row r="197" spans="1:9" x14ac:dyDescent="0.2">
      <c r="A197" t="s">
        <v>32</v>
      </c>
      <c r="C197">
        <v>3.5999999999999997E-2</v>
      </c>
      <c r="D197">
        <v>5.0000000000000001E-3</v>
      </c>
      <c r="E197" t="s">
        <v>120</v>
      </c>
      <c r="F197" t="s">
        <v>121</v>
      </c>
      <c r="G197" t="s">
        <v>126</v>
      </c>
      <c r="H197" t="s">
        <v>130</v>
      </c>
      <c r="I197" t="s">
        <v>134</v>
      </c>
    </row>
    <row r="198" spans="1:9" x14ac:dyDescent="0.2">
      <c r="A198" t="s">
        <v>33</v>
      </c>
      <c r="C198">
        <v>6.24</v>
      </c>
      <c r="D198">
        <v>0.12</v>
      </c>
      <c r="E198" t="s">
        <v>120</v>
      </c>
      <c r="F198" t="s">
        <v>121</v>
      </c>
      <c r="G198" t="s">
        <v>126</v>
      </c>
      <c r="H198" t="s">
        <v>130</v>
      </c>
      <c r="I198" t="s">
        <v>134</v>
      </c>
    </row>
    <row r="199" spans="1:9" x14ac:dyDescent="0.2">
      <c r="A199" t="s">
        <v>34</v>
      </c>
      <c r="C199">
        <v>0.28799999999999998</v>
      </c>
      <c r="D199">
        <v>1.2E-2</v>
      </c>
      <c r="E199" t="s">
        <v>120</v>
      </c>
      <c r="F199" t="s">
        <v>121</v>
      </c>
      <c r="G199" t="s">
        <v>126</v>
      </c>
      <c r="H199" t="s">
        <v>130</v>
      </c>
      <c r="I199" t="s">
        <v>134</v>
      </c>
    </row>
    <row r="200" spans="1:9" x14ac:dyDescent="0.2">
      <c r="A200" t="s">
        <v>35</v>
      </c>
      <c r="C200">
        <v>0.17599999999999999</v>
      </c>
      <c r="D200">
        <v>8.9999999999999993E-3</v>
      </c>
      <c r="E200" t="s">
        <v>120</v>
      </c>
      <c r="F200" t="s">
        <v>121</v>
      </c>
      <c r="G200" t="s">
        <v>126</v>
      </c>
      <c r="H200" t="s">
        <v>130</v>
      </c>
      <c r="I200" t="s">
        <v>134</v>
      </c>
    </row>
    <row r="201" spans="1:9" x14ac:dyDescent="0.2">
      <c r="A201" t="s">
        <v>36</v>
      </c>
      <c r="C201">
        <v>9.81</v>
      </c>
      <c r="D201">
        <v>0.12</v>
      </c>
      <c r="E201" t="s">
        <v>120</v>
      </c>
      <c r="F201" t="s">
        <v>121</v>
      </c>
      <c r="G201" t="s">
        <v>126</v>
      </c>
      <c r="H201" t="s">
        <v>130</v>
      </c>
      <c r="I201" t="s">
        <v>134</v>
      </c>
    </row>
    <row r="202" spans="1:9" x14ac:dyDescent="0.2">
      <c r="A202" t="s">
        <v>37</v>
      </c>
      <c r="C202">
        <v>10.4</v>
      </c>
      <c r="D202">
        <v>1.7</v>
      </c>
      <c r="E202" t="s">
        <v>120</v>
      </c>
      <c r="F202" t="s">
        <v>122</v>
      </c>
      <c r="G202" t="s">
        <v>126</v>
      </c>
      <c r="H202" t="s">
        <v>130</v>
      </c>
      <c r="I202" t="s">
        <v>134</v>
      </c>
    </row>
    <row r="203" spans="1:9" x14ac:dyDescent="0.2">
      <c r="A203" t="s">
        <v>38</v>
      </c>
      <c r="B203" t="s">
        <v>118</v>
      </c>
      <c r="C203">
        <v>3.4000000000000002E-2</v>
      </c>
      <c r="D203">
        <v>7.0000000000000001E-3</v>
      </c>
      <c r="E203" t="s">
        <v>120</v>
      </c>
      <c r="F203" t="s">
        <v>122</v>
      </c>
      <c r="G203" t="s">
        <v>126</v>
      </c>
      <c r="H203" t="s">
        <v>129</v>
      </c>
      <c r="I203" t="s">
        <v>134</v>
      </c>
    </row>
    <row r="204" spans="1:9" x14ac:dyDescent="0.2">
      <c r="A204" t="s">
        <v>39</v>
      </c>
      <c r="C204">
        <v>23.5</v>
      </c>
      <c r="D204">
        <v>2.8</v>
      </c>
      <c r="E204" t="s">
        <v>120</v>
      </c>
      <c r="F204" t="s">
        <v>122</v>
      </c>
      <c r="G204" t="s">
        <v>126</v>
      </c>
      <c r="H204" t="s">
        <v>130</v>
      </c>
      <c r="I204" t="s">
        <v>134</v>
      </c>
    </row>
    <row r="205" spans="1:9" x14ac:dyDescent="0.2">
      <c r="A205" t="s">
        <v>40</v>
      </c>
      <c r="B205" t="s">
        <v>118</v>
      </c>
      <c r="C205">
        <v>444000</v>
      </c>
      <c r="F205" t="s">
        <v>122</v>
      </c>
      <c r="G205" t="s">
        <v>126</v>
      </c>
      <c r="H205" t="s">
        <v>129</v>
      </c>
      <c r="I205" t="s">
        <v>134</v>
      </c>
    </row>
    <row r="206" spans="1:9" x14ac:dyDescent="0.2">
      <c r="A206" t="s">
        <v>41</v>
      </c>
      <c r="B206" t="s">
        <v>118</v>
      </c>
      <c r="C206">
        <v>25</v>
      </c>
      <c r="F206" t="s">
        <v>122</v>
      </c>
      <c r="G206" t="s">
        <v>126</v>
      </c>
      <c r="H206" t="s">
        <v>129</v>
      </c>
      <c r="I206" t="s">
        <v>134</v>
      </c>
    </row>
    <row r="207" spans="1:9" x14ac:dyDescent="0.2">
      <c r="A207" t="s">
        <v>42</v>
      </c>
      <c r="B207" t="s">
        <v>118</v>
      </c>
      <c r="C207">
        <v>4.3</v>
      </c>
      <c r="F207" t="s">
        <v>122</v>
      </c>
      <c r="G207" t="s">
        <v>126</v>
      </c>
      <c r="H207" t="s">
        <v>129</v>
      </c>
      <c r="I207" t="s">
        <v>134</v>
      </c>
    </row>
    <row r="208" spans="1:9" x14ac:dyDescent="0.2">
      <c r="A208" t="s">
        <v>43</v>
      </c>
      <c r="B208" t="s">
        <v>118</v>
      </c>
      <c r="C208">
        <v>12</v>
      </c>
      <c r="F208" t="s">
        <v>122</v>
      </c>
      <c r="G208" t="s">
        <v>126</v>
      </c>
      <c r="H208" t="s">
        <v>129</v>
      </c>
      <c r="I208" t="s">
        <v>134</v>
      </c>
    </row>
    <row r="209" spans="1:9" x14ac:dyDescent="0.2">
      <c r="A209" t="s">
        <v>44</v>
      </c>
      <c r="C209">
        <v>32.1</v>
      </c>
      <c r="D209">
        <v>1.4</v>
      </c>
      <c r="E209" t="s">
        <v>120</v>
      </c>
      <c r="F209" t="s">
        <v>122</v>
      </c>
      <c r="G209" t="s">
        <v>126</v>
      </c>
      <c r="H209" t="s">
        <v>130</v>
      </c>
      <c r="I209" t="s">
        <v>134</v>
      </c>
    </row>
    <row r="210" spans="1:9" x14ac:dyDescent="0.2">
      <c r="A210" t="s">
        <v>45</v>
      </c>
      <c r="C210">
        <v>189</v>
      </c>
      <c r="D210">
        <v>13</v>
      </c>
      <c r="E210" t="s">
        <v>120</v>
      </c>
      <c r="F210" t="s">
        <v>122</v>
      </c>
      <c r="G210" t="s">
        <v>126</v>
      </c>
      <c r="H210" t="s">
        <v>130</v>
      </c>
      <c r="I210" t="s">
        <v>134</v>
      </c>
    </row>
    <row r="211" spans="1:9" x14ac:dyDescent="0.2">
      <c r="A211" t="s">
        <v>46</v>
      </c>
      <c r="C211">
        <v>2272</v>
      </c>
      <c r="D211">
        <v>171</v>
      </c>
      <c r="E211" t="s">
        <v>120</v>
      </c>
      <c r="F211" t="s">
        <v>122</v>
      </c>
      <c r="G211" t="s">
        <v>126</v>
      </c>
      <c r="H211" t="s">
        <v>130</v>
      </c>
      <c r="I211" t="s">
        <v>134</v>
      </c>
    </row>
    <row r="212" spans="1:9" x14ac:dyDescent="0.2">
      <c r="A212" t="s">
        <v>47</v>
      </c>
      <c r="C212">
        <v>92.4</v>
      </c>
      <c r="D212">
        <v>6.2</v>
      </c>
      <c r="E212" t="s">
        <v>120</v>
      </c>
      <c r="F212" t="s">
        <v>122</v>
      </c>
      <c r="G212" t="s">
        <v>126</v>
      </c>
      <c r="H212" t="s">
        <v>130</v>
      </c>
      <c r="I212" t="s">
        <v>134</v>
      </c>
    </row>
    <row r="213" spans="1:9" x14ac:dyDescent="0.2">
      <c r="A213" t="s">
        <v>48</v>
      </c>
      <c r="C213">
        <v>1074</v>
      </c>
      <c r="D213">
        <v>61</v>
      </c>
      <c r="E213" t="s">
        <v>120</v>
      </c>
      <c r="F213" t="s">
        <v>122</v>
      </c>
      <c r="G213" t="s">
        <v>126</v>
      </c>
      <c r="H213" t="s">
        <v>130</v>
      </c>
      <c r="I213" t="s">
        <v>134</v>
      </c>
    </row>
    <row r="214" spans="1:9" x14ac:dyDescent="0.2">
      <c r="A214" t="s">
        <v>49</v>
      </c>
      <c r="C214">
        <v>63.8</v>
      </c>
      <c r="D214">
        <v>12.5</v>
      </c>
      <c r="E214" t="s">
        <v>120</v>
      </c>
      <c r="F214" t="s">
        <v>122</v>
      </c>
      <c r="G214" t="s">
        <v>126</v>
      </c>
      <c r="H214" t="s">
        <v>130</v>
      </c>
      <c r="I214" t="s">
        <v>134</v>
      </c>
    </row>
    <row r="215" spans="1:9" x14ac:dyDescent="0.2">
      <c r="A215" t="s">
        <v>50</v>
      </c>
      <c r="C215">
        <v>74.7</v>
      </c>
      <c r="D215">
        <v>6.7</v>
      </c>
      <c r="E215" t="s">
        <v>120</v>
      </c>
      <c r="F215" t="s">
        <v>122</v>
      </c>
      <c r="G215" t="s">
        <v>126</v>
      </c>
      <c r="H215" t="s">
        <v>130</v>
      </c>
      <c r="I215" t="s">
        <v>134</v>
      </c>
    </row>
    <row r="216" spans="1:9" x14ac:dyDescent="0.2">
      <c r="A216" t="s">
        <v>51</v>
      </c>
      <c r="C216">
        <v>8.67</v>
      </c>
      <c r="D216">
        <v>1.07</v>
      </c>
      <c r="E216" t="s">
        <v>120</v>
      </c>
      <c r="F216" t="s">
        <v>122</v>
      </c>
      <c r="G216" t="s">
        <v>126</v>
      </c>
      <c r="H216" t="s">
        <v>130</v>
      </c>
      <c r="I216" t="s">
        <v>134</v>
      </c>
    </row>
    <row r="217" spans="1:9" x14ac:dyDescent="0.2">
      <c r="A217" t="s">
        <v>52</v>
      </c>
      <c r="B217" t="s">
        <v>118</v>
      </c>
      <c r="C217">
        <v>0.96</v>
      </c>
      <c r="F217" t="s">
        <v>122</v>
      </c>
      <c r="G217" t="s">
        <v>126</v>
      </c>
      <c r="H217" t="s">
        <v>129</v>
      </c>
      <c r="I217" t="s">
        <v>134</v>
      </c>
    </row>
    <row r="218" spans="1:9" x14ac:dyDescent="0.2">
      <c r="A218" t="s">
        <v>53</v>
      </c>
      <c r="B218" t="s">
        <v>119</v>
      </c>
      <c r="C218">
        <v>0.1</v>
      </c>
      <c r="F218" t="s">
        <v>122</v>
      </c>
      <c r="G218" t="s">
        <v>126</v>
      </c>
      <c r="H218" t="s">
        <v>129</v>
      </c>
      <c r="I218" t="s">
        <v>134</v>
      </c>
    </row>
    <row r="219" spans="1:9" x14ac:dyDescent="0.2">
      <c r="A219" t="s">
        <v>54</v>
      </c>
      <c r="B219" t="s">
        <v>119</v>
      </c>
      <c r="C219">
        <v>0.03</v>
      </c>
      <c r="F219" t="s">
        <v>122</v>
      </c>
      <c r="G219" t="s">
        <v>126</v>
      </c>
      <c r="H219" t="s">
        <v>129</v>
      </c>
      <c r="I219" t="s">
        <v>134</v>
      </c>
    </row>
    <row r="220" spans="1:9" x14ac:dyDescent="0.2">
      <c r="A220" t="s">
        <v>55</v>
      </c>
      <c r="B220" t="s">
        <v>119</v>
      </c>
      <c r="C220">
        <v>0.3</v>
      </c>
      <c r="F220" t="s">
        <v>122</v>
      </c>
      <c r="G220" t="s">
        <v>126</v>
      </c>
      <c r="H220" t="s">
        <v>129</v>
      </c>
      <c r="I220" t="s">
        <v>134</v>
      </c>
    </row>
    <row r="221" spans="1:9" x14ac:dyDescent="0.2">
      <c r="A221" t="s">
        <v>56</v>
      </c>
      <c r="C221">
        <v>0.40600000000000003</v>
      </c>
      <c r="D221">
        <v>2.5000000000000001E-2</v>
      </c>
      <c r="E221" t="s">
        <v>120</v>
      </c>
      <c r="F221" t="s">
        <v>122</v>
      </c>
      <c r="G221" t="s">
        <v>126</v>
      </c>
      <c r="H221" t="s">
        <v>130</v>
      </c>
      <c r="I221" t="s">
        <v>134</v>
      </c>
    </row>
    <row r="222" spans="1:9" x14ac:dyDescent="0.2">
      <c r="A222" t="s">
        <v>57</v>
      </c>
      <c r="C222">
        <v>30</v>
      </c>
      <c r="D222">
        <v>1</v>
      </c>
      <c r="E222" t="s">
        <v>120</v>
      </c>
      <c r="F222" t="s">
        <v>122</v>
      </c>
      <c r="G222" t="s">
        <v>126</v>
      </c>
      <c r="H222" t="s">
        <v>130</v>
      </c>
      <c r="I222" t="s">
        <v>134</v>
      </c>
    </row>
    <row r="223" spans="1:9" x14ac:dyDescent="0.2">
      <c r="A223" t="s">
        <v>58</v>
      </c>
      <c r="C223">
        <v>11.8</v>
      </c>
      <c r="D223">
        <v>0.5</v>
      </c>
      <c r="E223" t="s">
        <v>120</v>
      </c>
      <c r="F223" t="s">
        <v>122</v>
      </c>
      <c r="G223" t="s">
        <v>126</v>
      </c>
      <c r="H223" t="s">
        <v>130</v>
      </c>
      <c r="I223" t="s">
        <v>134</v>
      </c>
    </row>
    <row r="224" spans="1:9" x14ac:dyDescent="0.2">
      <c r="A224" t="s">
        <v>59</v>
      </c>
      <c r="C224">
        <v>10</v>
      </c>
      <c r="D224">
        <v>0.5</v>
      </c>
      <c r="E224" t="s">
        <v>120</v>
      </c>
      <c r="F224" t="s">
        <v>122</v>
      </c>
      <c r="G224" t="s">
        <v>126</v>
      </c>
      <c r="H224" t="s">
        <v>130</v>
      </c>
      <c r="I224" t="s">
        <v>134</v>
      </c>
    </row>
    <row r="225" spans="1:9" x14ac:dyDescent="0.2">
      <c r="A225" t="s">
        <v>60</v>
      </c>
      <c r="C225">
        <v>9.9000000000000005E-2</v>
      </c>
      <c r="D225">
        <v>7.0000000000000001E-3</v>
      </c>
      <c r="E225" t="s">
        <v>120</v>
      </c>
      <c r="F225" t="s">
        <v>122</v>
      </c>
      <c r="G225" t="s">
        <v>126</v>
      </c>
      <c r="H225" t="s">
        <v>130</v>
      </c>
      <c r="I225" t="s">
        <v>134</v>
      </c>
    </row>
    <row r="226" spans="1:9" x14ac:dyDescent="0.2">
      <c r="A226" t="s">
        <v>61</v>
      </c>
      <c r="B226" t="s">
        <v>118</v>
      </c>
      <c r="C226">
        <v>0.71</v>
      </c>
      <c r="D226">
        <v>0.26</v>
      </c>
      <c r="E226" t="s">
        <v>120</v>
      </c>
      <c r="F226" t="s">
        <v>122</v>
      </c>
      <c r="G226" t="s">
        <v>126</v>
      </c>
      <c r="H226" t="s">
        <v>129</v>
      </c>
      <c r="I226" t="s">
        <v>134</v>
      </c>
    </row>
    <row r="227" spans="1:9" x14ac:dyDescent="0.2">
      <c r="A227" t="s">
        <v>63</v>
      </c>
      <c r="B227" t="s">
        <v>119</v>
      </c>
      <c r="C227">
        <v>0.5</v>
      </c>
      <c r="F227" t="s">
        <v>122</v>
      </c>
      <c r="G227" t="s">
        <v>126</v>
      </c>
      <c r="H227" t="s">
        <v>129</v>
      </c>
      <c r="I227" t="s">
        <v>134</v>
      </c>
    </row>
    <row r="228" spans="1:9" x14ac:dyDescent="0.2">
      <c r="A228" t="s">
        <v>64</v>
      </c>
      <c r="B228" t="s">
        <v>118</v>
      </c>
      <c r="C228">
        <v>7.1999999999999995E-2</v>
      </c>
      <c r="F228" t="s">
        <v>122</v>
      </c>
      <c r="G228" t="s">
        <v>126</v>
      </c>
      <c r="H228" t="s">
        <v>129</v>
      </c>
      <c r="I228" t="s">
        <v>134</v>
      </c>
    </row>
    <row r="229" spans="1:9" x14ac:dyDescent="0.2">
      <c r="A229" t="s">
        <v>65</v>
      </c>
      <c r="B229" t="s">
        <v>118</v>
      </c>
      <c r="C229">
        <v>6.7000000000000004E-2</v>
      </c>
      <c r="F229" t="s">
        <v>122</v>
      </c>
      <c r="G229" t="s">
        <v>126</v>
      </c>
      <c r="H229" t="s">
        <v>129</v>
      </c>
      <c r="I229" t="s">
        <v>134</v>
      </c>
    </row>
    <row r="230" spans="1:9" x14ac:dyDescent="0.2">
      <c r="A230" t="s">
        <v>66</v>
      </c>
      <c r="B230" t="s">
        <v>118</v>
      </c>
      <c r="C230">
        <v>0.224</v>
      </c>
      <c r="D230">
        <v>9.1999999999999998E-2</v>
      </c>
      <c r="E230" t="s">
        <v>120</v>
      </c>
      <c r="F230" t="s">
        <v>122</v>
      </c>
      <c r="G230" t="s">
        <v>126</v>
      </c>
      <c r="H230" t="s">
        <v>129</v>
      </c>
      <c r="I230" t="s">
        <v>134</v>
      </c>
    </row>
    <row r="231" spans="1:9" x14ac:dyDescent="0.2">
      <c r="A231" t="s">
        <v>67</v>
      </c>
      <c r="B231" t="s">
        <v>118</v>
      </c>
      <c r="C231">
        <v>0.01</v>
      </c>
      <c r="D231">
        <v>2.1000000000000001E-2</v>
      </c>
      <c r="E231" t="s">
        <v>120</v>
      </c>
      <c r="F231" t="s">
        <v>122</v>
      </c>
      <c r="G231" t="s">
        <v>126</v>
      </c>
      <c r="H231" t="s">
        <v>129</v>
      </c>
      <c r="I231" t="s">
        <v>134</v>
      </c>
    </row>
    <row r="232" spans="1:9" x14ac:dyDescent="0.2">
      <c r="A232" t="s">
        <v>68</v>
      </c>
      <c r="C232">
        <v>0.24</v>
      </c>
      <c r="D232">
        <v>2.5000000000000001E-2</v>
      </c>
      <c r="E232" t="s">
        <v>120</v>
      </c>
      <c r="F232" t="s">
        <v>122</v>
      </c>
      <c r="G232" t="s">
        <v>126</v>
      </c>
      <c r="H232" t="s">
        <v>130</v>
      </c>
      <c r="I232" t="s">
        <v>134</v>
      </c>
    </row>
    <row r="233" spans="1:9" x14ac:dyDescent="0.2">
      <c r="A233" t="s">
        <v>69</v>
      </c>
      <c r="C233">
        <v>1.06</v>
      </c>
      <c r="D233">
        <v>0.03</v>
      </c>
      <c r="E233" t="s">
        <v>120</v>
      </c>
      <c r="F233" t="s">
        <v>122</v>
      </c>
      <c r="G233" t="s">
        <v>126</v>
      </c>
      <c r="H233" t="s">
        <v>130</v>
      </c>
      <c r="I233" t="s">
        <v>134</v>
      </c>
    </row>
    <row r="234" spans="1:9" x14ac:dyDescent="0.2">
      <c r="A234" t="s">
        <v>70</v>
      </c>
      <c r="C234">
        <v>0.121</v>
      </c>
      <c r="D234">
        <v>4.0000000000000001E-3</v>
      </c>
      <c r="E234" t="s">
        <v>120</v>
      </c>
      <c r="F234" t="s">
        <v>122</v>
      </c>
      <c r="G234" t="s">
        <v>126</v>
      </c>
      <c r="H234" t="s">
        <v>130</v>
      </c>
      <c r="I234" t="s">
        <v>134</v>
      </c>
    </row>
    <row r="235" spans="1:9" x14ac:dyDescent="0.2">
      <c r="A235" t="s">
        <v>71</v>
      </c>
      <c r="C235">
        <v>0.45</v>
      </c>
      <c r="D235">
        <v>1.6E-2</v>
      </c>
      <c r="E235" t="s">
        <v>120</v>
      </c>
      <c r="F235" t="s">
        <v>122</v>
      </c>
      <c r="G235" t="s">
        <v>126</v>
      </c>
      <c r="H235" t="s">
        <v>130</v>
      </c>
      <c r="I235" t="s">
        <v>134</v>
      </c>
    </row>
    <row r="236" spans="1:9" x14ac:dyDescent="0.2">
      <c r="A236" t="s">
        <v>72</v>
      </c>
      <c r="C236">
        <v>0.1</v>
      </c>
      <c r="D236">
        <v>4.0000000000000001E-3</v>
      </c>
      <c r="E236" t="s">
        <v>120</v>
      </c>
      <c r="F236" t="s">
        <v>122</v>
      </c>
      <c r="G236" t="s">
        <v>126</v>
      </c>
      <c r="H236" t="s">
        <v>130</v>
      </c>
      <c r="I236" t="s">
        <v>134</v>
      </c>
    </row>
    <row r="237" spans="1:9" x14ac:dyDescent="0.2">
      <c r="A237" t="s">
        <v>73</v>
      </c>
      <c r="C237">
        <v>0.78400000000000003</v>
      </c>
      <c r="D237">
        <v>4.7E-2</v>
      </c>
      <c r="E237" t="s">
        <v>120</v>
      </c>
      <c r="F237" t="s">
        <v>122</v>
      </c>
      <c r="G237" t="s">
        <v>126</v>
      </c>
      <c r="H237" t="s">
        <v>130</v>
      </c>
      <c r="I237" t="s">
        <v>134</v>
      </c>
    </row>
    <row r="238" spans="1:9" x14ac:dyDescent="0.2">
      <c r="A238" t="s">
        <v>74</v>
      </c>
      <c r="C238">
        <v>0.52500000000000002</v>
      </c>
      <c r="D238">
        <v>0.02</v>
      </c>
      <c r="E238" t="s">
        <v>120</v>
      </c>
      <c r="F238" t="s">
        <v>122</v>
      </c>
      <c r="G238" t="s">
        <v>126</v>
      </c>
      <c r="H238" t="s">
        <v>130</v>
      </c>
      <c r="I238" t="s">
        <v>134</v>
      </c>
    </row>
    <row r="239" spans="1:9" x14ac:dyDescent="0.2">
      <c r="A239" t="s">
        <v>75</v>
      </c>
      <c r="C239">
        <v>0.26400000000000001</v>
      </c>
      <c r="D239">
        <v>8.0000000000000002E-3</v>
      </c>
      <c r="E239" t="s">
        <v>120</v>
      </c>
      <c r="F239" t="s">
        <v>122</v>
      </c>
      <c r="G239" t="s">
        <v>126</v>
      </c>
      <c r="H239" t="s">
        <v>130</v>
      </c>
      <c r="I239" t="s">
        <v>134</v>
      </c>
    </row>
    <row r="240" spans="1:9" x14ac:dyDescent="0.2">
      <c r="A240" t="s">
        <v>76</v>
      </c>
      <c r="C240">
        <v>1.17</v>
      </c>
      <c r="D240">
        <v>0.04</v>
      </c>
      <c r="E240" t="s">
        <v>120</v>
      </c>
      <c r="F240" t="s">
        <v>122</v>
      </c>
      <c r="G240" t="s">
        <v>126</v>
      </c>
      <c r="H240" t="s">
        <v>130</v>
      </c>
      <c r="I240" t="s">
        <v>134</v>
      </c>
    </row>
    <row r="241" spans="1:9" x14ac:dyDescent="0.2">
      <c r="A241" t="s">
        <v>77</v>
      </c>
      <c r="C241">
        <v>0.248</v>
      </c>
      <c r="D241">
        <v>1.2E-2</v>
      </c>
      <c r="E241" t="s">
        <v>120</v>
      </c>
      <c r="F241" t="s">
        <v>122</v>
      </c>
      <c r="G241" t="s">
        <v>126</v>
      </c>
      <c r="H241" t="s">
        <v>130</v>
      </c>
      <c r="I241" t="s">
        <v>134</v>
      </c>
    </row>
    <row r="242" spans="1:9" x14ac:dyDescent="0.2">
      <c r="A242" t="s">
        <v>78</v>
      </c>
      <c r="C242">
        <v>1.98</v>
      </c>
      <c r="D242">
        <v>7.0000000000000007E-2</v>
      </c>
      <c r="E242" t="s">
        <v>120</v>
      </c>
      <c r="F242" t="s">
        <v>122</v>
      </c>
      <c r="G242" t="s">
        <v>126</v>
      </c>
      <c r="H242" t="s">
        <v>130</v>
      </c>
      <c r="I242" t="s">
        <v>134</v>
      </c>
    </row>
    <row r="243" spans="1:9" x14ac:dyDescent="0.2">
      <c r="A243" t="s">
        <v>79</v>
      </c>
      <c r="C243">
        <v>0.443</v>
      </c>
      <c r="D243">
        <v>1.9E-2</v>
      </c>
      <c r="E243" t="s">
        <v>120</v>
      </c>
      <c r="F243" t="s">
        <v>122</v>
      </c>
      <c r="G243" t="s">
        <v>126</v>
      </c>
      <c r="H243" t="s">
        <v>130</v>
      </c>
      <c r="I243" t="s">
        <v>134</v>
      </c>
    </row>
    <row r="244" spans="1:9" x14ac:dyDescent="0.2">
      <c r="A244" t="s">
        <v>80</v>
      </c>
      <c r="C244">
        <v>1.4</v>
      </c>
      <c r="D244">
        <v>0.06</v>
      </c>
      <c r="E244" t="s">
        <v>120</v>
      </c>
      <c r="F244" t="s">
        <v>122</v>
      </c>
      <c r="G244" t="s">
        <v>126</v>
      </c>
      <c r="H244" t="s">
        <v>130</v>
      </c>
      <c r="I244" t="s">
        <v>134</v>
      </c>
    </row>
    <row r="245" spans="1:9" x14ac:dyDescent="0.2">
      <c r="A245" t="s">
        <v>81</v>
      </c>
      <c r="C245">
        <v>0.20399999999999999</v>
      </c>
      <c r="D245">
        <v>8.9999999999999993E-3</v>
      </c>
      <c r="E245" t="s">
        <v>120</v>
      </c>
      <c r="F245" t="s">
        <v>122</v>
      </c>
      <c r="G245" t="s">
        <v>126</v>
      </c>
      <c r="H245" t="s">
        <v>130</v>
      </c>
      <c r="I245" t="s">
        <v>134</v>
      </c>
    </row>
    <row r="246" spans="1:9" x14ac:dyDescent="0.2">
      <c r="A246" t="s">
        <v>82</v>
      </c>
      <c r="C246">
        <v>1.41</v>
      </c>
      <c r="D246">
        <v>0.06</v>
      </c>
      <c r="E246" t="s">
        <v>120</v>
      </c>
      <c r="F246" t="s">
        <v>122</v>
      </c>
      <c r="G246" t="s">
        <v>126</v>
      </c>
      <c r="H246" t="s">
        <v>130</v>
      </c>
      <c r="I246" t="s">
        <v>134</v>
      </c>
    </row>
    <row r="247" spans="1:9" x14ac:dyDescent="0.2">
      <c r="A247" t="s">
        <v>83</v>
      </c>
      <c r="C247">
        <v>0.20599999999999999</v>
      </c>
      <c r="D247">
        <v>8.9999999999999993E-3</v>
      </c>
      <c r="E247" t="s">
        <v>120</v>
      </c>
      <c r="F247" t="s">
        <v>122</v>
      </c>
      <c r="G247" t="s">
        <v>126</v>
      </c>
      <c r="H247" t="s">
        <v>130</v>
      </c>
      <c r="I247" t="s">
        <v>134</v>
      </c>
    </row>
    <row r="248" spans="1:9" x14ac:dyDescent="0.2">
      <c r="A248" t="s">
        <v>84</v>
      </c>
      <c r="C248">
        <v>0.34899999999999998</v>
      </c>
      <c r="D248">
        <v>1.7000000000000001E-2</v>
      </c>
      <c r="E248" t="s">
        <v>120</v>
      </c>
      <c r="F248" t="s">
        <v>122</v>
      </c>
      <c r="G248" t="s">
        <v>126</v>
      </c>
      <c r="H248" t="s">
        <v>130</v>
      </c>
      <c r="I248" t="s">
        <v>134</v>
      </c>
    </row>
    <row r="249" spans="1:9" x14ac:dyDescent="0.2">
      <c r="A249" t="s">
        <v>85</v>
      </c>
      <c r="C249">
        <v>1.9E-2</v>
      </c>
      <c r="D249">
        <v>1E-3</v>
      </c>
      <c r="E249" t="s">
        <v>120</v>
      </c>
      <c r="F249" t="s">
        <v>122</v>
      </c>
      <c r="G249" t="s">
        <v>126</v>
      </c>
      <c r="H249" t="s">
        <v>130</v>
      </c>
      <c r="I249" t="s">
        <v>134</v>
      </c>
    </row>
    <row r="250" spans="1:9" x14ac:dyDescent="0.2">
      <c r="A250" t="s">
        <v>86</v>
      </c>
      <c r="B250" t="s">
        <v>118</v>
      </c>
      <c r="C250">
        <v>15.5</v>
      </c>
      <c r="D250">
        <v>2.4</v>
      </c>
      <c r="E250" t="s">
        <v>120</v>
      </c>
      <c r="F250" t="s">
        <v>122</v>
      </c>
      <c r="G250" t="s">
        <v>126</v>
      </c>
      <c r="H250" t="s">
        <v>129</v>
      </c>
      <c r="I250" t="s">
        <v>134</v>
      </c>
    </row>
    <row r="251" spans="1:9" x14ac:dyDescent="0.2">
      <c r="A251" t="s">
        <v>87</v>
      </c>
      <c r="B251" t="s">
        <v>118</v>
      </c>
      <c r="C251">
        <v>5.9999999999999995E-4</v>
      </c>
      <c r="F251" t="s">
        <v>122</v>
      </c>
      <c r="G251" t="s">
        <v>126</v>
      </c>
      <c r="H251" t="s">
        <v>129</v>
      </c>
      <c r="I251" t="s">
        <v>134</v>
      </c>
    </row>
    <row r="252" spans="1:9" x14ac:dyDescent="0.2">
      <c r="A252" t="s">
        <v>89</v>
      </c>
      <c r="B252" t="s">
        <v>118</v>
      </c>
      <c r="C252">
        <v>6.3E-2</v>
      </c>
      <c r="F252" t="s">
        <v>122</v>
      </c>
      <c r="G252" t="s">
        <v>126</v>
      </c>
      <c r="H252" t="s">
        <v>129</v>
      </c>
      <c r="I252" t="s">
        <v>134</v>
      </c>
    </row>
    <row r="253" spans="1:9" x14ac:dyDescent="0.2">
      <c r="A253" t="s">
        <v>90</v>
      </c>
      <c r="B253" t="s">
        <v>118</v>
      </c>
      <c r="C253">
        <v>11.1</v>
      </c>
      <c r="F253" t="s">
        <v>122</v>
      </c>
      <c r="G253" t="s">
        <v>126</v>
      </c>
      <c r="H253" t="s">
        <v>129</v>
      </c>
      <c r="I253" t="s">
        <v>134</v>
      </c>
    </row>
    <row r="254" spans="1:9" x14ac:dyDescent="0.2">
      <c r="A254" t="s">
        <v>91</v>
      </c>
      <c r="B254" t="s">
        <v>118</v>
      </c>
      <c r="C254">
        <v>2.4E-2</v>
      </c>
      <c r="F254" t="s">
        <v>122</v>
      </c>
      <c r="G254" t="s">
        <v>126</v>
      </c>
      <c r="H254" t="s">
        <v>129</v>
      </c>
      <c r="I254" t="s">
        <v>134</v>
      </c>
    </row>
    <row r="255" spans="1:9" x14ac:dyDescent="0.2">
      <c r="A255" t="s">
        <v>92</v>
      </c>
      <c r="B255" t="s">
        <v>119</v>
      </c>
      <c r="C255">
        <v>0.2</v>
      </c>
      <c r="F255" t="s">
        <v>122</v>
      </c>
      <c r="G255" t="s">
        <v>126</v>
      </c>
      <c r="H255" t="s">
        <v>129</v>
      </c>
      <c r="I255" t="s">
        <v>134</v>
      </c>
    </row>
    <row r="256" spans="1:9" x14ac:dyDescent="0.2">
      <c r="A256" t="s">
        <v>93</v>
      </c>
      <c r="B256" t="s">
        <v>119</v>
      </c>
      <c r="C256">
        <v>3.0000000000000001E-3</v>
      </c>
      <c r="F256" t="s">
        <v>122</v>
      </c>
      <c r="G256" t="s">
        <v>126</v>
      </c>
      <c r="H256" t="s">
        <v>129</v>
      </c>
      <c r="I256" t="s">
        <v>134</v>
      </c>
    </row>
    <row r="257" spans="1:9" x14ac:dyDescent="0.2">
      <c r="A257" t="s">
        <v>94</v>
      </c>
      <c r="C257">
        <v>0.34499999999999997</v>
      </c>
      <c r="D257">
        <v>4.2999999999999997E-2</v>
      </c>
      <c r="E257" t="s">
        <v>120</v>
      </c>
      <c r="F257" t="s">
        <v>122</v>
      </c>
      <c r="G257" t="s">
        <v>126</v>
      </c>
      <c r="H257" t="s">
        <v>130</v>
      </c>
      <c r="I257" t="s">
        <v>134</v>
      </c>
    </row>
    <row r="258" spans="1:9" x14ac:dyDescent="0.2">
      <c r="A258" t="s">
        <v>95</v>
      </c>
      <c r="B258" t="s">
        <v>118</v>
      </c>
      <c r="C258">
        <v>8.9999999999999998E-4</v>
      </c>
      <c r="F258" t="s">
        <v>122</v>
      </c>
      <c r="G258" t="s">
        <v>126</v>
      </c>
      <c r="H258" t="s">
        <v>129</v>
      </c>
      <c r="I258" t="s">
        <v>134</v>
      </c>
    </row>
    <row r="259" spans="1:9" x14ac:dyDescent="0.2">
      <c r="A259" t="s">
        <v>96</v>
      </c>
      <c r="C259">
        <v>8.0000000000000002E-3</v>
      </c>
      <c r="D259">
        <v>1E-3</v>
      </c>
      <c r="E259" t="s">
        <v>120</v>
      </c>
      <c r="F259" t="s">
        <v>122</v>
      </c>
      <c r="G259" t="s">
        <v>126</v>
      </c>
      <c r="H259" t="s">
        <v>130</v>
      </c>
      <c r="I259" t="s">
        <v>134</v>
      </c>
    </row>
    <row r="260" spans="1:9" x14ac:dyDescent="0.2">
      <c r="A260" t="s">
        <v>97</v>
      </c>
      <c r="C260">
        <v>1.21E-2</v>
      </c>
      <c r="D260">
        <v>1.1999999999999999E-3</v>
      </c>
      <c r="E260" t="s">
        <v>120</v>
      </c>
      <c r="F260" t="s">
        <v>122</v>
      </c>
      <c r="G260" t="s">
        <v>126</v>
      </c>
      <c r="H260" t="s">
        <v>130</v>
      </c>
      <c r="I260" t="s">
        <v>134</v>
      </c>
    </row>
    <row r="261" spans="1:9" x14ac:dyDescent="0.2">
      <c r="A261" t="s">
        <v>154</v>
      </c>
      <c r="B261" t="s">
        <v>118</v>
      </c>
      <c r="C261">
        <v>14.4</v>
      </c>
      <c r="F261" t="s">
        <v>155</v>
      </c>
      <c r="G261" t="s">
        <v>128</v>
      </c>
      <c r="H261" t="s">
        <v>129</v>
      </c>
      <c r="I261" t="s">
        <v>135</v>
      </c>
    </row>
    <row r="262" spans="1:9" x14ac:dyDescent="0.2">
      <c r="A262" t="s">
        <v>156</v>
      </c>
      <c r="B262" t="s">
        <v>118</v>
      </c>
      <c r="C262">
        <v>13.7</v>
      </c>
      <c r="D262">
        <v>0.6</v>
      </c>
      <c r="E262" t="s">
        <v>120</v>
      </c>
      <c r="F262" t="s">
        <v>157</v>
      </c>
      <c r="G262" t="s">
        <v>128</v>
      </c>
      <c r="H262" t="s">
        <v>133</v>
      </c>
      <c r="I262" t="s">
        <v>135</v>
      </c>
    </row>
    <row r="263" spans="1:9" x14ac:dyDescent="0.2">
      <c r="A263" t="s">
        <v>98</v>
      </c>
      <c r="C263">
        <v>4.83</v>
      </c>
      <c r="F263" t="s">
        <v>123</v>
      </c>
      <c r="G263" t="s">
        <v>128</v>
      </c>
      <c r="H263" t="s">
        <v>129</v>
      </c>
      <c r="I263" t="s">
        <v>135</v>
      </c>
    </row>
    <row r="264" spans="1:9" x14ac:dyDescent="0.2">
      <c r="A264" t="s">
        <v>99</v>
      </c>
      <c r="C264">
        <v>9.43</v>
      </c>
      <c r="F264" t="s">
        <v>123</v>
      </c>
      <c r="G264" t="s">
        <v>128</v>
      </c>
      <c r="H264" t="s">
        <v>129</v>
      </c>
      <c r="I264" t="s">
        <v>135</v>
      </c>
    </row>
    <row r="265" spans="1:9" x14ac:dyDescent="0.2">
      <c r="A265" t="s">
        <v>100</v>
      </c>
      <c r="C265">
        <v>-0.21</v>
      </c>
      <c r="F265" t="s">
        <v>124</v>
      </c>
      <c r="G265" t="s">
        <v>128</v>
      </c>
      <c r="H265" t="s">
        <v>129</v>
      </c>
      <c r="I265" t="s">
        <v>135</v>
      </c>
    </row>
    <row r="266" spans="1:9" x14ac:dyDescent="0.2">
      <c r="A266" t="s">
        <v>101</v>
      </c>
      <c r="C266">
        <v>-0.46</v>
      </c>
      <c r="F266" t="s">
        <v>124</v>
      </c>
      <c r="G266" t="s">
        <v>128</v>
      </c>
      <c r="H266" t="s">
        <v>129</v>
      </c>
      <c r="I266" t="s">
        <v>135</v>
      </c>
    </row>
    <row r="267" spans="1:9" x14ac:dyDescent="0.2">
      <c r="A267" t="s">
        <v>102</v>
      </c>
      <c r="C267">
        <v>0.77</v>
      </c>
      <c r="F267" t="s">
        <v>125</v>
      </c>
      <c r="G267" t="s">
        <v>128</v>
      </c>
      <c r="H267" t="s">
        <v>129</v>
      </c>
      <c r="I267" t="s">
        <v>135</v>
      </c>
    </row>
    <row r="268" spans="1:9" x14ac:dyDescent="0.2">
      <c r="A268" t="s">
        <v>103</v>
      </c>
      <c r="C268">
        <v>0.706932</v>
      </c>
      <c r="G268" t="s">
        <v>128</v>
      </c>
      <c r="H268" t="s">
        <v>129</v>
      </c>
      <c r="I268" t="s">
        <v>135</v>
      </c>
    </row>
    <row r="269" spans="1:9" x14ac:dyDescent="0.2">
      <c r="A269" t="s">
        <v>104</v>
      </c>
      <c r="C269">
        <v>0.51324099999999995</v>
      </c>
      <c r="G269" t="s">
        <v>128</v>
      </c>
      <c r="H269" t="s">
        <v>129</v>
      </c>
      <c r="I269" t="s">
        <v>135</v>
      </c>
    </row>
    <row r="270" spans="1:9" x14ac:dyDescent="0.2">
      <c r="A270" t="s">
        <v>106</v>
      </c>
      <c r="C270">
        <v>18.518000000000001</v>
      </c>
      <c r="G270" t="s">
        <v>128</v>
      </c>
      <c r="H270" t="s">
        <v>129</v>
      </c>
      <c r="I270" t="s">
        <v>135</v>
      </c>
    </row>
    <row r="271" spans="1:9" x14ac:dyDescent="0.2">
      <c r="A271" t="s">
        <v>107</v>
      </c>
      <c r="B271" t="s">
        <v>118</v>
      </c>
      <c r="C271">
        <v>15.629</v>
      </c>
      <c r="G271" t="s">
        <v>128</v>
      </c>
      <c r="H271" t="s">
        <v>129</v>
      </c>
      <c r="I271" t="s">
        <v>135</v>
      </c>
    </row>
    <row r="272" spans="1:9" x14ac:dyDescent="0.2">
      <c r="A272" t="s">
        <v>108</v>
      </c>
      <c r="B272" t="s">
        <v>118</v>
      </c>
      <c r="C272">
        <v>0.84499999999999997</v>
      </c>
      <c r="D272">
        <v>3.3999999999999998E-3</v>
      </c>
      <c r="E272" t="s">
        <v>120</v>
      </c>
      <c r="G272" t="s">
        <v>128</v>
      </c>
      <c r="H272" t="s">
        <v>133</v>
      </c>
      <c r="I272" t="s">
        <v>135</v>
      </c>
    </row>
    <row r="273" spans="1:9" x14ac:dyDescent="0.2">
      <c r="A273" t="s">
        <v>109</v>
      </c>
      <c r="B273" t="s">
        <v>118</v>
      </c>
      <c r="C273">
        <v>38.286000000000001</v>
      </c>
      <c r="G273" t="s">
        <v>128</v>
      </c>
      <c r="H273" t="s">
        <v>129</v>
      </c>
      <c r="I273" t="s">
        <v>135</v>
      </c>
    </row>
    <row r="274" spans="1:9" x14ac:dyDescent="0.2">
      <c r="A274" t="s">
        <v>110</v>
      </c>
      <c r="B274" t="s">
        <v>118</v>
      </c>
      <c r="C274">
        <v>2.069</v>
      </c>
      <c r="D274">
        <v>1.4E-2</v>
      </c>
      <c r="E274" t="s">
        <v>120</v>
      </c>
      <c r="G274" t="s">
        <v>128</v>
      </c>
      <c r="H274" t="s">
        <v>133</v>
      </c>
      <c r="I274" t="s">
        <v>135</v>
      </c>
    </row>
    <row r="276" spans="1:9" x14ac:dyDescent="0.2">
      <c r="A276" t="s">
        <v>158</v>
      </c>
    </row>
    <row r="277" spans="1:9" x14ac:dyDescent="0.2">
      <c r="A277" t="s">
        <v>142</v>
      </c>
    </row>
    <row r="278" spans="1:9" x14ac:dyDescent="0.2">
      <c r="A278" t="s">
        <v>143</v>
      </c>
    </row>
    <row r="279" spans="1:9" x14ac:dyDescent="0.2">
      <c r="A279" t="s">
        <v>144</v>
      </c>
      <c r="B279" t="s">
        <v>145</v>
      </c>
      <c r="C279" t="s">
        <v>146</v>
      </c>
      <c r="D279" t="s">
        <v>147</v>
      </c>
      <c r="E279" t="s">
        <v>148</v>
      </c>
      <c r="F279" t="s">
        <v>149</v>
      </c>
      <c r="G279" t="s">
        <v>150</v>
      </c>
      <c r="H279" t="s">
        <v>151</v>
      </c>
    </row>
    <row r="280" spans="1:9" x14ac:dyDescent="0.2">
      <c r="A280" t="s">
        <v>25</v>
      </c>
      <c r="B280" t="s">
        <v>118</v>
      </c>
      <c r="C280">
        <v>2.5999999999999999E-2</v>
      </c>
      <c r="F280" t="s">
        <v>121</v>
      </c>
      <c r="G280" t="s">
        <v>126</v>
      </c>
      <c r="H280" t="s">
        <v>129</v>
      </c>
      <c r="I280" t="s">
        <v>134</v>
      </c>
    </row>
    <row r="281" spans="1:9" x14ac:dyDescent="0.2">
      <c r="A281" t="s">
        <v>26</v>
      </c>
      <c r="B281" t="s">
        <v>118</v>
      </c>
      <c r="C281">
        <v>5.8E-4</v>
      </c>
      <c r="F281" t="s">
        <v>121</v>
      </c>
      <c r="G281" t="s">
        <v>126</v>
      </c>
      <c r="H281" t="s">
        <v>129</v>
      </c>
      <c r="I281" t="s">
        <v>134</v>
      </c>
    </row>
    <row r="282" spans="1:9" x14ac:dyDescent="0.2">
      <c r="A282" t="s">
        <v>27</v>
      </c>
      <c r="C282">
        <v>0.83</v>
      </c>
      <c r="D282">
        <v>0.04</v>
      </c>
      <c r="E282" t="s">
        <v>120</v>
      </c>
      <c r="F282" t="s">
        <v>121</v>
      </c>
      <c r="G282" t="s">
        <v>126</v>
      </c>
      <c r="H282" t="s">
        <v>130</v>
      </c>
      <c r="I282" t="s">
        <v>134</v>
      </c>
    </row>
    <row r="283" spans="1:9" x14ac:dyDescent="0.2">
      <c r="A283" t="s">
        <v>28</v>
      </c>
      <c r="C283">
        <v>22.4</v>
      </c>
      <c r="D283">
        <v>0.2</v>
      </c>
      <c r="E283" t="s">
        <v>120</v>
      </c>
      <c r="F283" t="s">
        <v>121</v>
      </c>
      <c r="G283" t="s">
        <v>126</v>
      </c>
      <c r="H283" t="s">
        <v>130</v>
      </c>
      <c r="I283" t="s">
        <v>134</v>
      </c>
    </row>
    <row r="284" spans="1:9" x14ac:dyDescent="0.2">
      <c r="A284" t="s">
        <v>29</v>
      </c>
      <c r="C284">
        <v>11</v>
      </c>
      <c r="D284">
        <v>0.2</v>
      </c>
      <c r="E284" t="s">
        <v>120</v>
      </c>
      <c r="F284" t="s">
        <v>121</v>
      </c>
      <c r="G284" t="s">
        <v>126</v>
      </c>
      <c r="H284" t="s">
        <v>130</v>
      </c>
      <c r="I284" t="s">
        <v>134</v>
      </c>
    </row>
    <row r="285" spans="1:9" x14ac:dyDescent="0.2">
      <c r="A285" t="s">
        <v>30</v>
      </c>
      <c r="C285">
        <v>45.5</v>
      </c>
      <c r="D285">
        <v>0.4</v>
      </c>
      <c r="E285" t="s">
        <v>120</v>
      </c>
      <c r="F285" t="s">
        <v>121</v>
      </c>
      <c r="G285" t="s">
        <v>126</v>
      </c>
      <c r="H285" t="s">
        <v>130</v>
      </c>
      <c r="I285" t="s">
        <v>134</v>
      </c>
    </row>
    <row r="286" spans="1:9" x14ac:dyDescent="0.2">
      <c r="A286" t="s">
        <v>31</v>
      </c>
      <c r="B286" t="s">
        <v>118</v>
      </c>
      <c r="C286">
        <v>3.5999999999999997E-2</v>
      </c>
      <c r="D286">
        <v>1.2E-2</v>
      </c>
      <c r="E286" t="s">
        <v>120</v>
      </c>
      <c r="F286" t="s">
        <v>121</v>
      </c>
      <c r="G286" t="s">
        <v>126</v>
      </c>
      <c r="H286" t="s">
        <v>129</v>
      </c>
      <c r="I286" t="s">
        <v>134</v>
      </c>
    </row>
    <row r="287" spans="1:9" x14ac:dyDescent="0.2">
      <c r="A287" t="s">
        <v>32</v>
      </c>
      <c r="C287">
        <v>3.0800000000000001E-2</v>
      </c>
      <c r="D287">
        <v>3.3999999999999998E-3</v>
      </c>
      <c r="E287" t="s">
        <v>120</v>
      </c>
      <c r="F287" t="s">
        <v>121</v>
      </c>
      <c r="G287" t="s">
        <v>126</v>
      </c>
      <c r="H287" t="s">
        <v>130</v>
      </c>
      <c r="I287" t="s">
        <v>134</v>
      </c>
    </row>
    <row r="288" spans="1:9" x14ac:dyDescent="0.2">
      <c r="A288" t="s">
        <v>33</v>
      </c>
      <c r="C288">
        <v>8.4499999999999993</v>
      </c>
      <c r="D288">
        <v>0.12</v>
      </c>
      <c r="E288" t="s">
        <v>120</v>
      </c>
      <c r="F288" t="s">
        <v>121</v>
      </c>
      <c r="G288" t="s">
        <v>126</v>
      </c>
      <c r="H288" t="s">
        <v>130</v>
      </c>
      <c r="I288" t="s">
        <v>134</v>
      </c>
    </row>
    <row r="289" spans="1:9" x14ac:dyDescent="0.2">
      <c r="A289" t="s">
        <v>34</v>
      </c>
      <c r="C289">
        <v>0.30599999999999999</v>
      </c>
      <c r="D289">
        <v>1.2999999999999999E-2</v>
      </c>
      <c r="E289" t="s">
        <v>120</v>
      </c>
      <c r="F289" t="s">
        <v>121</v>
      </c>
      <c r="G289" t="s">
        <v>126</v>
      </c>
      <c r="H289" t="s">
        <v>130</v>
      </c>
      <c r="I289" t="s">
        <v>134</v>
      </c>
    </row>
    <row r="290" spans="1:9" x14ac:dyDescent="0.2">
      <c r="A290" t="s">
        <v>35</v>
      </c>
      <c r="C290">
        <v>0.154</v>
      </c>
      <c r="D290">
        <v>7.0000000000000001E-3</v>
      </c>
      <c r="E290" t="s">
        <v>120</v>
      </c>
      <c r="F290" t="s">
        <v>121</v>
      </c>
      <c r="G290" t="s">
        <v>126</v>
      </c>
      <c r="H290" t="s">
        <v>130</v>
      </c>
      <c r="I290" t="s">
        <v>134</v>
      </c>
    </row>
    <row r="291" spans="1:9" x14ac:dyDescent="0.2">
      <c r="A291" t="s">
        <v>36</v>
      </c>
      <c r="C291">
        <v>10.1</v>
      </c>
      <c r="D291">
        <v>0.1</v>
      </c>
      <c r="E291" t="s">
        <v>120</v>
      </c>
      <c r="F291" t="s">
        <v>121</v>
      </c>
      <c r="G291" t="s">
        <v>126</v>
      </c>
      <c r="H291" t="s">
        <v>130</v>
      </c>
      <c r="I291" t="s">
        <v>134</v>
      </c>
    </row>
    <row r="292" spans="1:9" x14ac:dyDescent="0.2">
      <c r="A292" t="s">
        <v>37</v>
      </c>
      <c r="C292">
        <v>8.9</v>
      </c>
      <c r="D292">
        <v>1.2</v>
      </c>
      <c r="E292" t="s">
        <v>120</v>
      </c>
      <c r="F292" t="s">
        <v>122</v>
      </c>
      <c r="G292" t="s">
        <v>126</v>
      </c>
      <c r="H292" t="s">
        <v>130</v>
      </c>
      <c r="I292" t="s">
        <v>134</v>
      </c>
    </row>
    <row r="293" spans="1:9" x14ac:dyDescent="0.2">
      <c r="A293" t="s">
        <v>38</v>
      </c>
      <c r="B293" t="s">
        <v>118</v>
      </c>
      <c r="C293">
        <v>0.08</v>
      </c>
      <c r="F293" t="s">
        <v>122</v>
      </c>
      <c r="G293" t="s">
        <v>126</v>
      </c>
      <c r="H293" t="s">
        <v>129</v>
      </c>
      <c r="I293" t="s">
        <v>134</v>
      </c>
    </row>
    <row r="294" spans="1:9" x14ac:dyDescent="0.2">
      <c r="A294" t="s">
        <v>39</v>
      </c>
      <c r="C294">
        <v>17.2</v>
      </c>
      <c r="D294">
        <v>2.6</v>
      </c>
      <c r="E294" t="s">
        <v>120</v>
      </c>
      <c r="F294" t="s">
        <v>122</v>
      </c>
      <c r="G294" t="s">
        <v>126</v>
      </c>
      <c r="H294" t="s">
        <v>130</v>
      </c>
      <c r="I294" t="s">
        <v>134</v>
      </c>
    </row>
    <row r="295" spans="1:9" x14ac:dyDescent="0.2">
      <c r="A295" t="s">
        <v>40</v>
      </c>
      <c r="B295" t="s">
        <v>118</v>
      </c>
      <c r="C295">
        <v>440000</v>
      </c>
      <c r="F295" t="s">
        <v>122</v>
      </c>
      <c r="G295" t="s">
        <v>126</v>
      </c>
      <c r="H295" t="s">
        <v>129</v>
      </c>
      <c r="I295" t="s">
        <v>134</v>
      </c>
    </row>
    <row r="296" spans="1:9" x14ac:dyDescent="0.2">
      <c r="A296" t="s">
        <v>41</v>
      </c>
      <c r="B296" t="s">
        <v>118</v>
      </c>
      <c r="C296">
        <v>22</v>
      </c>
      <c r="F296" t="s">
        <v>122</v>
      </c>
      <c r="G296" t="s">
        <v>126</v>
      </c>
      <c r="H296" t="s">
        <v>129</v>
      </c>
      <c r="I296" t="s">
        <v>134</v>
      </c>
    </row>
    <row r="297" spans="1:9" x14ac:dyDescent="0.2">
      <c r="A297" t="s">
        <v>42</v>
      </c>
      <c r="B297" t="s">
        <v>118</v>
      </c>
      <c r="C297">
        <v>1.8</v>
      </c>
      <c r="F297" t="s">
        <v>122</v>
      </c>
      <c r="G297" t="s">
        <v>126</v>
      </c>
      <c r="H297" t="s">
        <v>129</v>
      </c>
      <c r="I297" t="s">
        <v>134</v>
      </c>
    </row>
    <row r="298" spans="1:9" x14ac:dyDescent="0.2">
      <c r="A298" t="s">
        <v>43</v>
      </c>
      <c r="B298" t="s">
        <v>118</v>
      </c>
      <c r="C298">
        <v>6.2</v>
      </c>
      <c r="F298" t="s">
        <v>122</v>
      </c>
      <c r="G298" t="s">
        <v>126</v>
      </c>
      <c r="H298" t="s">
        <v>129</v>
      </c>
      <c r="I298" t="s">
        <v>134</v>
      </c>
    </row>
    <row r="299" spans="1:9" x14ac:dyDescent="0.2">
      <c r="A299" t="s">
        <v>44</v>
      </c>
      <c r="C299">
        <v>36.5</v>
      </c>
      <c r="D299">
        <v>1.2</v>
      </c>
      <c r="E299" t="s">
        <v>120</v>
      </c>
      <c r="F299" t="s">
        <v>122</v>
      </c>
      <c r="G299" t="s">
        <v>126</v>
      </c>
      <c r="H299" t="s">
        <v>130</v>
      </c>
      <c r="I299" t="s">
        <v>134</v>
      </c>
    </row>
    <row r="300" spans="1:9" x14ac:dyDescent="0.2">
      <c r="A300" t="s">
        <v>45</v>
      </c>
      <c r="C300">
        <v>214</v>
      </c>
      <c r="D300">
        <v>17</v>
      </c>
      <c r="E300" t="s">
        <v>120</v>
      </c>
      <c r="F300" t="s">
        <v>122</v>
      </c>
      <c r="G300" t="s">
        <v>126</v>
      </c>
      <c r="H300" t="s">
        <v>130</v>
      </c>
      <c r="I300" t="s">
        <v>134</v>
      </c>
    </row>
    <row r="301" spans="1:9" x14ac:dyDescent="0.2">
      <c r="A301" t="s">
        <v>46</v>
      </c>
      <c r="C301">
        <v>2528</v>
      </c>
      <c r="D301">
        <v>183</v>
      </c>
      <c r="E301" t="s">
        <v>120</v>
      </c>
      <c r="F301" t="s">
        <v>122</v>
      </c>
      <c r="G301" t="s">
        <v>126</v>
      </c>
      <c r="H301" t="s">
        <v>130</v>
      </c>
      <c r="I301" t="s">
        <v>134</v>
      </c>
    </row>
    <row r="302" spans="1:9" x14ac:dyDescent="0.2">
      <c r="A302" t="s">
        <v>47</v>
      </c>
      <c r="C302">
        <v>92.7</v>
      </c>
      <c r="D302">
        <v>5.7</v>
      </c>
      <c r="E302" t="s">
        <v>120</v>
      </c>
      <c r="F302" t="s">
        <v>122</v>
      </c>
      <c r="G302" t="s">
        <v>126</v>
      </c>
      <c r="H302" t="s">
        <v>130</v>
      </c>
      <c r="I302" t="s">
        <v>134</v>
      </c>
    </row>
    <row r="303" spans="1:9" x14ac:dyDescent="0.2">
      <c r="A303" t="s">
        <v>48</v>
      </c>
      <c r="C303">
        <v>1187</v>
      </c>
      <c r="D303">
        <v>58</v>
      </c>
      <c r="E303" t="s">
        <v>120</v>
      </c>
      <c r="F303" t="s">
        <v>122</v>
      </c>
      <c r="G303" t="s">
        <v>126</v>
      </c>
      <c r="H303" t="s">
        <v>130</v>
      </c>
      <c r="I303" t="s">
        <v>134</v>
      </c>
    </row>
    <row r="304" spans="1:9" x14ac:dyDescent="0.2">
      <c r="A304" t="s">
        <v>49</v>
      </c>
      <c r="C304">
        <v>205</v>
      </c>
      <c r="D304">
        <v>21</v>
      </c>
      <c r="E304" t="s">
        <v>120</v>
      </c>
      <c r="F304" t="s">
        <v>122</v>
      </c>
      <c r="G304" t="s">
        <v>126</v>
      </c>
      <c r="H304" t="s">
        <v>130</v>
      </c>
      <c r="I304" t="s">
        <v>134</v>
      </c>
    </row>
    <row r="305" spans="1:9" x14ac:dyDescent="0.2">
      <c r="A305" t="s">
        <v>50</v>
      </c>
      <c r="C305">
        <v>76.8</v>
      </c>
      <c r="D305">
        <v>12.5</v>
      </c>
      <c r="E305" t="s">
        <v>120</v>
      </c>
      <c r="F305" t="s">
        <v>122</v>
      </c>
      <c r="G305" t="s">
        <v>126</v>
      </c>
      <c r="H305" t="s">
        <v>130</v>
      </c>
      <c r="I305" t="s">
        <v>134</v>
      </c>
    </row>
    <row r="306" spans="1:9" x14ac:dyDescent="0.2">
      <c r="A306" t="s">
        <v>51</v>
      </c>
      <c r="C306">
        <v>10.4</v>
      </c>
      <c r="D306">
        <v>0.9</v>
      </c>
      <c r="E306" t="s">
        <v>120</v>
      </c>
      <c r="F306" t="s">
        <v>122</v>
      </c>
      <c r="G306" t="s">
        <v>126</v>
      </c>
      <c r="H306" t="s">
        <v>130</v>
      </c>
      <c r="I306" t="s">
        <v>134</v>
      </c>
    </row>
    <row r="307" spans="1:9" x14ac:dyDescent="0.2">
      <c r="A307" t="s">
        <v>52</v>
      </c>
      <c r="B307" t="s">
        <v>118</v>
      </c>
      <c r="C307">
        <v>0.68</v>
      </c>
      <c r="F307" t="s">
        <v>122</v>
      </c>
      <c r="G307" t="s">
        <v>126</v>
      </c>
      <c r="H307" t="s">
        <v>129</v>
      </c>
      <c r="I307" t="s">
        <v>134</v>
      </c>
    </row>
    <row r="308" spans="1:9" x14ac:dyDescent="0.2">
      <c r="A308" t="s">
        <v>53</v>
      </c>
      <c r="B308" t="s">
        <v>118</v>
      </c>
      <c r="C308">
        <v>0.16</v>
      </c>
      <c r="F308" t="s">
        <v>122</v>
      </c>
      <c r="G308" t="s">
        <v>126</v>
      </c>
      <c r="H308" t="s">
        <v>129</v>
      </c>
      <c r="I308" t="s">
        <v>134</v>
      </c>
    </row>
    <row r="309" spans="1:9" x14ac:dyDescent="0.2">
      <c r="A309" t="s">
        <v>54</v>
      </c>
      <c r="B309" t="s">
        <v>119</v>
      </c>
      <c r="C309">
        <v>0.03</v>
      </c>
      <c r="F309" t="s">
        <v>122</v>
      </c>
      <c r="G309" t="s">
        <v>126</v>
      </c>
      <c r="H309" t="s">
        <v>129</v>
      </c>
      <c r="I309" t="s">
        <v>134</v>
      </c>
    </row>
    <row r="310" spans="1:9" x14ac:dyDescent="0.2">
      <c r="A310" t="s">
        <v>55</v>
      </c>
      <c r="B310" t="s">
        <v>119</v>
      </c>
      <c r="C310">
        <v>0.2</v>
      </c>
      <c r="F310" t="s">
        <v>122</v>
      </c>
      <c r="G310" t="s">
        <v>126</v>
      </c>
      <c r="H310" t="s">
        <v>129</v>
      </c>
      <c r="I310" t="s">
        <v>134</v>
      </c>
    </row>
    <row r="311" spans="1:9" x14ac:dyDescent="0.2">
      <c r="A311" t="s">
        <v>56</v>
      </c>
      <c r="C311">
        <v>2.1</v>
      </c>
      <c r="D311">
        <v>0.1</v>
      </c>
      <c r="E311" t="s">
        <v>120</v>
      </c>
      <c r="F311" t="s">
        <v>122</v>
      </c>
      <c r="G311" t="s">
        <v>126</v>
      </c>
      <c r="H311" t="s">
        <v>130</v>
      </c>
      <c r="I311" t="s">
        <v>134</v>
      </c>
    </row>
    <row r="312" spans="1:9" x14ac:dyDescent="0.2">
      <c r="A312" t="s">
        <v>57</v>
      </c>
      <c r="C312">
        <v>15.3</v>
      </c>
      <c r="D312">
        <v>0.6</v>
      </c>
      <c r="E312" t="s">
        <v>120</v>
      </c>
      <c r="F312" t="s">
        <v>122</v>
      </c>
      <c r="G312" t="s">
        <v>126</v>
      </c>
      <c r="H312" t="s">
        <v>130</v>
      </c>
      <c r="I312" t="s">
        <v>134</v>
      </c>
    </row>
    <row r="313" spans="1:9" x14ac:dyDescent="0.2">
      <c r="A313" t="s">
        <v>58</v>
      </c>
      <c r="C313">
        <v>12.9</v>
      </c>
      <c r="D313">
        <v>0.5</v>
      </c>
      <c r="E313" t="s">
        <v>120</v>
      </c>
      <c r="F313" t="s">
        <v>122</v>
      </c>
      <c r="G313" t="s">
        <v>126</v>
      </c>
      <c r="H313" t="s">
        <v>130</v>
      </c>
      <c r="I313" t="s">
        <v>134</v>
      </c>
    </row>
    <row r="314" spans="1:9" x14ac:dyDescent="0.2">
      <c r="A314" t="s">
        <v>59</v>
      </c>
      <c r="C314">
        <v>9.9</v>
      </c>
      <c r="D314">
        <v>0.3</v>
      </c>
      <c r="E314" t="s">
        <v>120</v>
      </c>
      <c r="F314" t="s">
        <v>122</v>
      </c>
      <c r="G314" t="s">
        <v>126</v>
      </c>
      <c r="H314" t="s">
        <v>130</v>
      </c>
      <c r="I314" t="s">
        <v>134</v>
      </c>
    </row>
    <row r="315" spans="1:9" x14ac:dyDescent="0.2">
      <c r="A315" t="s">
        <v>60</v>
      </c>
      <c r="C315">
        <v>7.2999999999999995E-2</v>
      </c>
      <c r="D315">
        <v>1.2999999999999999E-2</v>
      </c>
      <c r="E315" t="s">
        <v>120</v>
      </c>
      <c r="F315" t="s">
        <v>122</v>
      </c>
      <c r="G315" t="s">
        <v>126</v>
      </c>
      <c r="H315" t="s">
        <v>130</v>
      </c>
      <c r="I315" t="s">
        <v>134</v>
      </c>
    </row>
    <row r="316" spans="1:9" x14ac:dyDescent="0.2">
      <c r="A316" t="s">
        <v>61</v>
      </c>
      <c r="C316">
        <v>30.5</v>
      </c>
      <c r="D316">
        <v>2.6</v>
      </c>
      <c r="E316" t="s">
        <v>120</v>
      </c>
      <c r="F316" t="s">
        <v>122</v>
      </c>
      <c r="G316" t="s">
        <v>126</v>
      </c>
      <c r="H316" t="s">
        <v>130</v>
      </c>
      <c r="I316" t="s">
        <v>134</v>
      </c>
    </row>
    <row r="317" spans="1:9" x14ac:dyDescent="0.2">
      <c r="A317" t="s">
        <v>63</v>
      </c>
      <c r="B317" t="s">
        <v>118</v>
      </c>
      <c r="C317">
        <v>0.04</v>
      </c>
      <c r="F317" t="s">
        <v>122</v>
      </c>
      <c r="G317" t="s">
        <v>126</v>
      </c>
      <c r="H317" t="s">
        <v>129</v>
      </c>
      <c r="I317" t="s">
        <v>134</v>
      </c>
    </row>
    <row r="318" spans="1:9" x14ac:dyDescent="0.2">
      <c r="A318" t="s">
        <v>64</v>
      </c>
      <c r="B318" t="s">
        <v>118</v>
      </c>
      <c r="C318">
        <v>0.08</v>
      </c>
      <c r="F318" t="s">
        <v>122</v>
      </c>
      <c r="G318" t="s">
        <v>126</v>
      </c>
      <c r="H318" t="s">
        <v>129</v>
      </c>
      <c r="I318" t="s">
        <v>134</v>
      </c>
    </row>
    <row r="319" spans="1:9" x14ac:dyDescent="0.2">
      <c r="A319" t="s">
        <v>65</v>
      </c>
      <c r="B319" t="s">
        <v>118</v>
      </c>
      <c r="C319">
        <v>0.09</v>
      </c>
      <c r="F319" t="s">
        <v>122</v>
      </c>
      <c r="G319" t="s">
        <v>126</v>
      </c>
      <c r="H319" t="s">
        <v>129</v>
      </c>
      <c r="I319" t="s">
        <v>134</v>
      </c>
    </row>
    <row r="320" spans="1:9" x14ac:dyDescent="0.2">
      <c r="A320" t="s">
        <v>66</v>
      </c>
      <c r="B320" t="s">
        <v>118</v>
      </c>
      <c r="C320">
        <v>0.34</v>
      </c>
      <c r="D320">
        <v>0.09</v>
      </c>
      <c r="E320" t="s">
        <v>120</v>
      </c>
      <c r="F320" t="s">
        <v>122</v>
      </c>
      <c r="G320" t="s">
        <v>126</v>
      </c>
      <c r="H320" t="s">
        <v>129</v>
      </c>
      <c r="I320" t="s">
        <v>134</v>
      </c>
    </row>
    <row r="321" spans="1:9" x14ac:dyDescent="0.2">
      <c r="A321" t="s">
        <v>67</v>
      </c>
      <c r="C321">
        <v>0.06</v>
      </c>
      <c r="D321">
        <v>0.04</v>
      </c>
      <c r="E321" t="s">
        <v>120</v>
      </c>
      <c r="F321" t="s">
        <v>122</v>
      </c>
      <c r="G321" t="s">
        <v>126</v>
      </c>
      <c r="H321" t="s">
        <v>130</v>
      </c>
      <c r="I321" t="s">
        <v>134</v>
      </c>
    </row>
    <row r="322" spans="1:9" x14ac:dyDescent="0.2">
      <c r="A322" t="s">
        <v>68</v>
      </c>
      <c r="C322">
        <v>7.45</v>
      </c>
      <c r="D322">
        <v>0.63</v>
      </c>
      <c r="E322" t="s">
        <v>120</v>
      </c>
      <c r="F322" t="s">
        <v>122</v>
      </c>
      <c r="G322" t="s">
        <v>126</v>
      </c>
      <c r="H322" t="s">
        <v>130</v>
      </c>
      <c r="I322" t="s">
        <v>134</v>
      </c>
    </row>
    <row r="323" spans="1:9" x14ac:dyDescent="0.2">
      <c r="A323" t="s">
        <v>69</v>
      </c>
      <c r="C323">
        <v>0.81499999999999995</v>
      </c>
      <c r="D323">
        <v>6.2E-2</v>
      </c>
      <c r="E323" t="s">
        <v>120</v>
      </c>
      <c r="F323" t="s">
        <v>122</v>
      </c>
      <c r="G323" t="s">
        <v>126</v>
      </c>
      <c r="H323" t="s">
        <v>130</v>
      </c>
      <c r="I323" t="s">
        <v>134</v>
      </c>
    </row>
    <row r="324" spans="1:9" x14ac:dyDescent="0.2">
      <c r="A324" t="s">
        <v>70</v>
      </c>
      <c r="C324">
        <v>8.4199999999999997E-2</v>
      </c>
      <c r="D324">
        <v>2.8999999999999998E-3</v>
      </c>
      <c r="E324" t="s">
        <v>120</v>
      </c>
      <c r="F324" t="s">
        <v>122</v>
      </c>
      <c r="G324" t="s">
        <v>126</v>
      </c>
      <c r="H324" t="s">
        <v>130</v>
      </c>
      <c r="I324" t="s">
        <v>134</v>
      </c>
    </row>
    <row r="325" spans="1:9" x14ac:dyDescent="0.2">
      <c r="A325" t="s">
        <v>71</v>
      </c>
      <c r="C325">
        <v>0.39300000000000002</v>
      </c>
      <c r="D325">
        <v>1.7999999999999999E-2</v>
      </c>
      <c r="E325" t="s">
        <v>120</v>
      </c>
      <c r="F325" t="s">
        <v>122</v>
      </c>
      <c r="G325" t="s">
        <v>126</v>
      </c>
      <c r="H325" t="s">
        <v>130</v>
      </c>
      <c r="I325" t="s">
        <v>134</v>
      </c>
    </row>
    <row r="326" spans="1:9" x14ac:dyDescent="0.2">
      <c r="A326" t="s">
        <v>72</v>
      </c>
      <c r="C326">
        <v>8.8999999999999996E-2</v>
      </c>
      <c r="D326">
        <v>4.0000000000000001E-3</v>
      </c>
      <c r="E326" t="s">
        <v>120</v>
      </c>
      <c r="F326" t="s">
        <v>122</v>
      </c>
      <c r="G326" t="s">
        <v>126</v>
      </c>
      <c r="H326" t="s">
        <v>130</v>
      </c>
      <c r="I326" t="s">
        <v>134</v>
      </c>
    </row>
    <row r="327" spans="1:9" x14ac:dyDescent="0.2">
      <c r="A327" t="s">
        <v>73</v>
      </c>
      <c r="C327">
        <v>0.68899999999999995</v>
      </c>
      <c r="D327">
        <v>1.7000000000000001E-2</v>
      </c>
      <c r="E327" t="s">
        <v>120</v>
      </c>
      <c r="F327" t="s">
        <v>122</v>
      </c>
      <c r="G327" t="s">
        <v>126</v>
      </c>
      <c r="H327" t="s">
        <v>130</v>
      </c>
      <c r="I327" t="s">
        <v>134</v>
      </c>
    </row>
    <row r="328" spans="1:9" x14ac:dyDescent="0.2">
      <c r="A328" t="s">
        <v>74</v>
      </c>
      <c r="C328">
        <v>0.50800000000000001</v>
      </c>
      <c r="D328">
        <v>1.4999999999999999E-2</v>
      </c>
      <c r="E328" t="s">
        <v>120</v>
      </c>
      <c r="F328" t="s">
        <v>122</v>
      </c>
      <c r="G328" t="s">
        <v>126</v>
      </c>
      <c r="H328" t="s">
        <v>130</v>
      </c>
      <c r="I328" t="s">
        <v>134</v>
      </c>
    </row>
    <row r="329" spans="1:9" x14ac:dyDescent="0.2">
      <c r="A329" t="s">
        <v>75</v>
      </c>
      <c r="C329">
        <v>0.255</v>
      </c>
      <c r="D329">
        <v>7.0000000000000001E-3</v>
      </c>
      <c r="E329" t="s">
        <v>120</v>
      </c>
      <c r="F329" t="s">
        <v>122</v>
      </c>
      <c r="G329" t="s">
        <v>126</v>
      </c>
      <c r="H329" t="s">
        <v>130</v>
      </c>
      <c r="I329" t="s">
        <v>134</v>
      </c>
    </row>
    <row r="330" spans="1:9" x14ac:dyDescent="0.2">
      <c r="A330" t="s">
        <v>76</v>
      </c>
      <c r="C330">
        <v>1.19</v>
      </c>
      <c r="D330">
        <v>0.04</v>
      </c>
      <c r="E330" t="s">
        <v>120</v>
      </c>
      <c r="F330" t="s">
        <v>122</v>
      </c>
      <c r="G330" t="s">
        <v>126</v>
      </c>
      <c r="H330" t="s">
        <v>130</v>
      </c>
      <c r="I330" t="s">
        <v>134</v>
      </c>
    </row>
    <row r="331" spans="1:9" x14ac:dyDescent="0.2">
      <c r="A331" t="s">
        <v>77</v>
      </c>
      <c r="C331">
        <v>0.26900000000000002</v>
      </c>
      <c r="D331">
        <v>1.0999999999999999E-2</v>
      </c>
      <c r="E331" t="s">
        <v>120</v>
      </c>
      <c r="F331" t="s">
        <v>122</v>
      </c>
      <c r="G331" t="s">
        <v>126</v>
      </c>
      <c r="H331" t="s">
        <v>130</v>
      </c>
      <c r="I331" t="s">
        <v>134</v>
      </c>
    </row>
    <row r="332" spans="1:9" x14ac:dyDescent="0.2">
      <c r="A332" t="s">
        <v>78</v>
      </c>
      <c r="C332">
        <v>2.15</v>
      </c>
      <c r="D332">
        <v>0.06</v>
      </c>
      <c r="E332" t="s">
        <v>120</v>
      </c>
      <c r="F332" t="s">
        <v>122</v>
      </c>
      <c r="G332" t="s">
        <v>126</v>
      </c>
      <c r="H332" t="s">
        <v>130</v>
      </c>
      <c r="I332" t="s">
        <v>134</v>
      </c>
    </row>
    <row r="333" spans="1:9" x14ac:dyDescent="0.2">
      <c r="A333" t="s">
        <v>79</v>
      </c>
      <c r="C333">
        <v>0.50700000000000001</v>
      </c>
      <c r="D333">
        <v>1.9E-2</v>
      </c>
      <c r="E333" t="s">
        <v>120</v>
      </c>
      <c r="F333" t="s">
        <v>122</v>
      </c>
      <c r="G333" t="s">
        <v>126</v>
      </c>
      <c r="H333" t="s">
        <v>130</v>
      </c>
      <c r="I333" t="s">
        <v>134</v>
      </c>
    </row>
    <row r="334" spans="1:9" x14ac:dyDescent="0.2">
      <c r="A334" t="s">
        <v>80</v>
      </c>
      <c r="C334">
        <v>1.56</v>
      </c>
      <c r="D334">
        <v>0.05</v>
      </c>
      <c r="E334" t="s">
        <v>120</v>
      </c>
      <c r="F334" t="s">
        <v>122</v>
      </c>
      <c r="G334" t="s">
        <v>126</v>
      </c>
      <c r="H334" t="s">
        <v>130</v>
      </c>
      <c r="I334" t="s">
        <v>134</v>
      </c>
    </row>
    <row r="335" spans="1:9" x14ac:dyDescent="0.2">
      <c r="A335" t="s">
        <v>81</v>
      </c>
      <c r="C335">
        <v>0.23400000000000001</v>
      </c>
      <c r="D335">
        <v>8.9999999999999993E-3</v>
      </c>
      <c r="E335" t="s">
        <v>120</v>
      </c>
      <c r="F335" t="s">
        <v>122</v>
      </c>
      <c r="G335" t="s">
        <v>126</v>
      </c>
      <c r="H335" t="s">
        <v>130</v>
      </c>
      <c r="I335" t="s">
        <v>134</v>
      </c>
    </row>
    <row r="336" spans="1:9" x14ac:dyDescent="0.2">
      <c r="A336" t="s">
        <v>82</v>
      </c>
      <c r="C336">
        <v>1.61</v>
      </c>
      <c r="D336">
        <v>0.04</v>
      </c>
      <c r="E336" t="s">
        <v>120</v>
      </c>
      <c r="F336" t="s">
        <v>122</v>
      </c>
      <c r="G336" t="s">
        <v>126</v>
      </c>
      <c r="H336" t="s">
        <v>130</v>
      </c>
      <c r="I336" t="s">
        <v>134</v>
      </c>
    </row>
    <row r="337" spans="1:9" x14ac:dyDescent="0.2">
      <c r="A337" t="s">
        <v>83</v>
      </c>
      <c r="C337">
        <v>0.23699999999999999</v>
      </c>
      <c r="D337">
        <v>8.9999999999999993E-3</v>
      </c>
      <c r="E337" t="s">
        <v>120</v>
      </c>
      <c r="F337" t="s">
        <v>122</v>
      </c>
      <c r="G337" t="s">
        <v>126</v>
      </c>
      <c r="H337" t="s">
        <v>130</v>
      </c>
      <c r="I337" t="s">
        <v>134</v>
      </c>
    </row>
    <row r="338" spans="1:9" x14ac:dyDescent="0.2">
      <c r="A338" t="s">
        <v>84</v>
      </c>
      <c r="C338">
        <v>0.35699999999999998</v>
      </c>
      <c r="D338">
        <v>1.7999999999999999E-2</v>
      </c>
      <c r="E338" t="s">
        <v>120</v>
      </c>
      <c r="F338" t="s">
        <v>122</v>
      </c>
      <c r="G338" t="s">
        <v>126</v>
      </c>
      <c r="H338" t="s">
        <v>130</v>
      </c>
      <c r="I338" t="s">
        <v>134</v>
      </c>
    </row>
    <row r="339" spans="1:9" x14ac:dyDescent="0.2">
      <c r="A339" t="s">
        <v>85</v>
      </c>
      <c r="C339">
        <v>3.1E-2</v>
      </c>
      <c r="D339">
        <v>2E-3</v>
      </c>
      <c r="E339" t="s">
        <v>120</v>
      </c>
      <c r="F339" t="s">
        <v>122</v>
      </c>
      <c r="G339" t="s">
        <v>126</v>
      </c>
      <c r="H339" t="s">
        <v>130</v>
      </c>
      <c r="I339" t="s">
        <v>134</v>
      </c>
    </row>
    <row r="340" spans="1:9" x14ac:dyDescent="0.2">
      <c r="A340" t="s">
        <v>86</v>
      </c>
      <c r="B340" t="s">
        <v>118</v>
      </c>
      <c r="C340">
        <v>25.4</v>
      </c>
      <c r="D340">
        <v>3.4</v>
      </c>
      <c r="E340" t="s">
        <v>120</v>
      </c>
      <c r="F340" t="s">
        <v>122</v>
      </c>
      <c r="G340" t="s">
        <v>126</v>
      </c>
      <c r="H340" t="s">
        <v>129</v>
      </c>
      <c r="I340" t="s">
        <v>134</v>
      </c>
    </row>
    <row r="341" spans="1:9" x14ac:dyDescent="0.2">
      <c r="A341" t="s">
        <v>87</v>
      </c>
      <c r="B341" t="s">
        <v>118</v>
      </c>
      <c r="C341">
        <v>8.9999999999999998E-4</v>
      </c>
      <c r="F341" t="s">
        <v>122</v>
      </c>
      <c r="G341" t="s">
        <v>126</v>
      </c>
      <c r="H341" t="s">
        <v>129</v>
      </c>
      <c r="I341" t="s">
        <v>134</v>
      </c>
    </row>
    <row r="342" spans="1:9" x14ac:dyDescent="0.2">
      <c r="A342" t="s">
        <v>88</v>
      </c>
      <c r="B342" t="s">
        <v>119</v>
      </c>
      <c r="C342">
        <v>0.2</v>
      </c>
      <c r="F342" t="s">
        <v>122</v>
      </c>
      <c r="G342" t="s">
        <v>126</v>
      </c>
      <c r="H342" t="s">
        <v>129</v>
      </c>
      <c r="I342" t="s">
        <v>134</v>
      </c>
    </row>
    <row r="343" spans="1:9" x14ac:dyDescent="0.2">
      <c r="A343" t="s">
        <v>89</v>
      </c>
      <c r="B343" t="s">
        <v>118</v>
      </c>
      <c r="C343">
        <v>1.28</v>
      </c>
      <c r="F343" t="s">
        <v>122</v>
      </c>
      <c r="G343" t="s">
        <v>126</v>
      </c>
      <c r="H343" t="s">
        <v>129</v>
      </c>
      <c r="I343" t="s">
        <v>134</v>
      </c>
    </row>
    <row r="344" spans="1:9" x14ac:dyDescent="0.2">
      <c r="A344" t="s">
        <v>90</v>
      </c>
      <c r="B344" t="s">
        <v>118</v>
      </c>
      <c r="C344">
        <v>13</v>
      </c>
      <c r="D344">
        <v>11</v>
      </c>
      <c r="E344" t="s">
        <v>120</v>
      </c>
      <c r="F344" t="s">
        <v>122</v>
      </c>
      <c r="G344" t="s">
        <v>126</v>
      </c>
      <c r="H344" t="s">
        <v>129</v>
      </c>
      <c r="I344" t="s">
        <v>134</v>
      </c>
    </row>
    <row r="345" spans="1:9" x14ac:dyDescent="0.2">
      <c r="A345" t="s">
        <v>91</v>
      </c>
      <c r="B345" t="s">
        <v>118</v>
      </c>
      <c r="C345">
        <v>0.11</v>
      </c>
      <c r="D345">
        <v>0.09</v>
      </c>
      <c r="E345" t="s">
        <v>120</v>
      </c>
      <c r="F345" t="s">
        <v>122</v>
      </c>
      <c r="G345" t="s">
        <v>126</v>
      </c>
      <c r="H345" t="s">
        <v>129</v>
      </c>
      <c r="I345" t="s">
        <v>134</v>
      </c>
    </row>
    <row r="346" spans="1:9" x14ac:dyDescent="0.2">
      <c r="A346" t="s">
        <v>92</v>
      </c>
      <c r="B346" t="s">
        <v>119</v>
      </c>
      <c r="C346">
        <v>0.4</v>
      </c>
      <c r="F346" t="s">
        <v>122</v>
      </c>
      <c r="G346" t="s">
        <v>126</v>
      </c>
      <c r="H346" t="s">
        <v>129</v>
      </c>
      <c r="I346" t="s">
        <v>134</v>
      </c>
    </row>
    <row r="347" spans="1:9" x14ac:dyDescent="0.2">
      <c r="A347" t="s">
        <v>93</v>
      </c>
      <c r="B347" t="s">
        <v>118</v>
      </c>
      <c r="C347">
        <v>1E-3</v>
      </c>
      <c r="F347" t="s">
        <v>122</v>
      </c>
      <c r="G347" t="s">
        <v>126</v>
      </c>
      <c r="H347" t="s">
        <v>129</v>
      </c>
      <c r="I347" t="s">
        <v>134</v>
      </c>
    </row>
    <row r="348" spans="1:9" x14ac:dyDescent="0.2">
      <c r="A348" t="s">
        <v>94</v>
      </c>
      <c r="C348">
        <v>19.5</v>
      </c>
      <c r="D348">
        <v>1.7</v>
      </c>
      <c r="E348" t="s">
        <v>120</v>
      </c>
      <c r="F348" t="s">
        <v>122</v>
      </c>
      <c r="G348" t="s">
        <v>126</v>
      </c>
      <c r="H348" t="s">
        <v>130</v>
      </c>
      <c r="I348" t="s">
        <v>134</v>
      </c>
    </row>
    <row r="349" spans="1:9" x14ac:dyDescent="0.2">
      <c r="A349" t="s">
        <v>95</v>
      </c>
      <c r="B349" t="s">
        <v>118</v>
      </c>
      <c r="C349">
        <v>7.0000000000000001E-3</v>
      </c>
      <c r="D349">
        <v>3.0000000000000001E-3</v>
      </c>
      <c r="E349" t="s">
        <v>120</v>
      </c>
      <c r="F349" t="s">
        <v>122</v>
      </c>
      <c r="G349" t="s">
        <v>126</v>
      </c>
      <c r="H349" t="s">
        <v>129</v>
      </c>
      <c r="I349" t="s">
        <v>134</v>
      </c>
    </row>
    <row r="350" spans="1:9" x14ac:dyDescent="0.2">
      <c r="A350" t="s">
        <v>96</v>
      </c>
      <c r="C350">
        <v>8.9999999999999993E-3</v>
      </c>
      <c r="D350">
        <v>3.0000000000000001E-3</v>
      </c>
      <c r="E350" t="s">
        <v>120</v>
      </c>
      <c r="F350" t="s">
        <v>122</v>
      </c>
      <c r="G350" t="s">
        <v>126</v>
      </c>
      <c r="H350" t="s">
        <v>130</v>
      </c>
      <c r="I350" t="s">
        <v>134</v>
      </c>
    </row>
    <row r="351" spans="1:9" x14ac:dyDescent="0.2">
      <c r="A351" t="s">
        <v>97</v>
      </c>
      <c r="C351">
        <v>4.8000000000000001E-2</v>
      </c>
      <c r="D351">
        <v>5.0000000000000001E-3</v>
      </c>
      <c r="E351" t="s">
        <v>120</v>
      </c>
      <c r="F351" t="s">
        <v>122</v>
      </c>
      <c r="G351" t="s">
        <v>126</v>
      </c>
      <c r="H351" t="s">
        <v>130</v>
      </c>
      <c r="I351" t="s">
        <v>134</v>
      </c>
    </row>
    <row r="352" spans="1:9" x14ac:dyDescent="0.2">
      <c r="A352" t="s">
        <v>154</v>
      </c>
      <c r="C352">
        <v>8.9</v>
      </c>
      <c r="F352" t="s">
        <v>155</v>
      </c>
      <c r="G352" t="s">
        <v>128</v>
      </c>
      <c r="H352" t="s">
        <v>129</v>
      </c>
      <c r="I352" t="s">
        <v>135</v>
      </c>
    </row>
    <row r="353" spans="1:9" x14ac:dyDescent="0.2">
      <c r="A353" t="s">
        <v>156</v>
      </c>
      <c r="C353">
        <v>7.1</v>
      </c>
      <c r="F353" t="s">
        <v>157</v>
      </c>
      <c r="G353" t="s">
        <v>128</v>
      </c>
      <c r="H353" t="s">
        <v>129</v>
      </c>
      <c r="I353" t="s">
        <v>135</v>
      </c>
    </row>
    <row r="354" spans="1:9" x14ac:dyDescent="0.2">
      <c r="A354" t="s">
        <v>98</v>
      </c>
      <c r="C354">
        <v>4.34</v>
      </c>
      <c r="F354" t="s">
        <v>123</v>
      </c>
      <c r="G354" t="s">
        <v>128</v>
      </c>
      <c r="H354" t="s">
        <v>129</v>
      </c>
      <c r="I354" t="s">
        <v>135</v>
      </c>
    </row>
    <row r="355" spans="1:9" x14ac:dyDescent="0.2">
      <c r="A355" t="s">
        <v>99</v>
      </c>
      <c r="C355">
        <v>8.52</v>
      </c>
      <c r="F355" t="s">
        <v>123</v>
      </c>
      <c r="G355" t="s">
        <v>128</v>
      </c>
      <c r="H355" t="s">
        <v>129</v>
      </c>
      <c r="I355" t="s">
        <v>135</v>
      </c>
    </row>
    <row r="356" spans="1:9" x14ac:dyDescent="0.2">
      <c r="A356" t="s">
        <v>100</v>
      </c>
      <c r="C356">
        <v>-0.15</v>
      </c>
      <c r="F356" t="s">
        <v>124</v>
      </c>
      <c r="G356" t="s">
        <v>128</v>
      </c>
      <c r="H356" t="s">
        <v>129</v>
      </c>
      <c r="I356" t="s">
        <v>135</v>
      </c>
    </row>
    <row r="357" spans="1:9" x14ac:dyDescent="0.2">
      <c r="A357" t="s">
        <v>101</v>
      </c>
      <c r="C357">
        <v>-0.27</v>
      </c>
      <c r="F357" t="s">
        <v>124</v>
      </c>
      <c r="G357" t="s">
        <v>128</v>
      </c>
      <c r="H357" t="s">
        <v>129</v>
      </c>
      <c r="I357" t="s">
        <v>135</v>
      </c>
    </row>
    <row r="358" spans="1:9" x14ac:dyDescent="0.2">
      <c r="A358" t="s">
        <v>102</v>
      </c>
      <c r="C358">
        <v>0.61</v>
      </c>
      <c r="F358" t="s">
        <v>125</v>
      </c>
      <c r="G358" t="s">
        <v>128</v>
      </c>
      <c r="H358" t="s">
        <v>129</v>
      </c>
      <c r="I358" t="s">
        <v>135</v>
      </c>
    </row>
    <row r="359" spans="1:9" x14ac:dyDescent="0.2">
      <c r="A359" t="s">
        <v>103</v>
      </c>
      <c r="C359">
        <v>0.70720000000000005</v>
      </c>
      <c r="G359" t="s">
        <v>128</v>
      </c>
      <c r="H359" t="s">
        <v>129</v>
      </c>
      <c r="I359" t="s">
        <v>135</v>
      </c>
    </row>
    <row r="360" spans="1:9" x14ac:dyDescent="0.2">
      <c r="A360" t="s">
        <v>104</v>
      </c>
      <c r="C360">
        <v>0.513289</v>
      </c>
      <c r="G360" t="s">
        <v>128</v>
      </c>
      <c r="H360" t="s">
        <v>129</v>
      </c>
      <c r="I360" t="s">
        <v>135</v>
      </c>
    </row>
    <row r="361" spans="1:9" x14ac:dyDescent="0.2">
      <c r="A361" t="s">
        <v>106</v>
      </c>
      <c r="C361">
        <v>19.25</v>
      </c>
      <c r="G361" t="s">
        <v>128</v>
      </c>
      <c r="H361" t="s">
        <v>129</v>
      </c>
      <c r="I361" t="s">
        <v>135</v>
      </c>
    </row>
    <row r="362" spans="1:9" x14ac:dyDescent="0.2">
      <c r="A362" t="s">
        <v>107</v>
      </c>
      <c r="C362">
        <v>15.72</v>
      </c>
      <c r="G362" t="s">
        <v>128</v>
      </c>
      <c r="H362" t="s">
        <v>129</v>
      </c>
      <c r="I362" t="s">
        <v>135</v>
      </c>
    </row>
    <row r="363" spans="1:9" x14ac:dyDescent="0.2">
      <c r="A363" t="s">
        <v>108</v>
      </c>
      <c r="C363">
        <v>0.81599999999999995</v>
      </c>
      <c r="D363">
        <v>2.5999999999999999E-3</v>
      </c>
      <c r="E363" t="s">
        <v>120</v>
      </c>
      <c r="G363" t="s">
        <v>128</v>
      </c>
      <c r="H363" t="s">
        <v>133</v>
      </c>
      <c r="I363" t="s">
        <v>135</v>
      </c>
    </row>
    <row r="364" spans="1:9" x14ac:dyDescent="0.2">
      <c r="A364" t="s">
        <v>109</v>
      </c>
      <c r="C364">
        <v>38.72</v>
      </c>
      <c r="G364" t="s">
        <v>128</v>
      </c>
      <c r="H364" t="s">
        <v>129</v>
      </c>
      <c r="I364" t="s">
        <v>135</v>
      </c>
    </row>
    <row r="365" spans="1:9" x14ac:dyDescent="0.2">
      <c r="A365" t="s">
        <v>110</v>
      </c>
      <c r="C365">
        <v>2.008</v>
      </c>
      <c r="D365">
        <v>5.0000000000000001E-3</v>
      </c>
      <c r="E365" t="s">
        <v>120</v>
      </c>
      <c r="G365" t="s">
        <v>128</v>
      </c>
      <c r="H365" t="s">
        <v>133</v>
      </c>
      <c r="I365" t="s">
        <v>135</v>
      </c>
    </row>
    <row r="367" spans="1:9" x14ac:dyDescent="0.2">
      <c r="A367" t="s">
        <v>159</v>
      </c>
    </row>
    <row r="368" spans="1:9" x14ac:dyDescent="0.2">
      <c r="A368" t="s">
        <v>142</v>
      </c>
    </row>
    <row r="369" spans="1:9" x14ac:dyDescent="0.2">
      <c r="A369" t="s">
        <v>143</v>
      </c>
    </row>
    <row r="370" spans="1:9" x14ac:dyDescent="0.2">
      <c r="A370" t="s">
        <v>144</v>
      </c>
      <c r="B370" t="s">
        <v>145</v>
      </c>
      <c r="C370" t="s">
        <v>146</v>
      </c>
      <c r="D370" t="s">
        <v>147</v>
      </c>
      <c r="E370" t="s">
        <v>148</v>
      </c>
      <c r="F370" t="s">
        <v>149</v>
      </c>
      <c r="G370" t="s">
        <v>150</v>
      </c>
      <c r="H370" t="s">
        <v>151</v>
      </c>
    </row>
    <row r="371" spans="1:9" x14ac:dyDescent="0.2">
      <c r="A371" t="s">
        <v>25</v>
      </c>
      <c r="B371" t="s">
        <v>118</v>
      </c>
      <c r="C371">
        <v>1.4999999999999999E-2</v>
      </c>
      <c r="F371" t="s">
        <v>121</v>
      </c>
      <c r="G371" t="s">
        <v>126</v>
      </c>
      <c r="H371" t="s">
        <v>129</v>
      </c>
      <c r="I371" t="s">
        <v>134</v>
      </c>
    </row>
    <row r="372" spans="1:9" x14ac:dyDescent="0.2">
      <c r="A372" t="s">
        <v>26</v>
      </c>
      <c r="B372" t="s">
        <v>118</v>
      </c>
      <c r="C372">
        <v>5.1999999999999995E-4</v>
      </c>
      <c r="F372" t="s">
        <v>121</v>
      </c>
      <c r="G372" t="s">
        <v>126</v>
      </c>
      <c r="H372" t="s">
        <v>129</v>
      </c>
      <c r="I372" t="s">
        <v>134</v>
      </c>
    </row>
    <row r="373" spans="1:9" x14ac:dyDescent="0.2">
      <c r="A373" t="s">
        <v>27</v>
      </c>
      <c r="C373">
        <v>2.35</v>
      </c>
      <c r="D373">
        <v>0.08</v>
      </c>
      <c r="E373" t="s">
        <v>120</v>
      </c>
      <c r="F373" t="s">
        <v>121</v>
      </c>
      <c r="G373" t="s">
        <v>126</v>
      </c>
      <c r="H373" t="s">
        <v>130</v>
      </c>
      <c r="I373" t="s">
        <v>134</v>
      </c>
    </row>
    <row r="374" spans="1:9" x14ac:dyDescent="0.2">
      <c r="A374" t="s">
        <v>28</v>
      </c>
      <c r="C374">
        <v>7.34</v>
      </c>
      <c r="D374">
        <v>0.09</v>
      </c>
      <c r="E374" t="s">
        <v>120</v>
      </c>
      <c r="F374" t="s">
        <v>121</v>
      </c>
      <c r="G374" t="s">
        <v>126</v>
      </c>
      <c r="H374" t="s">
        <v>130</v>
      </c>
      <c r="I374" t="s">
        <v>134</v>
      </c>
    </row>
    <row r="375" spans="1:9" x14ac:dyDescent="0.2">
      <c r="A375" t="s">
        <v>29</v>
      </c>
      <c r="C375">
        <v>13.3</v>
      </c>
      <c r="D375">
        <v>0.2</v>
      </c>
      <c r="E375" t="s">
        <v>120</v>
      </c>
      <c r="F375" t="s">
        <v>121</v>
      </c>
      <c r="G375" t="s">
        <v>126</v>
      </c>
      <c r="H375" t="s">
        <v>130</v>
      </c>
      <c r="I375" t="s">
        <v>134</v>
      </c>
    </row>
    <row r="376" spans="1:9" x14ac:dyDescent="0.2">
      <c r="A376" t="s">
        <v>30</v>
      </c>
      <c r="C376">
        <v>50.3</v>
      </c>
      <c r="D376">
        <v>0.3</v>
      </c>
      <c r="E376" t="s">
        <v>120</v>
      </c>
      <c r="F376" t="s">
        <v>121</v>
      </c>
      <c r="G376" t="s">
        <v>126</v>
      </c>
      <c r="H376" t="s">
        <v>130</v>
      </c>
      <c r="I376" t="s">
        <v>134</v>
      </c>
    </row>
    <row r="377" spans="1:9" x14ac:dyDescent="0.2">
      <c r="A377" t="s">
        <v>31</v>
      </c>
      <c r="C377">
        <v>0.23200000000000001</v>
      </c>
      <c r="D377">
        <v>2.5999999999999999E-2</v>
      </c>
      <c r="E377" t="s">
        <v>120</v>
      </c>
      <c r="F377" t="s">
        <v>121</v>
      </c>
      <c r="G377" t="s">
        <v>126</v>
      </c>
      <c r="H377" t="s">
        <v>130</v>
      </c>
      <c r="I377" t="s">
        <v>134</v>
      </c>
    </row>
    <row r="378" spans="1:9" x14ac:dyDescent="0.2">
      <c r="A378" t="s">
        <v>32</v>
      </c>
      <c r="C378">
        <v>0.48</v>
      </c>
      <c r="D378">
        <v>0.01</v>
      </c>
      <c r="E378" t="s">
        <v>120</v>
      </c>
      <c r="F378" t="s">
        <v>121</v>
      </c>
      <c r="G378" t="s">
        <v>126</v>
      </c>
      <c r="H378" t="s">
        <v>130</v>
      </c>
      <c r="I378" t="s">
        <v>134</v>
      </c>
    </row>
    <row r="379" spans="1:9" x14ac:dyDescent="0.2">
      <c r="A379" t="s">
        <v>33</v>
      </c>
      <c r="C379">
        <v>10.9</v>
      </c>
      <c r="D379">
        <v>0.2</v>
      </c>
      <c r="E379" t="s">
        <v>120</v>
      </c>
      <c r="F379" t="s">
        <v>121</v>
      </c>
      <c r="G379" t="s">
        <v>126</v>
      </c>
      <c r="H379" t="s">
        <v>130</v>
      </c>
      <c r="I379" t="s">
        <v>134</v>
      </c>
    </row>
    <row r="380" spans="1:9" x14ac:dyDescent="0.2">
      <c r="A380" t="s">
        <v>34</v>
      </c>
      <c r="C380">
        <v>2.56</v>
      </c>
      <c r="D380">
        <v>0.09</v>
      </c>
      <c r="E380" t="s">
        <v>120</v>
      </c>
      <c r="F380" t="s">
        <v>121</v>
      </c>
      <c r="G380" t="s">
        <v>126</v>
      </c>
      <c r="H380" t="s">
        <v>130</v>
      </c>
      <c r="I380" t="s">
        <v>134</v>
      </c>
    </row>
    <row r="381" spans="1:9" x14ac:dyDescent="0.2">
      <c r="A381" t="s">
        <v>35</v>
      </c>
      <c r="C381">
        <v>0.16500000000000001</v>
      </c>
      <c r="D381">
        <v>8.9999999999999993E-3</v>
      </c>
      <c r="E381" t="s">
        <v>120</v>
      </c>
      <c r="F381" t="s">
        <v>121</v>
      </c>
      <c r="G381" t="s">
        <v>126</v>
      </c>
      <c r="H381" t="s">
        <v>130</v>
      </c>
      <c r="I381" t="s">
        <v>134</v>
      </c>
    </row>
    <row r="382" spans="1:9" x14ac:dyDescent="0.2">
      <c r="A382" t="s">
        <v>36</v>
      </c>
      <c r="C382">
        <v>10.7</v>
      </c>
      <c r="D382">
        <v>0.1</v>
      </c>
      <c r="E382" t="s">
        <v>120</v>
      </c>
      <c r="F382" t="s">
        <v>121</v>
      </c>
      <c r="G382" t="s">
        <v>126</v>
      </c>
      <c r="H382" t="s">
        <v>130</v>
      </c>
      <c r="I382" t="s">
        <v>134</v>
      </c>
    </row>
    <row r="383" spans="1:9" x14ac:dyDescent="0.2">
      <c r="A383" t="s">
        <v>37</v>
      </c>
      <c r="C383">
        <v>5.0999999999999996</v>
      </c>
      <c r="D383">
        <v>0.5</v>
      </c>
      <c r="E383" t="s">
        <v>120</v>
      </c>
      <c r="F383" t="s">
        <v>122</v>
      </c>
      <c r="G383" t="s">
        <v>126</v>
      </c>
      <c r="H383" t="s">
        <v>130</v>
      </c>
      <c r="I383" t="s">
        <v>134</v>
      </c>
    </row>
    <row r="384" spans="1:9" x14ac:dyDescent="0.2">
      <c r="A384" t="s">
        <v>38</v>
      </c>
      <c r="B384" t="s">
        <v>118</v>
      </c>
      <c r="C384">
        <v>0.88</v>
      </c>
      <c r="D384">
        <v>0.34</v>
      </c>
      <c r="E384" t="s">
        <v>120</v>
      </c>
      <c r="F384" t="s">
        <v>122</v>
      </c>
      <c r="G384" t="s">
        <v>126</v>
      </c>
      <c r="H384" t="s">
        <v>129</v>
      </c>
      <c r="I384" t="s">
        <v>134</v>
      </c>
    </row>
    <row r="385" spans="1:9" x14ac:dyDescent="0.2">
      <c r="A385" t="s">
        <v>39</v>
      </c>
      <c r="B385" t="s">
        <v>118</v>
      </c>
      <c r="C385">
        <v>2.73</v>
      </c>
      <c r="D385">
        <v>0.28000000000000003</v>
      </c>
      <c r="E385" t="s">
        <v>120</v>
      </c>
      <c r="F385" t="s">
        <v>122</v>
      </c>
      <c r="G385" t="s">
        <v>126</v>
      </c>
      <c r="H385" t="s">
        <v>129</v>
      </c>
      <c r="I385" t="s">
        <v>134</v>
      </c>
    </row>
    <row r="386" spans="1:9" x14ac:dyDescent="0.2">
      <c r="A386" t="s">
        <v>40</v>
      </c>
      <c r="B386" t="s">
        <v>118</v>
      </c>
      <c r="C386">
        <v>444000</v>
      </c>
      <c r="F386" t="s">
        <v>122</v>
      </c>
      <c r="G386" t="s">
        <v>126</v>
      </c>
      <c r="H386" t="s">
        <v>129</v>
      </c>
      <c r="I386" t="s">
        <v>134</v>
      </c>
    </row>
    <row r="387" spans="1:9" x14ac:dyDescent="0.2">
      <c r="A387" t="s">
        <v>41</v>
      </c>
      <c r="B387" t="s">
        <v>118</v>
      </c>
      <c r="C387">
        <v>177</v>
      </c>
      <c r="F387" t="s">
        <v>122</v>
      </c>
      <c r="G387" t="s">
        <v>126</v>
      </c>
      <c r="H387" t="s">
        <v>129</v>
      </c>
      <c r="I387" t="s">
        <v>134</v>
      </c>
    </row>
    <row r="388" spans="1:9" x14ac:dyDescent="0.2">
      <c r="A388" t="s">
        <v>42</v>
      </c>
      <c r="B388" t="s">
        <v>118</v>
      </c>
      <c r="C388">
        <v>7.7</v>
      </c>
      <c r="F388" t="s">
        <v>122</v>
      </c>
      <c r="G388" t="s">
        <v>126</v>
      </c>
      <c r="H388" t="s">
        <v>129</v>
      </c>
      <c r="I388" t="s">
        <v>134</v>
      </c>
    </row>
    <row r="389" spans="1:9" x14ac:dyDescent="0.2">
      <c r="A389" t="s">
        <v>43</v>
      </c>
      <c r="B389" t="s">
        <v>118</v>
      </c>
      <c r="C389">
        <v>26</v>
      </c>
      <c r="F389" t="s">
        <v>122</v>
      </c>
      <c r="G389" t="s">
        <v>126</v>
      </c>
      <c r="H389" t="s">
        <v>129</v>
      </c>
      <c r="I389" t="s">
        <v>134</v>
      </c>
    </row>
    <row r="390" spans="1:9" x14ac:dyDescent="0.2">
      <c r="A390" t="s">
        <v>44</v>
      </c>
      <c r="C390">
        <v>31.8</v>
      </c>
      <c r="D390">
        <v>0.9</v>
      </c>
      <c r="E390" t="s">
        <v>120</v>
      </c>
      <c r="F390" t="s">
        <v>122</v>
      </c>
      <c r="G390" t="s">
        <v>126</v>
      </c>
      <c r="H390" t="s">
        <v>130</v>
      </c>
      <c r="I390" t="s">
        <v>134</v>
      </c>
    </row>
    <row r="391" spans="1:9" x14ac:dyDescent="0.2">
      <c r="A391" t="s">
        <v>45</v>
      </c>
      <c r="C391">
        <v>309</v>
      </c>
      <c r="D391">
        <v>38</v>
      </c>
      <c r="E391" t="s">
        <v>120</v>
      </c>
      <c r="F391" t="s">
        <v>122</v>
      </c>
      <c r="G391" t="s">
        <v>126</v>
      </c>
      <c r="H391" t="s">
        <v>130</v>
      </c>
      <c r="I391" t="s">
        <v>134</v>
      </c>
    </row>
    <row r="392" spans="1:9" x14ac:dyDescent="0.2">
      <c r="A392" t="s">
        <v>46</v>
      </c>
      <c r="C392">
        <v>294</v>
      </c>
      <c r="D392">
        <v>27</v>
      </c>
      <c r="E392" t="s">
        <v>120</v>
      </c>
      <c r="F392" t="s">
        <v>122</v>
      </c>
      <c r="G392" t="s">
        <v>126</v>
      </c>
      <c r="H392" t="s">
        <v>130</v>
      </c>
      <c r="I392" t="s">
        <v>134</v>
      </c>
    </row>
    <row r="393" spans="1:9" x14ac:dyDescent="0.2">
      <c r="A393" t="s">
        <v>47</v>
      </c>
      <c r="C393">
        <v>41.2</v>
      </c>
      <c r="D393">
        <v>2.2999999999999998</v>
      </c>
      <c r="E393" t="s">
        <v>120</v>
      </c>
      <c r="F393" t="s">
        <v>122</v>
      </c>
      <c r="G393" t="s">
        <v>126</v>
      </c>
      <c r="H393" t="s">
        <v>130</v>
      </c>
      <c r="I393" t="s">
        <v>134</v>
      </c>
    </row>
    <row r="394" spans="1:9" x14ac:dyDescent="0.2">
      <c r="A394" t="s">
        <v>48</v>
      </c>
      <c r="C394">
        <v>112</v>
      </c>
      <c r="D394">
        <v>5</v>
      </c>
      <c r="E394" t="s">
        <v>120</v>
      </c>
      <c r="F394" t="s">
        <v>122</v>
      </c>
      <c r="G394" t="s">
        <v>126</v>
      </c>
      <c r="H394" t="s">
        <v>130</v>
      </c>
      <c r="I394" t="s">
        <v>134</v>
      </c>
    </row>
    <row r="395" spans="1:9" x14ac:dyDescent="0.2">
      <c r="A395" t="s">
        <v>49</v>
      </c>
      <c r="C395">
        <v>87.9</v>
      </c>
      <c r="D395">
        <v>9.1</v>
      </c>
      <c r="E395" t="s">
        <v>120</v>
      </c>
      <c r="F395" t="s">
        <v>122</v>
      </c>
      <c r="G395" t="s">
        <v>126</v>
      </c>
      <c r="H395" t="s">
        <v>130</v>
      </c>
      <c r="I395" t="s">
        <v>134</v>
      </c>
    </row>
    <row r="396" spans="1:9" x14ac:dyDescent="0.2">
      <c r="A396" t="s">
        <v>50</v>
      </c>
      <c r="C396">
        <v>110</v>
      </c>
      <c r="D396">
        <v>10</v>
      </c>
      <c r="E396" t="s">
        <v>120</v>
      </c>
      <c r="F396" t="s">
        <v>122</v>
      </c>
      <c r="G396" t="s">
        <v>126</v>
      </c>
      <c r="H396" t="s">
        <v>130</v>
      </c>
      <c r="I396" t="s">
        <v>134</v>
      </c>
    </row>
    <row r="397" spans="1:9" x14ac:dyDescent="0.2">
      <c r="A397" t="s">
        <v>51</v>
      </c>
      <c r="C397">
        <v>20</v>
      </c>
      <c r="D397">
        <v>1.2</v>
      </c>
      <c r="E397" t="s">
        <v>120</v>
      </c>
      <c r="F397" t="s">
        <v>122</v>
      </c>
      <c r="G397" t="s">
        <v>126</v>
      </c>
      <c r="H397" t="s">
        <v>130</v>
      </c>
      <c r="I397" t="s">
        <v>134</v>
      </c>
    </row>
    <row r="398" spans="1:9" x14ac:dyDescent="0.2">
      <c r="A398" t="s">
        <v>52</v>
      </c>
      <c r="B398" t="s">
        <v>118</v>
      </c>
      <c r="C398">
        <v>1.3</v>
      </c>
      <c r="D398">
        <v>0.8</v>
      </c>
      <c r="E398" t="s">
        <v>120</v>
      </c>
      <c r="F398" t="s">
        <v>122</v>
      </c>
      <c r="G398" t="s">
        <v>126</v>
      </c>
      <c r="H398" t="s">
        <v>129</v>
      </c>
      <c r="I398" t="s">
        <v>134</v>
      </c>
    </row>
    <row r="399" spans="1:9" x14ac:dyDescent="0.2">
      <c r="A399" t="s">
        <v>53</v>
      </c>
      <c r="B399" t="s">
        <v>118</v>
      </c>
      <c r="C399">
        <v>0.17</v>
      </c>
      <c r="F399" t="s">
        <v>122</v>
      </c>
      <c r="G399" t="s">
        <v>126</v>
      </c>
      <c r="H399" t="s">
        <v>129</v>
      </c>
      <c r="I399" t="s">
        <v>134</v>
      </c>
    </row>
    <row r="400" spans="1:9" x14ac:dyDescent="0.2">
      <c r="A400" t="s">
        <v>54</v>
      </c>
      <c r="B400" t="s">
        <v>118</v>
      </c>
      <c r="C400">
        <v>7.0000000000000007E-2</v>
      </c>
      <c r="F400" t="s">
        <v>122</v>
      </c>
      <c r="G400" t="s">
        <v>126</v>
      </c>
      <c r="H400" t="s">
        <v>129</v>
      </c>
      <c r="I400" t="s">
        <v>134</v>
      </c>
    </row>
    <row r="401" spans="1:9" x14ac:dyDescent="0.2">
      <c r="A401" t="s">
        <v>56</v>
      </c>
      <c r="C401">
        <v>8.6999999999999993</v>
      </c>
      <c r="D401">
        <v>0.4</v>
      </c>
      <c r="E401" t="s">
        <v>120</v>
      </c>
      <c r="F401" t="s">
        <v>122</v>
      </c>
      <c r="G401" t="s">
        <v>126</v>
      </c>
      <c r="H401" t="s">
        <v>130</v>
      </c>
      <c r="I401" t="s">
        <v>134</v>
      </c>
    </row>
    <row r="402" spans="1:9" x14ac:dyDescent="0.2">
      <c r="A402" t="s">
        <v>57</v>
      </c>
      <c r="C402">
        <v>356</v>
      </c>
      <c r="D402">
        <v>8</v>
      </c>
      <c r="E402" t="s">
        <v>120</v>
      </c>
      <c r="F402" t="s">
        <v>122</v>
      </c>
      <c r="G402" t="s">
        <v>126</v>
      </c>
      <c r="H402" t="s">
        <v>130</v>
      </c>
      <c r="I402" t="s">
        <v>134</v>
      </c>
    </row>
    <row r="403" spans="1:9" x14ac:dyDescent="0.2">
      <c r="A403" t="s">
        <v>58</v>
      </c>
      <c r="C403">
        <v>25.4</v>
      </c>
      <c r="D403">
        <v>1.1000000000000001</v>
      </c>
      <c r="E403" t="s">
        <v>120</v>
      </c>
      <c r="F403" t="s">
        <v>122</v>
      </c>
      <c r="G403" t="s">
        <v>126</v>
      </c>
      <c r="H403" t="s">
        <v>130</v>
      </c>
      <c r="I403" t="s">
        <v>134</v>
      </c>
    </row>
    <row r="404" spans="1:9" x14ac:dyDescent="0.2">
      <c r="A404" t="s">
        <v>59</v>
      </c>
      <c r="C404">
        <v>152</v>
      </c>
      <c r="D404">
        <v>5</v>
      </c>
      <c r="E404" t="s">
        <v>120</v>
      </c>
      <c r="F404" t="s">
        <v>122</v>
      </c>
      <c r="G404" t="s">
        <v>126</v>
      </c>
      <c r="H404" t="s">
        <v>130</v>
      </c>
      <c r="I404" t="s">
        <v>134</v>
      </c>
    </row>
    <row r="405" spans="1:9" x14ac:dyDescent="0.2">
      <c r="A405" t="s">
        <v>60</v>
      </c>
      <c r="C405">
        <v>15</v>
      </c>
      <c r="D405">
        <v>0.5</v>
      </c>
      <c r="E405" t="s">
        <v>120</v>
      </c>
      <c r="F405" t="s">
        <v>122</v>
      </c>
      <c r="G405" t="s">
        <v>126</v>
      </c>
      <c r="H405" t="s">
        <v>130</v>
      </c>
      <c r="I405" t="s">
        <v>134</v>
      </c>
    </row>
    <row r="406" spans="1:9" x14ac:dyDescent="0.2">
      <c r="A406" t="s">
        <v>61</v>
      </c>
      <c r="C406">
        <v>3.6</v>
      </c>
      <c r="D406">
        <v>0.6</v>
      </c>
      <c r="E406" t="s">
        <v>120</v>
      </c>
      <c r="F406" t="s">
        <v>122</v>
      </c>
      <c r="G406" t="s">
        <v>126</v>
      </c>
      <c r="H406" t="s">
        <v>130</v>
      </c>
      <c r="I406" t="s">
        <v>134</v>
      </c>
    </row>
    <row r="407" spans="1:9" x14ac:dyDescent="0.2">
      <c r="A407" t="s">
        <v>160</v>
      </c>
      <c r="B407" t="s">
        <v>118</v>
      </c>
      <c r="C407">
        <v>37</v>
      </c>
      <c r="F407" t="s">
        <v>122</v>
      </c>
      <c r="G407" t="s">
        <v>126</v>
      </c>
      <c r="H407" t="s">
        <v>129</v>
      </c>
      <c r="I407" t="s">
        <v>134</v>
      </c>
    </row>
    <row r="408" spans="1:9" x14ac:dyDescent="0.2">
      <c r="A408" t="s">
        <v>62</v>
      </c>
      <c r="B408" t="s">
        <v>119</v>
      </c>
      <c r="C408">
        <v>6</v>
      </c>
      <c r="F408" t="s">
        <v>122</v>
      </c>
      <c r="G408" t="s">
        <v>126</v>
      </c>
      <c r="H408" t="s">
        <v>129</v>
      </c>
      <c r="I408" t="s">
        <v>134</v>
      </c>
    </row>
    <row r="409" spans="1:9" x14ac:dyDescent="0.2">
      <c r="A409" t="s">
        <v>63</v>
      </c>
      <c r="B409" t="s">
        <v>118</v>
      </c>
      <c r="C409">
        <v>0.15</v>
      </c>
      <c r="F409" t="s">
        <v>122</v>
      </c>
      <c r="G409" t="s">
        <v>126</v>
      </c>
      <c r="H409" t="s">
        <v>129</v>
      </c>
      <c r="I409" t="s">
        <v>134</v>
      </c>
    </row>
    <row r="410" spans="1:9" x14ac:dyDescent="0.2">
      <c r="A410" t="s">
        <v>64</v>
      </c>
      <c r="B410" t="s">
        <v>118</v>
      </c>
      <c r="C410">
        <v>0.09</v>
      </c>
      <c r="F410" t="s">
        <v>122</v>
      </c>
      <c r="G410" t="s">
        <v>126</v>
      </c>
      <c r="H410" t="s">
        <v>129</v>
      </c>
      <c r="I410" t="s">
        <v>134</v>
      </c>
    </row>
    <row r="411" spans="1:9" x14ac:dyDescent="0.2">
      <c r="A411" t="s">
        <v>65</v>
      </c>
      <c r="B411" t="s">
        <v>118</v>
      </c>
      <c r="C411">
        <v>0.24</v>
      </c>
      <c r="F411" t="s">
        <v>122</v>
      </c>
      <c r="G411" t="s">
        <v>126</v>
      </c>
      <c r="H411" t="s">
        <v>129</v>
      </c>
      <c r="I411" t="s">
        <v>134</v>
      </c>
    </row>
    <row r="412" spans="1:9" x14ac:dyDescent="0.2">
      <c r="A412" t="s">
        <v>66</v>
      </c>
      <c r="C412">
        <v>1.54</v>
      </c>
      <c r="D412">
        <v>0.28999999999999998</v>
      </c>
      <c r="E412" t="s">
        <v>120</v>
      </c>
      <c r="F412" t="s">
        <v>122</v>
      </c>
      <c r="G412" t="s">
        <v>126</v>
      </c>
      <c r="H412" t="s">
        <v>130</v>
      </c>
      <c r="I412" t="s">
        <v>134</v>
      </c>
    </row>
    <row r="413" spans="1:9" x14ac:dyDescent="0.2">
      <c r="A413" t="s">
        <v>67</v>
      </c>
      <c r="C413">
        <v>0.14000000000000001</v>
      </c>
      <c r="D413">
        <v>0.03</v>
      </c>
      <c r="E413" t="s">
        <v>120</v>
      </c>
      <c r="F413" t="s">
        <v>122</v>
      </c>
      <c r="G413" t="s">
        <v>126</v>
      </c>
      <c r="H413" t="s">
        <v>130</v>
      </c>
      <c r="I413" t="s">
        <v>134</v>
      </c>
    </row>
    <row r="414" spans="1:9" x14ac:dyDescent="0.2">
      <c r="A414" t="s">
        <v>68</v>
      </c>
      <c r="C414">
        <v>0.115</v>
      </c>
      <c r="D414">
        <v>8.9999999999999993E-3</v>
      </c>
      <c r="E414" t="s">
        <v>120</v>
      </c>
      <c r="F414" t="s">
        <v>122</v>
      </c>
      <c r="G414" t="s">
        <v>126</v>
      </c>
      <c r="H414" t="s">
        <v>130</v>
      </c>
      <c r="I414" t="s">
        <v>134</v>
      </c>
    </row>
    <row r="415" spans="1:9" x14ac:dyDescent="0.2">
      <c r="A415" t="s">
        <v>69</v>
      </c>
      <c r="C415">
        <v>123</v>
      </c>
      <c r="D415">
        <v>5</v>
      </c>
      <c r="E415" t="s">
        <v>120</v>
      </c>
      <c r="F415" t="s">
        <v>122</v>
      </c>
      <c r="G415" t="s">
        <v>126</v>
      </c>
      <c r="H415" t="s">
        <v>130</v>
      </c>
      <c r="I415" t="s">
        <v>134</v>
      </c>
    </row>
    <row r="416" spans="1:9" x14ac:dyDescent="0.2">
      <c r="A416" t="s">
        <v>70</v>
      </c>
      <c r="C416">
        <v>13.1</v>
      </c>
      <c r="D416">
        <v>0.2</v>
      </c>
      <c r="E416" t="s">
        <v>120</v>
      </c>
      <c r="F416" t="s">
        <v>122</v>
      </c>
      <c r="G416" t="s">
        <v>126</v>
      </c>
      <c r="H416" t="s">
        <v>130</v>
      </c>
      <c r="I416" t="s">
        <v>134</v>
      </c>
    </row>
    <row r="417" spans="1:9" x14ac:dyDescent="0.2">
      <c r="A417" t="s">
        <v>71</v>
      </c>
      <c r="C417">
        <v>32.4</v>
      </c>
      <c r="D417">
        <v>0.7</v>
      </c>
      <c r="E417" t="s">
        <v>120</v>
      </c>
      <c r="F417" t="s">
        <v>122</v>
      </c>
      <c r="G417" t="s">
        <v>126</v>
      </c>
      <c r="H417" t="s">
        <v>130</v>
      </c>
      <c r="I417" t="s">
        <v>134</v>
      </c>
    </row>
    <row r="418" spans="1:9" x14ac:dyDescent="0.2">
      <c r="A418" t="s">
        <v>72</v>
      </c>
      <c r="C418">
        <v>4.5999999999999996</v>
      </c>
      <c r="D418">
        <v>0.1</v>
      </c>
      <c r="E418" t="s">
        <v>120</v>
      </c>
      <c r="F418" t="s">
        <v>122</v>
      </c>
      <c r="G418" t="s">
        <v>126</v>
      </c>
      <c r="H418" t="s">
        <v>130</v>
      </c>
      <c r="I418" t="s">
        <v>134</v>
      </c>
    </row>
    <row r="419" spans="1:9" x14ac:dyDescent="0.2">
      <c r="A419" t="s">
        <v>73</v>
      </c>
      <c r="C419">
        <v>21.6</v>
      </c>
      <c r="D419">
        <v>0.4</v>
      </c>
      <c r="E419" t="s">
        <v>120</v>
      </c>
      <c r="F419" t="s">
        <v>122</v>
      </c>
      <c r="G419" t="s">
        <v>126</v>
      </c>
      <c r="H419" t="s">
        <v>130</v>
      </c>
      <c r="I419" t="s">
        <v>134</v>
      </c>
    </row>
    <row r="420" spans="1:9" x14ac:dyDescent="0.2">
      <c r="A420" t="s">
        <v>74</v>
      </c>
      <c r="C420">
        <v>5.54</v>
      </c>
      <c r="D420">
        <v>0.09</v>
      </c>
      <c r="E420" t="s">
        <v>120</v>
      </c>
      <c r="F420" t="s">
        <v>122</v>
      </c>
      <c r="G420" t="s">
        <v>126</v>
      </c>
      <c r="H420" t="s">
        <v>130</v>
      </c>
      <c r="I420" t="s">
        <v>134</v>
      </c>
    </row>
    <row r="421" spans="1:9" x14ac:dyDescent="0.2">
      <c r="A421" t="s">
        <v>75</v>
      </c>
      <c r="C421">
        <v>1.92</v>
      </c>
      <c r="D421">
        <v>0.04</v>
      </c>
      <c r="E421" t="s">
        <v>120</v>
      </c>
      <c r="F421" t="s">
        <v>122</v>
      </c>
      <c r="G421" t="s">
        <v>126</v>
      </c>
      <c r="H421" t="s">
        <v>130</v>
      </c>
      <c r="I421" t="s">
        <v>134</v>
      </c>
    </row>
    <row r="422" spans="1:9" x14ac:dyDescent="0.2">
      <c r="A422" t="s">
        <v>76</v>
      </c>
      <c r="C422">
        <v>5.92</v>
      </c>
      <c r="D422">
        <v>0.2</v>
      </c>
      <c r="E422" t="s">
        <v>120</v>
      </c>
      <c r="F422" t="s">
        <v>122</v>
      </c>
      <c r="G422" t="s">
        <v>126</v>
      </c>
      <c r="H422" t="s">
        <v>130</v>
      </c>
      <c r="I422" t="s">
        <v>134</v>
      </c>
    </row>
    <row r="423" spans="1:9" x14ac:dyDescent="0.2">
      <c r="A423" t="s">
        <v>77</v>
      </c>
      <c r="C423">
        <v>0.89</v>
      </c>
      <c r="D423">
        <v>3.1E-2</v>
      </c>
      <c r="E423" t="s">
        <v>120</v>
      </c>
      <c r="F423" t="s">
        <v>122</v>
      </c>
      <c r="G423" t="s">
        <v>126</v>
      </c>
      <c r="H423" t="s">
        <v>130</v>
      </c>
      <c r="I423" t="s">
        <v>134</v>
      </c>
    </row>
    <row r="424" spans="1:9" x14ac:dyDescent="0.2">
      <c r="A424" t="s">
        <v>78</v>
      </c>
      <c r="C424">
        <v>5.22</v>
      </c>
      <c r="D424">
        <v>0.12</v>
      </c>
      <c r="E424" t="s">
        <v>120</v>
      </c>
      <c r="F424" t="s">
        <v>122</v>
      </c>
      <c r="G424" t="s">
        <v>126</v>
      </c>
      <c r="H424" t="s">
        <v>130</v>
      </c>
      <c r="I424" t="s">
        <v>134</v>
      </c>
    </row>
    <row r="425" spans="1:9" x14ac:dyDescent="0.2">
      <c r="A425" t="s">
        <v>79</v>
      </c>
      <c r="C425">
        <v>0.96099999999999997</v>
      </c>
      <c r="D425">
        <v>2.1999999999999999E-2</v>
      </c>
      <c r="E425" t="s">
        <v>120</v>
      </c>
      <c r="F425" t="s">
        <v>122</v>
      </c>
      <c r="G425" t="s">
        <v>126</v>
      </c>
      <c r="H425" t="s">
        <v>130</v>
      </c>
      <c r="I425" t="s">
        <v>134</v>
      </c>
    </row>
    <row r="426" spans="1:9" x14ac:dyDescent="0.2">
      <c r="A426" t="s">
        <v>80</v>
      </c>
      <c r="C426">
        <v>2.54</v>
      </c>
      <c r="D426">
        <v>7.0000000000000007E-2</v>
      </c>
      <c r="E426" t="s">
        <v>120</v>
      </c>
      <c r="F426" t="s">
        <v>122</v>
      </c>
      <c r="G426" t="s">
        <v>126</v>
      </c>
      <c r="H426" t="s">
        <v>130</v>
      </c>
      <c r="I426" t="s">
        <v>134</v>
      </c>
    </row>
    <row r="427" spans="1:9" x14ac:dyDescent="0.2">
      <c r="A427" t="s">
        <v>81</v>
      </c>
      <c r="C427">
        <v>0.33100000000000002</v>
      </c>
      <c r="D427">
        <v>8.9999999999999993E-3</v>
      </c>
      <c r="E427" t="s">
        <v>120</v>
      </c>
      <c r="F427" t="s">
        <v>122</v>
      </c>
      <c r="G427" t="s">
        <v>126</v>
      </c>
      <c r="H427" t="s">
        <v>130</v>
      </c>
      <c r="I427" t="s">
        <v>134</v>
      </c>
    </row>
    <row r="428" spans="1:9" x14ac:dyDescent="0.2">
      <c r="A428" t="s">
        <v>82</v>
      </c>
      <c r="C428">
        <v>2.1</v>
      </c>
      <c r="D428">
        <v>0.05</v>
      </c>
      <c r="E428" t="s">
        <v>120</v>
      </c>
      <c r="F428" t="s">
        <v>122</v>
      </c>
      <c r="G428" t="s">
        <v>126</v>
      </c>
      <c r="H428" t="s">
        <v>130</v>
      </c>
      <c r="I428" t="s">
        <v>134</v>
      </c>
    </row>
    <row r="429" spans="1:9" x14ac:dyDescent="0.2">
      <c r="A429" t="s">
        <v>83</v>
      </c>
      <c r="C429">
        <v>0.28499999999999998</v>
      </c>
      <c r="D429">
        <v>8.9999999999999993E-3</v>
      </c>
      <c r="E429" t="s">
        <v>120</v>
      </c>
      <c r="F429" t="s">
        <v>122</v>
      </c>
      <c r="G429" t="s">
        <v>126</v>
      </c>
      <c r="H429" t="s">
        <v>130</v>
      </c>
      <c r="I429" t="s">
        <v>134</v>
      </c>
    </row>
    <row r="430" spans="1:9" x14ac:dyDescent="0.2">
      <c r="A430" t="s">
        <v>84</v>
      </c>
      <c r="C430">
        <v>3.93</v>
      </c>
      <c r="D430">
        <v>0.14000000000000001</v>
      </c>
      <c r="E430" t="s">
        <v>120</v>
      </c>
      <c r="F430" t="s">
        <v>122</v>
      </c>
      <c r="G430" t="s">
        <v>126</v>
      </c>
      <c r="H430" t="s">
        <v>130</v>
      </c>
      <c r="I430" t="s">
        <v>134</v>
      </c>
    </row>
    <row r="431" spans="1:9" x14ac:dyDescent="0.2">
      <c r="A431" t="s">
        <v>85</v>
      </c>
      <c r="C431">
        <v>0.96099999999999997</v>
      </c>
      <c r="D431">
        <v>2.1999999999999999E-2</v>
      </c>
      <c r="E431" t="s">
        <v>120</v>
      </c>
      <c r="F431" t="s">
        <v>122</v>
      </c>
      <c r="G431" t="s">
        <v>126</v>
      </c>
      <c r="H431" t="s">
        <v>130</v>
      </c>
      <c r="I431" t="s">
        <v>134</v>
      </c>
    </row>
    <row r="432" spans="1:9" x14ac:dyDescent="0.2">
      <c r="A432" t="s">
        <v>86</v>
      </c>
      <c r="B432" t="s">
        <v>118</v>
      </c>
      <c r="C432">
        <v>0.37</v>
      </c>
      <c r="D432">
        <v>0.06</v>
      </c>
      <c r="E432" t="s">
        <v>120</v>
      </c>
      <c r="F432" t="s">
        <v>122</v>
      </c>
      <c r="G432" t="s">
        <v>126</v>
      </c>
      <c r="H432" t="s">
        <v>129</v>
      </c>
      <c r="I432" t="s">
        <v>134</v>
      </c>
    </row>
    <row r="433" spans="1:9" x14ac:dyDescent="0.2">
      <c r="A433" t="s">
        <v>87</v>
      </c>
      <c r="B433" t="s">
        <v>118</v>
      </c>
      <c r="C433">
        <v>6.9999999999999999E-4</v>
      </c>
      <c r="F433" t="s">
        <v>122</v>
      </c>
      <c r="G433" t="s">
        <v>126</v>
      </c>
      <c r="H433" t="s">
        <v>129</v>
      </c>
      <c r="I433" t="s">
        <v>134</v>
      </c>
    </row>
    <row r="434" spans="1:9" x14ac:dyDescent="0.2">
      <c r="A434" t="s">
        <v>88</v>
      </c>
      <c r="B434" t="s">
        <v>119</v>
      </c>
      <c r="C434">
        <v>0.3</v>
      </c>
      <c r="F434" t="s">
        <v>122</v>
      </c>
      <c r="G434" t="s">
        <v>126</v>
      </c>
      <c r="H434" t="s">
        <v>129</v>
      </c>
      <c r="I434" t="s">
        <v>134</v>
      </c>
    </row>
    <row r="435" spans="1:9" x14ac:dyDescent="0.2">
      <c r="A435" t="s">
        <v>89</v>
      </c>
      <c r="B435" t="s">
        <v>118</v>
      </c>
      <c r="C435">
        <v>0.1</v>
      </c>
      <c r="F435" t="s">
        <v>122</v>
      </c>
      <c r="G435" t="s">
        <v>126</v>
      </c>
      <c r="H435" t="s">
        <v>129</v>
      </c>
      <c r="I435" t="s">
        <v>134</v>
      </c>
    </row>
    <row r="436" spans="1:9" x14ac:dyDescent="0.2">
      <c r="A436" t="s">
        <v>90</v>
      </c>
      <c r="B436" t="s">
        <v>118</v>
      </c>
      <c r="C436">
        <v>16</v>
      </c>
      <c r="F436" t="s">
        <v>122</v>
      </c>
      <c r="G436" t="s">
        <v>126</v>
      </c>
      <c r="H436" t="s">
        <v>129</v>
      </c>
      <c r="I436" t="s">
        <v>134</v>
      </c>
    </row>
    <row r="437" spans="1:9" x14ac:dyDescent="0.2">
      <c r="A437" t="s">
        <v>91</v>
      </c>
      <c r="B437" t="s">
        <v>118</v>
      </c>
      <c r="C437">
        <v>0.4</v>
      </c>
      <c r="F437" t="s">
        <v>122</v>
      </c>
      <c r="G437" t="s">
        <v>126</v>
      </c>
      <c r="H437" t="s">
        <v>129</v>
      </c>
      <c r="I437" t="s">
        <v>134</v>
      </c>
    </row>
    <row r="438" spans="1:9" x14ac:dyDescent="0.2">
      <c r="A438" t="s">
        <v>94</v>
      </c>
      <c r="C438">
        <v>2.0699999999999998</v>
      </c>
      <c r="D438">
        <v>0.1</v>
      </c>
      <c r="E438" t="s">
        <v>120</v>
      </c>
      <c r="F438" t="s">
        <v>122</v>
      </c>
      <c r="G438" t="s">
        <v>126</v>
      </c>
      <c r="H438" t="s">
        <v>130</v>
      </c>
      <c r="I438" t="s">
        <v>134</v>
      </c>
    </row>
    <row r="439" spans="1:9" x14ac:dyDescent="0.2">
      <c r="A439" t="s">
        <v>95</v>
      </c>
      <c r="B439" t="s">
        <v>118</v>
      </c>
      <c r="C439">
        <v>3.5999999999999997E-2</v>
      </c>
      <c r="D439">
        <v>1.4E-2</v>
      </c>
      <c r="E439" t="s">
        <v>120</v>
      </c>
      <c r="F439" t="s">
        <v>122</v>
      </c>
      <c r="G439" t="s">
        <v>126</v>
      </c>
      <c r="H439" t="s">
        <v>129</v>
      </c>
      <c r="I439" t="s">
        <v>134</v>
      </c>
    </row>
    <row r="440" spans="1:9" x14ac:dyDescent="0.2">
      <c r="A440" t="s">
        <v>96</v>
      </c>
      <c r="C440">
        <v>1.02</v>
      </c>
      <c r="D440">
        <v>0.03</v>
      </c>
      <c r="E440" t="s">
        <v>120</v>
      </c>
      <c r="F440" t="s">
        <v>122</v>
      </c>
      <c r="G440" t="s">
        <v>126</v>
      </c>
      <c r="H440" t="s">
        <v>130</v>
      </c>
      <c r="I440" t="s">
        <v>134</v>
      </c>
    </row>
    <row r="441" spans="1:9" x14ac:dyDescent="0.2">
      <c r="A441" t="s">
        <v>97</v>
      </c>
      <c r="C441">
        <v>0.54800000000000004</v>
      </c>
      <c r="D441">
        <v>1.6E-2</v>
      </c>
      <c r="E441" t="s">
        <v>120</v>
      </c>
      <c r="F441" t="s">
        <v>122</v>
      </c>
      <c r="G441" t="s">
        <v>126</v>
      </c>
      <c r="H441" t="s">
        <v>130</v>
      </c>
      <c r="I441" t="s">
        <v>134</v>
      </c>
    </row>
    <row r="442" spans="1:9" x14ac:dyDescent="0.2">
      <c r="A442" t="s">
        <v>154</v>
      </c>
      <c r="C442">
        <v>4.0999999999999996</v>
      </c>
      <c r="F442" t="s">
        <v>155</v>
      </c>
      <c r="G442" t="s">
        <v>128</v>
      </c>
      <c r="H442" t="s">
        <v>129</v>
      </c>
      <c r="I442" t="s">
        <v>135</v>
      </c>
    </row>
    <row r="443" spans="1:9" x14ac:dyDescent="0.2">
      <c r="A443" t="s">
        <v>98</v>
      </c>
      <c r="C443">
        <v>4.3099999999999996</v>
      </c>
      <c r="F443" t="s">
        <v>123</v>
      </c>
      <c r="G443" t="s">
        <v>128</v>
      </c>
      <c r="H443" t="s">
        <v>129</v>
      </c>
      <c r="I443" t="s">
        <v>135</v>
      </c>
    </row>
    <row r="444" spans="1:9" x14ac:dyDescent="0.2">
      <c r="A444" t="s">
        <v>99</v>
      </c>
      <c r="C444">
        <v>8.6300000000000008</v>
      </c>
      <c r="F444" t="s">
        <v>123</v>
      </c>
      <c r="G444" t="s">
        <v>128</v>
      </c>
      <c r="H444" t="s">
        <v>129</v>
      </c>
      <c r="I444" t="s">
        <v>135</v>
      </c>
    </row>
    <row r="445" spans="1:9" x14ac:dyDescent="0.2">
      <c r="A445" t="s">
        <v>100</v>
      </c>
      <c r="C445">
        <v>-0.21</v>
      </c>
      <c r="F445" t="s">
        <v>124</v>
      </c>
      <c r="G445" t="s">
        <v>128</v>
      </c>
      <c r="H445" t="s">
        <v>129</v>
      </c>
      <c r="I445" t="s">
        <v>135</v>
      </c>
    </row>
    <row r="446" spans="1:9" x14ac:dyDescent="0.2">
      <c r="A446" t="s">
        <v>101</v>
      </c>
      <c r="C446">
        <v>-0.44</v>
      </c>
      <c r="F446" t="s">
        <v>124</v>
      </c>
      <c r="G446" t="s">
        <v>128</v>
      </c>
      <c r="H446" t="s">
        <v>129</v>
      </c>
      <c r="I446" t="s">
        <v>135</v>
      </c>
    </row>
    <row r="447" spans="1:9" x14ac:dyDescent="0.2">
      <c r="A447" t="s">
        <v>102</v>
      </c>
      <c r="C447">
        <v>0.77</v>
      </c>
      <c r="F447" t="s">
        <v>125</v>
      </c>
      <c r="G447" t="s">
        <v>128</v>
      </c>
      <c r="H447" t="s">
        <v>129</v>
      </c>
      <c r="I447" t="s">
        <v>135</v>
      </c>
    </row>
    <row r="448" spans="1:9" x14ac:dyDescent="0.2">
      <c r="A448" t="s">
        <v>103</v>
      </c>
      <c r="C448">
        <v>0.703565</v>
      </c>
      <c r="D448">
        <v>2.1999999999999999E-5</v>
      </c>
      <c r="E448" t="s">
        <v>120</v>
      </c>
      <c r="G448" t="s">
        <v>128</v>
      </c>
      <c r="H448" t="s">
        <v>133</v>
      </c>
      <c r="I448" t="s">
        <v>135</v>
      </c>
    </row>
    <row r="449" spans="1:9" x14ac:dyDescent="0.2">
      <c r="A449" t="s">
        <v>104</v>
      </c>
      <c r="C449">
        <v>0.51295199999999996</v>
      </c>
      <c r="D449">
        <v>1.7E-5</v>
      </c>
      <c r="E449" t="s">
        <v>120</v>
      </c>
      <c r="G449" t="s">
        <v>128</v>
      </c>
      <c r="H449" t="s">
        <v>133</v>
      </c>
      <c r="I449" t="s">
        <v>135</v>
      </c>
    </row>
    <row r="450" spans="1:9" x14ac:dyDescent="0.2">
      <c r="A450" t="s">
        <v>105</v>
      </c>
      <c r="C450">
        <v>0.28310800000000003</v>
      </c>
      <c r="D450">
        <v>1.9999999999999999E-6</v>
      </c>
      <c r="E450" t="s">
        <v>120</v>
      </c>
      <c r="G450" t="s">
        <v>128</v>
      </c>
      <c r="H450" t="s">
        <v>129</v>
      </c>
      <c r="I450" t="s">
        <v>135</v>
      </c>
    </row>
    <row r="451" spans="1:9" x14ac:dyDescent="0.2">
      <c r="A451" t="s">
        <v>106</v>
      </c>
      <c r="C451">
        <v>19.038</v>
      </c>
      <c r="D451">
        <v>8.9999999999999993E-3</v>
      </c>
      <c r="E451" t="s">
        <v>120</v>
      </c>
      <c r="G451" t="s">
        <v>128</v>
      </c>
      <c r="H451" t="s">
        <v>133</v>
      </c>
      <c r="I451" t="s">
        <v>135</v>
      </c>
    </row>
    <row r="452" spans="1:9" x14ac:dyDescent="0.2">
      <c r="A452" t="s">
        <v>107</v>
      </c>
      <c r="C452">
        <v>15.634</v>
      </c>
      <c r="D452">
        <v>6.0000000000000001E-3</v>
      </c>
      <c r="E452" t="s">
        <v>120</v>
      </c>
      <c r="G452" t="s">
        <v>128</v>
      </c>
      <c r="H452" t="s">
        <v>133</v>
      </c>
      <c r="I452" t="s">
        <v>135</v>
      </c>
    </row>
    <row r="453" spans="1:9" x14ac:dyDescent="0.2">
      <c r="A453" t="s">
        <v>108</v>
      </c>
      <c r="C453">
        <v>0.82099</v>
      </c>
      <c r="D453">
        <v>6.6E-4</v>
      </c>
      <c r="E453" t="s">
        <v>120</v>
      </c>
      <c r="G453" t="s">
        <v>128</v>
      </c>
      <c r="H453" t="s">
        <v>133</v>
      </c>
      <c r="I453" t="s">
        <v>135</v>
      </c>
    </row>
    <row r="454" spans="1:9" x14ac:dyDescent="0.2">
      <c r="A454" t="s">
        <v>109</v>
      </c>
      <c r="C454">
        <v>38.509</v>
      </c>
      <c r="D454">
        <v>4.7E-2</v>
      </c>
      <c r="E454" t="s">
        <v>120</v>
      </c>
      <c r="G454" t="s">
        <v>128</v>
      </c>
      <c r="H454" t="s">
        <v>133</v>
      </c>
      <c r="I454" t="s">
        <v>135</v>
      </c>
    </row>
    <row r="455" spans="1:9" x14ac:dyDescent="0.2">
      <c r="A455" t="s">
        <v>110</v>
      </c>
      <c r="C455">
        <v>2.0232000000000001</v>
      </c>
      <c r="D455">
        <v>1.6000000000000001E-3</v>
      </c>
      <c r="E455" t="s">
        <v>120</v>
      </c>
      <c r="G455" t="s">
        <v>128</v>
      </c>
      <c r="H455" t="s">
        <v>133</v>
      </c>
      <c r="I455" t="s">
        <v>135</v>
      </c>
    </row>
    <row r="456" spans="1:9" x14ac:dyDescent="0.2">
      <c r="A456" t="s">
        <v>115</v>
      </c>
      <c r="C456">
        <v>5.3199999999999999E-5</v>
      </c>
      <c r="G456" t="s">
        <v>128</v>
      </c>
      <c r="H456" t="s">
        <v>129</v>
      </c>
      <c r="I456" t="s">
        <v>135</v>
      </c>
    </row>
    <row r="457" spans="1:9" x14ac:dyDescent="0.2">
      <c r="A457" t="s">
        <v>117</v>
      </c>
      <c r="C457">
        <v>141</v>
      </c>
      <c r="G457" t="s">
        <v>128</v>
      </c>
      <c r="H457" t="s">
        <v>129</v>
      </c>
      <c r="I457" t="s">
        <v>135</v>
      </c>
    </row>
    <row r="459" spans="1:9" x14ac:dyDescent="0.2">
      <c r="A459" t="s">
        <v>161</v>
      </c>
    </row>
    <row r="460" spans="1:9" x14ac:dyDescent="0.2">
      <c r="A460" t="s">
        <v>142</v>
      </c>
    </row>
    <row r="461" spans="1:9" x14ac:dyDescent="0.2">
      <c r="A461" t="s">
        <v>143</v>
      </c>
    </row>
    <row r="462" spans="1:9" x14ac:dyDescent="0.2">
      <c r="A462" t="s">
        <v>144</v>
      </c>
      <c r="B462" t="s">
        <v>145</v>
      </c>
      <c r="C462" t="s">
        <v>146</v>
      </c>
      <c r="D462" t="s">
        <v>147</v>
      </c>
      <c r="E462" t="s">
        <v>148</v>
      </c>
      <c r="F462" t="s">
        <v>149</v>
      </c>
      <c r="G462" t="s">
        <v>150</v>
      </c>
      <c r="H462" t="s">
        <v>151</v>
      </c>
    </row>
    <row r="463" spans="1:9" x14ac:dyDescent="0.2">
      <c r="A463" t="s">
        <v>25</v>
      </c>
      <c r="B463" t="s">
        <v>118</v>
      </c>
      <c r="C463">
        <v>1.4999999999999999E-2</v>
      </c>
      <c r="F463" t="s">
        <v>121</v>
      </c>
      <c r="G463" t="s">
        <v>126</v>
      </c>
      <c r="H463" t="s">
        <v>129</v>
      </c>
      <c r="I463" t="s">
        <v>134</v>
      </c>
    </row>
    <row r="464" spans="1:9" x14ac:dyDescent="0.2">
      <c r="A464" t="s">
        <v>26</v>
      </c>
      <c r="B464" t="s">
        <v>118</v>
      </c>
      <c r="C464">
        <v>4.6999999999999999E-4</v>
      </c>
      <c r="F464" t="s">
        <v>121</v>
      </c>
      <c r="G464" t="s">
        <v>126</v>
      </c>
      <c r="H464" t="s">
        <v>129</v>
      </c>
      <c r="I464" t="s">
        <v>134</v>
      </c>
    </row>
    <row r="465" spans="1:9" x14ac:dyDescent="0.2">
      <c r="A465" t="s">
        <v>27</v>
      </c>
      <c r="C465">
        <v>2.4</v>
      </c>
      <c r="D465">
        <v>0.06</v>
      </c>
      <c r="E465" t="s">
        <v>120</v>
      </c>
      <c r="F465" t="s">
        <v>121</v>
      </c>
      <c r="G465" t="s">
        <v>126</v>
      </c>
      <c r="H465" t="s">
        <v>130</v>
      </c>
      <c r="I465" t="s">
        <v>134</v>
      </c>
    </row>
    <row r="466" spans="1:9" x14ac:dyDescent="0.2">
      <c r="A466" t="s">
        <v>28</v>
      </c>
      <c r="C466">
        <v>6.59</v>
      </c>
      <c r="D466">
        <v>0.08</v>
      </c>
      <c r="E466" t="s">
        <v>120</v>
      </c>
      <c r="F466" t="s">
        <v>121</v>
      </c>
      <c r="G466" t="s">
        <v>126</v>
      </c>
      <c r="H466" t="s">
        <v>130</v>
      </c>
      <c r="I466" t="s">
        <v>134</v>
      </c>
    </row>
    <row r="467" spans="1:9" x14ac:dyDescent="0.2">
      <c r="A467" t="s">
        <v>29</v>
      </c>
      <c r="C467">
        <v>13.6</v>
      </c>
      <c r="D467">
        <v>0.2</v>
      </c>
      <c r="E467" t="s">
        <v>120</v>
      </c>
      <c r="F467" t="s">
        <v>121</v>
      </c>
      <c r="G467" t="s">
        <v>126</v>
      </c>
      <c r="H467" t="s">
        <v>130</v>
      </c>
      <c r="I467" t="s">
        <v>134</v>
      </c>
    </row>
    <row r="468" spans="1:9" x14ac:dyDescent="0.2">
      <c r="A468" t="s">
        <v>30</v>
      </c>
      <c r="C468">
        <v>51.4</v>
      </c>
      <c r="D468">
        <v>0.6</v>
      </c>
      <c r="E468" t="s">
        <v>120</v>
      </c>
      <c r="F468" t="s">
        <v>121</v>
      </c>
      <c r="G468" t="s">
        <v>126</v>
      </c>
      <c r="H468" t="s">
        <v>130</v>
      </c>
      <c r="I468" t="s">
        <v>134</v>
      </c>
    </row>
    <row r="469" spans="1:9" x14ac:dyDescent="0.2">
      <c r="A469" t="s">
        <v>31</v>
      </c>
      <c r="C469">
        <v>0.23</v>
      </c>
      <c r="D469">
        <v>2.5000000000000001E-2</v>
      </c>
      <c r="E469" t="s">
        <v>120</v>
      </c>
      <c r="F469" t="s">
        <v>121</v>
      </c>
      <c r="G469" t="s">
        <v>126</v>
      </c>
      <c r="H469" t="s">
        <v>130</v>
      </c>
      <c r="I469" t="s">
        <v>134</v>
      </c>
    </row>
    <row r="470" spans="1:9" x14ac:dyDescent="0.2">
      <c r="A470" t="s">
        <v>32</v>
      </c>
      <c r="C470">
        <v>0.38500000000000001</v>
      </c>
      <c r="D470">
        <v>4.0000000000000001E-3</v>
      </c>
      <c r="E470" t="s">
        <v>120</v>
      </c>
      <c r="F470" t="s">
        <v>121</v>
      </c>
      <c r="G470" t="s">
        <v>126</v>
      </c>
      <c r="H470" t="s">
        <v>130</v>
      </c>
      <c r="I470" t="s">
        <v>134</v>
      </c>
    </row>
    <row r="471" spans="1:9" x14ac:dyDescent="0.2">
      <c r="A471" t="s">
        <v>33</v>
      </c>
      <c r="C471">
        <v>10.5</v>
      </c>
      <c r="D471">
        <v>0.1</v>
      </c>
      <c r="E471" t="s">
        <v>120</v>
      </c>
      <c r="F471" t="s">
        <v>121</v>
      </c>
      <c r="G471" t="s">
        <v>126</v>
      </c>
      <c r="H471" t="s">
        <v>130</v>
      </c>
      <c r="I471" t="s">
        <v>134</v>
      </c>
    </row>
    <row r="472" spans="1:9" x14ac:dyDescent="0.2">
      <c r="A472" t="s">
        <v>34</v>
      </c>
      <c r="C472">
        <v>2.13</v>
      </c>
      <c r="D472">
        <v>0.09</v>
      </c>
      <c r="E472" t="s">
        <v>120</v>
      </c>
      <c r="F472" t="s">
        <v>121</v>
      </c>
      <c r="G472" t="s">
        <v>126</v>
      </c>
      <c r="H472" t="s">
        <v>130</v>
      </c>
      <c r="I472" t="s">
        <v>134</v>
      </c>
    </row>
    <row r="473" spans="1:9" x14ac:dyDescent="0.2">
      <c r="A473" t="s">
        <v>35</v>
      </c>
      <c r="C473">
        <v>0.17</v>
      </c>
      <c r="D473">
        <v>8.9999999999999993E-3</v>
      </c>
      <c r="E473" t="s">
        <v>120</v>
      </c>
      <c r="F473" t="s">
        <v>121</v>
      </c>
      <c r="G473" t="s">
        <v>126</v>
      </c>
      <c r="H473" t="s">
        <v>130</v>
      </c>
      <c r="I473" t="s">
        <v>134</v>
      </c>
    </row>
    <row r="474" spans="1:9" x14ac:dyDescent="0.2">
      <c r="A474" t="s">
        <v>36</v>
      </c>
      <c r="C474">
        <v>10.9</v>
      </c>
      <c r="D474">
        <v>0.1</v>
      </c>
      <c r="E474" t="s">
        <v>120</v>
      </c>
      <c r="F474" t="s">
        <v>121</v>
      </c>
      <c r="G474" t="s">
        <v>126</v>
      </c>
      <c r="H474" t="s">
        <v>130</v>
      </c>
      <c r="I474" t="s">
        <v>134</v>
      </c>
    </row>
    <row r="475" spans="1:9" x14ac:dyDescent="0.2">
      <c r="A475" t="s">
        <v>37</v>
      </c>
      <c r="C475">
        <v>4.5</v>
      </c>
      <c r="D475">
        <v>0.4</v>
      </c>
      <c r="E475" t="s">
        <v>120</v>
      </c>
      <c r="F475" t="s">
        <v>122</v>
      </c>
      <c r="G475" t="s">
        <v>126</v>
      </c>
      <c r="H475" t="s">
        <v>130</v>
      </c>
      <c r="I475" t="s">
        <v>134</v>
      </c>
    </row>
    <row r="476" spans="1:9" x14ac:dyDescent="0.2">
      <c r="A476" t="s">
        <v>38</v>
      </c>
      <c r="B476" t="s">
        <v>118</v>
      </c>
      <c r="C476">
        <v>0.62</v>
      </c>
      <c r="D476">
        <v>0.14000000000000001</v>
      </c>
      <c r="E476" t="s">
        <v>120</v>
      </c>
      <c r="F476" t="s">
        <v>122</v>
      </c>
      <c r="G476" t="s">
        <v>126</v>
      </c>
      <c r="H476" t="s">
        <v>129</v>
      </c>
      <c r="I476" t="s">
        <v>134</v>
      </c>
    </row>
    <row r="477" spans="1:9" x14ac:dyDescent="0.2">
      <c r="A477" t="s">
        <v>39</v>
      </c>
      <c r="B477" t="s">
        <v>118</v>
      </c>
      <c r="C477">
        <v>2.5</v>
      </c>
      <c r="D477">
        <v>0.6</v>
      </c>
      <c r="E477" t="s">
        <v>120</v>
      </c>
      <c r="F477" t="s">
        <v>122</v>
      </c>
      <c r="G477" t="s">
        <v>126</v>
      </c>
      <c r="H477" t="s">
        <v>129</v>
      </c>
      <c r="I477" t="s">
        <v>134</v>
      </c>
    </row>
    <row r="478" spans="1:9" x14ac:dyDescent="0.2">
      <c r="A478" t="s">
        <v>40</v>
      </c>
      <c r="B478" t="s">
        <v>118</v>
      </c>
      <c r="C478">
        <v>447000</v>
      </c>
      <c r="F478" t="s">
        <v>122</v>
      </c>
      <c r="G478" t="s">
        <v>126</v>
      </c>
      <c r="H478" t="s">
        <v>129</v>
      </c>
      <c r="I478" t="s">
        <v>134</v>
      </c>
    </row>
    <row r="479" spans="1:9" x14ac:dyDescent="0.2">
      <c r="A479" t="s">
        <v>41</v>
      </c>
      <c r="B479" t="s">
        <v>118</v>
      </c>
      <c r="C479">
        <v>70</v>
      </c>
      <c r="F479" t="s">
        <v>122</v>
      </c>
      <c r="G479" t="s">
        <v>126</v>
      </c>
      <c r="H479" t="s">
        <v>129</v>
      </c>
      <c r="I479" t="s">
        <v>134</v>
      </c>
    </row>
    <row r="480" spans="1:9" x14ac:dyDescent="0.2">
      <c r="A480" t="s">
        <v>42</v>
      </c>
      <c r="B480" t="s">
        <v>118</v>
      </c>
      <c r="C480">
        <v>1.2</v>
      </c>
      <c r="F480" t="s">
        <v>122</v>
      </c>
      <c r="G480" t="s">
        <v>126</v>
      </c>
      <c r="H480" t="s">
        <v>129</v>
      </c>
      <c r="I480" t="s">
        <v>134</v>
      </c>
    </row>
    <row r="481" spans="1:9" x14ac:dyDescent="0.2">
      <c r="A481" t="s">
        <v>43</v>
      </c>
      <c r="B481" t="s">
        <v>118</v>
      </c>
      <c r="C481">
        <v>7.5</v>
      </c>
      <c r="F481" t="s">
        <v>122</v>
      </c>
      <c r="G481" t="s">
        <v>126</v>
      </c>
      <c r="H481" t="s">
        <v>129</v>
      </c>
      <c r="I481" t="s">
        <v>134</v>
      </c>
    </row>
    <row r="482" spans="1:9" x14ac:dyDescent="0.2">
      <c r="A482" t="s">
        <v>44</v>
      </c>
      <c r="C482">
        <v>31.6</v>
      </c>
      <c r="D482">
        <v>1.6</v>
      </c>
      <c r="E482" t="s">
        <v>120</v>
      </c>
      <c r="F482" t="s">
        <v>122</v>
      </c>
      <c r="G482" t="s">
        <v>126</v>
      </c>
      <c r="H482" t="s">
        <v>130</v>
      </c>
      <c r="I482" t="s">
        <v>134</v>
      </c>
    </row>
    <row r="483" spans="1:9" x14ac:dyDescent="0.2">
      <c r="A483" t="s">
        <v>45</v>
      </c>
      <c r="C483">
        <v>268</v>
      </c>
      <c r="D483">
        <v>23</v>
      </c>
      <c r="E483" t="s">
        <v>120</v>
      </c>
      <c r="F483" t="s">
        <v>122</v>
      </c>
      <c r="G483" t="s">
        <v>126</v>
      </c>
      <c r="H483" t="s">
        <v>130</v>
      </c>
      <c r="I483" t="s">
        <v>134</v>
      </c>
    </row>
    <row r="484" spans="1:9" x14ac:dyDescent="0.2">
      <c r="A484" t="s">
        <v>46</v>
      </c>
      <c r="C484">
        <v>177</v>
      </c>
      <c r="D484">
        <v>23</v>
      </c>
      <c r="E484" t="s">
        <v>120</v>
      </c>
      <c r="F484" t="s">
        <v>122</v>
      </c>
      <c r="G484" t="s">
        <v>126</v>
      </c>
      <c r="H484" t="s">
        <v>130</v>
      </c>
      <c r="I484" t="s">
        <v>134</v>
      </c>
    </row>
    <row r="485" spans="1:9" x14ac:dyDescent="0.2">
      <c r="A485" t="s">
        <v>47</v>
      </c>
      <c r="C485">
        <v>41.2</v>
      </c>
      <c r="D485">
        <v>3.5</v>
      </c>
      <c r="E485" t="s">
        <v>120</v>
      </c>
      <c r="F485" t="s">
        <v>122</v>
      </c>
      <c r="G485" t="s">
        <v>126</v>
      </c>
      <c r="H485" t="s">
        <v>130</v>
      </c>
      <c r="I485" t="s">
        <v>134</v>
      </c>
    </row>
    <row r="486" spans="1:9" x14ac:dyDescent="0.2">
      <c r="A486" t="s">
        <v>48</v>
      </c>
      <c r="C486">
        <v>107</v>
      </c>
      <c r="D486">
        <v>9</v>
      </c>
      <c r="E486" t="s">
        <v>120</v>
      </c>
      <c r="F486" t="s">
        <v>122</v>
      </c>
      <c r="G486" t="s">
        <v>126</v>
      </c>
      <c r="H486" t="s">
        <v>130</v>
      </c>
      <c r="I486" t="s">
        <v>134</v>
      </c>
    </row>
    <row r="487" spans="1:9" x14ac:dyDescent="0.2">
      <c r="A487" t="s">
        <v>49</v>
      </c>
      <c r="C487">
        <v>112</v>
      </c>
      <c r="D487">
        <v>10</v>
      </c>
      <c r="E487" t="s">
        <v>120</v>
      </c>
      <c r="F487" t="s">
        <v>122</v>
      </c>
      <c r="G487" t="s">
        <v>126</v>
      </c>
      <c r="H487" t="s">
        <v>130</v>
      </c>
      <c r="I487" t="s">
        <v>134</v>
      </c>
    </row>
    <row r="488" spans="1:9" x14ac:dyDescent="0.2">
      <c r="A488" t="s">
        <v>50</v>
      </c>
      <c r="C488">
        <v>108</v>
      </c>
      <c r="D488">
        <v>14</v>
      </c>
      <c r="E488" t="s">
        <v>120</v>
      </c>
      <c r="F488" t="s">
        <v>122</v>
      </c>
      <c r="G488" t="s">
        <v>126</v>
      </c>
      <c r="H488" t="s">
        <v>130</v>
      </c>
      <c r="I488" t="s">
        <v>134</v>
      </c>
    </row>
    <row r="489" spans="1:9" x14ac:dyDescent="0.2">
      <c r="A489" t="s">
        <v>51</v>
      </c>
      <c r="C489">
        <v>19.600000000000001</v>
      </c>
      <c r="D489">
        <v>2.1</v>
      </c>
      <c r="E489" t="s">
        <v>120</v>
      </c>
      <c r="F489" t="s">
        <v>122</v>
      </c>
      <c r="G489" t="s">
        <v>126</v>
      </c>
      <c r="H489" t="s">
        <v>130</v>
      </c>
      <c r="I489" t="s">
        <v>134</v>
      </c>
    </row>
    <row r="490" spans="1:9" x14ac:dyDescent="0.2">
      <c r="A490" t="s">
        <v>52</v>
      </c>
      <c r="B490" t="s">
        <v>118</v>
      </c>
      <c r="C490">
        <v>1.1000000000000001</v>
      </c>
      <c r="D490">
        <v>1.1000000000000001</v>
      </c>
      <c r="E490" t="s">
        <v>120</v>
      </c>
      <c r="F490" t="s">
        <v>122</v>
      </c>
      <c r="G490" t="s">
        <v>126</v>
      </c>
      <c r="H490" t="s">
        <v>129</v>
      </c>
      <c r="I490" t="s">
        <v>134</v>
      </c>
    </row>
    <row r="491" spans="1:9" x14ac:dyDescent="0.2">
      <c r="A491" t="s">
        <v>53</v>
      </c>
      <c r="B491" t="s">
        <v>118</v>
      </c>
      <c r="C491">
        <v>0.28000000000000003</v>
      </c>
      <c r="F491" t="s">
        <v>122</v>
      </c>
      <c r="G491" t="s">
        <v>126</v>
      </c>
      <c r="H491" t="s">
        <v>129</v>
      </c>
      <c r="I491" t="s">
        <v>134</v>
      </c>
    </row>
    <row r="492" spans="1:9" x14ac:dyDescent="0.2">
      <c r="A492" t="s">
        <v>54</v>
      </c>
      <c r="B492" t="s">
        <v>118</v>
      </c>
      <c r="C492">
        <v>0.06</v>
      </c>
      <c r="F492" t="s">
        <v>122</v>
      </c>
      <c r="G492" t="s">
        <v>126</v>
      </c>
      <c r="H492" t="s">
        <v>129</v>
      </c>
      <c r="I492" t="s">
        <v>134</v>
      </c>
    </row>
    <row r="493" spans="1:9" x14ac:dyDescent="0.2">
      <c r="A493" t="s">
        <v>55</v>
      </c>
      <c r="B493" t="s">
        <v>119</v>
      </c>
      <c r="C493">
        <v>0.2</v>
      </c>
      <c r="F493" t="s">
        <v>122</v>
      </c>
      <c r="G493" t="s">
        <v>126</v>
      </c>
      <c r="H493" t="s">
        <v>129</v>
      </c>
      <c r="I493" t="s">
        <v>134</v>
      </c>
    </row>
    <row r="494" spans="1:9" x14ac:dyDescent="0.2">
      <c r="A494" t="s">
        <v>56</v>
      </c>
      <c r="C494">
        <v>5.8</v>
      </c>
      <c r="D494">
        <v>0.21</v>
      </c>
      <c r="E494" t="s">
        <v>120</v>
      </c>
      <c r="F494" t="s">
        <v>122</v>
      </c>
      <c r="G494" t="s">
        <v>126</v>
      </c>
      <c r="H494" t="s">
        <v>130</v>
      </c>
      <c r="I494" t="s">
        <v>134</v>
      </c>
    </row>
    <row r="495" spans="1:9" x14ac:dyDescent="0.2">
      <c r="A495" t="s">
        <v>57</v>
      </c>
      <c r="C495">
        <v>312</v>
      </c>
      <c r="D495">
        <v>4</v>
      </c>
      <c r="E495" t="s">
        <v>120</v>
      </c>
      <c r="F495" t="s">
        <v>122</v>
      </c>
      <c r="G495" t="s">
        <v>126</v>
      </c>
      <c r="H495" t="s">
        <v>130</v>
      </c>
      <c r="I495" t="s">
        <v>134</v>
      </c>
    </row>
    <row r="496" spans="1:9" x14ac:dyDescent="0.2">
      <c r="A496" t="s">
        <v>58</v>
      </c>
      <c r="C496">
        <v>23.9</v>
      </c>
      <c r="D496">
        <v>0.7</v>
      </c>
      <c r="E496" t="s">
        <v>120</v>
      </c>
      <c r="F496" t="s">
        <v>122</v>
      </c>
      <c r="G496" t="s">
        <v>126</v>
      </c>
      <c r="H496" t="s">
        <v>130</v>
      </c>
      <c r="I496" t="s">
        <v>134</v>
      </c>
    </row>
    <row r="497" spans="1:9" x14ac:dyDescent="0.2">
      <c r="A497" t="s">
        <v>59</v>
      </c>
      <c r="C497">
        <v>122</v>
      </c>
      <c r="D497">
        <v>3</v>
      </c>
      <c r="E497" t="s">
        <v>120</v>
      </c>
      <c r="F497" t="s">
        <v>122</v>
      </c>
      <c r="G497" t="s">
        <v>126</v>
      </c>
      <c r="H497" t="s">
        <v>130</v>
      </c>
      <c r="I497" t="s">
        <v>134</v>
      </c>
    </row>
    <row r="498" spans="1:9" x14ac:dyDescent="0.2">
      <c r="A498" t="s">
        <v>60</v>
      </c>
      <c r="C498">
        <v>8.61</v>
      </c>
      <c r="D498">
        <v>0.22</v>
      </c>
      <c r="E498" t="s">
        <v>120</v>
      </c>
      <c r="F498" t="s">
        <v>122</v>
      </c>
      <c r="G498" t="s">
        <v>126</v>
      </c>
      <c r="H498" t="s">
        <v>130</v>
      </c>
      <c r="I498" t="s">
        <v>134</v>
      </c>
    </row>
    <row r="499" spans="1:9" x14ac:dyDescent="0.2">
      <c r="A499" t="s">
        <v>61</v>
      </c>
      <c r="C499">
        <v>16.7</v>
      </c>
      <c r="D499">
        <v>2.2999999999999998</v>
      </c>
      <c r="E499" t="s">
        <v>120</v>
      </c>
      <c r="F499" t="s">
        <v>122</v>
      </c>
      <c r="G499" t="s">
        <v>126</v>
      </c>
      <c r="H499" t="s">
        <v>130</v>
      </c>
      <c r="I499" t="s">
        <v>134</v>
      </c>
    </row>
    <row r="500" spans="1:9" x14ac:dyDescent="0.2">
      <c r="A500" t="s">
        <v>63</v>
      </c>
      <c r="B500" t="s">
        <v>118</v>
      </c>
      <c r="C500">
        <v>0.03</v>
      </c>
      <c r="F500" t="s">
        <v>122</v>
      </c>
      <c r="G500" t="s">
        <v>126</v>
      </c>
      <c r="H500" t="s">
        <v>129</v>
      </c>
      <c r="I500" t="s">
        <v>134</v>
      </c>
    </row>
    <row r="501" spans="1:9" x14ac:dyDescent="0.2">
      <c r="A501" t="s">
        <v>64</v>
      </c>
      <c r="B501" t="s">
        <v>118</v>
      </c>
      <c r="C501">
        <v>0.1</v>
      </c>
      <c r="F501" t="s">
        <v>122</v>
      </c>
      <c r="G501" t="s">
        <v>126</v>
      </c>
      <c r="H501" t="s">
        <v>129</v>
      </c>
      <c r="I501" t="s">
        <v>134</v>
      </c>
    </row>
    <row r="502" spans="1:9" x14ac:dyDescent="0.2">
      <c r="A502" t="s">
        <v>65</v>
      </c>
      <c r="B502" t="s">
        <v>118</v>
      </c>
      <c r="C502">
        <v>0.2</v>
      </c>
      <c r="F502" t="s">
        <v>122</v>
      </c>
      <c r="G502" t="s">
        <v>126</v>
      </c>
      <c r="H502" t="s">
        <v>129</v>
      </c>
      <c r="I502" t="s">
        <v>134</v>
      </c>
    </row>
    <row r="503" spans="1:9" x14ac:dyDescent="0.2">
      <c r="A503" t="s">
        <v>66</v>
      </c>
      <c r="C503">
        <v>1.1399999999999999</v>
      </c>
      <c r="D503">
        <v>0.33</v>
      </c>
      <c r="E503" t="s">
        <v>120</v>
      </c>
      <c r="F503" t="s">
        <v>122</v>
      </c>
      <c r="G503" t="s">
        <v>126</v>
      </c>
      <c r="H503" t="s">
        <v>130</v>
      </c>
      <c r="I503" t="s">
        <v>134</v>
      </c>
    </row>
    <row r="504" spans="1:9" x14ac:dyDescent="0.2">
      <c r="A504" t="s">
        <v>67</v>
      </c>
      <c r="B504" t="s">
        <v>118</v>
      </c>
      <c r="C504">
        <v>0.11</v>
      </c>
      <c r="D504">
        <v>0.05</v>
      </c>
      <c r="E504" t="s">
        <v>120</v>
      </c>
      <c r="F504" t="s">
        <v>122</v>
      </c>
      <c r="G504" t="s">
        <v>126</v>
      </c>
      <c r="H504" t="s">
        <v>129</v>
      </c>
      <c r="I504" t="s">
        <v>134</v>
      </c>
    </row>
    <row r="505" spans="1:9" x14ac:dyDescent="0.2">
      <c r="A505" t="s">
        <v>68</v>
      </c>
      <c r="C505">
        <v>0.14000000000000001</v>
      </c>
      <c r="D505">
        <v>1.2E-2</v>
      </c>
      <c r="E505" t="s">
        <v>120</v>
      </c>
      <c r="F505" t="s">
        <v>122</v>
      </c>
      <c r="G505" t="s">
        <v>126</v>
      </c>
      <c r="H505" t="s">
        <v>130</v>
      </c>
      <c r="I505" t="s">
        <v>134</v>
      </c>
    </row>
    <row r="506" spans="1:9" x14ac:dyDescent="0.2">
      <c r="A506" t="s">
        <v>69</v>
      </c>
      <c r="C506">
        <v>80.099999999999994</v>
      </c>
      <c r="D506">
        <v>2.2000000000000002</v>
      </c>
      <c r="E506" t="s">
        <v>120</v>
      </c>
      <c r="F506" t="s">
        <v>122</v>
      </c>
      <c r="G506" t="s">
        <v>126</v>
      </c>
      <c r="H506" t="s">
        <v>130</v>
      </c>
      <c r="I506" t="s">
        <v>134</v>
      </c>
    </row>
    <row r="507" spans="1:9" x14ac:dyDescent="0.2">
      <c r="A507" t="s">
        <v>70</v>
      </c>
      <c r="C507">
        <v>8.99</v>
      </c>
      <c r="D507">
        <v>0.13</v>
      </c>
      <c r="E507" t="s">
        <v>120</v>
      </c>
      <c r="F507" t="s">
        <v>122</v>
      </c>
      <c r="G507" t="s">
        <v>126</v>
      </c>
      <c r="H507" t="s">
        <v>130</v>
      </c>
      <c r="I507" t="s">
        <v>134</v>
      </c>
    </row>
    <row r="508" spans="1:9" x14ac:dyDescent="0.2">
      <c r="A508" t="s">
        <v>71</v>
      </c>
      <c r="C508">
        <v>23.1</v>
      </c>
      <c r="D508">
        <v>0.3</v>
      </c>
      <c r="E508" t="s">
        <v>120</v>
      </c>
      <c r="F508" t="s">
        <v>122</v>
      </c>
      <c r="G508" t="s">
        <v>126</v>
      </c>
      <c r="H508" t="s">
        <v>130</v>
      </c>
      <c r="I508" t="s">
        <v>134</v>
      </c>
    </row>
    <row r="509" spans="1:9" x14ac:dyDescent="0.2">
      <c r="A509" t="s">
        <v>72</v>
      </c>
      <c r="C509">
        <v>3.43</v>
      </c>
      <c r="D509">
        <v>0.06</v>
      </c>
      <c r="E509" t="s">
        <v>120</v>
      </c>
      <c r="F509" t="s">
        <v>122</v>
      </c>
      <c r="G509" t="s">
        <v>126</v>
      </c>
      <c r="H509" t="s">
        <v>130</v>
      </c>
      <c r="I509" t="s">
        <v>134</v>
      </c>
    </row>
    <row r="510" spans="1:9" x14ac:dyDescent="0.2">
      <c r="A510" t="s">
        <v>73</v>
      </c>
      <c r="C510">
        <v>16.7</v>
      </c>
      <c r="D510">
        <v>0.2</v>
      </c>
      <c r="E510" t="s">
        <v>120</v>
      </c>
      <c r="F510" t="s">
        <v>122</v>
      </c>
      <c r="G510" t="s">
        <v>126</v>
      </c>
      <c r="H510" t="s">
        <v>130</v>
      </c>
      <c r="I510" t="s">
        <v>134</v>
      </c>
    </row>
    <row r="511" spans="1:9" x14ac:dyDescent="0.2">
      <c r="A511" t="s">
        <v>74</v>
      </c>
      <c r="C511">
        <v>4.75</v>
      </c>
      <c r="D511">
        <v>7.0000000000000007E-2</v>
      </c>
      <c r="E511" t="s">
        <v>120</v>
      </c>
      <c r="F511" t="s">
        <v>122</v>
      </c>
      <c r="G511" t="s">
        <v>126</v>
      </c>
      <c r="H511" t="s">
        <v>130</v>
      </c>
      <c r="I511" t="s">
        <v>134</v>
      </c>
    </row>
    <row r="512" spans="1:9" x14ac:dyDescent="0.2">
      <c r="A512" t="s">
        <v>75</v>
      </c>
      <c r="C512">
        <v>1.67</v>
      </c>
      <c r="D512">
        <v>0.02</v>
      </c>
      <c r="E512" t="s">
        <v>120</v>
      </c>
      <c r="F512" t="s">
        <v>122</v>
      </c>
      <c r="G512" t="s">
        <v>126</v>
      </c>
      <c r="H512" t="s">
        <v>130</v>
      </c>
      <c r="I512" t="s">
        <v>134</v>
      </c>
    </row>
    <row r="513" spans="1:9" x14ac:dyDescent="0.2">
      <c r="A513" t="s">
        <v>76</v>
      </c>
      <c r="C513">
        <v>5.26</v>
      </c>
      <c r="D513">
        <v>0.23</v>
      </c>
      <c r="E513" t="s">
        <v>120</v>
      </c>
      <c r="F513" t="s">
        <v>122</v>
      </c>
      <c r="G513" t="s">
        <v>126</v>
      </c>
      <c r="H513" t="s">
        <v>130</v>
      </c>
      <c r="I513" t="s">
        <v>134</v>
      </c>
    </row>
    <row r="514" spans="1:9" x14ac:dyDescent="0.2">
      <c r="A514" t="s">
        <v>77</v>
      </c>
      <c r="C514">
        <v>0.79700000000000004</v>
      </c>
      <c r="D514">
        <v>2.1000000000000001E-2</v>
      </c>
      <c r="E514" t="s">
        <v>120</v>
      </c>
      <c r="F514" t="s">
        <v>122</v>
      </c>
      <c r="G514" t="s">
        <v>126</v>
      </c>
      <c r="H514" t="s">
        <v>130</v>
      </c>
      <c r="I514" t="s">
        <v>134</v>
      </c>
    </row>
    <row r="515" spans="1:9" x14ac:dyDescent="0.2">
      <c r="A515" t="s">
        <v>78</v>
      </c>
      <c r="C515">
        <v>4.84</v>
      </c>
      <c r="D515">
        <v>7.0000000000000007E-2</v>
      </c>
      <c r="E515" t="s">
        <v>120</v>
      </c>
      <c r="F515" t="s">
        <v>122</v>
      </c>
      <c r="G515" t="s">
        <v>126</v>
      </c>
      <c r="H515" t="s">
        <v>130</v>
      </c>
      <c r="I515" t="s">
        <v>134</v>
      </c>
    </row>
    <row r="516" spans="1:9" x14ac:dyDescent="0.2">
      <c r="A516" t="s">
        <v>79</v>
      </c>
      <c r="C516">
        <v>0.90600000000000003</v>
      </c>
      <c r="D516">
        <v>1.7999999999999999E-2</v>
      </c>
      <c r="E516" t="s">
        <v>120</v>
      </c>
      <c r="F516" t="s">
        <v>122</v>
      </c>
      <c r="G516" t="s">
        <v>126</v>
      </c>
      <c r="H516" t="s">
        <v>130</v>
      </c>
      <c r="I516" t="s">
        <v>134</v>
      </c>
    </row>
    <row r="517" spans="1:9" x14ac:dyDescent="0.2">
      <c r="A517" t="s">
        <v>80</v>
      </c>
      <c r="C517">
        <v>2.44</v>
      </c>
      <c r="D517">
        <v>0.05</v>
      </c>
      <c r="E517" t="s">
        <v>120</v>
      </c>
      <c r="F517" t="s">
        <v>122</v>
      </c>
      <c r="G517" t="s">
        <v>126</v>
      </c>
      <c r="H517" t="s">
        <v>130</v>
      </c>
      <c r="I517" t="s">
        <v>134</v>
      </c>
    </row>
    <row r="518" spans="1:9" x14ac:dyDescent="0.2">
      <c r="A518" t="s">
        <v>81</v>
      </c>
      <c r="C518">
        <v>0.32400000000000001</v>
      </c>
      <c r="D518">
        <v>7.0000000000000001E-3</v>
      </c>
      <c r="E518" t="s">
        <v>120</v>
      </c>
      <c r="F518" t="s">
        <v>122</v>
      </c>
      <c r="G518" t="s">
        <v>126</v>
      </c>
      <c r="H518" t="s">
        <v>130</v>
      </c>
      <c r="I518" t="s">
        <v>134</v>
      </c>
    </row>
    <row r="519" spans="1:9" x14ac:dyDescent="0.2">
      <c r="A519" t="s">
        <v>82</v>
      </c>
      <c r="C519">
        <v>2.06</v>
      </c>
      <c r="D519">
        <v>0.04</v>
      </c>
      <c r="E519" t="s">
        <v>120</v>
      </c>
      <c r="F519" t="s">
        <v>122</v>
      </c>
      <c r="G519" t="s">
        <v>126</v>
      </c>
      <c r="H519" t="s">
        <v>130</v>
      </c>
      <c r="I519" t="s">
        <v>134</v>
      </c>
    </row>
    <row r="520" spans="1:9" x14ac:dyDescent="0.2">
      <c r="A520" t="s">
        <v>83</v>
      </c>
      <c r="C520">
        <v>0.28599999999999998</v>
      </c>
      <c r="D520">
        <v>6.0000000000000001E-3</v>
      </c>
      <c r="E520" t="s">
        <v>120</v>
      </c>
      <c r="F520" t="s">
        <v>122</v>
      </c>
      <c r="G520" t="s">
        <v>126</v>
      </c>
      <c r="H520" t="s">
        <v>130</v>
      </c>
      <c r="I520" t="s">
        <v>134</v>
      </c>
    </row>
    <row r="521" spans="1:9" x14ac:dyDescent="0.2">
      <c r="A521" t="s">
        <v>84</v>
      </c>
      <c r="C521">
        <v>3.22</v>
      </c>
      <c r="D521">
        <v>0.08</v>
      </c>
      <c r="E521" t="s">
        <v>120</v>
      </c>
      <c r="F521" t="s">
        <v>122</v>
      </c>
      <c r="G521" t="s">
        <v>126</v>
      </c>
      <c r="H521" t="s">
        <v>130</v>
      </c>
      <c r="I521" t="s">
        <v>134</v>
      </c>
    </row>
    <row r="522" spans="1:9" x14ac:dyDescent="0.2">
      <c r="A522" t="s">
        <v>85</v>
      </c>
      <c r="C522">
        <v>0.55500000000000005</v>
      </c>
      <c r="D522">
        <v>1.2999999999999999E-2</v>
      </c>
      <c r="E522" t="s">
        <v>120</v>
      </c>
      <c r="F522" t="s">
        <v>122</v>
      </c>
      <c r="G522" t="s">
        <v>126</v>
      </c>
      <c r="H522" t="s">
        <v>130</v>
      </c>
      <c r="I522" t="s">
        <v>134</v>
      </c>
    </row>
    <row r="523" spans="1:9" x14ac:dyDescent="0.2">
      <c r="A523" t="s">
        <v>86</v>
      </c>
      <c r="B523" t="s">
        <v>118</v>
      </c>
      <c r="C523">
        <v>0.35</v>
      </c>
      <c r="D523">
        <v>0.09</v>
      </c>
      <c r="E523" t="s">
        <v>120</v>
      </c>
      <c r="F523" t="s">
        <v>122</v>
      </c>
      <c r="G523" t="s">
        <v>126</v>
      </c>
      <c r="H523" t="s">
        <v>129</v>
      </c>
      <c r="I523" t="s">
        <v>134</v>
      </c>
    </row>
    <row r="524" spans="1:9" x14ac:dyDescent="0.2">
      <c r="A524" t="s">
        <v>87</v>
      </c>
      <c r="B524" t="s">
        <v>118</v>
      </c>
      <c r="C524">
        <v>6.9999999999999999E-4</v>
      </c>
      <c r="F524" t="s">
        <v>122</v>
      </c>
      <c r="G524" t="s">
        <v>126</v>
      </c>
      <c r="H524" t="s">
        <v>129</v>
      </c>
      <c r="I524" t="s">
        <v>134</v>
      </c>
    </row>
    <row r="525" spans="1:9" x14ac:dyDescent="0.2">
      <c r="A525" t="s">
        <v>89</v>
      </c>
      <c r="B525" t="s">
        <v>118</v>
      </c>
      <c r="C525">
        <v>0.03</v>
      </c>
      <c r="F525" t="s">
        <v>122</v>
      </c>
      <c r="G525" t="s">
        <v>126</v>
      </c>
      <c r="H525" t="s">
        <v>129</v>
      </c>
      <c r="I525" t="s">
        <v>134</v>
      </c>
    </row>
    <row r="526" spans="1:9" x14ac:dyDescent="0.2">
      <c r="A526" t="s">
        <v>90</v>
      </c>
      <c r="C526">
        <v>8.8000000000000007</v>
      </c>
      <c r="D526">
        <v>8.8000000000000007</v>
      </c>
      <c r="E526" t="s">
        <v>120</v>
      </c>
      <c r="F526" t="s">
        <v>122</v>
      </c>
      <c r="G526" t="s">
        <v>126</v>
      </c>
      <c r="H526" t="s">
        <v>130</v>
      </c>
      <c r="I526" t="s">
        <v>134</v>
      </c>
    </row>
    <row r="527" spans="1:9" x14ac:dyDescent="0.2">
      <c r="A527" t="s">
        <v>91</v>
      </c>
      <c r="B527" t="s">
        <v>118</v>
      </c>
      <c r="C527">
        <v>6.5000000000000002E-2</v>
      </c>
      <c r="D527">
        <v>8.2000000000000003E-2</v>
      </c>
      <c r="E527" t="s">
        <v>120</v>
      </c>
      <c r="F527" t="s">
        <v>122</v>
      </c>
      <c r="G527" t="s">
        <v>126</v>
      </c>
      <c r="H527" t="s">
        <v>129</v>
      </c>
      <c r="I527" t="s">
        <v>134</v>
      </c>
    </row>
    <row r="528" spans="1:9" x14ac:dyDescent="0.2">
      <c r="A528" t="s">
        <v>92</v>
      </c>
      <c r="B528" t="s">
        <v>119</v>
      </c>
      <c r="C528">
        <v>0.3</v>
      </c>
      <c r="F528" t="s">
        <v>122</v>
      </c>
      <c r="G528" t="s">
        <v>126</v>
      </c>
      <c r="H528" t="s">
        <v>129</v>
      </c>
      <c r="I528" t="s">
        <v>134</v>
      </c>
    </row>
    <row r="529" spans="1:9" x14ac:dyDescent="0.2">
      <c r="A529" t="s">
        <v>93</v>
      </c>
      <c r="B529" t="s">
        <v>118</v>
      </c>
      <c r="C529">
        <v>8.0000000000000002E-3</v>
      </c>
      <c r="F529" t="s">
        <v>122</v>
      </c>
      <c r="G529" t="s">
        <v>126</v>
      </c>
      <c r="H529" t="s">
        <v>129</v>
      </c>
      <c r="I529" t="s">
        <v>134</v>
      </c>
    </row>
    <row r="530" spans="1:9" x14ac:dyDescent="0.2">
      <c r="A530" t="s">
        <v>94</v>
      </c>
      <c r="C530">
        <v>1.38</v>
      </c>
      <c r="D530">
        <v>7.0000000000000007E-2</v>
      </c>
      <c r="E530" t="s">
        <v>120</v>
      </c>
      <c r="F530" t="s">
        <v>122</v>
      </c>
      <c r="G530" t="s">
        <v>126</v>
      </c>
      <c r="H530" t="s">
        <v>130</v>
      </c>
      <c r="I530" t="s">
        <v>134</v>
      </c>
    </row>
    <row r="531" spans="1:9" x14ac:dyDescent="0.2">
      <c r="A531" t="s">
        <v>95</v>
      </c>
      <c r="B531" t="s">
        <v>118</v>
      </c>
      <c r="C531">
        <v>6.0000000000000001E-3</v>
      </c>
      <c r="D531">
        <v>8.9999999999999993E-3</v>
      </c>
      <c r="E531" t="s">
        <v>120</v>
      </c>
      <c r="F531" t="s">
        <v>122</v>
      </c>
      <c r="G531" t="s">
        <v>126</v>
      </c>
      <c r="H531" t="s">
        <v>129</v>
      </c>
      <c r="I531" t="s">
        <v>134</v>
      </c>
    </row>
    <row r="532" spans="1:9" x14ac:dyDescent="0.2">
      <c r="A532" t="s">
        <v>96</v>
      </c>
      <c r="C532">
        <v>0.54800000000000004</v>
      </c>
      <c r="D532">
        <v>1.0999999999999999E-2</v>
      </c>
      <c r="E532" t="s">
        <v>120</v>
      </c>
      <c r="F532" t="s">
        <v>122</v>
      </c>
      <c r="G532" t="s">
        <v>126</v>
      </c>
      <c r="H532" t="s">
        <v>130</v>
      </c>
      <c r="I532" t="s">
        <v>134</v>
      </c>
    </row>
    <row r="533" spans="1:9" x14ac:dyDescent="0.2">
      <c r="A533" t="s">
        <v>97</v>
      </c>
      <c r="C533">
        <v>0.442</v>
      </c>
      <c r="D533">
        <v>1.7999999999999999E-2</v>
      </c>
      <c r="E533" t="s">
        <v>120</v>
      </c>
      <c r="F533" t="s">
        <v>122</v>
      </c>
      <c r="G533" t="s">
        <v>126</v>
      </c>
      <c r="H533" t="s">
        <v>130</v>
      </c>
      <c r="I533" t="s">
        <v>134</v>
      </c>
    </row>
    <row r="534" spans="1:9" x14ac:dyDescent="0.2">
      <c r="A534" t="s">
        <v>154</v>
      </c>
      <c r="C534">
        <v>4.3499999999999996</v>
      </c>
      <c r="F534" t="s">
        <v>155</v>
      </c>
      <c r="G534" t="s">
        <v>128</v>
      </c>
      <c r="H534" t="s">
        <v>129</v>
      </c>
      <c r="I534" t="s">
        <v>135</v>
      </c>
    </row>
    <row r="535" spans="1:9" x14ac:dyDescent="0.2">
      <c r="A535" t="s">
        <v>98</v>
      </c>
      <c r="C535">
        <v>4.28</v>
      </c>
      <c r="F535" t="s">
        <v>123</v>
      </c>
      <c r="G535" t="s">
        <v>128</v>
      </c>
      <c r="H535" t="s">
        <v>129</v>
      </c>
      <c r="I535" t="s">
        <v>135</v>
      </c>
    </row>
    <row r="536" spans="1:9" x14ac:dyDescent="0.2">
      <c r="A536" t="s">
        <v>99</v>
      </c>
      <c r="C536">
        <v>8.35</v>
      </c>
      <c r="F536" t="s">
        <v>123</v>
      </c>
      <c r="G536" t="s">
        <v>128</v>
      </c>
      <c r="H536" t="s">
        <v>129</v>
      </c>
      <c r="I536" t="s">
        <v>135</v>
      </c>
    </row>
    <row r="537" spans="1:9" x14ac:dyDescent="0.2">
      <c r="A537" t="s">
        <v>100</v>
      </c>
      <c r="C537">
        <v>-0.16</v>
      </c>
      <c r="F537" t="s">
        <v>124</v>
      </c>
      <c r="G537" t="s">
        <v>128</v>
      </c>
      <c r="H537" t="s">
        <v>129</v>
      </c>
      <c r="I537" t="s">
        <v>135</v>
      </c>
    </row>
    <row r="538" spans="1:9" x14ac:dyDescent="0.2">
      <c r="A538" t="s">
        <v>101</v>
      </c>
      <c r="C538">
        <v>-0.35</v>
      </c>
      <c r="F538" t="s">
        <v>124</v>
      </c>
      <c r="G538" t="s">
        <v>128</v>
      </c>
      <c r="H538" t="s">
        <v>129</v>
      </c>
      <c r="I538" t="s">
        <v>135</v>
      </c>
    </row>
    <row r="539" spans="1:9" x14ac:dyDescent="0.2">
      <c r="A539" t="s">
        <v>102</v>
      </c>
      <c r="C539">
        <v>0.7</v>
      </c>
      <c r="D539">
        <v>0.05</v>
      </c>
      <c r="E539" t="s">
        <v>120</v>
      </c>
      <c r="F539" t="s">
        <v>125</v>
      </c>
      <c r="G539" t="s">
        <v>128</v>
      </c>
      <c r="H539" t="s">
        <v>129</v>
      </c>
      <c r="I539" t="s">
        <v>135</v>
      </c>
    </row>
    <row r="540" spans="1:9" x14ac:dyDescent="0.2">
      <c r="A540" t="s">
        <v>103</v>
      </c>
      <c r="C540">
        <v>0.70384899999999995</v>
      </c>
      <c r="G540" t="s">
        <v>128</v>
      </c>
      <c r="H540" t="s">
        <v>129</v>
      </c>
      <c r="I540" t="s">
        <v>135</v>
      </c>
    </row>
    <row r="541" spans="1:9" x14ac:dyDescent="0.2">
      <c r="A541" t="s">
        <v>104</v>
      </c>
      <c r="C541">
        <v>0.51288199999999995</v>
      </c>
      <c r="G541" t="s">
        <v>128</v>
      </c>
      <c r="H541" t="s">
        <v>129</v>
      </c>
      <c r="I541" t="s">
        <v>135</v>
      </c>
    </row>
    <row r="542" spans="1:9" x14ac:dyDescent="0.2">
      <c r="A542" t="s">
        <v>105</v>
      </c>
      <c r="C542">
        <v>0.28306700000000001</v>
      </c>
      <c r="G542" t="s">
        <v>128</v>
      </c>
      <c r="H542" t="s">
        <v>129</v>
      </c>
      <c r="I542" t="s">
        <v>135</v>
      </c>
    </row>
    <row r="543" spans="1:9" x14ac:dyDescent="0.2">
      <c r="A543" t="s">
        <v>106</v>
      </c>
      <c r="C543">
        <v>18.72</v>
      </c>
      <c r="D543">
        <v>0.04</v>
      </c>
      <c r="E543" t="s">
        <v>120</v>
      </c>
      <c r="G543" t="s">
        <v>128</v>
      </c>
      <c r="H543" t="s">
        <v>133</v>
      </c>
      <c r="I543" t="s">
        <v>135</v>
      </c>
    </row>
    <row r="544" spans="1:9" x14ac:dyDescent="0.2">
      <c r="A544" t="s">
        <v>107</v>
      </c>
      <c r="C544">
        <v>15.58</v>
      </c>
      <c r="D544">
        <v>0.1</v>
      </c>
      <c r="E544" t="s">
        <v>120</v>
      </c>
      <c r="G544" t="s">
        <v>128</v>
      </c>
      <c r="H544" t="s">
        <v>133</v>
      </c>
      <c r="I544" t="s">
        <v>135</v>
      </c>
    </row>
    <row r="545" spans="1:9" x14ac:dyDescent="0.2">
      <c r="A545" t="s">
        <v>108</v>
      </c>
      <c r="C545">
        <v>0.83289999999999997</v>
      </c>
      <c r="D545">
        <v>2E-3</v>
      </c>
      <c r="E545" t="s">
        <v>120</v>
      </c>
      <c r="G545" t="s">
        <v>128</v>
      </c>
      <c r="H545" t="s">
        <v>133</v>
      </c>
      <c r="I545" t="s">
        <v>135</v>
      </c>
    </row>
    <row r="546" spans="1:9" x14ac:dyDescent="0.2">
      <c r="A546" t="s">
        <v>109</v>
      </c>
      <c r="C546">
        <v>38.42</v>
      </c>
      <c r="D546">
        <v>0.15</v>
      </c>
      <c r="E546" t="s">
        <v>120</v>
      </c>
      <c r="G546" t="s">
        <v>128</v>
      </c>
      <c r="H546" t="s">
        <v>133</v>
      </c>
      <c r="I546" t="s">
        <v>135</v>
      </c>
    </row>
    <row r="547" spans="1:9" x14ac:dyDescent="0.2">
      <c r="A547" t="s">
        <v>110</v>
      </c>
      <c r="C547">
        <v>2.0539999999999998</v>
      </c>
      <c r="D547">
        <v>2E-3</v>
      </c>
      <c r="E547" t="s">
        <v>120</v>
      </c>
      <c r="G547" t="s">
        <v>128</v>
      </c>
      <c r="H547" t="s">
        <v>133</v>
      </c>
      <c r="I547" t="s">
        <v>135</v>
      </c>
    </row>
    <row r="549" spans="1:9" x14ac:dyDescent="0.2">
      <c r="A549" t="s">
        <v>162</v>
      </c>
    </row>
    <row r="550" spans="1:9" x14ac:dyDescent="0.2">
      <c r="A550" t="s">
        <v>142</v>
      </c>
    </row>
    <row r="551" spans="1:9" x14ac:dyDescent="0.2">
      <c r="A551" t="s">
        <v>143</v>
      </c>
    </row>
    <row r="552" spans="1:9" x14ac:dyDescent="0.2">
      <c r="A552" t="s">
        <v>144</v>
      </c>
      <c r="B552" t="s">
        <v>145</v>
      </c>
      <c r="C552" t="s">
        <v>146</v>
      </c>
      <c r="D552" t="s">
        <v>147</v>
      </c>
      <c r="E552" t="s">
        <v>148</v>
      </c>
      <c r="F552" t="s">
        <v>149</v>
      </c>
      <c r="G552" t="s">
        <v>150</v>
      </c>
      <c r="H552" t="s">
        <v>151</v>
      </c>
    </row>
    <row r="553" spans="1:9" x14ac:dyDescent="0.2">
      <c r="A553" t="s">
        <v>25</v>
      </c>
      <c r="B553" t="s">
        <v>118</v>
      </c>
      <c r="C553">
        <v>2.5000000000000001E-2</v>
      </c>
      <c r="F553" t="s">
        <v>121</v>
      </c>
      <c r="G553" t="s">
        <v>126</v>
      </c>
      <c r="H553" t="s">
        <v>129</v>
      </c>
      <c r="I553" t="s">
        <v>134</v>
      </c>
    </row>
    <row r="554" spans="1:9" x14ac:dyDescent="0.2">
      <c r="A554" t="s">
        <v>26</v>
      </c>
      <c r="B554" t="s">
        <v>118</v>
      </c>
      <c r="C554">
        <v>4.4000000000000002E-4</v>
      </c>
      <c r="F554" t="s">
        <v>121</v>
      </c>
      <c r="G554" t="s">
        <v>126</v>
      </c>
      <c r="H554" t="s">
        <v>129</v>
      </c>
      <c r="I554" t="s">
        <v>134</v>
      </c>
    </row>
    <row r="555" spans="1:9" x14ac:dyDescent="0.2">
      <c r="A555" t="s">
        <v>27</v>
      </c>
      <c r="C555">
        <v>4.4400000000000004</v>
      </c>
      <c r="D555">
        <v>0.14000000000000001</v>
      </c>
      <c r="E555" t="s">
        <v>120</v>
      </c>
      <c r="F555" t="s">
        <v>121</v>
      </c>
      <c r="G555" t="s">
        <v>126</v>
      </c>
      <c r="H555" t="s">
        <v>130</v>
      </c>
      <c r="I555" t="s">
        <v>134</v>
      </c>
    </row>
    <row r="556" spans="1:9" x14ac:dyDescent="0.2">
      <c r="A556" t="s">
        <v>28</v>
      </c>
      <c r="C556">
        <v>1.97</v>
      </c>
      <c r="D556">
        <v>0.04</v>
      </c>
      <c r="E556" t="s">
        <v>120</v>
      </c>
      <c r="F556" t="s">
        <v>121</v>
      </c>
      <c r="G556" t="s">
        <v>126</v>
      </c>
      <c r="H556" t="s">
        <v>130</v>
      </c>
      <c r="I556" t="s">
        <v>134</v>
      </c>
    </row>
    <row r="557" spans="1:9" x14ac:dyDescent="0.2">
      <c r="A557" t="s">
        <v>29</v>
      </c>
      <c r="C557">
        <v>17.8</v>
      </c>
      <c r="D557">
        <v>0.2</v>
      </c>
      <c r="E557" t="s">
        <v>120</v>
      </c>
      <c r="F557" t="s">
        <v>121</v>
      </c>
      <c r="G557" t="s">
        <v>126</v>
      </c>
      <c r="H557" t="s">
        <v>130</v>
      </c>
      <c r="I557" t="s">
        <v>134</v>
      </c>
    </row>
    <row r="558" spans="1:9" x14ac:dyDescent="0.2">
      <c r="A558" t="s">
        <v>30</v>
      </c>
      <c r="C558">
        <v>63.7</v>
      </c>
      <c r="D558">
        <v>0.5</v>
      </c>
      <c r="E558" t="s">
        <v>120</v>
      </c>
      <c r="F558" t="s">
        <v>121</v>
      </c>
      <c r="G558" t="s">
        <v>126</v>
      </c>
      <c r="H558" t="s">
        <v>130</v>
      </c>
      <c r="I558" t="s">
        <v>134</v>
      </c>
    </row>
    <row r="559" spans="1:9" x14ac:dyDescent="0.2">
      <c r="A559" t="s">
        <v>31</v>
      </c>
      <c r="C559">
        <v>0.16400000000000001</v>
      </c>
      <c r="D559">
        <v>1.7999999999999999E-2</v>
      </c>
      <c r="E559" t="s">
        <v>120</v>
      </c>
      <c r="F559" t="s">
        <v>121</v>
      </c>
      <c r="G559" t="s">
        <v>126</v>
      </c>
      <c r="H559" t="s">
        <v>130</v>
      </c>
      <c r="I559" t="s">
        <v>134</v>
      </c>
    </row>
    <row r="560" spans="1:9" x14ac:dyDescent="0.2">
      <c r="A560" t="s">
        <v>32</v>
      </c>
      <c r="C560">
        <v>1.29</v>
      </c>
      <c r="D560">
        <v>0.02</v>
      </c>
      <c r="E560" t="s">
        <v>120</v>
      </c>
      <c r="F560" t="s">
        <v>121</v>
      </c>
      <c r="G560" t="s">
        <v>126</v>
      </c>
      <c r="H560" t="s">
        <v>130</v>
      </c>
      <c r="I560" t="s">
        <v>134</v>
      </c>
    </row>
    <row r="561" spans="1:9" x14ac:dyDescent="0.2">
      <c r="A561" t="s">
        <v>33</v>
      </c>
      <c r="C561">
        <v>5.28</v>
      </c>
      <c r="D561">
        <v>0.09</v>
      </c>
      <c r="E561" t="s">
        <v>120</v>
      </c>
      <c r="F561" t="s">
        <v>121</v>
      </c>
      <c r="G561" t="s">
        <v>126</v>
      </c>
      <c r="H561" t="s">
        <v>130</v>
      </c>
      <c r="I561" t="s">
        <v>134</v>
      </c>
    </row>
    <row r="562" spans="1:9" x14ac:dyDescent="0.2">
      <c r="A562" t="s">
        <v>34</v>
      </c>
      <c r="C562">
        <v>0.70299999999999996</v>
      </c>
      <c r="D562">
        <v>2.1000000000000001E-2</v>
      </c>
      <c r="E562" t="s">
        <v>120</v>
      </c>
      <c r="F562" t="s">
        <v>121</v>
      </c>
      <c r="G562" t="s">
        <v>126</v>
      </c>
      <c r="H562" t="s">
        <v>130</v>
      </c>
      <c r="I562" t="s">
        <v>134</v>
      </c>
    </row>
    <row r="563" spans="1:9" x14ac:dyDescent="0.2">
      <c r="A563" t="s">
        <v>35</v>
      </c>
      <c r="C563">
        <v>7.5999999999999998E-2</v>
      </c>
      <c r="D563">
        <v>4.0000000000000001E-3</v>
      </c>
      <c r="E563" t="s">
        <v>120</v>
      </c>
      <c r="F563" t="s">
        <v>121</v>
      </c>
      <c r="G563" t="s">
        <v>126</v>
      </c>
      <c r="H563" t="s">
        <v>130</v>
      </c>
      <c r="I563" t="s">
        <v>134</v>
      </c>
    </row>
    <row r="564" spans="1:9" x14ac:dyDescent="0.2">
      <c r="A564" t="s">
        <v>36</v>
      </c>
      <c r="C564">
        <v>4.37</v>
      </c>
      <c r="D564">
        <v>7.0000000000000007E-2</v>
      </c>
      <c r="E564" t="s">
        <v>120</v>
      </c>
      <c r="F564" t="s">
        <v>121</v>
      </c>
      <c r="G564" t="s">
        <v>126</v>
      </c>
      <c r="H564" t="s">
        <v>130</v>
      </c>
      <c r="I564" t="s">
        <v>134</v>
      </c>
    </row>
    <row r="565" spans="1:9" x14ac:dyDescent="0.2">
      <c r="A565" t="s">
        <v>37</v>
      </c>
      <c r="C565">
        <v>20.7</v>
      </c>
      <c r="D565">
        <v>2.2999999999999998</v>
      </c>
      <c r="E565" t="s">
        <v>120</v>
      </c>
      <c r="F565" t="s">
        <v>122</v>
      </c>
      <c r="G565" t="s">
        <v>126</v>
      </c>
      <c r="H565" t="s">
        <v>130</v>
      </c>
      <c r="I565" t="s">
        <v>134</v>
      </c>
    </row>
    <row r="566" spans="1:9" x14ac:dyDescent="0.2">
      <c r="A566" t="s">
        <v>38</v>
      </c>
      <c r="B566" t="s">
        <v>118</v>
      </c>
      <c r="C566">
        <v>1.2</v>
      </c>
      <c r="D566">
        <v>0.1</v>
      </c>
      <c r="E566" t="s">
        <v>120</v>
      </c>
      <c r="F566" t="s">
        <v>122</v>
      </c>
      <c r="G566" t="s">
        <v>126</v>
      </c>
      <c r="H566" t="s">
        <v>129</v>
      </c>
      <c r="I566" t="s">
        <v>134</v>
      </c>
    </row>
    <row r="567" spans="1:9" x14ac:dyDescent="0.2">
      <c r="A567" t="s">
        <v>39</v>
      </c>
      <c r="C567">
        <v>11.8</v>
      </c>
      <c r="D567">
        <v>1.3</v>
      </c>
      <c r="E567" t="s">
        <v>120</v>
      </c>
      <c r="F567" t="s">
        <v>122</v>
      </c>
      <c r="G567" t="s">
        <v>126</v>
      </c>
      <c r="H567" t="s">
        <v>130</v>
      </c>
      <c r="I567" t="s">
        <v>134</v>
      </c>
    </row>
    <row r="568" spans="1:9" x14ac:dyDescent="0.2">
      <c r="A568" t="s">
        <v>40</v>
      </c>
      <c r="B568" t="s">
        <v>118</v>
      </c>
      <c r="C568">
        <v>479000</v>
      </c>
      <c r="F568" t="s">
        <v>122</v>
      </c>
      <c r="G568" t="s">
        <v>126</v>
      </c>
      <c r="H568" t="s">
        <v>129</v>
      </c>
      <c r="I568" t="s">
        <v>134</v>
      </c>
    </row>
    <row r="569" spans="1:9" x14ac:dyDescent="0.2">
      <c r="A569" t="s">
        <v>41</v>
      </c>
      <c r="B569" t="s">
        <v>118</v>
      </c>
      <c r="C569">
        <v>320</v>
      </c>
      <c r="F569" t="s">
        <v>122</v>
      </c>
      <c r="G569" t="s">
        <v>126</v>
      </c>
      <c r="H569" t="s">
        <v>129</v>
      </c>
      <c r="I569" t="s">
        <v>134</v>
      </c>
    </row>
    <row r="570" spans="1:9" x14ac:dyDescent="0.2">
      <c r="A570" t="s">
        <v>42</v>
      </c>
      <c r="B570" t="s">
        <v>118</v>
      </c>
      <c r="C570">
        <v>2.7</v>
      </c>
      <c r="F570" t="s">
        <v>122</v>
      </c>
      <c r="G570" t="s">
        <v>126</v>
      </c>
      <c r="H570" t="s">
        <v>129</v>
      </c>
      <c r="I570" t="s">
        <v>134</v>
      </c>
    </row>
    <row r="571" spans="1:9" x14ac:dyDescent="0.2">
      <c r="A571" t="s">
        <v>43</v>
      </c>
      <c r="C571">
        <v>231</v>
      </c>
      <c r="D571">
        <v>50</v>
      </c>
      <c r="E571" t="s">
        <v>120</v>
      </c>
      <c r="F571" t="s">
        <v>122</v>
      </c>
      <c r="G571" t="s">
        <v>126</v>
      </c>
      <c r="H571" t="s">
        <v>130</v>
      </c>
      <c r="I571" t="s">
        <v>134</v>
      </c>
    </row>
    <row r="572" spans="1:9" x14ac:dyDescent="0.2">
      <c r="A572" t="s">
        <v>44</v>
      </c>
      <c r="C572">
        <v>11.5</v>
      </c>
      <c r="D572">
        <v>0.8</v>
      </c>
      <c r="E572" t="s">
        <v>120</v>
      </c>
      <c r="F572" t="s">
        <v>122</v>
      </c>
      <c r="G572" t="s">
        <v>126</v>
      </c>
      <c r="H572" t="s">
        <v>130</v>
      </c>
      <c r="I572" t="s">
        <v>134</v>
      </c>
    </row>
    <row r="573" spans="1:9" x14ac:dyDescent="0.2">
      <c r="A573" t="s">
        <v>45</v>
      </c>
      <c r="C573">
        <v>90.3</v>
      </c>
      <c r="D573">
        <v>6.7</v>
      </c>
      <c r="E573" t="s">
        <v>120</v>
      </c>
      <c r="F573" t="s">
        <v>122</v>
      </c>
      <c r="G573" t="s">
        <v>126</v>
      </c>
      <c r="H573" t="s">
        <v>130</v>
      </c>
      <c r="I573" t="s">
        <v>134</v>
      </c>
    </row>
    <row r="574" spans="1:9" x14ac:dyDescent="0.2">
      <c r="A574" t="s">
        <v>46</v>
      </c>
      <c r="C574">
        <v>16.899999999999999</v>
      </c>
      <c r="D574">
        <v>3.3</v>
      </c>
      <c r="E574" t="s">
        <v>120</v>
      </c>
      <c r="F574" t="s">
        <v>122</v>
      </c>
      <c r="G574" t="s">
        <v>126</v>
      </c>
      <c r="H574" t="s">
        <v>130</v>
      </c>
      <c r="I574" t="s">
        <v>134</v>
      </c>
    </row>
    <row r="575" spans="1:9" x14ac:dyDescent="0.2">
      <c r="A575" t="s">
        <v>47</v>
      </c>
      <c r="C575">
        <v>13.2</v>
      </c>
      <c r="D575">
        <v>1.1000000000000001</v>
      </c>
      <c r="E575" t="s">
        <v>120</v>
      </c>
      <c r="F575" t="s">
        <v>122</v>
      </c>
      <c r="G575" t="s">
        <v>126</v>
      </c>
      <c r="H575" t="s">
        <v>130</v>
      </c>
      <c r="I575" t="s">
        <v>134</v>
      </c>
    </row>
    <row r="576" spans="1:9" x14ac:dyDescent="0.2">
      <c r="A576" t="s">
        <v>48</v>
      </c>
      <c r="C576">
        <v>23.7</v>
      </c>
      <c r="D576">
        <v>3.8</v>
      </c>
      <c r="E576" t="s">
        <v>120</v>
      </c>
      <c r="F576" t="s">
        <v>122</v>
      </c>
      <c r="G576" t="s">
        <v>126</v>
      </c>
      <c r="H576" t="s">
        <v>130</v>
      </c>
      <c r="I576" t="s">
        <v>134</v>
      </c>
    </row>
    <row r="577" spans="1:9" x14ac:dyDescent="0.2">
      <c r="A577" t="s">
        <v>49</v>
      </c>
      <c r="C577">
        <v>41.5</v>
      </c>
      <c r="D577">
        <v>8.3000000000000007</v>
      </c>
      <c r="E577" t="s">
        <v>120</v>
      </c>
      <c r="F577" t="s">
        <v>122</v>
      </c>
      <c r="G577" t="s">
        <v>126</v>
      </c>
      <c r="H577" t="s">
        <v>130</v>
      </c>
      <c r="I577" t="s">
        <v>134</v>
      </c>
    </row>
    <row r="578" spans="1:9" x14ac:dyDescent="0.2">
      <c r="A578" t="s">
        <v>50</v>
      </c>
      <c r="C578">
        <v>67</v>
      </c>
      <c r="D578">
        <v>7</v>
      </c>
      <c r="E578" t="s">
        <v>120</v>
      </c>
      <c r="F578" t="s">
        <v>122</v>
      </c>
      <c r="G578" t="s">
        <v>126</v>
      </c>
      <c r="H578" t="s">
        <v>130</v>
      </c>
      <c r="I578" t="s">
        <v>134</v>
      </c>
    </row>
    <row r="579" spans="1:9" x14ac:dyDescent="0.2">
      <c r="A579" t="s">
        <v>51</v>
      </c>
      <c r="C579">
        <v>20.9</v>
      </c>
      <c r="D579">
        <v>2.7</v>
      </c>
      <c r="E579" t="s">
        <v>120</v>
      </c>
      <c r="F579" t="s">
        <v>122</v>
      </c>
      <c r="G579" t="s">
        <v>126</v>
      </c>
      <c r="H579" t="s">
        <v>130</v>
      </c>
      <c r="I579" t="s">
        <v>134</v>
      </c>
    </row>
    <row r="580" spans="1:9" x14ac:dyDescent="0.2">
      <c r="A580" t="s">
        <v>52</v>
      </c>
      <c r="C580">
        <v>1.1000000000000001</v>
      </c>
      <c r="D580">
        <v>0.7</v>
      </c>
      <c r="E580" t="s">
        <v>120</v>
      </c>
      <c r="F580" t="s">
        <v>122</v>
      </c>
      <c r="G580" t="s">
        <v>126</v>
      </c>
      <c r="H580" t="s">
        <v>130</v>
      </c>
      <c r="I580" t="s">
        <v>134</v>
      </c>
    </row>
    <row r="581" spans="1:9" x14ac:dyDescent="0.2">
      <c r="A581" t="s">
        <v>53</v>
      </c>
      <c r="C581">
        <v>2.73</v>
      </c>
      <c r="D581">
        <v>0.48</v>
      </c>
      <c r="E581" t="s">
        <v>120</v>
      </c>
      <c r="F581" t="s">
        <v>122</v>
      </c>
      <c r="G581" t="s">
        <v>126</v>
      </c>
      <c r="H581" t="s">
        <v>130</v>
      </c>
      <c r="I581" t="s">
        <v>134</v>
      </c>
    </row>
    <row r="582" spans="1:9" x14ac:dyDescent="0.2">
      <c r="A582" t="s">
        <v>54</v>
      </c>
      <c r="B582" t="s">
        <v>118</v>
      </c>
      <c r="C582">
        <v>0.04</v>
      </c>
      <c r="F582" t="s">
        <v>122</v>
      </c>
      <c r="G582" t="s">
        <v>126</v>
      </c>
      <c r="H582" t="s">
        <v>129</v>
      </c>
      <c r="I582" t="s">
        <v>134</v>
      </c>
    </row>
    <row r="583" spans="1:9" x14ac:dyDescent="0.2">
      <c r="A583" t="s">
        <v>55</v>
      </c>
      <c r="B583" t="s">
        <v>118</v>
      </c>
      <c r="C583">
        <v>0.8</v>
      </c>
      <c r="D583">
        <v>0.3</v>
      </c>
      <c r="E583" t="s">
        <v>120</v>
      </c>
      <c r="F583" t="s">
        <v>122</v>
      </c>
      <c r="G583" t="s">
        <v>126</v>
      </c>
      <c r="H583" t="s">
        <v>129</v>
      </c>
      <c r="I583" t="s">
        <v>134</v>
      </c>
    </row>
    <row r="584" spans="1:9" x14ac:dyDescent="0.2">
      <c r="A584" t="s">
        <v>56</v>
      </c>
      <c r="C584">
        <v>30.7</v>
      </c>
      <c r="D584">
        <v>1.7</v>
      </c>
      <c r="E584" t="s">
        <v>120</v>
      </c>
      <c r="F584" t="s">
        <v>122</v>
      </c>
      <c r="G584" t="s">
        <v>126</v>
      </c>
      <c r="H584" t="s">
        <v>130</v>
      </c>
      <c r="I584" t="s">
        <v>134</v>
      </c>
    </row>
    <row r="585" spans="1:9" x14ac:dyDescent="0.2">
      <c r="A585" t="s">
        <v>57</v>
      </c>
      <c r="C585">
        <v>482</v>
      </c>
      <c r="D585">
        <v>8</v>
      </c>
      <c r="E585" t="s">
        <v>120</v>
      </c>
      <c r="F585" t="s">
        <v>122</v>
      </c>
      <c r="G585" t="s">
        <v>126</v>
      </c>
      <c r="H585" t="s">
        <v>130</v>
      </c>
      <c r="I585" t="s">
        <v>134</v>
      </c>
    </row>
    <row r="586" spans="1:9" x14ac:dyDescent="0.2">
      <c r="A586" t="s">
        <v>58</v>
      </c>
      <c r="C586">
        <v>11.4</v>
      </c>
      <c r="D586">
        <v>0.4</v>
      </c>
      <c r="E586" t="s">
        <v>120</v>
      </c>
      <c r="F586" t="s">
        <v>122</v>
      </c>
      <c r="G586" t="s">
        <v>126</v>
      </c>
      <c r="H586" t="s">
        <v>130</v>
      </c>
      <c r="I586" t="s">
        <v>134</v>
      </c>
    </row>
    <row r="587" spans="1:9" x14ac:dyDescent="0.2">
      <c r="A587" t="s">
        <v>59</v>
      </c>
      <c r="C587">
        <v>118</v>
      </c>
      <c r="D587">
        <v>3</v>
      </c>
      <c r="E587" t="s">
        <v>120</v>
      </c>
      <c r="F587" t="s">
        <v>122</v>
      </c>
      <c r="G587" t="s">
        <v>126</v>
      </c>
      <c r="H587" t="s">
        <v>130</v>
      </c>
      <c r="I587" t="s">
        <v>134</v>
      </c>
    </row>
    <row r="588" spans="1:9" x14ac:dyDescent="0.2">
      <c r="A588" t="s">
        <v>60</v>
      </c>
      <c r="C588">
        <v>6.94</v>
      </c>
      <c r="D588">
        <v>0.25</v>
      </c>
      <c r="E588" t="s">
        <v>120</v>
      </c>
      <c r="F588" t="s">
        <v>122</v>
      </c>
      <c r="G588" t="s">
        <v>126</v>
      </c>
      <c r="H588" t="s">
        <v>130</v>
      </c>
      <c r="I588" t="s">
        <v>134</v>
      </c>
    </row>
    <row r="589" spans="1:9" x14ac:dyDescent="0.2">
      <c r="A589" t="s">
        <v>61</v>
      </c>
      <c r="C589">
        <v>2</v>
      </c>
      <c r="D589">
        <v>0.6</v>
      </c>
      <c r="E589" t="s">
        <v>120</v>
      </c>
      <c r="F589" t="s">
        <v>122</v>
      </c>
      <c r="G589" t="s">
        <v>126</v>
      </c>
      <c r="H589" t="s">
        <v>130</v>
      </c>
      <c r="I589" t="s">
        <v>134</v>
      </c>
    </row>
    <row r="590" spans="1:9" x14ac:dyDescent="0.2">
      <c r="A590" t="s">
        <v>62</v>
      </c>
      <c r="B590" t="s">
        <v>119</v>
      </c>
      <c r="C590">
        <v>6</v>
      </c>
      <c r="F590" t="s">
        <v>122</v>
      </c>
      <c r="G590" t="s">
        <v>126</v>
      </c>
      <c r="H590" t="s">
        <v>129</v>
      </c>
      <c r="I590" t="s">
        <v>134</v>
      </c>
    </row>
    <row r="591" spans="1:9" x14ac:dyDescent="0.2">
      <c r="A591" t="s">
        <v>63</v>
      </c>
      <c r="B591" t="s">
        <v>118</v>
      </c>
      <c r="C591">
        <v>0.02</v>
      </c>
      <c r="F591" t="s">
        <v>122</v>
      </c>
      <c r="G591" t="s">
        <v>126</v>
      </c>
      <c r="H591" t="s">
        <v>129</v>
      </c>
      <c r="I591" t="s">
        <v>134</v>
      </c>
    </row>
    <row r="592" spans="1:9" x14ac:dyDescent="0.2">
      <c r="A592" t="s">
        <v>64</v>
      </c>
      <c r="B592" t="s">
        <v>118</v>
      </c>
      <c r="C592">
        <v>0.1</v>
      </c>
      <c r="F592" t="s">
        <v>122</v>
      </c>
      <c r="G592" t="s">
        <v>126</v>
      </c>
      <c r="H592" t="s">
        <v>129</v>
      </c>
      <c r="I592" t="s">
        <v>134</v>
      </c>
    </row>
    <row r="593" spans="1:9" x14ac:dyDescent="0.2">
      <c r="A593" t="s">
        <v>65</v>
      </c>
      <c r="B593" t="s">
        <v>118</v>
      </c>
      <c r="C593">
        <v>0.5</v>
      </c>
      <c r="F593" t="s">
        <v>122</v>
      </c>
      <c r="G593" t="s">
        <v>126</v>
      </c>
      <c r="H593" t="s">
        <v>129</v>
      </c>
      <c r="I593" t="s">
        <v>134</v>
      </c>
    </row>
    <row r="594" spans="1:9" x14ac:dyDescent="0.2">
      <c r="A594" t="s">
        <v>66</v>
      </c>
      <c r="C594">
        <v>1.1000000000000001</v>
      </c>
      <c r="D594">
        <v>0.2</v>
      </c>
      <c r="E594" t="s">
        <v>120</v>
      </c>
      <c r="F594" t="s">
        <v>122</v>
      </c>
      <c r="G594" t="s">
        <v>126</v>
      </c>
      <c r="H594" t="s">
        <v>130</v>
      </c>
      <c r="I594" t="s">
        <v>134</v>
      </c>
    </row>
    <row r="595" spans="1:9" x14ac:dyDescent="0.2">
      <c r="A595" t="s">
        <v>67</v>
      </c>
      <c r="C595">
        <v>0.2</v>
      </c>
      <c r="D595">
        <v>7.0000000000000007E-2</v>
      </c>
      <c r="E595" t="s">
        <v>120</v>
      </c>
      <c r="F595" t="s">
        <v>122</v>
      </c>
      <c r="G595" t="s">
        <v>126</v>
      </c>
      <c r="H595" t="s">
        <v>130</v>
      </c>
      <c r="I595" t="s">
        <v>134</v>
      </c>
    </row>
    <row r="596" spans="1:9" x14ac:dyDescent="0.2">
      <c r="A596" t="s">
        <v>68</v>
      </c>
      <c r="C596">
        <v>1.75</v>
      </c>
      <c r="D596">
        <v>0.11</v>
      </c>
      <c r="E596" t="s">
        <v>120</v>
      </c>
      <c r="F596" t="s">
        <v>122</v>
      </c>
      <c r="G596" t="s">
        <v>126</v>
      </c>
      <c r="H596" t="s">
        <v>130</v>
      </c>
      <c r="I596" t="s">
        <v>134</v>
      </c>
    </row>
    <row r="597" spans="1:9" x14ac:dyDescent="0.2">
      <c r="A597" t="s">
        <v>69</v>
      </c>
      <c r="C597">
        <v>298</v>
      </c>
      <c r="D597">
        <v>9</v>
      </c>
      <c r="E597" t="s">
        <v>120</v>
      </c>
      <c r="F597" t="s">
        <v>122</v>
      </c>
      <c r="G597" t="s">
        <v>126</v>
      </c>
      <c r="H597" t="s">
        <v>130</v>
      </c>
      <c r="I597" t="s">
        <v>134</v>
      </c>
    </row>
    <row r="598" spans="1:9" x14ac:dyDescent="0.2">
      <c r="A598" t="s">
        <v>70</v>
      </c>
      <c r="C598">
        <v>12</v>
      </c>
      <c r="D598">
        <v>0.3</v>
      </c>
      <c r="E598" t="s">
        <v>120</v>
      </c>
      <c r="F598" t="s">
        <v>122</v>
      </c>
      <c r="G598" t="s">
        <v>126</v>
      </c>
      <c r="H598" t="s">
        <v>130</v>
      </c>
      <c r="I598" t="s">
        <v>134</v>
      </c>
    </row>
    <row r="599" spans="1:9" x14ac:dyDescent="0.2">
      <c r="A599" t="s">
        <v>71</v>
      </c>
      <c r="C599">
        <v>26.1</v>
      </c>
      <c r="D599">
        <v>0.7</v>
      </c>
      <c r="E599" t="s">
        <v>120</v>
      </c>
      <c r="F599" t="s">
        <v>122</v>
      </c>
      <c r="G599" t="s">
        <v>126</v>
      </c>
      <c r="H599" t="s">
        <v>130</v>
      </c>
      <c r="I599" t="s">
        <v>134</v>
      </c>
    </row>
    <row r="600" spans="1:9" x14ac:dyDescent="0.2">
      <c r="A600" t="s">
        <v>72</v>
      </c>
      <c r="C600">
        <v>3.2</v>
      </c>
      <c r="D600">
        <v>0.06</v>
      </c>
      <c r="E600" t="s">
        <v>120</v>
      </c>
      <c r="F600" t="s">
        <v>122</v>
      </c>
      <c r="G600" t="s">
        <v>126</v>
      </c>
      <c r="H600" t="s">
        <v>130</v>
      </c>
      <c r="I600" t="s">
        <v>134</v>
      </c>
    </row>
    <row r="601" spans="1:9" x14ac:dyDescent="0.2">
      <c r="A601" t="s">
        <v>73</v>
      </c>
      <c r="C601">
        <v>13</v>
      </c>
      <c r="D601">
        <v>0.3</v>
      </c>
      <c r="E601" t="s">
        <v>120</v>
      </c>
      <c r="F601" t="s">
        <v>122</v>
      </c>
      <c r="G601" t="s">
        <v>126</v>
      </c>
      <c r="H601" t="s">
        <v>130</v>
      </c>
      <c r="I601" t="s">
        <v>134</v>
      </c>
    </row>
    <row r="602" spans="1:9" x14ac:dyDescent="0.2">
      <c r="A602" t="s">
        <v>74</v>
      </c>
      <c r="C602">
        <v>2.78</v>
      </c>
      <c r="D602">
        <v>0.05</v>
      </c>
      <c r="E602" t="s">
        <v>120</v>
      </c>
      <c r="F602" t="s">
        <v>122</v>
      </c>
      <c r="G602" t="s">
        <v>126</v>
      </c>
      <c r="H602" t="s">
        <v>130</v>
      </c>
      <c r="I602" t="s">
        <v>134</v>
      </c>
    </row>
    <row r="603" spans="1:9" x14ac:dyDescent="0.2">
      <c r="A603" t="s">
        <v>75</v>
      </c>
      <c r="C603">
        <v>0.95299999999999996</v>
      </c>
      <c r="D603">
        <v>2.1999999999999999E-2</v>
      </c>
      <c r="E603" t="s">
        <v>120</v>
      </c>
      <c r="F603" t="s">
        <v>122</v>
      </c>
      <c r="G603" t="s">
        <v>126</v>
      </c>
      <c r="H603" t="s">
        <v>130</v>
      </c>
      <c r="I603" t="s">
        <v>134</v>
      </c>
    </row>
    <row r="604" spans="1:9" x14ac:dyDescent="0.2">
      <c r="A604" t="s">
        <v>76</v>
      </c>
      <c r="C604">
        <v>2.59</v>
      </c>
      <c r="D604">
        <v>0.09</v>
      </c>
      <c r="E604" t="s">
        <v>120</v>
      </c>
      <c r="F604" t="s">
        <v>122</v>
      </c>
      <c r="G604" t="s">
        <v>126</v>
      </c>
      <c r="H604" t="s">
        <v>130</v>
      </c>
      <c r="I604" t="s">
        <v>134</v>
      </c>
    </row>
    <row r="605" spans="1:9" x14ac:dyDescent="0.2">
      <c r="A605" t="s">
        <v>77</v>
      </c>
      <c r="C605">
        <v>0.371</v>
      </c>
      <c r="D605">
        <v>1.0999999999999999E-2</v>
      </c>
      <c r="E605" t="s">
        <v>120</v>
      </c>
      <c r="F605" t="s">
        <v>122</v>
      </c>
      <c r="G605" t="s">
        <v>126</v>
      </c>
      <c r="H605" t="s">
        <v>130</v>
      </c>
      <c r="I605" t="s">
        <v>134</v>
      </c>
    </row>
    <row r="606" spans="1:9" x14ac:dyDescent="0.2">
      <c r="A606" t="s">
        <v>78</v>
      </c>
      <c r="C606">
        <v>2.2200000000000002</v>
      </c>
      <c r="D606">
        <v>0.06</v>
      </c>
      <c r="E606" t="s">
        <v>120</v>
      </c>
      <c r="F606" t="s">
        <v>122</v>
      </c>
      <c r="G606" t="s">
        <v>126</v>
      </c>
      <c r="H606" t="s">
        <v>130</v>
      </c>
      <c r="I606" t="s">
        <v>134</v>
      </c>
    </row>
    <row r="607" spans="1:9" x14ac:dyDescent="0.2">
      <c r="A607" t="s">
        <v>79</v>
      </c>
      <c r="C607">
        <v>0.42</v>
      </c>
      <c r="D607">
        <v>1.0999999999999999E-2</v>
      </c>
      <c r="E607" t="s">
        <v>120</v>
      </c>
      <c r="F607" t="s">
        <v>122</v>
      </c>
      <c r="G607" t="s">
        <v>126</v>
      </c>
      <c r="H607" t="s">
        <v>130</v>
      </c>
      <c r="I607" t="s">
        <v>134</v>
      </c>
    </row>
    <row r="608" spans="1:9" x14ac:dyDescent="0.2">
      <c r="A608" t="s">
        <v>80</v>
      </c>
      <c r="C608">
        <v>1.18</v>
      </c>
      <c r="D608">
        <v>0.04</v>
      </c>
      <c r="E608" t="s">
        <v>120</v>
      </c>
      <c r="F608" t="s">
        <v>122</v>
      </c>
      <c r="G608" t="s">
        <v>126</v>
      </c>
      <c r="H608" t="s">
        <v>130</v>
      </c>
      <c r="I608" t="s">
        <v>134</v>
      </c>
    </row>
    <row r="609" spans="1:9" x14ac:dyDescent="0.2">
      <c r="A609" t="s">
        <v>81</v>
      </c>
      <c r="C609">
        <v>0.17199999999999999</v>
      </c>
      <c r="D609">
        <v>7.0000000000000001E-3</v>
      </c>
      <c r="E609" t="s">
        <v>120</v>
      </c>
      <c r="F609" t="s">
        <v>122</v>
      </c>
      <c r="G609" t="s">
        <v>126</v>
      </c>
      <c r="H609" t="s">
        <v>130</v>
      </c>
      <c r="I609" t="s">
        <v>134</v>
      </c>
    </row>
    <row r="610" spans="1:9" x14ac:dyDescent="0.2">
      <c r="A610" t="s">
        <v>82</v>
      </c>
      <c r="C610">
        <v>1.1299999999999999</v>
      </c>
      <c r="D610">
        <v>0.03</v>
      </c>
      <c r="E610" t="s">
        <v>120</v>
      </c>
      <c r="F610" t="s">
        <v>122</v>
      </c>
      <c r="G610" t="s">
        <v>126</v>
      </c>
      <c r="H610" t="s">
        <v>130</v>
      </c>
      <c r="I610" t="s">
        <v>134</v>
      </c>
    </row>
    <row r="611" spans="1:9" x14ac:dyDescent="0.2">
      <c r="A611" t="s">
        <v>83</v>
      </c>
      <c r="C611">
        <v>0.16800000000000001</v>
      </c>
      <c r="D611">
        <v>6.0000000000000001E-3</v>
      </c>
      <c r="E611" t="s">
        <v>120</v>
      </c>
      <c r="F611" t="s">
        <v>122</v>
      </c>
      <c r="G611" t="s">
        <v>126</v>
      </c>
      <c r="H611" t="s">
        <v>130</v>
      </c>
      <c r="I611" t="s">
        <v>134</v>
      </c>
    </row>
    <row r="612" spans="1:9" x14ac:dyDescent="0.2">
      <c r="A612" t="s">
        <v>84</v>
      </c>
      <c r="C612">
        <v>3.07</v>
      </c>
      <c r="D612">
        <v>0.09</v>
      </c>
      <c r="E612" t="s">
        <v>120</v>
      </c>
      <c r="F612" t="s">
        <v>122</v>
      </c>
      <c r="G612" t="s">
        <v>126</v>
      </c>
      <c r="H612" t="s">
        <v>130</v>
      </c>
      <c r="I612" t="s">
        <v>134</v>
      </c>
    </row>
    <row r="613" spans="1:9" x14ac:dyDescent="0.2">
      <c r="A613" t="s">
        <v>85</v>
      </c>
      <c r="C613">
        <v>0.42</v>
      </c>
      <c r="D613">
        <v>1.4999999999999999E-2</v>
      </c>
      <c r="E613" t="s">
        <v>120</v>
      </c>
      <c r="F613" t="s">
        <v>122</v>
      </c>
      <c r="G613" t="s">
        <v>126</v>
      </c>
      <c r="H613" t="s">
        <v>130</v>
      </c>
      <c r="I613" t="s">
        <v>134</v>
      </c>
    </row>
    <row r="614" spans="1:9" x14ac:dyDescent="0.2">
      <c r="A614" t="s">
        <v>86</v>
      </c>
      <c r="B614" t="s">
        <v>118</v>
      </c>
      <c r="C614">
        <v>0.47</v>
      </c>
      <c r="D614">
        <v>0.18</v>
      </c>
      <c r="E614" t="s">
        <v>120</v>
      </c>
      <c r="F614" t="s">
        <v>122</v>
      </c>
      <c r="G614" t="s">
        <v>126</v>
      </c>
      <c r="H614" t="s">
        <v>129</v>
      </c>
      <c r="I614" t="s">
        <v>134</v>
      </c>
    </row>
    <row r="615" spans="1:9" x14ac:dyDescent="0.2">
      <c r="A615" t="s">
        <v>87</v>
      </c>
      <c r="B615" t="s">
        <v>118</v>
      </c>
      <c r="C615">
        <v>8.9999999999999998E-4</v>
      </c>
      <c r="D615">
        <v>1.6999999999999999E-3</v>
      </c>
      <c r="E615" t="s">
        <v>120</v>
      </c>
      <c r="F615" t="s">
        <v>122</v>
      </c>
      <c r="G615" t="s">
        <v>126</v>
      </c>
      <c r="H615" t="s">
        <v>129</v>
      </c>
      <c r="I615" t="s">
        <v>134</v>
      </c>
    </row>
    <row r="616" spans="1:9" x14ac:dyDescent="0.2">
      <c r="A616" t="s">
        <v>88</v>
      </c>
      <c r="B616" t="s">
        <v>119</v>
      </c>
      <c r="C616">
        <v>1</v>
      </c>
      <c r="F616" t="s">
        <v>122</v>
      </c>
      <c r="G616" t="s">
        <v>126</v>
      </c>
      <c r="H616" t="s">
        <v>129</v>
      </c>
      <c r="I616" t="s">
        <v>134</v>
      </c>
    </row>
    <row r="617" spans="1:9" x14ac:dyDescent="0.2">
      <c r="A617" t="s">
        <v>89</v>
      </c>
      <c r="B617" t="s">
        <v>118</v>
      </c>
      <c r="C617">
        <v>0.02</v>
      </c>
      <c r="F617" t="s">
        <v>122</v>
      </c>
      <c r="G617" t="s">
        <v>126</v>
      </c>
      <c r="H617" t="s">
        <v>129</v>
      </c>
      <c r="I617" t="s">
        <v>134</v>
      </c>
    </row>
    <row r="618" spans="1:9" x14ac:dyDescent="0.2">
      <c r="A618" t="s">
        <v>90</v>
      </c>
      <c r="B618" t="s">
        <v>118</v>
      </c>
      <c r="C618">
        <v>1</v>
      </c>
      <c r="F618" t="s">
        <v>122</v>
      </c>
      <c r="G618" t="s">
        <v>126</v>
      </c>
      <c r="H618" t="s">
        <v>129</v>
      </c>
      <c r="I618" t="s">
        <v>134</v>
      </c>
    </row>
    <row r="619" spans="1:9" x14ac:dyDescent="0.2">
      <c r="A619" t="s">
        <v>91</v>
      </c>
      <c r="B619" t="s">
        <v>118</v>
      </c>
      <c r="C619">
        <v>4.8000000000000001E-2</v>
      </c>
      <c r="D619">
        <v>3.2000000000000001E-2</v>
      </c>
      <c r="E619" t="s">
        <v>120</v>
      </c>
      <c r="F619" t="s">
        <v>122</v>
      </c>
      <c r="G619" t="s">
        <v>126</v>
      </c>
      <c r="H619" t="s">
        <v>129</v>
      </c>
      <c r="I619" t="s">
        <v>134</v>
      </c>
    </row>
    <row r="620" spans="1:9" x14ac:dyDescent="0.2">
      <c r="A620" t="s">
        <v>92</v>
      </c>
      <c r="B620" t="s">
        <v>119</v>
      </c>
      <c r="C620">
        <v>0.2</v>
      </c>
      <c r="F620" t="s">
        <v>122</v>
      </c>
      <c r="G620" t="s">
        <v>126</v>
      </c>
      <c r="H620" t="s">
        <v>129</v>
      </c>
      <c r="I620" t="s">
        <v>134</v>
      </c>
    </row>
    <row r="621" spans="1:9" x14ac:dyDescent="0.2">
      <c r="A621" t="s">
        <v>93</v>
      </c>
      <c r="B621" t="s">
        <v>118</v>
      </c>
      <c r="C621">
        <v>0.11</v>
      </c>
      <c r="F621" t="s">
        <v>122</v>
      </c>
      <c r="G621" t="s">
        <v>126</v>
      </c>
      <c r="H621" t="s">
        <v>129</v>
      </c>
      <c r="I621" t="s">
        <v>134</v>
      </c>
    </row>
    <row r="622" spans="1:9" x14ac:dyDescent="0.2">
      <c r="A622" t="s">
        <v>94</v>
      </c>
      <c r="C622">
        <v>10.3</v>
      </c>
      <c r="D622">
        <v>0.9</v>
      </c>
      <c r="E622" t="s">
        <v>120</v>
      </c>
      <c r="F622" t="s">
        <v>122</v>
      </c>
      <c r="G622" t="s">
        <v>126</v>
      </c>
      <c r="H622" t="s">
        <v>130</v>
      </c>
      <c r="I622" t="s">
        <v>134</v>
      </c>
    </row>
    <row r="623" spans="1:9" x14ac:dyDescent="0.2">
      <c r="A623" t="s">
        <v>95</v>
      </c>
      <c r="B623" t="s">
        <v>118</v>
      </c>
      <c r="C623">
        <v>0.11</v>
      </c>
      <c r="D623">
        <v>7.0000000000000007E-2</v>
      </c>
      <c r="E623" t="s">
        <v>120</v>
      </c>
      <c r="F623" t="s">
        <v>122</v>
      </c>
      <c r="G623" t="s">
        <v>126</v>
      </c>
      <c r="H623" t="s">
        <v>129</v>
      </c>
      <c r="I623" t="s">
        <v>134</v>
      </c>
    </row>
    <row r="624" spans="1:9" x14ac:dyDescent="0.2">
      <c r="A624" t="s">
        <v>96</v>
      </c>
      <c r="C624">
        <v>2.2799999999999998</v>
      </c>
      <c r="D624">
        <v>7.0000000000000007E-2</v>
      </c>
      <c r="E624" t="s">
        <v>120</v>
      </c>
      <c r="F624" t="s">
        <v>122</v>
      </c>
      <c r="G624" t="s">
        <v>126</v>
      </c>
      <c r="H624" t="s">
        <v>130</v>
      </c>
      <c r="I624" t="s">
        <v>134</v>
      </c>
    </row>
    <row r="625" spans="1:9" x14ac:dyDescent="0.2">
      <c r="A625" t="s">
        <v>97</v>
      </c>
      <c r="C625">
        <v>1.01</v>
      </c>
      <c r="D625">
        <v>0.04</v>
      </c>
      <c r="E625" t="s">
        <v>120</v>
      </c>
      <c r="F625" t="s">
        <v>122</v>
      </c>
      <c r="G625" t="s">
        <v>126</v>
      </c>
      <c r="H625" t="s">
        <v>130</v>
      </c>
      <c r="I625" t="s">
        <v>134</v>
      </c>
    </row>
    <row r="626" spans="1:9" x14ac:dyDescent="0.2">
      <c r="A626" t="s">
        <v>163</v>
      </c>
      <c r="C626">
        <v>-95</v>
      </c>
      <c r="F626" t="s">
        <v>123</v>
      </c>
      <c r="G626" t="s">
        <v>128</v>
      </c>
      <c r="H626" t="s">
        <v>129</v>
      </c>
      <c r="I626" t="s">
        <v>135</v>
      </c>
    </row>
    <row r="627" spans="1:9" x14ac:dyDescent="0.2">
      <c r="A627" t="s">
        <v>154</v>
      </c>
      <c r="C627">
        <v>3.6</v>
      </c>
      <c r="F627" t="s">
        <v>155</v>
      </c>
      <c r="G627" t="s">
        <v>128</v>
      </c>
      <c r="H627" t="s">
        <v>129</v>
      </c>
      <c r="I627" t="s">
        <v>135</v>
      </c>
    </row>
    <row r="628" spans="1:9" x14ac:dyDescent="0.2">
      <c r="A628" t="s">
        <v>156</v>
      </c>
      <c r="C628">
        <v>-4.7</v>
      </c>
      <c r="D628">
        <v>0.4</v>
      </c>
      <c r="E628" t="s">
        <v>120</v>
      </c>
      <c r="F628" t="s">
        <v>157</v>
      </c>
      <c r="G628" t="s">
        <v>128</v>
      </c>
      <c r="H628" t="s">
        <v>133</v>
      </c>
      <c r="I628" t="s">
        <v>135</v>
      </c>
    </row>
    <row r="629" spans="1:9" x14ac:dyDescent="0.2">
      <c r="A629" t="s">
        <v>98</v>
      </c>
      <c r="C629">
        <v>3.21</v>
      </c>
      <c r="F629" t="s">
        <v>123</v>
      </c>
      <c r="G629" t="s">
        <v>128</v>
      </c>
      <c r="H629" t="s">
        <v>129</v>
      </c>
      <c r="I629" t="s">
        <v>135</v>
      </c>
    </row>
    <row r="630" spans="1:9" x14ac:dyDescent="0.2">
      <c r="A630" t="s">
        <v>99</v>
      </c>
      <c r="C630">
        <v>6.12</v>
      </c>
      <c r="F630" t="s">
        <v>123</v>
      </c>
      <c r="G630" t="s">
        <v>128</v>
      </c>
      <c r="H630" t="s">
        <v>129</v>
      </c>
      <c r="I630" t="s">
        <v>135</v>
      </c>
    </row>
    <row r="631" spans="1:9" x14ac:dyDescent="0.2">
      <c r="A631" t="s">
        <v>100</v>
      </c>
      <c r="C631">
        <v>-0.1</v>
      </c>
      <c r="F631" t="s">
        <v>124</v>
      </c>
      <c r="G631" t="s">
        <v>128</v>
      </c>
      <c r="H631" t="s">
        <v>129</v>
      </c>
      <c r="I631" t="s">
        <v>135</v>
      </c>
    </row>
    <row r="632" spans="1:9" x14ac:dyDescent="0.2">
      <c r="A632" t="s">
        <v>101</v>
      </c>
      <c r="C632">
        <v>-0.17</v>
      </c>
      <c r="F632" t="s">
        <v>124</v>
      </c>
      <c r="G632" t="s">
        <v>128</v>
      </c>
      <c r="H632" t="s">
        <v>129</v>
      </c>
      <c r="I632" t="s">
        <v>135</v>
      </c>
    </row>
    <row r="633" spans="1:9" x14ac:dyDescent="0.2">
      <c r="A633" t="s">
        <v>102</v>
      </c>
      <c r="C633">
        <v>0.75</v>
      </c>
      <c r="F633" t="s">
        <v>125</v>
      </c>
      <c r="G633" t="s">
        <v>128</v>
      </c>
      <c r="H633" t="s">
        <v>129</v>
      </c>
      <c r="I633" t="s">
        <v>135</v>
      </c>
    </row>
    <row r="634" spans="1:9" x14ac:dyDescent="0.2">
      <c r="A634" t="s">
        <v>103</v>
      </c>
      <c r="C634">
        <v>0.703538</v>
      </c>
      <c r="D634">
        <v>3.8000000000000002E-5</v>
      </c>
      <c r="E634" t="s">
        <v>120</v>
      </c>
      <c r="G634" t="s">
        <v>128</v>
      </c>
      <c r="H634" t="s">
        <v>129</v>
      </c>
      <c r="I634" t="s">
        <v>135</v>
      </c>
    </row>
    <row r="635" spans="1:9" x14ac:dyDescent="0.2">
      <c r="A635" t="s">
        <v>104</v>
      </c>
      <c r="C635">
        <v>0.51290999999999998</v>
      </c>
      <c r="D635">
        <v>1.1E-4</v>
      </c>
      <c r="E635" t="s">
        <v>120</v>
      </c>
      <c r="G635" t="s">
        <v>128</v>
      </c>
      <c r="H635" t="s">
        <v>129</v>
      </c>
      <c r="I635" t="s">
        <v>135</v>
      </c>
    </row>
    <row r="636" spans="1:9" x14ac:dyDescent="0.2">
      <c r="A636" t="s">
        <v>106</v>
      </c>
      <c r="C636">
        <v>18.902000000000001</v>
      </c>
      <c r="D636">
        <v>4.0000000000000001E-3</v>
      </c>
      <c r="E636" t="s">
        <v>120</v>
      </c>
      <c r="G636" t="s">
        <v>128</v>
      </c>
      <c r="H636" t="s">
        <v>133</v>
      </c>
      <c r="I636" t="s">
        <v>135</v>
      </c>
    </row>
    <row r="637" spans="1:9" x14ac:dyDescent="0.2">
      <c r="A637" t="s">
        <v>107</v>
      </c>
      <c r="C637">
        <v>15.618</v>
      </c>
      <c r="D637">
        <v>2.1999999999999999E-2</v>
      </c>
      <c r="E637" t="s">
        <v>120</v>
      </c>
      <c r="G637" t="s">
        <v>128</v>
      </c>
      <c r="H637" t="s">
        <v>133</v>
      </c>
      <c r="I637" t="s">
        <v>135</v>
      </c>
    </row>
    <row r="638" spans="1:9" x14ac:dyDescent="0.2">
      <c r="A638" t="s">
        <v>108</v>
      </c>
      <c r="C638">
        <v>0.82643999999999995</v>
      </c>
      <c r="D638">
        <v>9.6000000000000002E-4</v>
      </c>
      <c r="E638" t="s">
        <v>120</v>
      </c>
      <c r="G638" t="s">
        <v>128</v>
      </c>
      <c r="H638" t="s">
        <v>133</v>
      </c>
      <c r="I638" t="s">
        <v>135</v>
      </c>
    </row>
    <row r="639" spans="1:9" x14ac:dyDescent="0.2">
      <c r="A639" t="s">
        <v>109</v>
      </c>
      <c r="C639">
        <v>38.520000000000003</v>
      </c>
      <c r="D639">
        <v>0.08</v>
      </c>
      <c r="E639" t="s">
        <v>120</v>
      </c>
      <c r="G639" t="s">
        <v>128</v>
      </c>
      <c r="H639" t="s">
        <v>133</v>
      </c>
      <c r="I639" t="s">
        <v>135</v>
      </c>
    </row>
    <row r="640" spans="1:9" x14ac:dyDescent="0.2">
      <c r="A640" t="s">
        <v>110</v>
      </c>
      <c r="C640">
        <v>2.0379999999999998</v>
      </c>
      <c r="D640">
        <v>3.0999999999999999E-3</v>
      </c>
      <c r="E640" t="s">
        <v>120</v>
      </c>
      <c r="G640" t="s">
        <v>128</v>
      </c>
      <c r="H640" t="s">
        <v>133</v>
      </c>
      <c r="I640" t="s">
        <v>135</v>
      </c>
    </row>
    <row r="642" spans="1:9" x14ac:dyDescent="0.2">
      <c r="A642" t="s">
        <v>164</v>
      </c>
    </row>
    <row r="643" spans="1:9" x14ac:dyDescent="0.2">
      <c r="A643" t="s">
        <v>142</v>
      </c>
    </row>
    <row r="644" spans="1:9" x14ac:dyDescent="0.2">
      <c r="A644" t="s">
        <v>143</v>
      </c>
    </row>
    <row r="645" spans="1:9" x14ac:dyDescent="0.2">
      <c r="A645" t="s">
        <v>144</v>
      </c>
      <c r="B645" t="s">
        <v>145</v>
      </c>
      <c r="C645" t="s">
        <v>146</v>
      </c>
      <c r="D645" t="s">
        <v>147</v>
      </c>
      <c r="E645" t="s">
        <v>148</v>
      </c>
      <c r="F645" t="s">
        <v>149</v>
      </c>
      <c r="G645" t="s">
        <v>150</v>
      </c>
      <c r="H645" t="s">
        <v>151</v>
      </c>
    </row>
    <row r="646" spans="1:9" x14ac:dyDescent="0.2">
      <c r="A646" t="s">
        <v>25</v>
      </c>
      <c r="B646" t="s">
        <v>118</v>
      </c>
      <c r="C646">
        <v>2.5999999999999999E-2</v>
      </c>
      <c r="F646" t="s">
        <v>121</v>
      </c>
      <c r="G646" t="s">
        <v>126</v>
      </c>
      <c r="H646" t="s">
        <v>129</v>
      </c>
      <c r="I646" t="s">
        <v>134</v>
      </c>
    </row>
    <row r="647" spans="1:9" x14ac:dyDescent="0.2">
      <c r="A647" t="s">
        <v>26</v>
      </c>
      <c r="B647" t="s">
        <v>118</v>
      </c>
      <c r="C647">
        <v>6.3000000000000003E-4</v>
      </c>
      <c r="F647" t="s">
        <v>121</v>
      </c>
      <c r="G647" t="s">
        <v>126</v>
      </c>
      <c r="H647" t="s">
        <v>129</v>
      </c>
      <c r="I647" t="s">
        <v>134</v>
      </c>
    </row>
    <row r="648" spans="1:9" x14ac:dyDescent="0.2">
      <c r="A648" t="s">
        <v>27</v>
      </c>
      <c r="C648">
        <v>3.13</v>
      </c>
      <c r="D648">
        <v>0.09</v>
      </c>
      <c r="E648" t="s">
        <v>120</v>
      </c>
      <c r="F648" t="s">
        <v>121</v>
      </c>
      <c r="G648" t="s">
        <v>126</v>
      </c>
      <c r="H648" t="s">
        <v>130</v>
      </c>
      <c r="I648" t="s">
        <v>134</v>
      </c>
    </row>
    <row r="649" spans="1:9" x14ac:dyDescent="0.2">
      <c r="A649" t="s">
        <v>28</v>
      </c>
      <c r="C649">
        <v>3.75</v>
      </c>
      <c r="D649">
        <v>0.04</v>
      </c>
      <c r="E649" t="s">
        <v>120</v>
      </c>
      <c r="F649" t="s">
        <v>121</v>
      </c>
      <c r="G649" t="s">
        <v>126</v>
      </c>
      <c r="H649" t="s">
        <v>130</v>
      </c>
      <c r="I649" t="s">
        <v>134</v>
      </c>
    </row>
    <row r="650" spans="1:9" x14ac:dyDescent="0.2">
      <c r="A650" t="s">
        <v>29</v>
      </c>
      <c r="C650">
        <v>17.100000000000001</v>
      </c>
      <c r="D650">
        <v>0.2</v>
      </c>
      <c r="E650" t="s">
        <v>120</v>
      </c>
      <c r="F650" t="s">
        <v>121</v>
      </c>
      <c r="G650" t="s">
        <v>126</v>
      </c>
      <c r="H650" t="s">
        <v>130</v>
      </c>
      <c r="I650" t="s">
        <v>134</v>
      </c>
    </row>
    <row r="651" spans="1:9" x14ac:dyDescent="0.2">
      <c r="A651" t="s">
        <v>30</v>
      </c>
      <c r="C651">
        <v>58.6</v>
      </c>
      <c r="D651">
        <v>0.4</v>
      </c>
      <c r="E651" t="s">
        <v>120</v>
      </c>
      <c r="F651" t="s">
        <v>121</v>
      </c>
      <c r="G651" t="s">
        <v>126</v>
      </c>
      <c r="H651" t="s">
        <v>130</v>
      </c>
      <c r="I651" t="s">
        <v>134</v>
      </c>
    </row>
    <row r="652" spans="1:9" x14ac:dyDescent="0.2">
      <c r="A652" t="s">
        <v>31</v>
      </c>
      <c r="C652">
        <v>0.16800000000000001</v>
      </c>
      <c r="D652">
        <v>2.5999999999999999E-2</v>
      </c>
      <c r="E652" t="s">
        <v>120</v>
      </c>
      <c r="F652" t="s">
        <v>121</v>
      </c>
      <c r="G652" t="s">
        <v>126</v>
      </c>
      <c r="H652" t="s">
        <v>130</v>
      </c>
      <c r="I652" t="s">
        <v>134</v>
      </c>
    </row>
    <row r="653" spans="1:9" x14ac:dyDescent="0.2">
      <c r="A653" t="s">
        <v>32</v>
      </c>
      <c r="C653">
        <v>1.96</v>
      </c>
      <c r="D653">
        <v>0.04</v>
      </c>
      <c r="E653" t="s">
        <v>120</v>
      </c>
      <c r="F653" t="s">
        <v>121</v>
      </c>
      <c r="G653" t="s">
        <v>126</v>
      </c>
      <c r="H653" t="s">
        <v>130</v>
      </c>
      <c r="I653" t="s">
        <v>134</v>
      </c>
    </row>
    <row r="654" spans="1:9" x14ac:dyDescent="0.2">
      <c r="A654" t="s">
        <v>33</v>
      </c>
      <c r="C654">
        <v>7.1</v>
      </c>
      <c r="D654">
        <v>0.09</v>
      </c>
      <c r="E654" t="s">
        <v>120</v>
      </c>
      <c r="F654" t="s">
        <v>121</v>
      </c>
      <c r="G654" t="s">
        <v>126</v>
      </c>
      <c r="H654" t="s">
        <v>130</v>
      </c>
      <c r="I654" t="s">
        <v>134</v>
      </c>
    </row>
    <row r="655" spans="1:9" x14ac:dyDescent="0.2">
      <c r="A655" t="s">
        <v>34</v>
      </c>
      <c r="C655">
        <v>0.755</v>
      </c>
      <c r="D655">
        <v>1.7000000000000001E-2</v>
      </c>
      <c r="E655" t="s">
        <v>120</v>
      </c>
      <c r="F655" t="s">
        <v>121</v>
      </c>
      <c r="G655" t="s">
        <v>126</v>
      </c>
      <c r="H655" t="s">
        <v>130</v>
      </c>
      <c r="I655" t="s">
        <v>134</v>
      </c>
    </row>
    <row r="656" spans="1:9" x14ac:dyDescent="0.2">
      <c r="A656" t="s">
        <v>35</v>
      </c>
      <c r="C656">
        <v>0.127</v>
      </c>
      <c r="D656">
        <v>6.0000000000000001E-3</v>
      </c>
      <c r="E656" t="s">
        <v>120</v>
      </c>
      <c r="F656" t="s">
        <v>121</v>
      </c>
      <c r="G656" t="s">
        <v>126</v>
      </c>
      <c r="H656" t="s">
        <v>130</v>
      </c>
      <c r="I656" t="s">
        <v>134</v>
      </c>
    </row>
    <row r="657" spans="1:9" x14ac:dyDescent="0.2">
      <c r="A657" t="s">
        <v>36</v>
      </c>
      <c r="C657">
        <v>6.44</v>
      </c>
      <c r="D657">
        <v>0.06</v>
      </c>
      <c r="E657" t="s">
        <v>120</v>
      </c>
      <c r="F657" t="s">
        <v>121</v>
      </c>
      <c r="G657" t="s">
        <v>126</v>
      </c>
      <c r="H657" t="s">
        <v>130</v>
      </c>
      <c r="I657" t="s">
        <v>134</v>
      </c>
    </row>
    <row r="658" spans="1:9" x14ac:dyDescent="0.2">
      <c r="A658" t="s">
        <v>37</v>
      </c>
      <c r="C658">
        <v>19.899999999999999</v>
      </c>
      <c r="D658">
        <v>0.9</v>
      </c>
      <c r="E658" t="s">
        <v>120</v>
      </c>
      <c r="F658" t="s">
        <v>122</v>
      </c>
      <c r="G658" t="s">
        <v>126</v>
      </c>
      <c r="H658" t="s">
        <v>130</v>
      </c>
      <c r="I658" t="s">
        <v>134</v>
      </c>
    </row>
    <row r="659" spans="1:9" x14ac:dyDescent="0.2">
      <c r="A659" t="s">
        <v>38</v>
      </c>
      <c r="B659" t="s">
        <v>118</v>
      </c>
      <c r="C659">
        <v>2</v>
      </c>
      <c r="D659">
        <v>0.6</v>
      </c>
      <c r="E659" t="s">
        <v>120</v>
      </c>
      <c r="F659" t="s">
        <v>122</v>
      </c>
      <c r="G659" t="s">
        <v>126</v>
      </c>
      <c r="H659" t="s">
        <v>129</v>
      </c>
      <c r="I659" t="s">
        <v>134</v>
      </c>
    </row>
    <row r="660" spans="1:9" x14ac:dyDescent="0.2">
      <c r="A660" t="s">
        <v>39</v>
      </c>
      <c r="B660" t="s">
        <v>118</v>
      </c>
      <c r="C660">
        <v>4.0999999999999996</v>
      </c>
      <c r="D660">
        <v>1.1000000000000001</v>
      </c>
      <c r="E660" t="s">
        <v>120</v>
      </c>
      <c r="F660" t="s">
        <v>122</v>
      </c>
      <c r="G660" t="s">
        <v>126</v>
      </c>
      <c r="H660" t="s">
        <v>129</v>
      </c>
      <c r="I660" t="s">
        <v>134</v>
      </c>
    </row>
    <row r="661" spans="1:9" x14ac:dyDescent="0.2">
      <c r="A661" t="s">
        <v>40</v>
      </c>
      <c r="B661" t="s">
        <v>118</v>
      </c>
      <c r="C661">
        <v>464000</v>
      </c>
      <c r="F661" t="s">
        <v>122</v>
      </c>
      <c r="G661" t="s">
        <v>126</v>
      </c>
      <c r="H661" t="s">
        <v>129</v>
      </c>
      <c r="I661" t="s">
        <v>134</v>
      </c>
    </row>
    <row r="662" spans="1:9" x14ac:dyDescent="0.2">
      <c r="A662" t="s">
        <v>41</v>
      </c>
      <c r="B662" t="s">
        <v>118</v>
      </c>
      <c r="C662">
        <v>321</v>
      </c>
      <c r="F662" t="s">
        <v>122</v>
      </c>
      <c r="G662" t="s">
        <v>126</v>
      </c>
      <c r="H662" t="s">
        <v>129</v>
      </c>
      <c r="I662" t="s">
        <v>134</v>
      </c>
    </row>
    <row r="663" spans="1:9" x14ac:dyDescent="0.2">
      <c r="A663" t="s">
        <v>42</v>
      </c>
      <c r="B663" t="s">
        <v>118</v>
      </c>
      <c r="C663">
        <v>2.6</v>
      </c>
      <c r="F663" t="s">
        <v>122</v>
      </c>
      <c r="G663" t="s">
        <v>126</v>
      </c>
      <c r="H663" t="s">
        <v>129</v>
      </c>
      <c r="I663" t="s">
        <v>134</v>
      </c>
    </row>
    <row r="664" spans="1:9" x14ac:dyDescent="0.2">
      <c r="A664" t="s">
        <v>43</v>
      </c>
      <c r="C664">
        <v>113</v>
      </c>
      <c r="D664">
        <v>37</v>
      </c>
      <c r="E664" t="s">
        <v>120</v>
      </c>
      <c r="F664" t="s">
        <v>122</v>
      </c>
      <c r="G664" t="s">
        <v>126</v>
      </c>
      <c r="H664" t="s">
        <v>130</v>
      </c>
      <c r="I664" t="s">
        <v>134</v>
      </c>
    </row>
    <row r="665" spans="1:9" x14ac:dyDescent="0.2">
      <c r="A665" t="s">
        <v>44</v>
      </c>
      <c r="C665">
        <v>26.9</v>
      </c>
      <c r="D665">
        <v>1.1000000000000001</v>
      </c>
      <c r="E665" t="s">
        <v>120</v>
      </c>
      <c r="F665" t="s">
        <v>122</v>
      </c>
      <c r="G665" t="s">
        <v>126</v>
      </c>
      <c r="H665" t="s">
        <v>130</v>
      </c>
      <c r="I665" t="s">
        <v>134</v>
      </c>
    </row>
    <row r="666" spans="1:9" x14ac:dyDescent="0.2">
      <c r="A666" t="s">
        <v>45</v>
      </c>
      <c r="C666">
        <v>190</v>
      </c>
      <c r="D666">
        <v>11</v>
      </c>
      <c r="E666" t="s">
        <v>120</v>
      </c>
      <c r="F666" t="s">
        <v>122</v>
      </c>
      <c r="G666" t="s">
        <v>126</v>
      </c>
      <c r="H666" t="s">
        <v>130</v>
      </c>
      <c r="I666" t="s">
        <v>134</v>
      </c>
    </row>
    <row r="667" spans="1:9" x14ac:dyDescent="0.2">
      <c r="A667" t="s">
        <v>46</v>
      </c>
      <c r="C667">
        <v>20.9</v>
      </c>
      <c r="D667">
        <v>2</v>
      </c>
      <c r="E667" t="s">
        <v>120</v>
      </c>
      <c r="F667" t="s">
        <v>122</v>
      </c>
      <c r="G667" t="s">
        <v>126</v>
      </c>
      <c r="H667" t="s">
        <v>130</v>
      </c>
      <c r="I667" t="s">
        <v>134</v>
      </c>
    </row>
    <row r="668" spans="1:9" x14ac:dyDescent="0.2">
      <c r="A668" t="s">
        <v>47</v>
      </c>
      <c r="C668">
        <v>18.899999999999999</v>
      </c>
      <c r="D668">
        <v>0.8</v>
      </c>
      <c r="E668" t="s">
        <v>120</v>
      </c>
      <c r="F668" t="s">
        <v>122</v>
      </c>
      <c r="G668" t="s">
        <v>126</v>
      </c>
      <c r="H668" t="s">
        <v>130</v>
      </c>
      <c r="I668" t="s">
        <v>134</v>
      </c>
    </row>
    <row r="669" spans="1:9" x14ac:dyDescent="0.2">
      <c r="A669" t="s">
        <v>48</v>
      </c>
      <c r="C669">
        <v>10.6</v>
      </c>
      <c r="D669">
        <v>1.3</v>
      </c>
      <c r="E669" t="s">
        <v>120</v>
      </c>
      <c r="F669" t="s">
        <v>122</v>
      </c>
      <c r="G669" t="s">
        <v>126</v>
      </c>
      <c r="H669" t="s">
        <v>130</v>
      </c>
      <c r="I669" t="s">
        <v>134</v>
      </c>
    </row>
    <row r="670" spans="1:9" x14ac:dyDescent="0.2">
      <c r="A670" t="s">
        <v>49</v>
      </c>
      <c r="C670">
        <v>18.8</v>
      </c>
      <c r="D670">
        <v>2</v>
      </c>
      <c r="E670" t="s">
        <v>120</v>
      </c>
      <c r="F670" t="s">
        <v>122</v>
      </c>
      <c r="G670" t="s">
        <v>126</v>
      </c>
      <c r="H670" t="s">
        <v>130</v>
      </c>
      <c r="I670" t="s">
        <v>134</v>
      </c>
    </row>
    <row r="671" spans="1:9" x14ac:dyDescent="0.2">
      <c r="A671" t="s">
        <v>50</v>
      </c>
      <c r="C671">
        <v>74</v>
      </c>
      <c r="D671">
        <v>10</v>
      </c>
      <c r="E671" t="s">
        <v>120</v>
      </c>
      <c r="F671" t="s">
        <v>122</v>
      </c>
      <c r="G671" t="s">
        <v>126</v>
      </c>
      <c r="H671" t="s">
        <v>130</v>
      </c>
      <c r="I671" t="s">
        <v>134</v>
      </c>
    </row>
    <row r="672" spans="1:9" x14ac:dyDescent="0.2">
      <c r="A672" t="s">
        <v>51</v>
      </c>
      <c r="C672">
        <v>19.399999999999999</v>
      </c>
      <c r="D672">
        <v>0.9</v>
      </c>
      <c r="E672" t="s">
        <v>120</v>
      </c>
      <c r="F672" t="s">
        <v>122</v>
      </c>
      <c r="G672" t="s">
        <v>126</v>
      </c>
      <c r="H672" t="s">
        <v>130</v>
      </c>
      <c r="I672" t="s">
        <v>134</v>
      </c>
    </row>
    <row r="673" spans="1:9" x14ac:dyDescent="0.2">
      <c r="A673" t="s">
        <v>52</v>
      </c>
      <c r="B673" t="s">
        <v>118</v>
      </c>
      <c r="C673">
        <v>1.8</v>
      </c>
      <c r="D673">
        <v>1.5</v>
      </c>
      <c r="E673" t="s">
        <v>120</v>
      </c>
      <c r="F673" t="s">
        <v>122</v>
      </c>
      <c r="G673" t="s">
        <v>126</v>
      </c>
      <c r="H673" t="s">
        <v>129</v>
      </c>
      <c r="I673" t="s">
        <v>134</v>
      </c>
    </row>
    <row r="674" spans="1:9" x14ac:dyDescent="0.2">
      <c r="A674" t="s">
        <v>53</v>
      </c>
      <c r="C674">
        <v>0.96</v>
      </c>
      <c r="D674">
        <v>0.44</v>
      </c>
      <c r="E674" t="s">
        <v>120</v>
      </c>
      <c r="F674" t="s">
        <v>122</v>
      </c>
      <c r="G674" t="s">
        <v>126</v>
      </c>
      <c r="H674" t="s">
        <v>130</v>
      </c>
      <c r="I674" t="s">
        <v>134</v>
      </c>
    </row>
    <row r="675" spans="1:9" x14ac:dyDescent="0.2">
      <c r="A675" t="s">
        <v>54</v>
      </c>
      <c r="B675" t="s">
        <v>118</v>
      </c>
      <c r="C675">
        <v>0.05</v>
      </c>
      <c r="F675" t="s">
        <v>122</v>
      </c>
      <c r="G675" t="s">
        <v>126</v>
      </c>
      <c r="H675" t="s">
        <v>129</v>
      </c>
      <c r="I675" t="s">
        <v>134</v>
      </c>
    </row>
    <row r="676" spans="1:9" x14ac:dyDescent="0.2">
      <c r="A676" t="s">
        <v>55</v>
      </c>
      <c r="B676" t="s">
        <v>118</v>
      </c>
      <c r="C676">
        <v>0.3</v>
      </c>
      <c r="F676" t="s">
        <v>122</v>
      </c>
      <c r="G676" t="s">
        <v>126</v>
      </c>
      <c r="H676" t="s">
        <v>129</v>
      </c>
      <c r="I676" t="s">
        <v>134</v>
      </c>
    </row>
    <row r="677" spans="1:9" x14ac:dyDescent="0.2">
      <c r="A677" t="s">
        <v>56</v>
      </c>
      <c r="C677">
        <v>79.7</v>
      </c>
      <c r="D677">
        <v>3.5</v>
      </c>
      <c r="E677" t="s">
        <v>120</v>
      </c>
      <c r="F677" t="s">
        <v>122</v>
      </c>
      <c r="G677" t="s">
        <v>126</v>
      </c>
      <c r="H677" t="s">
        <v>130</v>
      </c>
      <c r="I677" t="s">
        <v>134</v>
      </c>
    </row>
    <row r="678" spans="1:9" x14ac:dyDescent="0.2">
      <c r="A678" t="s">
        <v>57</v>
      </c>
      <c r="C678">
        <v>284</v>
      </c>
      <c r="D678">
        <v>6</v>
      </c>
      <c r="E678" t="s">
        <v>120</v>
      </c>
      <c r="F678" t="s">
        <v>122</v>
      </c>
      <c r="G678" t="s">
        <v>126</v>
      </c>
      <c r="H678" t="s">
        <v>130</v>
      </c>
      <c r="I678" t="s">
        <v>134</v>
      </c>
    </row>
    <row r="679" spans="1:9" x14ac:dyDescent="0.2">
      <c r="A679" t="s">
        <v>58</v>
      </c>
      <c r="C679">
        <v>23.9</v>
      </c>
      <c r="D679">
        <v>0.8</v>
      </c>
      <c r="E679" t="s">
        <v>120</v>
      </c>
      <c r="F679" t="s">
        <v>122</v>
      </c>
      <c r="G679" t="s">
        <v>126</v>
      </c>
      <c r="H679" t="s">
        <v>130</v>
      </c>
      <c r="I679" t="s">
        <v>134</v>
      </c>
    </row>
    <row r="680" spans="1:9" x14ac:dyDescent="0.2">
      <c r="A680" t="s">
        <v>59</v>
      </c>
      <c r="C680">
        <v>144</v>
      </c>
      <c r="D680">
        <v>4</v>
      </c>
      <c r="E680" t="s">
        <v>120</v>
      </c>
      <c r="F680" t="s">
        <v>122</v>
      </c>
      <c r="G680" t="s">
        <v>126</v>
      </c>
      <c r="H680" t="s">
        <v>130</v>
      </c>
      <c r="I680" t="s">
        <v>134</v>
      </c>
    </row>
    <row r="681" spans="1:9" x14ac:dyDescent="0.2">
      <c r="A681" t="s">
        <v>60</v>
      </c>
      <c r="C681">
        <v>8.8699999999999992</v>
      </c>
      <c r="D681">
        <v>0.43</v>
      </c>
      <c r="E681" t="s">
        <v>120</v>
      </c>
      <c r="F681" t="s">
        <v>122</v>
      </c>
      <c r="G681" t="s">
        <v>126</v>
      </c>
      <c r="H681" t="s">
        <v>130</v>
      </c>
      <c r="I681" t="s">
        <v>134</v>
      </c>
    </row>
    <row r="682" spans="1:9" x14ac:dyDescent="0.2">
      <c r="A682" t="s">
        <v>61</v>
      </c>
      <c r="C682">
        <v>4.2</v>
      </c>
      <c r="D682">
        <v>1.8</v>
      </c>
      <c r="E682" t="s">
        <v>120</v>
      </c>
      <c r="F682" t="s">
        <v>122</v>
      </c>
      <c r="G682" t="s">
        <v>126</v>
      </c>
      <c r="H682" t="s">
        <v>130</v>
      </c>
      <c r="I682" t="s">
        <v>134</v>
      </c>
    </row>
    <row r="683" spans="1:9" x14ac:dyDescent="0.2">
      <c r="A683" t="s">
        <v>63</v>
      </c>
      <c r="B683" t="s">
        <v>118</v>
      </c>
      <c r="C683">
        <v>0.1</v>
      </c>
      <c r="F683" t="s">
        <v>122</v>
      </c>
      <c r="G683" t="s">
        <v>126</v>
      </c>
      <c r="H683" t="s">
        <v>129</v>
      </c>
      <c r="I683" t="s">
        <v>134</v>
      </c>
    </row>
    <row r="684" spans="1:9" x14ac:dyDescent="0.2">
      <c r="A684" t="s">
        <v>64</v>
      </c>
      <c r="B684" t="s">
        <v>118</v>
      </c>
      <c r="C684">
        <v>0.2</v>
      </c>
      <c r="F684" t="s">
        <v>122</v>
      </c>
      <c r="G684" t="s">
        <v>126</v>
      </c>
      <c r="H684" t="s">
        <v>129</v>
      </c>
      <c r="I684" t="s">
        <v>134</v>
      </c>
    </row>
    <row r="685" spans="1:9" x14ac:dyDescent="0.2">
      <c r="A685" t="s">
        <v>65</v>
      </c>
      <c r="B685" t="s">
        <v>118</v>
      </c>
      <c r="C685">
        <v>0.3</v>
      </c>
      <c r="D685">
        <v>0.4</v>
      </c>
      <c r="E685" t="s">
        <v>120</v>
      </c>
      <c r="F685" t="s">
        <v>122</v>
      </c>
      <c r="G685" t="s">
        <v>126</v>
      </c>
      <c r="H685" t="s">
        <v>129</v>
      </c>
      <c r="I685" t="s">
        <v>134</v>
      </c>
    </row>
    <row r="686" spans="1:9" x14ac:dyDescent="0.2">
      <c r="A686" t="s">
        <v>66</v>
      </c>
      <c r="C686">
        <v>2</v>
      </c>
      <c r="D686">
        <v>0.5</v>
      </c>
      <c r="E686" t="s">
        <v>120</v>
      </c>
      <c r="F686" t="s">
        <v>122</v>
      </c>
      <c r="G686" t="s">
        <v>126</v>
      </c>
      <c r="H686" t="s">
        <v>130</v>
      </c>
      <c r="I686" t="s">
        <v>134</v>
      </c>
    </row>
    <row r="687" spans="1:9" x14ac:dyDescent="0.2">
      <c r="A687" t="s">
        <v>67</v>
      </c>
      <c r="C687">
        <v>0.25</v>
      </c>
      <c r="D687">
        <v>0.05</v>
      </c>
      <c r="E687" t="s">
        <v>120</v>
      </c>
      <c r="F687" t="s">
        <v>122</v>
      </c>
      <c r="G687" t="s">
        <v>126</v>
      </c>
      <c r="H687" t="s">
        <v>130</v>
      </c>
      <c r="I687" t="s">
        <v>134</v>
      </c>
    </row>
    <row r="688" spans="1:9" x14ac:dyDescent="0.2">
      <c r="A688" t="s">
        <v>68</v>
      </c>
      <c r="C688">
        <v>2.69</v>
      </c>
      <c r="D688">
        <v>0.19</v>
      </c>
      <c r="E688" t="s">
        <v>120</v>
      </c>
      <c r="F688" t="s">
        <v>122</v>
      </c>
      <c r="G688" t="s">
        <v>126</v>
      </c>
      <c r="H688" t="s">
        <v>130</v>
      </c>
      <c r="I688" t="s">
        <v>134</v>
      </c>
    </row>
    <row r="689" spans="1:9" x14ac:dyDescent="0.2">
      <c r="A689" t="s">
        <v>69</v>
      </c>
      <c r="C689">
        <v>388</v>
      </c>
      <c r="D689">
        <v>12</v>
      </c>
      <c r="E689" t="s">
        <v>120</v>
      </c>
      <c r="F689" t="s">
        <v>122</v>
      </c>
      <c r="G689" t="s">
        <v>126</v>
      </c>
      <c r="H689" t="s">
        <v>130</v>
      </c>
      <c r="I689" t="s">
        <v>134</v>
      </c>
    </row>
    <row r="690" spans="1:9" x14ac:dyDescent="0.2">
      <c r="A690" t="s">
        <v>70</v>
      </c>
      <c r="C690">
        <v>70.400000000000006</v>
      </c>
      <c r="D690">
        <v>2.4</v>
      </c>
      <c r="E690" t="s">
        <v>120</v>
      </c>
      <c r="F690" t="s">
        <v>122</v>
      </c>
      <c r="G690" t="s">
        <v>126</v>
      </c>
      <c r="H690" t="s">
        <v>130</v>
      </c>
      <c r="I690" t="s">
        <v>134</v>
      </c>
    </row>
    <row r="691" spans="1:9" x14ac:dyDescent="0.2">
      <c r="A691" t="s">
        <v>71</v>
      </c>
      <c r="C691">
        <v>127</v>
      </c>
      <c r="D691">
        <v>4</v>
      </c>
      <c r="E691" t="s">
        <v>120</v>
      </c>
      <c r="F691" t="s">
        <v>122</v>
      </c>
      <c r="G691" t="s">
        <v>126</v>
      </c>
      <c r="H691" t="s">
        <v>130</v>
      </c>
      <c r="I691" t="s">
        <v>134</v>
      </c>
    </row>
    <row r="692" spans="1:9" x14ac:dyDescent="0.2">
      <c r="A692" t="s">
        <v>72</v>
      </c>
      <c r="C692">
        <v>12.4</v>
      </c>
      <c r="D692">
        <v>0.4</v>
      </c>
      <c r="E692" t="s">
        <v>120</v>
      </c>
      <c r="F692" t="s">
        <v>122</v>
      </c>
      <c r="G692" t="s">
        <v>126</v>
      </c>
      <c r="H692" t="s">
        <v>130</v>
      </c>
      <c r="I692" t="s">
        <v>134</v>
      </c>
    </row>
    <row r="693" spans="1:9" x14ac:dyDescent="0.2">
      <c r="A693" t="s">
        <v>73</v>
      </c>
      <c r="C693">
        <v>41.4</v>
      </c>
      <c r="D693">
        <v>1.2</v>
      </c>
      <c r="E693" t="s">
        <v>120</v>
      </c>
      <c r="F693" t="s">
        <v>122</v>
      </c>
      <c r="G693" t="s">
        <v>126</v>
      </c>
      <c r="H693" t="s">
        <v>130</v>
      </c>
      <c r="I693" t="s">
        <v>134</v>
      </c>
    </row>
    <row r="694" spans="1:9" x14ac:dyDescent="0.2">
      <c r="A694" t="s">
        <v>74</v>
      </c>
      <c r="C694">
        <v>6.57</v>
      </c>
      <c r="D694">
        <v>0.14000000000000001</v>
      </c>
      <c r="E694" t="s">
        <v>120</v>
      </c>
      <c r="F694" t="s">
        <v>122</v>
      </c>
      <c r="G694" t="s">
        <v>126</v>
      </c>
      <c r="H694" t="s">
        <v>130</v>
      </c>
      <c r="I694" t="s">
        <v>134</v>
      </c>
    </row>
    <row r="695" spans="1:9" x14ac:dyDescent="0.2">
      <c r="A695" t="s">
        <v>75</v>
      </c>
      <c r="C695">
        <v>1.21</v>
      </c>
      <c r="D695">
        <v>0.04</v>
      </c>
      <c r="E695" t="s">
        <v>120</v>
      </c>
      <c r="F695" t="s">
        <v>122</v>
      </c>
      <c r="G695" t="s">
        <v>126</v>
      </c>
      <c r="H695" t="s">
        <v>130</v>
      </c>
      <c r="I695" t="s">
        <v>134</v>
      </c>
    </row>
    <row r="696" spans="1:9" x14ac:dyDescent="0.2">
      <c r="A696" t="s">
        <v>76</v>
      </c>
      <c r="C696">
        <v>5.31</v>
      </c>
      <c r="D696">
        <v>0.28999999999999998</v>
      </c>
      <c r="E696" t="s">
        <v>120</v>
      </c>
      <c r="F696" t="s">
        <v>122</v>
      </c>
      <c r="G696" t="s">
        <v>126</v>
      </c>
      <c r="H696" t="s">
        <v>130</v>
      </c>
      <c r="I696" t="s">
        <v>134</v>
      </c>
    </row>
    <row r="697" spans="1:9" x14ac:dyDescent="0.2">
      <c r="A697" t="s">
        <v>77</v>
      </c>
      <c r="C697">
        <v>0.77300000000000002</v>
      </c>
      <c r="D697">
        <v>2.9000000000000001E-2</v>
      </c>
      <c r="E697" t="s">
        <v>120</v>
      </c>
      <c r="F697" t="s">
        <v>122</v>
      </c>
      <c r="G697" t="s">
        <v>126</v>
      </c>
      <c r="H697" t="s">
        <v>130</v>
      </c>
      <c r="I697" t="s">
        <v>134</v>
      </c>
    </row>
    <row r="698" spans="1:9" x14ac:dyDescent="0.2">
      <c r="A698" t="s">
        <v>78</v>
      </c>
      <c r="C698">
        <v>4.5</v>
      </c>
      <c r="D698">
        <v>0.12</v>
      </c>
      <c r="E698" t="s">
        <v>120</v>
      </c>
      <c r="F698" t="s">
        <v>122</v>
      </c>
      <c r="G698" t="s">
        <v>126</v>
      </c>
      <c r="H698" t="s">
        <v>130</v>
      </c>
      <c r="I698" t="s">
        <v>134</v>
      </c>
    </row>
    <row r="699" spans="1:9" x14ac:dyDescent="0.2">
      <c r="A699" t="s">
        <v>79</v>
      </c>
      <c r="C699">
        <v>0.86</v>
      </c>
      <c r="D699">
        <v>3.1E-2</v>
      </c>
      <c r="E699" t="s">
        <v>120</v>
      </c>
      <c r="F699" t="s">
        <v>122</v>
      </c>
      <c r="G699" t="s">
        <v>126</v>
      </c>
      <c r="H699" t="s">
        <v>130</v>
      </c>
      <c r="I699" t="s">
        <v>134</v>
      </c>
    </row>
    <row r="700" spans="1:9" x14ac:dyDescent="0.2">
      <c r="A700" t="s">
        <v>80</v>
      </c>
      <c r="C700">
        <v>2.4900000000000002</v>
      </c>
      <c r="D700">
        <v>0.08</v>
      </c>
      <c r="E700" t="s">
        <v>120</v>
      </c>
      <c r="F700" t="s">
        <v>122</v>
      </c>
      <c r="G700" t="s">
        <v>126</v>
      </c>
      <c r="H700" t="s">
        <v>130</v>
      </c>
      <c r="I700" t="s">
        <v>134</v>
      </c>
    </row>
    <row r="701" spans="1:9" x14ac:dyDescent="0.2">
      <c r="A701" t="s">
        <v>81</v>
      </c>
      <c r="C701">
        <v>0.35399999999999998</v>
      </c>
      <c r="D701">
        <v>1.4999999999999999E-2</v>
      </c>
      <c r="E701" t="s">
        <v>120</v>
      </c>
      <c r="F701" t="s">
        <v>122</v>
      </c>
      <c r="G701" t="s">
        <v>126</v>
      </c>
      <c r="H701" t="s">
        <v>130</v>
      </c>
      <c r="I701" t="s">
        <v>134</v>
      </c>
    </row>
    <row r="702" spans="1:9" x14ac:dyDescent="0.2">
      <c r="A702" t="s">
        <v>82</v>
      </c>
      <c r="C702">
        <v>2.38</v>
      </c>
      <c r="D702">
        <v>0.08</v>
      </c>
      <c r="E702" t="s">
        <v>120</v>
      </c>
      <c r="F702" t="s">
        <v>122</v>
      </c>
      <c r="G702" t="s">
        <v>126</v>
      </c>
      <c r="H702" t="s">
        <v>130</v>
      </c>
      <c r="I702" t="s">
        <v>134</v>
      </c>
    </row>
    <row r="703" spans="1:9" x14ac:dyDescent="0.2">
      <c r="A703" t="s">
        <v>83</v>
      </c>
      <c r="C703">
        <v>0.35399999999999998</v>
      </c>
      <c r="D703">
        <v>1.2E-2</v>
      </c>
      <c r="E703" t="s">
        <v>120</v>
      </c>
      <c r="F703" t="s">
        <v>122</v>
      </c>
      <c r="G703" t="s">
        <v>126</v>
      </c>
      <c r="H703" t="s">
        <v>130</v>
      </c>
      <c r="I703" t="s">
        <v>134</v>
      </c>
    </row>
    <row r="704" spans="1:9" x14ac:dyDescent="0.2">
      <c r="A704" t="s">
        <v>84</v>
      </c>
      <c r="C704">
        <v>3.88</v>
      </c>
      <c r="D704">
        <v>0.15</v>
      </c>
      <c r="E704" t="s">
        <v>120</v>
      </c>
      <c r="F704" t="s">
        <v>122</v>
      </c>
      <c r="G704" t="s">
        <v>126</v>
      </c>
      <c r="H704" t="s">
        <v>130</v>
      </c>
      <c r="I704" t="s">
        <v>134</v>
      </c>
    </row>
    <row r="705" spans="1:9" x14ac:dyDescent="0.2">
      <c r="A705" t="s">
        <v>85</v>
      </c>
      <c r="C705">
        <v>0.46400000000000002</v>
      </c>
      <c r="D705">
        <v>2.1000000000000001E-2</v>
      </c>
      <c r="E705" t="s">
        <v>120</v>
      </c>
      <c r="F705" t="s">
        <v>122</v>
      </c>
      <c r="G705" t="s">
        <v>126</v>
      </c>
      <c r="H705" t="s">
        <v>130</v>
      </c>
      <c r="I705" t="s">
        <v>134</v>
      </c>
    </row>
    <row r="706" spans="1:9" x14ac:dyDescent="0.2">
      <c r="A706" t="s">
        <v>86</v>
      </c>
      <c r="C706">
        <v>0.69</v>
      </c>
      <c r="D706">
        <v>0.12</v>
      </c>
      <c r="E706" t="s">
        <v>120</v>
      </c>
      <c r="F706" t="s">
        <v>122</v>
      </c>
      <c r="G706" t="s">
        <v>126</v>
      </c>
      <c r="H706" t="s">
        <v>130</v>
      </c>
      <c r="I706" t="s">
        <v>134</v>
      </c>
    </row>
    <row r="707" spans="1:9" x14ac:dyDescent="0.2">
      <c r="A707" t="s">
        <v>87</v>
      </c>
      <c r="B707" t="s">
        <v>118</v>
      </c>
      <c r="C707">
        <v>1.8E-3</v>
      </c>
      <c r="D707">
        <v>2E-3</v>
      </c>
      <c r="E707" t="s">
        <v>120</v>
      </c>
      <c r="F707" t="s">
        <v>122</v>
      </c>
      <c r="G707" t="s">
        <v>126</v>
      </c>
      <c r="H707" t="s">
        <v>129</v>
      </c>
      <c r="I707" t="s">
        <v>134</v>
      </c>
    </row>
    <row r="708" spans="1:9" x14ac:dyDescent="0.2">
      <c r="A708" t="s">
        <v>89</v>
      </c>
      <c r="B708" t="s">
        <v>118</v>
      </c>
      <c r="C708">
        <v>0.2</v>
      </c>
      <c r="F708" t="s">
        <v>122</v>
      </c>
      <c r="G708" t="s">
        <v>126</v>
      </c>
      <c r="H708" t="s">
        <v>129</v>
      </c>
      <c r="I708" t="s">
        <v>134</v>
      </c>
    </row>
    <row r="709" spans="1:9" x14ac:dyDescent="0.2">
      <c r="A709" t="s">
        <v>90</v>
      </c>
      <c r="B709" t="s">
        <v>118</v>
      </c>
      <c r="C709">
        <v>6</v>
      </c>
      <c r="F709" t="s">
        <v>122</v>
      </c>
      <c r="G709" t="s">
        <v>126</v>
      </c>
      <c r="H709" t="s">
        <v>129</v>
      </c>
      <c r="I709" t="s">
        <v>134</v>
      </c>
    </row>
    <row r="710" spans="1:9" x14ac:dyDescent="0.2">
      <c r="A710" t="s">
        <v>91</v>
      </c>
      <c r="B710" t="s">
        <v>118</v>
      </c>
      <c r="C710">
        <v>0.1</v>
      </c>
      <c r="D710">
        <v>0.11</v>
      </c>
      <c r="E710" t="s">
        <v>120</v>
      </c>
      <c r="F710" t="s">
        <v>122</v>
      </c>
      <c r="G710" t="s">
        <v>126</v>
      </c>
      <c r="H710" t="s">
        <v>129</v>
      </c>
      <c r="I710" t="s">
        <v>134</v>
      </c>
    </row>
    <row r="711" spans="1:9" x14ac:dyDescent="0.2">
      <c r="A711" t="s">
        <v>92</v>
      </c>
      <c r="B711" t="s">
        <v>119</v>
      </c>
      <c r="C711">
        <v>0.3</v>
      </c>
      <c r="F711" t="s">
        <v>122</v>
      </c>
      <c r="G711" t="s">
        <v>126</v>
      </c>
      <c r="H711" t="s">
        <v>129</v>
      </c>
      <c r="I711" t="s">
        <v>134</v>
      </c>
    </row>
    <row r="712" spans="1:9" x14ac:dyDescent="0.2">
      <c r="A712" t="s">
        <v>93</v>
      </c>
      <c r="B712" t="s">
        <v>118</v>
      </c>
      <c r="C712">
        <v>0.13</v>
      </c>
      <c r="D712">
        <v>0.08</v>
      </c>
      <c r="E712" t="s">
        <v>120</v>
      </c>
      <c r="F712" t="s">
        <v>122</v>
      </c>
      <c r="G712" t="s">
        <v>126</v>
      </c>
      <c r="H712" t="s">
        <v>129</v>
      </c>
      <c r="I712" t="s">
        <v>134</v>
      </c>
    </row>
    <row r="713" spans="1:9" x14ac:dyDescent="0.2">
      <c r="A713" t="s">
        <v>94</v>
      </c>
      <c r="C713">
        <v>11.6</v>
      </c>
      <c r="D713">
        <v>1.5</v>
      </c>
      <c r="E713" t="s">
        <v>120</v>
      </c>
      <c r="F713" t="s">
        <v>122</v>
      </c>
      <c r="G713" t="s">
        <v>126</v>
      </c>
      <c r="H713" t="s">
        <v>130</v>
      </c>
      <c r="I713" t="s">
        <v>134</v>
      </c>
    </row>
    <row r="714" spans="1:9" x14ac:dyDescent="0.2">
      <c r="A714" t="s">
        <v>95</v>
      </c>
      <c r="B714" t="s">
        <v>118</v>
      </c>
      <c r="C714">
        <v>0.1</v>
      </c>
      <c r="D714">
        <v>0.05</v>
      </c>
      <c r="E714" t="s">
        <v>120</v>
      </c>
      <c r="F714" t="s">
        <v>122</v>
      </c>
      <c r="G714" t="s">
        <v>126</v>
      </c>
      <c r="H714" t="s">
        <v>129</v>
      </c>
      <c r="I714" t="s">
        <v>134</v>
      </c>
    </row>
    <row r="715" spans="1:9" x14ac:dyDescent="0.2">
      <c r="A715" t="s">
        <v>96</v>
      </c>
      <c r="C715">
        <v>31.3</v>
      </c>
      <c r="D715">
        <v>1</v>
      </c>
      <c r="E715" t="s">
        <v>120</v>
      </c>
      <c r="F715" t="s">
        <v>122</v>
      </c>
      <c r="G715" t="s">
        <v>126</v>
      </c>
      <c r="H715" t="s">
        <v>130</v>
      </c>
      <c r="I715" t="s">
        <v>134</v>
      </c>
    </row>
    <row r="716" spans="1:9" x14ac:dyDescent="0.2">
      <c r="A716" t="s">
        <v>97</v>
      </c>
      <c r="C716">
        <v>1.71</v>
      </c>
      <c r="D716">
        <v>0.1</v>
      </c>
      <c r="E716" t="s">
        <v>120</v>
      </c>
      <c r="F716" t="s">
        <v>122</v>
      </c>
      <c r="G716" t="s">
        <v>126</v>
      </c>
      <c r="H716" t="s">
        <v>130</v>
      </c>
      <c r="I716" t="s">
        <v>134</v>
      </c>
    </row>
    <row r="717" spans="1:9" x14ac:dyDescent="0.2">
      <c r="A717" t="s">
        <v>163</v>
      </c>
      <c r="C717">
        <v>-117</v>
      </c>
      <c r="F717" t="s">
        <v>123</v>
      </c>
      <c r="G717" t="s">
        <v>128</v>
      </c>
      <c r="H717" t="s">
        <v>129</v>
      </c>
      <c r="I717" t="s">
        <v>135</v>
      </c>
    </row>
    <row r="718" spans="1:9" x14ac:dyDescent="0.2">
      <c r="A718" t="s">
        <v>154</v>
      </c>
      <c r="C718">
        <v>2.1</v>
      </c>
      <c r="F718" t="s">
        <v>155</v>
      </c>
      <c r="G718" t="s">
        <v>128</v>
      </c>
      <c r="H718" t="s">
        <v>129</v>
      </c>
      <c r="I718" t="s">
        <v>135</v>
      </c>
    </row>
    <row r="719" spans="1:9" x14ac:dyDescent="0.2">
      <c r="A719" t="s">
        <v>98</v>
      </c>
      <c r="C719">
        <v>3.89</v>
      </c>
      <c r="F719" t="s">
        <v>123</v>
      </c>
      <c r="G719" t="s">
        <v>128</v>
      </c>
      <c r="H719" t="s">
        <v>129</v>
      </c>
      <c r="I719" t="s">
        <v>135</v>
      </c>
    </row>
    <row r="720" spans="1:9" x14ac:dyDescent="0.2">
      <c r="A720" t="s">
        <v>99</v>
      </c>
      <c r="C720">
        <v>7.53</v>
      </c>
      <c r="F720" t="s">
        <v>123</v>
      </c>
      <c r="G720" t="s">
        <v>128</v>
      </c>
      <c r="H720" t="s">
        <v>129</v>
      </c>
      <c r="I720" t="s">
        <v>135</v>
      </c>
    </row>
    <row r="721" spans="1:9" x14ac:dyDescent="0.2">
      <c r="A721" t="s">
        <v>100</v>
      </c>
      <c r="C721">
        <v>-0.13</v>
      </c>
      <c r="F721" t="s">
        <v>124</v>
      </c>
      <c r="G721" t="s">
        <v>128</v>
      </c>
      <c r="H721" t="s">
        <v>129</v>
      </c>
      <c r="I721" t="s">
        <v>135</v>
      </c>
    </row>
    <row r="722" spans="1:9" x14ac:dyDescent="0.2">
      <c r="A722" t="s">
        <v>101</v>
      </c>
      <c r="C722">
        <v>-0.23</v>
      </c>
      <c r="F722" t="s">
        <v>124</v>
      </c>
      <c r="G722" t="s">
        <v>128</v>
      </c>
      <c r="H722" t="s">
        <v>129</v>
      </c>
      <c r="I722" t="s">
        <v>135</v>
      </c>
    </row>
    <row r="723" spans="1:9" x14ac:dyDescent="0.2">
      <c r="A723" t="s">
        <v>102</v>
      </c>
      <c r="C723">
        <v>0.8</v>
      </c>
      <c r="F723" t="s">
        <v>125</v>
      </c>
      <c r="G723" t="s">
        <v>128</v>
      </c>
      <c r="H723" t="s">
        <v>129</v>
      </c>
      <c r="I723" t="s">
        <v>135</v>
      </c>
    </row>
    <row r="724" spans="1:9" x14ac:dyDescent="0.2">
      <c r="A724" t="s">
        <v>103</v>
      </c>
      <c r="C724">
        <v>0.71013700000000002</v>
      </c>
      <c r="G724" t="s">
        <v>128</v>
      </c>
      <c r="H724" t="s">
        <v>129</v>
      </c>
      <c r="I724" t="s">
        <v>135</v>
      </c>
    </row>
    <row r="725" spans="1:9" x14ac:dyDescent="0.2">
      <c r="A725" t="s">
        <v>104</v>
      </c>
      <c r="C725">
        <v>0.51233300000000004</v>
      </c>
      <c r="G725" t="s">
        <v>128</v>
      </c>
      <c r="H725" t="s">
        <v>129</v>
      </c>
      <c r="I725" t="s">
        <v>135</v>
      </c>
    </row>
    <row r="726" spans="1:9" x14ac:dyDescent="0.2">
      <c r="A726" t="s">
        <v>106</v>
      </c>
      <c r="C726">
        <v>18.731000000000002</v>
      </c>
      <c r="D726">
        <v>6.0000000000000001E-3</v>
      </c>
      <c r="E726" t="s">
        <v>120</v>
      </c>
      <c r="G726" t="s">
        <v>128</v>
      </c>
      <c r="H726" t="s">
        <v>133</v>
      </c>
      <c r="I726" t="s">
        <v>135</v>
      </c>
    </row>
    <row r="727" spans="1:9" x14ac:dyDescent="0.2">
      <c r="A727" t="s">
        <v>107</v>
      </c>
      <c r="C727">
        <v>15.678000000000001</v>
      </c>
      <c r="D727">
        <v>2.3E-2</v>
      </c>
      <c r="E727" t="s">
        <v>120</v>
      </c>
      <c r="G727" t="s">
        <v>128</v>
      </c>
      <c r="H727" t="s">
        <v>133</v>
      </c>
      <c r="I727" t="s">
        <v>135</v>
      </c>
    </row>
    <row r="728" spans="1:9" x14ac:dyDescent="0.2">
      <c r="A728" t="s">
        <v>108</v>
      </c>
      <c r="C728">
        <v>0.83740000000000003</v>
      </c>
      <c r="D728">
        <v>7.2000000000000005E-4</v>
      </c>
      <c r="E728" t="s">
        <v>120</v>
      </c>
      <c r="G728" t="s">
        <v>128</v>
      </c>
      <c r="H728" t="s">
        <v>133</v>
      </c>
      <c r="I728" t="s">
        <v>135</v>
      </c>
    </row>
    <row r="729" spans="1:9" x14ac:dyDescent="0.2">
      <c r="A729" t="s">
        <v>109</v>
      </c>
      <c r="C729">
        <v>38.976999999999997</v>
      </c>
      <c r="D729">
        <v>1.2E-2</v>
      </c>
      <c r="E729" t="s">
        <v>120</v>
      </c>
      <c r="G729" t="s">
        <v>128</v>
      </c>
      <c r="H729" t="s">
        <v>133</v>
      </c>
      <c r="I729" t="s">
        <v>135</v>
      </c>
    </row>
    <row r="730" spans="1:9" x14ac:dyDescent="0.2">
      <c r="A730" t="s">
        <v>110</v>
      </c>
      <c r="C730">
        <v>2.0811000000000002</v>
      </c>
      <c r="D730">
        <v>2.0000000000000001E-4</v>
      </c>
      <c r="E730" t="s">
        <v>120</v>
      </c>
      <c r="G730" t="s">
        <v>128</v>
      </c>
      <c r="H730" t="s">
        <v>133</v>
      </c>
      <c r="I730" t="s">
        <v>135</v>
      </c>
    </row>
    <row r="731" spans="1:9" x14ac:dyDescent="0.2">
      <c r="A731" t="s">
        <v>111</v>
      </c>
      <c r="C731">
        <v>9.9000000000000005E-7</v>
      </c>
      <c r="G731" t="s">
        <v>128</v>
      </c>
      <c r="H731" t="s">
        <v>129</v>
      </c>
      <c r="I731" t="s">
        <v>135</v>
      </c>
    </row>
    <row r="732" spans="1:9" x14ac:dyDescent="0.2">
      <c r="A732" t="s">
        <v>112</v>
      </c>
      <c r="C732">
        <v>0.184</v>
      </c>
      <c r="G732" t="s">
        <v>128</v>
      </c>
      <c r="H732" t="s">
        <v>129</v>
      </c>
      <c r="I732" t="s">
        <v>135</v>
      </c>
    </row>
    <row r="733" spans="1:9" x14ac:dyDescent="0.2">
      <c r="A733" t="s">
        <v>113</v>
      </c>
      <c r="C733">
        <v>1.8660000000000001E-5</v>
      </c>
      <c r="G733" t="s">
        <v>128</v>
      </c>
      <c r="H733" t="s">
        <v>129</v>
      </c>
      <c r="I733" t="s">
        <v>135</v>
      </c>
    </row>
    <row r="734" spans="1:9" x14ac:dyDescent="0.2">
      <c r="A734" t="s">
        <v>114</v>
      </c>
      <c r="C734">
        <v>1.1020000000000001</v>
      </c>
      <c r="G734" t="s">
        <v>128</v>
      </c>
      <c r="H734" t="s">
        <v>129</v>
      </c>
      <c r="I734" t="s">
        <v>135</v>
      </c>
    </row>
    <row r="735" spans="1:9" x14ac:dyDescent="0.2">
      <c r="A735" t="s">
        <v>115</v>
      </c>
      <c r="C735">
        <v>5.4969999999999997E-5</v>
      </c>
      <c r="G735" t="s">
        <v>128</v>
      </c>
      <c r="H735" t="s">
        <v>129</v>
      </c>
      <c r="I735" t="s">
        <v>135</v>
      </c>
    </row>
    <row r="736" spans="1:9" x14ac:dyDescent="0.2">
      <c r="A736" t="s">
        <v>116</v>
      </c>
      <c r="C736">
        <v>1.0009999999999999</v>
      </c>
      <c r="G736" t="s">
        <v>128</v>
      </c>
      <c r="H736" t="s">
        <v>129</v>
      </c>
      <c r="I736" t="s">
        <v>135</v>
      </c>
    </row>
    <row r="739" spans="1:1" x14ac:dyDescent="0.2">
      <c r="A739" t="s">
        <v>165</v>
      </c>
    </row>
    <row r="740" spans="1:1" x14ac:dyDescent="0.2">
      <c r="A740" t="s">
        <v>166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5"/>
  <sheetViews>
    <sheetView workbookViewId="0">
      <selection activeCell="K35" sqref="K35"/>
    </sheetView>
  </sheetViews>
  <sheetFormatPr baseColWidth="10" defaultRowHeight="16" x14ac:dyDescent="0.2"/>
  <sheetData>
    <row r="1" spans="1:9" x14ac:dyDescent="0.2">
      <c r="A1" t="s">
        <v>209</v>
      </c>
    </row>
    <row r="2" spans="1:9" x14ac:dyDescent="0.2">
      <c r="A2" t="s">
        <v>139</v>
      </c>
    </row>
    <row r="3" spans="1:9" x14ac:dyDescent="0.2">
      <c r="A3" t="s">
        <v>140</v>
      </c>
    </row>
    <row r="5" spans="1:9" x14ac:dyDescent="0.2">
      <c r="A5" t="s">
        <v>208</v>
      </c>
    </row>
    <row r="6" spans="1:9" x14ac:dyDescent="0.2">
      <c r="A6" t="s">
        <v>142</v>
      </c>
    </row>
    <row r="7" spans="1:9" x14ac:dyDescent="0.2">
      <c r="A7" t="s">
        <v>207</v>
      </c>
    </row>
    <row r="8" spans="1:9" x14ac:dyDescent="0.2">
      <c r="A8" t="s">
        <v>144</v>
      </c>
      <c r="B8" t="s">
        <v>145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</row>
    <row r="9" spans="1:9" x14ac:dyDescent="0.2">
      <c r="A9" t="s">
        <v>27</v>
      </c>
      <c r="C9">
        <v>3.23</v>
      </c>
      <c r="D9">
        <v>7.0000000000000007E-2</v>
      </c>
      <c r="E9" t="s">
        <v>191</v>
      </c>
      <c r="F9" t="s">
        <v>121</v>
      </c>
      <c r="H9" t="s">
        <v>203</v>
      </c>
      <c r="I9" t="s">
        <v>134</v>
      </c>
    </row>
    <row r="10" spans="1:9" x14ac:dyDescent="0.2">
      <c r="A10" t="s">
        <v>28</v>
      </c>
      <c r="C10">
        <v>3.56</v>
      </c>
      <c r="D10">
        <v>0.09</v>
      </c>
      <c r="E10" t="s">
        <v>191</v>
      </c>
      <c r="F10" t="s">
        <v>121</v>
      </c>
      <c r="H10" t="s">
        <v>203</v>
      </c>
      <c r="I10" t="s">
        <v>134</v>
      </c>
    </row>
    <row r="11" spans="1:9" x14ac:dyDescent="0.2">
      <c r="A11" t="s">
        <v>29</v>
      </c>
      <c r="C11">
        <v>13.4</v>
      </c>
      <c r="D11">
        <v>0.4</v>
      </c>
      <c r="E11" t="s">
        <v>191</v>
      </c>
      <c r="F11" t="s">
        <v>121</v>
      </c>
      <c r="H11" t="s">
        <v>192</v>
      </c>
      <c r="I11" t="s">
        <v>134</v>
      </c>
    </row>
    <row r="12" spans="1:9" x14ac:dyDescent="0.2">
      <c r="A12" t="s">
        <v>30</v>
      </c>
      <c r="C12">
        <v>54.4</v>
      </c>
      <c r="D12">
        <v>0.4</v>
      </c>
      <c r="E12" t="s">
        <v>191</v>
      </c>
      <c r="F12" t="s">
        <v>121</v>
      </c>
      <c r="H12" t="s">
        <v>192</v>
      </c>
      <c r="I12" t="s">
        <v>134</v>
      </c>
    </row>
    <row r="13" spans="1:9" x14ac:dyDescent="0.2">
      <c r="A13" t="s">
        <v>31</v>
      </c>
      <c r="C13">
        <v>0.37</v>
      </c>
      <c r="D13">
        <v>0.01</v>
      </c>
      <c r="E13" t="s">
        <v>191</v>
      </c>
      <c r="F13" t="s">
        <v>121</v>
      </c>
      <c r="H13" t="s">
        <v>203</v>
      </c>
      <c r="I13" t="s">
        <v>134</v>
      </c>
    </row>
    <row r="14" spans="1:9" x14ac:dyDescent="0.2">
      <c r="A14" t="s">
        <v>32</v>
      </c>
      <c r="C14">
        <v>1.74</v>
      </c>
      <c r="D14">
        <v>0.04</v>
      </c>
      <c r="E14" t="s">
        <v>191</v>
      </c>
      <c r="F14" t="s">
        <v>121</v>
      </c>
      <c r="H14" t="s">
        <v>203</v>
      </c>
      <c r="I14" t="s">
        <v>134</v>
      </c>
    </row>
    <row r="15" spans="1:9" x14ac:dyDescent="0.2">
      <c r="A15" t="s">
        <v>33</v>
      </c>
      <c r="C15">
        <v>7.06</v>
      </c>
      <c r="D15">
        <v>0.11</v>
      </c>
      <c r="E15" t="s">
        <v>191</v>
      </c>
      <c r="F15" t="s">
        <v>121</v>
      </c>
      <c r="H15" t="s">
        <v>192</v>
      </c>
      <c r="I15" t="s">
        <v>134</v>
      </c>
    </row>
    <row r="16" spans="1:9" x14ac:dyDescent="0.2">
      <c r="A16" t="s">
        <v>34</v>
      </c>
      <c r="C16">
        <v>2.27</v>
      </c>
      <c r="D16">
        <v>0.04</v>
      </c>
      <c r="E16" t="s">
        <v>191</v>
      </c>
      <c r="F16" t="s">
        <v>121</v>
      </c>
      <c r="H16" t="s">
        <v>203</v>
      </c>
      <c r="I16" t="s">
        <v>134</v>
      </c>
    </row>
    <row r="17" spans="1:9" x14ac:dyDescent="0.2">
      <c r="A17" t="s">
        <v>35</v>
      </c>
      <c r="C17">
        <v>0.19</v>
      </c>
      <c r="D17">
        <v>0.01</v>
      </c>
      <c r="E17" t="s">
        <v>191</v>
      </c>
      <c r="F17" t="s">
        <v>121</v>
      </c>
      <c r="H17" t="s">
        <v>192</v>
      </c>
      <c r="I17" t="s">
        <v>134</v>
      </c>
    </row>
    <row r="18" spans="1:9" x14ac:dyDescent="0.2">
      <c r="A18" t="s">
        <v>206</v>
      </c>
      <c r="B18" t="s">
        <v>118</v>
      </c>
      <c r="C18">
        <v>13.9</v>
      </c>
      <c r="D18">
        <v>0.1</v>
      </c>
      <c r="E18" t="s">
        <v>191</v>
      </c>
      <c r="F18" t="s">
        <v>121</v>
      </c>
      <c r="G18" t="s">
        <v>205</v>
      </c>
      <c r="H18" t="s">
        <v>204</v>
      </c>
      <c r="I18" t="s">
        <v>134</v>
      </c>
    </row>
    <row r="19" spans="1:9" x14ac:dyDescent="0.2">
      <c r="A19" t="s">
        <v>36</v>
      </c>
      <c r="C19">
        <v>12.4</v>
      </c>
      <c r="D19">
        <v>0.3</v>
      </c>
      <c r="E19" t="s">
        <v>191</v>
      </c>
      <c r="F19" t="s">
        <v>121</v>
      </c>
      <c r="H19" t="s">
        <v>203</v>
      </c>
      <c r="I19" t="s">
        <v>134</v>
      </c>
    </row>
    <row r="20" spans="1:9" x14ac:dyDescent="0.2">
      <c r="A20" t="s">
        <v>37</v>
      </c>
      <c r="C20">
        <v>9</v>
      </c>
      <c r="D20">
        <v>1</v>
      </c>
      <c r="E20" t="s">
        <v>191</v>
      </c>
      <c r="F20" t="s">
        <v>122</v>
      </c>
      <c r="H20" t="s">
        <v>192</v>
      </c>
      <c r="I20" t="s">
        <v>134</v>
      </c>
    </row>
    <row r="21" spans="1:9" x14ac:dyDescent="0.2">
      <c r="A21" t="s">
        <v>38</v>
      </c>
      <c r="C21">
        <v>2.2999999999999998</v>
      </c>
      <c r="D21">
        <v>0.4</v>
      </c>
      <c r="E21" t="s">
        <v>191</v>
      </c>
      <c r="F21" t="s">
        <v>122</v>
      </c>
      <c r="H21" t="s">
        <v>192</v>
      </c>
      <c r="I21" t="s">
        <v>134</v>
      </c>
    </row>
    <row r="22" spans="1:9" x14ac:dyDescent="0.2">
      <c r="A22" t="s">
        <v>39</v>
      </c>
      <c r="B22" t="s">
        <v>118</v>
      </c>
      <c r="C22">
        <v>6</v>
      </c>
      <c r="D22">
        <v>1</v>
      </c>
      <c r="E22" t="s">
        <v>191</v>
      </c>
      <c r="F22" t="s">
        <v>122</v>
      </c>
      <c r="G22" t="s">
        <v>202</v>
      </c>
      <c r="H22" t="s">
        <v>194</v>
      </c>
      <c r="I22" t="s">
        <v>134</v>
      </c>
    </row>
    <row r="23" spans="1:9" x14ac:dyDescent="0.2">
      <c r="A23" t="s">
        <v>180</v>
      </c>
      <c r="C23">
        <v>14900</v>
      </c>
      <c r="D23">
        <v>150</v>
      </c>
      <c r="E23" t="s">
        <v>199</v>
      </c>
      <c r="F23" t="s">
        <v>122</v>
      </c>
      <c r="G23" t="s">
        <v>198</v>
      </c>
      <c r="H23" t="s">
        <v>197</v>
      </c>
      <c r="I23" t="s">
        <v>134</v>
      </c>
    </row>
    <row r="24" spans="1:9" x14ac:dyDescent="0.2">
      <c r="A24" t="s">
        <v>44</v>
      </c>
      <c r="C24">
        <v>33</v>
      </c>
      <c r="D24">
        <v>2</v>
      </c>
      <c r="E24" t="s">
        <v>191</v>
      </c>
      <c r="F24" t="s">
        <v>122</v>
      </c>
      <c r="H24" t="s">
        <v>192</v>
      </c>
      <c r="I24" t="s">
        <v>134</v>
      </c>
    </row>
    <row r="25" spans="1:9" x14ac:dyDescent="0.2">
      <c r="A25" t="s">
        <v>182</v>
      </c>
      <c r="C25">
        <v>14100</v>
      </c>
      <c r="D25">
        <v>1000</v>
      </c>
      <c r="E25" t="s">
        <v>191</v>
      </c>
      <c r="F25" t="s">
        <v>122</v>
      </c>
      <c r="H25" t="s">
        <v>192</v>
      </c>
      <c r="I25" t="s">
        <v>134</v>
      </c>
    </row>
    <row r="26" spans="1:9" x14ac:dyDescent="0.2">
      <c r="A26" t="s">
        <v>45</v>
      </c>
      <c r="C26">
        <v>425</v>
      </c>
      <c r="D26">
        <v>18</v>
      </c>
      <c r="E26" t="s">
        <v>191</v>
      </c>
      <c r="F26" t="s">
        <v>122</v>
      </c>
      <c r="H26" t="s">
        <v>192</v>
      </c>
      <c r="I26" t="s">
        <v>134</v>
      </c>
    </row>
    <row r="27" spans="1:9" x14ac:dyDescent="0.2">
      <c r="A27" t="s">
        <v>46</v>
      </c>
      <c r="C27">
        <v>17</v>
      </c>
      <c r="D27">
        <v>2</v>
      </c>
      <c r="E27" t="s">
        <v>191</v>
      </c>
      <c r="F27" t="s">
        <v>122</v>
      </c>
      <c r="H27" t="s">
        <v>192</v>
      </c>
      <c r="I27" t="s">
        <v>134</v>
      </c>
    </row>
    <row r="28" spans="1:9" x14ac:dyDescent="0.2">
      <c r="A28" t="s">
        <v>183</v>
      </c>
      <c r="C28">
        <v>1550</v>
      </c>
      <c r="D28">
        <v>70</v>
      </c>
      <c r="E28" t="s">
        <v>191</v>
      </c>
      <c r="F28" t="s">
        <v>122</v>
      </c>
      <c r="H28" t="s">
        <v>192</v>
      </c>
      <c r="I28" t="s">
        <v>134</v>
      </c>
    </row>
    <row r="29" spans="1:9" x14ac:dyDescent="0.2">
      <c r="A29" t="s">
        <v>47</v>
      </c>
      <c r="C29">
        <v>38</v>
      </c>
      <c r="D29">
        <v>2</v>
      </c>
      <c r="E29" t="s">
        <v>191</v>
      </c>
      <c r="F29" t="s">
        <v>122</v>
      </c>
      <c r="H29" t="s">
        <v>192</v>
      </c>
      <c r="I29" t="s">
        <v>134</v>
      </c>
    </row>
    <row r="30" spans="1:9" x14ac:dyDescent="0.2">
      <c r="A30" t="s">
        <v>48</v>
      </c>
      <c r="C30">
        <v>13</v>
      </c>
      <c r="D30">
        <v>2</v>
      </c>
      <c r="E30" t="s">
        <v>191</v>
      </c>
      <c r="F30" t="s">
        <v>122</v>
      </c>
      <c r="H30" t="s">
        <v>192</v>
      </c>
      <c r="I30" t="s">
        <v>134</v>
      </c>
    </row>
    <row r="31" spans="1:9" x14ac:dyDescent="0.2">
      <c r="A31" t="s">
        <v>49</v>
      </c>
      <c r="C31">
        <v>21</v>
      </c>
      <c r="D31">
        <v>5</v>
      </c>
      <c r="E31" t="s">
        <v>191</v>
      </c>
      <c r="F31" t="s">
        <v>122</v>
      </c>
      <c r="H31" t="s">
        <v>192</v>
      </c>
      <c r="I31" t="s">
        <v>134</v>
      </c>
    </row>
    <row r="32" spans="1:9" x14ac:dyDescent="0.2">
      <c r="A32" t="s">
        <v>50</v>
      </c>
      <c r="C32">
        <v>125</v>
      </c>
      <c r="D32">
        <v>5</v>
      </c>
      <c r="E32" t="s">
        <v>191</v>
      </c>
      <c r="F32" t="s">
        <v>122</v>
      </c>
      <c r="H32" t="s">
        <v>201</v>
      </c>
      <c r="I32" t="s">
        <v>134</v>
      </c>
    </row>
    <row r="33" spans="1:9" x14ac:dyDescent="0.2">
      <c r="A33" t="s">
        <v>51</v>
      </c>
      <c r="C33">
        <v>23</v>
      </c>
      <c r="D33">
        <v>1</v>
      </c>
      <c r="E33" t="s">
        <v>191</v>
      </c>
      <c r="F33" t="s">
        <v>122</v>
      </c>
      <c r="H33" t="s">
        <v>192</v>
      </c>
      <c r="I33" t="s">
        <v>134</v>
      </c>
    </row>
    <row r="34" spans="1:9" x14ac:dyDescent="0.2">
      <c r="A34" t="s">
        <v>52</v>
      </c>
      <c r="B34" t="s">
        <v>118</v>
      </c>
      <c r="C34">
        <v>1.5</v>
      </c>
      <c r="D34">
        <v>0.1</v>
      </c>
      <c r="E34" t="s">
        <v>199</v>
      </c>
      <c r="F34" t="s">
        <v>122</v>
      </c>
      <c r="G34" t="s">
        <v>198</v>
      </c>
      <c r="H34" t="s">
        <v>194</v>
      </c>
      <c r="I34" t="s">
        <v>134</v>
      </c>
    </row>
    <row r="35" spans="1:9" x14ac:dyDescent="0.2">
      <c r="A35" t="s">
        <v>56</v>
      </c>
      <c r="C35">
        <v>47</v>
      </c>
      <c r="D35">
        <v>0.5</v>
      </c>
      <c r="E35" t="s">
        <v>199</v>
      </c>
      <c r="F35" t="s">
        <v>122</v>
      </c>
      <c r="G35" t="s">
        <v>198</v>
      </c>
      <c r="H35" t="s">
        <v>197</v>
      </c>
      <c r="I35" t="s">
        <v>134</v>
      </c>
    </row>
    <row r="36" spans="1:9" x14ac:dyDescent="0.2">
      <c r="A36" t="s">
        <v>57</v>
      </c>
      <c r="C36">
        <v>342</v>
      </c>
      <c r="D36">
        <v>4</v>
      </c>
      <c r="E36" t="s">
        <v>199</v>
      </c>
      <c r="F36" t="s">
        <v>122</v>
      </c>
      <c r="G36" t="s">
        <v>198</v>
      </c>
      <c r="H36" t="s">
        <v>197</v>
      </c>
      <c r="I36" t="s">
        <v>134</v>
      </c>
    </row>
    <row r="37" spans="1:9" x14ac:dyDescent="0.2">
      <c r="A37" t="s">
        <v>58</v>
      </c>
      <c r="C37">
        <v>35</v>
      </c>
      <c r="D37">
        <v>3</v>
      </c>
      <c r="E37" t="s">
        <v>191</v>
      </c>
      <c r="F37" t="s">
        <v>122</v>
      </c>
      <c r="H37" t="s">
        <v>192</v>
      </c>
      <c r="I37" t="s">
        <v>134</v>
      </c>
    </row>
    <row r="38" spans="1:9" x14ac:dyDescent="0.2">
      <c r="A38" t="s">
        <v>59</v>
      </c>
      <c r="C38">
        <v>184</v>
      </c>
      <c r="D38">
        <v>15</v>
      </c>
      <c r="E38" t="s">
        <v>191</v>
      </c>
      <c r="F38" t="s">
        <v>122</v>
      </c>
      <c r="H38" t="s">
        <v>192</v>
      </c>
      <c r="I38" t="s">
        <v>134</v>
      </c>
    </row>
    <row r="39" spans="1:9" x14ac:dyDescent="0.2">
      <c r="A39" t="s">
        <v>60</v>
      </c>
      <c r="C39">
        <v>12.5</v>
      </c>
      <c r="D39">
        <v>1</v>
      </c>
      <c r="E39" t="s">
        <v>191</v>
      </c>
      <c r="F39" t="s">
        <v>122</v>
      </c>
      <c r="H39" t="s">
        <v>192</v>
      </c>
      <c r="I39" t="s">
        <v>134</v>
      </c>
    </row>
    <row r="40" spans="1:9" x14ac:dyDescent="0.2">
      <c r="A40" t="s">
        <v>61</v>
      </c>
      <c r="C40">
        <v>270</v>
      </c>
      <c r="D40">
        <v>30</v>
      </c>
      <c r="E40" t="s">
        <v>191</v>
      </c>
      <c r="F40" t="s">
        <v>122</v>
      </c>
      <c r="H40" t="s">
        <v>192</v>
      </c>
      <c r="I40" t="s">
        <v>134</v>
      </c>
    </row>
    <row r="41" spans="1:9" x14ac:dyDescent="0.2">
      <c r="A41" t="s">
        <v>63</v>
      </c>
      <c r="B41" t="s">
        <v>118</v>
      </c>
      <c r="C41">
        <v>0.5</v>
      </c>
      <c r="D41">
        <v>0.4</v>
      </c>
      <c r="E41" t="s">
        <v>191</v>
      </c>
      <c r="F41" t="s">
        <v>122</v>
      </c>
      <c r="G41" t="s">
        <v>200</v>
      </c>
      <c r="H41" t="s">
        <v>194</v>
      </c>
      <c r="I41" t="s">
        <v>134</v>
      </c>
    </row>
    <row r="42" spans="1:9" x14ac:dyDescent="0.2">
      <c r="A42" t="s">
        <v>64</v>
      </c>
      <c r="B42" t="s">
        <v>118</v>
      </c>
      <c r="C42">
        <v>0.2</v>
      </c>
      <c r="F42" t="s">
        <v>122</v>
      </c>
      <c r="H42" t="s">
        <v>194</v>
      </c>
      <c r="I42" t="s">
        <v>134</v>
      </c>
    </row>
    <row r="43" spans="1:9" x14ac:dyDescent="0.2">
      <c r="A43" t="s">
        <v>65</v>
      </c>
      <c r="B43" t="s">
        <v>118</v>
      </c>
      <c r="C43">
        <v>0.11</v>
      </c>
      <c r="D43">
        <v>0.02</v>
      </c>
      <c r="E43" t="s">
        <v>191</v>
      </c>
      <c r="F43" t="s">
        <v>122</v>
      </c>
      <c r="H43" t="s">
        <v>192</v>
      </c>
      <c r="I43" t="s">
        <v>134</v>
      </c>
    </row>
    <row r="44" spans="1:9" x14ac:dyDescent="0.2">
      <c r="A44" t="s">
        <v>66</v>
      </c>
      <c r="C44">
        <v>2.6</v>
      </c>
      <c r="D44">
        <v>0.4</v>
      </c>
      <c r="E44" t="s">
        <v>191</v>
      </c>
      <c r="F44" t="s">
        <v>122</v>
      </c>
      <c r="H44" t="s">
        <v>192</v>
      </c>
      <c r="I44" t="s">
        <v>134</v>
      </c>
    </row>
    <row r="45" spans="1:9" x14ac:dyDescent="0.2">
      <c r="A45" t="s">
        <v>67</v>
      </c>
      <c r="C45">
        <v>0.35</v>
      </c>
      <c r="D45">
        <v>0.08</v>
      </c>
      <c r="E45" t="s">
        <v>191</v>
      </c>
      <c r="F45" t="s">
        <v>122</v>
      </c>
      <c r="H45" t="s">
        <v>192</v>
      </c>
      <c r="I45" t="s">
        <v>134</v>
      </c>
    </row>
    <row r="46" spans="1:9" x14ac:dyDescent="0.2">
      <c r="A46" t="s">
        <v>68</v>
      </c>
      <c r="C46">
        <v>1.1599999999999999</v>
      </c>
      <c r="D46">
        <v>7.0000000000000007E-2</v>
      </c>
      <c r="E46" t="s">
        <v>191</v>
      </c>
      <c r="F46" t="s">
        <v>122</v>
      </c>
      <c r="H46" t="s">
        <v>192</v>
      </c>
      <c r="I46" t="s">
        <v>134</v>
      </c>
    </row>
    <row r="47" spans="1:9" x14ac:dyDescent="0.2">
      <c r="A47" t="s">
        <v>69</v>
      </c>
      <c r="C47">
        <v>683</v>
      </c>
      <c r="D47">
        <v>7</v>
      </c>
      <c r="E47" t="s">
        <v>199</v>
      </c>
      <c r="F47" t="s">
        <v>122</v>
      </c>
      <c r="G47" t="s">
        <v>198</v>
      </c>
      <c r="H47" t="s">
        <v>197</v>
      </c>
      <c r="I47" t="s">
        <v>134</v>
      </c>
    </row>
    <row r="48" spans="1:9" x14ac:dyDescent="0.2">
      <c r="A48" t="s">
        <v>70</v>
      </c>
      <c r="C48">
        <v>24.7</v>
      </c>
      <c r="D48">
        <v>0.3</v>
      </c>
      <c r="E48" t="s">
        <v>199</v>
      </c>
      <c r="F48" t="s">
        <v>122</v>
      </c>
      <c r="G48" t="s">
        <v>198</v>
      </c>
      <c r="H48" t="s">
        <v>197</v>
      </c>
      <c r="I48" t="s">
        <v>134</v>
      </c>
    </row>
    <row r="49" spans="1:9" x14ac:dyDescent="0.2">
      <c r="A49" t="s">
        <v>71</v>
      </c>
      <c r="C49">
        <v>53.3</v>
      </c>
      <c r="D49">
        <v>0.5</v>
      </c>
      <c r="E49" t="s">
        <v>199</v>
      </c>
      <c r="F49" t="s">
        <v>122</v>
      </c>
      <c r="G49" t="s">
        <v>198</v>
      </c>
      <c r="H49" t="s">
        <v>197</v>
      </c>
      <c r="I49" t="s">
        <v>134</v>
      </c>
    </row>
    <row r="50" spans="1:9" x14ac:dyDescent="0.2">
      <c r="A50" t="s">
        <v>72</v>
      </c>
      <c r="C50">
        <v>6.7</v>
      </c>
      <c r="D50">
        <v>0.4</v>
      </c>
      <c r="E50" t="s">
        <v>191</v>
      </c>
      <c r="F50" t="s">
        <v>122</v>
      </c>
      <c r="H50" t="s">
        <v>192</v>
      </c>
      <c r="I50" t="s">
        <v>134</v>
      </c>
    </row>
    <row r="51" spans="1:9" x14ac:dyDescent="0.2">
      <c r="A51" t="s">
        <v>73</v>
      </c>
      <c r="C51">
        <v>28.9</v>
      </c>
      <c r="D51">
        <v>0.3</v>
      </c>
      <c r="E51" t="s">
        <v>199</v>
      </c>
      <c r="F51" t="s">
        <v>122</v>
      </c>
      <c r="G51" t="s">
        <v>198</v>
      </c>
      <c r="H51" t="s">
        <v>197</v>
      </c>
      <c r="I51" t="s">
        <v>134</v>
      </c>
    </row>
    <row r="52" spans="1:9" x14ac:dyDescent="0.2">
      <c r="A52" t="s">
        <v>74</v>
      </c>
      <c r="C52">
        <v>6.59</v>
      </c>
      <c r="D52">
        <v>7.0000000000000007E-2</v>
      </c>
      <c r="E52" t="s">
        <v>199</v>
      </c>
      <c r="F52" t="s">
        <v>122</v>
      </c>
      <c r="G52" t="s">
        <v>198</v>
      </c>
      <c r="H52" t="s">
        <v>197</v>
      </c>
      <c r="I52" t="s">
        <v>134</v>
      </c>
    </row>
    <row r="53" spans="1:9" x14ac:dyDescent="0.2">
      <c r="A53" t="s">
        <v>75</v>
      </c>
      <c r="C53">
        <v>1.97</v>
      </c>
      <c r="D53">
        <v>0.02</v>
      </c>
      <c r="E53" t="s">
        <v>199</v>
      </c>
      <c r="F53" t="s">
        <v>122</v>
      </c>
      <c r="G53" t="s">
        <v>198</v>
      </c>
      <c r="H53" t="s">
        <v>197</v>
      </c>
      <c r="I53" t="s">
        <v>134</v>
      </c>
    </row>
    <row r="54" spans="1:9" x14ac:dyDescent="0.2">
      <c r="A54" t="s">
        <v>76</v>
      </c>
      <c r="C54">
        <v>6.71</v>
      </c>
      <c r="D54">
        <v>7.0000000000000007E-2</v>
      </c>
      <c r="E54" t="s">
        <v>199</v>
      </c>
      <c r="F54" t="s">
        <v>122</v>
      </c>
      <c r="G54" t="s">
        <v>198</v>
      </c>
      <c r="H54" t="s">
        <v>197</v>
      </c>
      <c r="I54" t="s">
        <v>134</v>
      </c>
    </row>
    <row r="55" spans="1:9" x14ac:dyDescent="0.2">
      <c r="A55" t="s">
        <v>77</v>
      </c>
      <c r="C55">
        <v>1.02</v>
      </c>
      <c r="D55">
        <v>0.08</v>
      </c>
      <c r="E55" t="s">
        <v>191</v>
      </c>
      <c r="F55" t="s">
        <v>122</v>
      </c>
      <c r="H55" t="s">
        <v>192</v>
      </c>
      <c r="I55" t="s">
        <v>134</v>
      </c>
    </row>
    <row r="56" spans="1:9" x14ac:dyDescent="0.2">
      <c r="A56" t="s">
        <v>78</v>
      </c>
      <c r="C56">
        <v>6.44</v>
      </c>
      <c r="D56">
        <v>0.06</v>
      </c>
      <c r="E56" t="s">
        <v>199</v>
      </c>
      <c r="F56" t="s">
        <v>122</v>
      </c>
      <c r="G56" t="s">
        <v>198</v>
      </c>
      <c r="H56" t="s">
        <v>197</v>
      </c>
      <c r="I56" t="s">
        <v>134</v>
      </c>
    </row>
    <row r="57" spans="1:9" x14ac:dyDescent="0.2">
      <c r="A57" t="s">
        <v>79</v>
      </c>
      <c r="C57">
        <v>1.27</v>
      </c>
      <c r="D57">
        <v>0.08</v>
      </c>
      <c r="E57" t="s">
        <v>191</v>
      </c>
      <c r="F57" t="s">
        <v>122</v>
      </c>
      <c r="H57" t="s">
        <v>192</v>
      </c>
      <c r="I57" t="s">
        <v>134</v>
      </c>
    </row>
    <row r="58" spans="1:9" x14ac:dyDescent="0.2">
      <c r="A58" t="s">
        <v>80</v>
      </c>
      <c r="C58">
        <v>3.7</v>
      </c>
      <c r="D58">
        <v>0.04</v>
      </c>
      <c r="E58" t="s">
        <v>199</v>
      </c>
      <c r="F58" t="s">
        <v>122</v>
      </c>
      <c r="G58" t="s">
        <v>198</v>
      </c>
      <c r="H58" t="s">
        <v>197</v>
      </c>
      <c r="I58" t="s">
        <v>134</v>
      </c>
    </row>
    <row r="59" spans="1:9" x14ac:dyDescent="0.2">
      <c r="A59" t="s">
        <v>81</v>
      </c>
      <c r="C59">
        <v>0.51</v>
      </c>
      <c r="D59">
        <v>0.04</v>
      </c>
      <c r="E59" t="s">
        <v>191</v>
      </c>
      <c r="F59" t="s">
        <v>122</v>
      </c>
      <c r="H59" t="s">
        <v>192</v>
      </c>
      <c r="I59" t="s">
        <v>134</v>
      </c>
    </row>
    <row r="60" spans="1:9" x14ac:dyDescent="0.2">
      <c r="A60" t="s">
        <v>82</v>
      </c>
      <c r="C60">
        <v>3.39</v>
      </c>
      <c r="D60">
        <v>0.03</v>
      </c>
      <c r="E60" t="s">
        <v>191</v>
      </c>
      <c r="F60" t="s">
        <v>122</v>
      </c>
      <c r="G60" t="s">
        <v>198</v>
      </c>
      <c r="H60" t="s">
        <v>197</v>
      </c>
      <c r="I60" t="s">
        <v>134</v>
      </c>
    </row>
    <row r="61" spans="1:9" x14ac:dyDescent="0.2">
      <c r="A61" t="s">
        <v>83</v>
      </c>
      <c r="C61">
        <v>0.503</v>
      </c>
      <c r="D61">
        <v>5.0000000000000001E-3</v>
      </c>
      <c r="E61" t="s">
        <v>199</v>
      </c>
      <c r="F61" t="s">
        <v>122</v>
      </c>
      <c r="G61" t="s">
        <v>198</v>
      </c>
      <c r="H61" t="s">
        <v>197</v>
      </c>
      <c r="I61" t="s">
        <v>134</v>
      </c>
    </row>
    <row r="62" spans="1:9" x14ac:dyDescent="0.2">
      <c r="A62" t="s">
        <v>84</v>
      </c>
      <c r="C62">
        <v>4.84</v>
      </c>
      <c r="D62">
        <v>0.28000000000000003</v>
      </c>
      <c r="E62" t="s">
        <v>191</v>
      </c>
      <c r="F62" t="s">
        <v>122</v>
      </c>
      <c r="H62" t="s">
        <v>192</v>
      </c>
      <c r="I62" t="s">
        <v>134</v>
      </c>
    </row>
    <row r="63" spans="1:9" x14ac:dyDescent="0.2">
      <c r="A63" t="s">
        <v>85</v>
      </c>
      <c r="C63">
        <v>0.78</v>
      </c>
      <c r="D63">
        <v>0.06</v>
      </c>
      <c r="E63" t="s">
        <v>191</v>
      </c>
      <c r="F63" t="s">
        <v>122</v>
      </c>
      <c r="H63" t="s">
        <v>192</v>
      </c>
      <c r="I63" t="s">
        <v>134</v>
      </c>
    </row>
    <row r="64" spans="1:9" x14ac:dyDescent="0.2">
      <c r="A64" t="s">
        <v>86</v>
      </c>
      <c r="C64">
        <v>0.5</v>
      </c>
      <c r="D64">
        <v>7.0000000000000007E-2</v>
      </c>
      <c r="E64" t="s">
        <v>191</v>
      </c>
      <c r="F64" t="s">
        <v>122</v>
      </c>
      <c r="H64" t="s">
        <v>196</v>
      </c>
      <c r="I64" t="s">
        <v>134</v>
      </c>
    </row>
    <row r="65" spans="1:9" x14ac:dyDescent="0.2">
      <c r="A65" t="s">
        <v>87</v>
      </c>
      <c r="B65" t="s">
        <v>118</v>
      </c>
      <c r="C65">
        <v>6.1999999999999998E-3</v>
      </c>
      <c r="D65">
        <v>6.9999999999999999E-4</v>
      </c>
      <c r="E65" t="s">
        <v>191</v>
      </c>
      <c r="F65" t="s">
        <v>122</v>
      </c>
      <c r="G65" t="s">
        <v>195</v>
      </c>
      <c r="H65" t="s">
        <v>194</v>
      </c>
      <c r="I65" t="s">
        <v>134</v>
      </c>
    </row>
    <row r="66" spans="1:9" x14ac:dyDescent="0.2">
      <c r="A66" t="s">
        <v>90</v>
      </c>
      <c r="B66" t="s">
        <v>118</v>
      </c>
      <c r="C66">
        <v>0.78</v>
      </c>
      <c r="D66">
        <v>0.6</v>
      </c>
      <c r="E66" t="s">
        <v>191</v>
      </c>
      <c r="F66" t="s">
        <v>122</v>
      </c>
      <c r="G66" t="s">
        <v>195</v>
      </c>
      <c r="H66" t="s">
        <v>194</v>
      </c>
      <c r="I66" t="s">
        <v>134</v>
      </c>
    </row>
    <row r="67" spans="1:9" x14ac:dyDescent="0.2">
      <c r="A67" t="s">
        <v>93</v>
      </c>
      <c r="B67" t="s">
        <v>118</v>
      </c>
      <c r="C67">
        <v>0.3</v>
      </c>
      <c r="D67">
        <v>0.1</v>
      </c>
      <c r="E67" t="s">
        <v>191</v>
      </c>
      <c r="F67" t="s">
        <v>122</v>
      </c>
      <c r="H67" t="s">
        <v>192</v>
      </c>
      <c r="I67" t="s">
        <v>134</v>
      </c>
    </row>
    <row r="68" spans="1:9" x14ac:dyDescent="0.2">
      <c r="A68" t="s">
        <v>94</v>
      </c>
      <c r="C68">
        <v>11</v>
      </c>
      <c r="D68">
        <v>1</v>
      </c>
      <c r="E68" t="s">
        <v>191</v>
      </c>
      <c r="F68" t="s">
        <v>122</v>
      </c>
      <c r="H68" t="s">
        <v>192</v>
      </c>
      <c r="I68" t="s">
        <v>134</v>
      </c>
    </row>
    <row r="69" spans="1:9" x14ac:dyDescent="0.2">
      <c r="A69" t="s">
        <v>95</v>
      </c>
      <c r="C69">
        <v>0.05</v>
      </c>
      <c r="D69">
        <v>0.01</v>
      </c>
      <c r="E69" t="s">
        <v>191</v>
      </c>
      <c r="F69" t="s">
        <v>122</v>
      </c>
      <c r="H69" t="s">
        <v>192</v>
      </c>
      <c r="I69" t="s">
        <v>134</v>
      </c>
    </row>
    <row r="70" spans="1:9" x14ac:dyDescent="0.2">
      <c r="A70" t="s">
        <v>96</v>
      </c>
      <c r="C70">
        <v>5.9</v>
      </c>
      <c r="D70">
        <v>0.3</v>
      </c>
      <c r="E70" t="s">
        <v>191</v>
      </c>
      <c r="F70" t="s">
        <v>122</v>
      </c>
      <c r="H70" t="s">
        <v>192</v>
      </c>
      <c r="I70" t="s">
        <v>134</v>
      </c>
    </row>
    <row r="71" spans="1:9" x14ac:dyDescent="0.2">
      <c r="A71" t="s">
        <v>97</v>
      </c>
      <c r="C71">
        <v>1.69</v>
      </c>
      <c r="D71">
        <v>0.12</v>
      </c>
      <c r="E71" t="s">
        <v>191</v>
      </c>
      <c r="F71" t="s">
        <v>122</v>
      </c>
      <c r="H71" t="s">
        <v>192</v>
      </c>
      <c r="I71" t="s">
        <v>134</v>
      </c>
    </row>
    <row r="72" spans="1:9" x14ac:dyDescent="0.2">
      <c r="A72" t="s">
        <v>154</v>
      </c>
      <c r="C72">
        <v>4.5</v>
      </c>
      <c r="D72">
        <v>0.6</v>
      </c>
      <c r="E72" t="s">
        <v>191</v>
      </c>
      <c r="F72" t="s">
        <v>155</v>
      </c>
      <c r="H72" t="s">
        <v>192</v>
      </c>
      <c r="I72" t="s">
        <v>135</v>
      </c>
    </row>
    <row r="73" spans="1:9" x14ac:dyDescent="0.2">
      <c r="A73" t="s">
        <v>103</v>
      </c>
      <c r="B73" t="s">
        <v>118</v>
      </c>
      <c r="C73">
        <v>0.70500300000000005</v>
      </c>
      <c r="D73">
        <v>3.9999999999999998E-6</v>
      </c>
      <c r="E73" t="s">
        <v>191</v>
      </c>
      <c r="G73" t="s">
        <v>193</v>
      </c>
      <c r="H73" t="s">
        <v>186</v>
      </c>
      <c r="I73" t="s">
        <v>135</v>
      </c>
    </row>
    <row r="74" spans="1:9" x14ac:dyDescent="0.2">
      <c r="A74" t="s">
        <v>106</v>
      </c>
      <c r="C74">
        <v>18.765000000000001</v>
      </c>
      <c r="D74">
        <v>7.0000000000000001E-3</v>
      </c>
      <c r="E74" t="s">
        <v>191</v>
      </c>
      <c r="H74" t="s">
        <v>192</v>
      </c>
      <c r="I74" t="s">
        <v>135</v>
      </c>
    </row>
    <row r="75" spans="1:9" x14ac:dyDescent="0.2">
      <c r="A75" t="s">
        <v>107</v>
      </c>
      <c r="C75">
        <v>15.625999999999999</v>
      </c>
      <c r="D75">
        <v>6.0000000000000001E-3</v>
      </c>
      <c r="E75" t="s">
        <v>191</v>
      </c>
      <c r="H75" t="s">
        <v>192</v>
      </c>
      <c r="I75" t="s">
        <v>135</v>
      </c>
    </row>
    <row r="76" spans="1:9" x14ac:dyDescent="0.2">
      <c r="A76" t="s">
        <v>108</v>
      </c>
      <c r="C76">
        <v>0.83299999999999996</v>
      </c>
      <c r="D76">
        <v>1E-3</v>
      </c>
      <c r="E76" t="s">
        <v>191</v>
      </c>
      <c r="G76" t="s">
        <v>190</v>
      </c>
      <c r="H76" t="s">
        <v>189</v>
      </c>
      <c r="I76" t="s">
        <v>135</v>
      </c>
    </row>
    <row r="77" spans="1:9" x14ac:dyDescent="0.2">
      <c r="A77" t="s">
        <v>109</v>
      </c>
      <c r="C77">
        <v>38.729999999999997</v>
      </c>
      <c r="D77">
        <v>0.02</v>
      </c>
      <c r="E77" t="s">
        <v>191</v>
      </c>
      <c r="H77" t="s">
        <v>192</v>
      </c>
      <c r="I77" t="s">
        <v>135</v>
      </c>
    </row>
    <row r="78" spans="1:9" x14ac:dyDescent="0.2">
      <c r="A78" t="s">
        <v>110</v>
      </c>
      <c r="C78">
        <v>2.0659999999999998</v>
      </c>
      <c r="D78">
        <v>1E-3</v>
      </c>
      <c r="E78" t="s">
        <v>191</v>
      </c>
      <c r="G78" t="s">
        <v>190</v>
      </c>
      <c r="H78" t="s">
        <v>189</v>
      </c>
      <c r="I78" t="s">
        <v>135</v>
      </c>
    </row>
    <row r="79" spans="1:9" x14ac:dyDescent="0.2">
      <c r="A79" t="s">
        <v>111</v>
      </c>
      <c r="C79">
        <v>4.724E-6</v>
      </c>
      <c r="D79">
        <v>0.69</v>
      </c>
      <c r="E79" t="s">
        <v>188</v>
      </c>
      <c r="G79" t="s">
        <v>187</v>
      </c>
      <c r="H79" t="s">
        <v>186</v>
      </c>
      <c r="I79" t="s">
        <v>135</v>
      </c>
    </row>
    <row r="80" spans="1:9" x14ac:dyDescent="0.2">
      <c r="A80" t="s">
        <v>112</v>
      </c>
      <c r="C80">
        <v>0.877</v>
      </c>
      <c r="D80">
        <v>0.69</v>
      </c>
      <c r="E80" t="s">
        <v>188</v>
      </c>
      <c r="G80" t="s">
        <v>187</v>
      </c>
      <c r="H80" t="s">
        <v>186</v>
      </c>
      <c r="I80" t="s">
        <v>135</v>
      </c>
    </row>
    <row r="81" spans="1:9" x14ac:dyDescent="0.2">
      <c r="A81" t="s">
        <v>115</v>
      </c>
      <c r="C81">
        <v>5.4929999999999998E-5</v>
      </c>
      <c r="D81">
        <v>0.3</v>
      </c>
      <c r="E81" t="s">
        <v>188</v>
      </c>
      <c r="G81" t="s">
        <v>187</v>
      </c>
      <c r="H81" t="s">
        <v>186</v>
      </c>
      <c r="I81" t="s">
        <v>135</v>
      </c>
    </row>
    <row r="82" spans="1:9" x14ac:dyDescent="0.2">
      <c r="A82" t="s">
        <v>116</v>
      </c>
      <c r="C82">
        <v>1.0009999999999999</v>
      </c>
      <c r="D82">
        <v>0.3</v>
      </c>
      <c r="E82" t="s">
        <v>188</v>
      </c>
      <c r="G82" t="s">
        <v>187</v>
      </c>
      <c r="H82" t="s">
        <v>186</v>
      </c>
      <c r="I82" t="s">
        <v>135</v>
      </c>
    </row>
    <row r="84" spans="1:9" x14ac:dyDescent="0.2">
      <c r="A84" t="s">
        <v>165</v>
      </c>
    </row>
    <row r="85" spans="1:9" x14ac:dyDescent="0.2">
      <c r="A85" t="s">
        <v>185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major elements</vt:lpstr>
      <vt:lpstr>trace elements</vt:lpstr>
      <vt:lpstr>Trace elements LA sorted</vt:lpstr>
      <vt:lpstr>f045434212019320384.csv</vt:lpstr>
      <vt:lpstr>f025449772019322537.csv</vt:lpstr>
    </vt:vector>
  </TitlesOfParts>
  <Company>Geomar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Froukje van der Zwan</dc:creator>
  <cp:lastModifiedBy>Froukje van der Zwan</cp:lastModifiedBy>
  <dcterms:created xsi:type="dcterms:W3CDTF">2018-11-07T14:21:55Z</dcterms:created>
  <dcterms:modified xsi:type="dcterms:W3CDTF">2021-10-03T10:39:47Z</dcterms:modified>
</cp:coreProperties>
</file>